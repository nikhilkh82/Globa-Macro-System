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leadwayheavy-my.sharepoint.com/personal/nikhil_leadway_co_th/Documents/Desktop/Global Macro Hedge Fund Strategy/raw/2. Macro Indicators/2.8 Updated Detailed Macro Indicators/"/>
    </mc:Choice>
  </mc:AlternateContent>
  <xr:revisionPtr revIDLastSave="75" documentId="14_{71D712A4-3CDB-439A-8FD7-60AB396E3634}" xr6:coauthVersionLast="47" xr6:coauthVersionMax="47" xr10:uidLastSave="{6D95121F-0B97-4947-A581-2BA8AB593183}"/>
  <bookViews>
    <workbookView xWindow="-98" yWindow="-98" windowWidth="21795" windowHeight="13875" tabRatio="641" xr2:uid="{53D76C5A-C730-4E19-BB0E-CA59EB1B042A}"/>
  </bookViews>
  <sheets>
    <sheet name="AUD_USD Exo' Score" sheetId="18" r:id="rId1"/>
    <sheet name="Sources" sheetId="17" r:id="rId2"/>
    <sheet name="Relative_GDP" sheetId="3" r:id="rId3"/>
    <sheet name="BOPs_US" sheetId="4" r:id="rId4"/>
    <sheet name="BOPs_AUS" sheetId="14" r:id="rId5"/>
    <sheet name="BOPs_Relative" sheetId="15" r:id="rId6"/>
    <sheet name="Trade_Analysis" sheetId="8" r:id="rId7"/>
    <sheet name="TA1_IronOre" sheetId="9" r:id="rId8"/>
    <sheet name="TA1_IronOre_SD" sheetId="16" r:id="rId9"/>
    <sheet name="TA2_Coal_China" sheetId="10" r:id="rId10"/>
    <sheet name="TA3_Japan_Coal" sheetId="11" r:id="rId11"/>
    <sheet name="IR Diffs &amp; Carry" sheetId="1" r:id="rId12"/>
    <sheet name="Stock Returns" sheetId="7" r:id="rId13"/>
  </sheets>
  <definedNames>
    <definedName name="_xlnm._FilterDatabase" localSheetId="4" hidden="1">BOPs_AUS!$A$1:$E$227</definedName>
    <definedName name="_xlnm._FilterDatabase" localSheetId="8" hidden="1">TA1_IronOre_SD!$A$11:$C$121</definedName>
    <definedName name="_xlnm._FilterDatabase" localSheetId="9" hidden="1">TA2_Coal_China!$A$1:$C$532</definedName>
    <definedName name="FIRMMBAB180">'IR Diffs &amp; Carry'!#REF!</definedName>
    <definedName name="FIRMMBAB30">'IR Diffs &amp; Carry'!#REF!</definedName>
    <definedName name="FIRMMBAB90">'IR Diffs &amp; Carry'!#REF!</definedName>
    <definedName name="FIRMMCRI">'IR Diffs &amp; Carry'!#REF!</definedName>
    <definedName name="FIRMMCRT">'IR Diffs &amp; Carry'!#REF!</definedName>
    <definedName name="FIRMMOIS1">'IR Diffs &amp; Carry'!#REF!</definedName>
    <definedName name="FIRMMOIS3">'IR Diffs &amp; Carry'!#REF!</definedName>
    <definedName name="FIRMMOIS6">'IR Diffs &amp; Carry'!#REF!</definedName>
    <definedName name="FIRMMTN1">'IR Diffs &amp; Carry'!#REF!</definedName>
    <definedName name="FIRMMTN3">'IR Diffs &amp; Carry'!#REF!</definedName>
    <definedName name="FIRMMTN6">'IR Diffs &amp; Carry'!#REF!</definedName>
    <definedName name="_xlnm.Print_Area" localSheetId="11">'IR Diffs &amp; Carry'!#REF!</definedName>
    <definedName name="_xlnm.Print_Titles" localSheetId="11">'IR Diffs &amp; Carry'!$A:$A,'IR Diffs &amp; Carry'!#REF!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8" l="1"/>
  <c r="J47" i="7"/>
  <c r="K47" i="7" s="1"/>
  <c r="G48" i="7" s="1"/>
  <c r="D5666" i="7"/>
  <c r="D5665" i="7"/>
  <c r="D5664" i="7"/>
  <c r="D5663" i="7"/>
  <c r="D5662" i="7"/>
  <c r="D5661" i="7"/>
  <c r="D5660" i="7"/>
  <c r="D5659" i="7"/>
  <c r="D5658" i="7"/>
  <c r="D5657" i="7"/>
  <c r="D5656" i="7"/>
  <c r="D5655" i="7"/>
  <c r="D5654" i="7"/>
  <c r="D5653" i="7"/>
  <c r="D5652" i="7"/>
  <c r="D5651" i="7"/>
  <c r="D5650" i="7"/>
  <c r="D5649" i="7"/>
  <c r="D5648" i="7"/>
  <c r="D5647" i="7"/>
  <c r="D5646" i="7"/>
  <c r="D5645" i="7"/>
  <c r="D5644" i="7"/>
  <c r="D5643" i="7"/>
  <c r="D5642" i="7"/>
  <c r="D5641" i="7"/>
  <c r="D5640" i="7"/>
  <c r="D5639" i="7"/>
  <c r="D5638" i="7"/>
  <c r="D5637" i="7"/>
  <c r="D5636" i="7"/>
  <c r="D5635" i="7"/>
  <c r="D5634" i="7"/>
  <c r="D5633" i="7"/>
  <c r="D5632" i="7"/>
  <c r="D5631" i="7"/>
  <c r="D5630" i="7"/>
  <c r="D5629" i="7"/>
  <c r="D5628" i="7"/>
  <c r="D5627" i="7"/>
  <c r="D5626" i="7"/>
  <c r="D5625" i="7"/>
  <c r="D5624" i="7"/>
  <c r="D5623" i="7"/>
  <c r="D5622" i="7"/>
  <c r="D5621" i="7"/>
  <c r="D5620" i="7"/>
  <c r="D5619" i="7"/>
  <c r="D5618" i="7"/>
  <c r="D5617" i="7"/>
  <c r="D5616" i="7"/>
  <c r="D5615" i="7"/>
  <c r="D5614" i="7"/>
  <c r="D5613" i="7"/>
  <c r="D5612" i="7"/>
  <c r="D5611" i="7"/>
  <c r="D5610" i="7"/>
  <c r="D5609" i="7"/>
  <c r="D5608" i="7"/>
  <c r="D5607" i="7"/>
  <c r="D5606" i="7"/>
  <c r="D5605" i="7"/>
  <c r="D5604" i="7"/>
  <c r="D5603" i="7"/>
  <c r="D5602" i="7"/>
  <c r="D5601" i="7"/>
  <c r="D5600" i="7"/>
  <c r="D5599" i="7"/>
  <c r="D5598" i="7"/>
  <c r="D5597" i="7"/>
  <c r="D5596" i="7"/>
  <c r="D5595" i="7"/>
  <c r="D5594" i="7"/>
  <c r="D5593" i="7"/>
  <c r="D5592" i="7"/>
  <c r="D5591" i="7"/>
  <c r="D5590" i="7"/>
  <c r="D5589" i="7"/>
  <c r="D5588" i="7"/>
  <c r="D5587" i="7"/>
  <c r="D5586" i="7"/>
  <c r="D5585" i="7"/>
  <c r="D5584" i="7"/>
  <c r="D5583" i="7"/>
  <c r="D5582" i="7"/>
  <c r="D5581" i="7"/>
  <c r="D5580" i="7"/>
  <c r="D5579" i="7"/>
  <c r="D5578" i="7"/>
  <c r="D5577" i="7"/>
  <c r="D5576" i="7"/>
  <c r="D5575" i="7"/>
  <c r="D5574" i="7"/>
  <c r="D5573" i="7"/>
  <c r="D5572" i="7"/>
  <c r="D5571" i="7"/>
  <c r="D5570" i="7"/>
  <c r="D5569" i="7"/>
  <c r="D5568" i="7"/>
  <c r="D5567" i="7"/>
  <c r="D5566" i="7"/>
  <c r="D5565" i="7"/>
  <c r="D5564" i="7"/>
  <c r="D5563" i="7"/>
  <c r="D5562" i="7"/>
  <c r="D5561" i="7"/>
  <c r="D5560" i="7"/>
  <c r="D5559" i="7"/>
  <c r="D5558" i="7"/>
  <c r="D5557" i="7"/>
  <c r="D5556" i="7"/>
  <c r="D5555" i="7"/>
  <c r="D5554" i="7"/>
  <c r="D5553" i="7"/>
  <c r="D5552" i="7"/>
  <c r="D5551" i="7"/>
  <c r="D5550" i="7"/>
  <c r="D5549" i="7"/>
  <c r="D5548" i="7"/>
  <c r="D5547" i="7"/>
  <c r="D5546" i="7"/>
  <c r="D5545" i="7"/>
  <c r="D5544" i="7"/>
  <c r="D5543" i="7"/>
  <c r="D5542" i="7"/>
  <c r="D5541" i="7"/>
  <c r="D5540" i="7"/>
  <c r="D5539" i="7"/>
  <c r="D5538" i="7"/>
  <c r="D5537" i="7"/>
  <c r="D5536" i="7"/>
  <c r="D5535" i="7"/>
  <c r="D5534" i="7"/>
  <c r="D5533" i="7"/>
  <c r="D5532" i="7"/>
  <c r="D5531" i="7"/>
  <c r="D5530" i="7"/>
  <c r="D5529" i="7"/>
  <c r="D5528" i="7"/>
  <c r="D5527" i="7"/>
  <c r="D5526" i="7"/>
  <c r="D5525" i="7"/>
  <c r="D5524" i="7"/>
  <c r="D5523" i="7"/>
  <c r="D5522" i="7"/>
  <c r="D5521" i="7"/>
  <c r="D5520" i="7"/>
  <c r="D5519" i="7"/>
  <c r="D5518" i="7"/>
  <c r="D5517" i="7"/>
  <c r="D5516" i="7"/>
  <c r="D5515" i="7"/>
  <c r="D5514" i="7"/>
  <c r="D5513" i="7"/>
  <c r="D5512" i="7"/>
  <c r="D5511" i="7"/>
  <c r="D5510" i="7"/>
  <c r="D5509" i="7"/>
  <c r="D5508" i="7"/>
  <c r="D5507" i="7"/>
  <c r="D5506" i="7"/>
  <c r="D5505" i="7"/>
  <c r="D5504" i="7"/>
  <c r="D5503" i="7"/>
  <c r="D5502" i="7"/>
  <c r="D5501" i="7"/>
  <c r="D5500" i="7"/>
  <c r="D5499" i="7"/>
  <c r="D5498" i="7"/>
  <c r="D5497" i="7"/>
  <c r="D5496" i="7"/>
  <c r="D5495" i="7"/>
  <c r="D5494" i="7"/>
  <c r="D5493" i="7"/>
  <c r="D5492" i="7"/>
  <c r="D5491" i="7"/>
  <c r="D5490" i="7"/>
  <c r="D5489" i="7"/>
  <c r="D5488" i="7"/>
  <c r="D5487" i="7"/>
  <c r="D5486" i="7"/>
  <c r="D5485" i="7"/>
  <c r="D5484" i="7"/>
  <c r="D5483" i="7"/>
  <c r="D5482" i="7"/>
  <c r="D5481" i="7"/>
  <c r="D5480" i="7"/>
  <c r="D5479" i="7"/>
  <c r="D5478" i="7"/>
  <c r="D5477" i="7"/>
  <c r="D5476" i="7"/>
  <c r="D5475" i="7"/>
  <c r="D5474" i="7"/>
  <c r="D5473" i="7"/>
  <c r="D5472" i="7"/>
  <c r="D5471" i="7"/>
  <c r="D5470" i="7"/>
  <c r="D5469" i="7"/>
  <c r="D5468" i="7"/>
  <c r="D5467" i="7"/>
  <c r="D5466" i="7"/>
  <c r="D5465" i="7"/>
  <c r="D5464" i="7"/>
  <c r="D5463" i="7"/>
  <c r="D5462" i="7"/>
  <c r="D5461" i="7"/>
  <c r="D5460" i="7"/>
  <c r="D5459" i="7"/>
  <c r="D5458" i="7"/>
  <c r="D5457" i="7"/>
  <c r="D5456" i="7"/>
  <c r="D5455" i="7"/>
  <c r="D5454" i="7"/>
  <c r="D5453" i="7"/>
  <c r="D5452" i="7"/>
  <c r="D5451" i="7"/>
  <c r="D5450" i="7"/>
  <c r="D5449" i="7"/>
  <c r="D5448" i="7"/>
  <c r="D5447" i="7"/>
  <c r="D5446" i="7"/>
  <c r="D5445" i="7"/>
  <c r="D5444" i="7"/>
  <c r="D5443" i="7"/>
  <c r="D5442" i="7"/>
  <c r="D5441" i="7"/>
  <c r="D5440" i="7"/>
  <c r="D5439" i="7"/>
  <c r="D5438" i="7"/>
  <c r="D5437" i="7"/>
  <c r="D5436" i="7"/>
  <c r="D5435" i="7"/>
  <c r="D5434" i="7"/>
  <c r="D5433" i="7"/>
  <c r="D5432" i="7"/>
  <c r="D5431" i="7"/>
  <c r="D5430" i="7"/>
  <c r="D5429" i="7"/>
  <c r="D5428" i="7"/>
  <c r="D5427" i="7"/>
  <c r="D5426" i="7"/>
  <c r="D5425" i="7"/>
  <c r="D5424" i="7"/>
  <c r="D5423" i="7"/>
  <c r="D5422" i="7"/>
  <c r="D5421" i="7"/>
  <c r="D5420" i="7"/>
  <c r="D5419" i="7"/>
  <c r="D5418" i="7"/>
  <c r="D5417" i="7"/>
  <c r="D5416" i="7"/>
  <c r="D5415" i="7"/>
  <c r="D5414" i="7"/>
  <c r="D5413" i="7"/>
  <c r="D5412" i="7"/>
  <c r="D5411" i="7"/>
  <c r="D5410" i="7"/>
  <c r="D5409" i="7"/>
  <c r="D5408" i="7"/>
  <c r="D5407" i="7"/>
  <c r="D5406" i="7"/>
  <c r="D5405" i="7"/>
  <c r="D5404" i="7"/>
  <c r="D5403" i="7"/>
  <c r="D5402" i="7"/>
  <c r="D5401" i="7"/>
  <c r="D5400" i="7"/>
  <c r="D5399" i="7"/>
  <c r="D5398" i="7"/>
  <c r="D5397" i="7"/>
  <c r="D5396" i="7"/>
  <c r="D5395" i="7"/>
  <c r="D5394" i="7"/>
  <c r="D5393" i="7"/>
  <c r="D5392" i="7"/>
  <c r="D5391" i="7"/>
  <c r="D5390" i="7"/>
  <c r="D5389" i="7"/>
  <c r="D5388" i="7"/>
  <c r="D5387" i="7"/>
  <c r="D5386" i="7"/>
  <c r="D5385" i="7"/>
  <c r="D5384" i="7"/>
  <c r="D5383" i="7"/>
  <c r="D5382" i="7"/>
  <c r="D5381" i="7"/>
  <c r="D5380" i="7"/>
  <c r="D5379" i="7"/>
  <c r="D5378" i="7"/>
  <c r="D5377" i="7"/>
  <c r="D5376" i="7"/>
  <c r="D5375" i="7"/>
  <c r="D5374" i="7"/>
  <c r="D5373" i="7"/>
  <c r="D5372" i="7"/>
  <c r="D5371" i="7"/>
  <c r="D5370" i="7"/>
  <c r="D5369" i="7"/>
  <c r="D5368" i="7"/>
  <c r="D5367" i="7"/>
  <c r="D5366" i="7"/>
  <c r="D5365" i="7"/>
  <c r="D5364" i="7"/>
  <c r="D5363" i="7"/>
  <c r="D5362" i="7"/>
  <c r="D5361" i="7"/>
  <c r="D5360" i="7"/>
  <c r="D5359" i="7"/>
  <c r="D5358" i="7"/>
  <c r="D5357" i="7"/>
  <c r="D5356" i="7"/>
  <c r="D5355" i="7"/>
  <c r="D5354" i="7"/>
  <c r="D5353" i="7"/>
  <c r="D5352" i="7"/>
  <c r="D5351" i="7"/>
  <c r="D5350" i="7"/>
  <c r="D5349" i="7"/>
  <c r="D5348" i="7"/>
  <c r="D5347" i="7"/>
  <c r="D5346" i="7"/>
  <c r="D5345" i="7"/>
  <c r="D5344" i="7"/>
  <c r="D5343" i="7"/>
  <c r="D5342" i="7"/>
  <c r="D5341" i="7"/>
  <c r="D5340" i="7"/>
  <c r="D5339" i="7"/>
  <c r="D5338" i="7"/>
  <c r="D5337" i="7"/>
  <c r="D5336" i="7"/>
  <c r="D5335" i="7"/>
  <c r="D5334" i="7"/>
  <c r="D5333" i="7"/>
  <c r="D5332" i="7"/>
  <c r="D5331" i="7"/>
  <c r="D5330" i="7"/>
  <c r="D5329" i="7"/>
  <c r="D5328" i="7"/>
  <c r="D5327" i="7"/>
  <c r="D5326" i="7"/>
  <c r="D5325" i="7"/>
  <c r="D5324" i="7"/>
  <c r="D5323" i="7"/>
  <c r="D5322" i="7"/>
  <c r="D5321" i="7"/>
  <c r="D5320" i="7"/>
  <c r="D5319" i="7"/>
  <c r="D5318" i="7"/>
  <c r="D5317" i="7"/>
  <c r="D5316" i="7"/>
  <c r="D5315" i="7"/>
  <c r="D5314" i="7"/>
  <c r="D5313" i="7"/>
  <c r="D5312" i="7"/>
  <c r="D5311" i="7"/>
  <c r="D5310" i="7"/>
  <c r="D5309" i="7"/>
  <c r="D5308" i="7"/>
  <c r="D5307" i="7"/>
  <c r="D5306" i="7"/>
  <c r="D5305" i="7"/>
  <c r="D5304" i="7"/>
  <c r="D5303" i="7"/>
  <c r="D5302" i="7"/>
  <c r="D5301" i="7"/>
  <c r="D5300" i="7"/>
  <c r="D5299" i="7"/>
  <c r="D5298" i="7"/>
  <c r="D5297" i="7"/>
  <c r="D5296" i="7"/>
  <c r="D5295" i="7"/>
  <c r="D5294" i="7"/>
  <c r="D5293" i="7"/>
  <c r="D5292" i="7"/>
  <c r="D5291" i="7"/>
  <c r="D5290" i="7"/>
  <c r="D5289" i="7"/>
  <c r="D5288" i="7"/>
  <c r="D5287" i="7"/>
  <c r="D5286" i="7"/>
  <c r="D5285" i="7"/>
  <c r="D5284" i="7"/>
  <c r="D5283" i="7"/>
  <c r="D5282" i="7"/>
  <c r="D5281" i="7"/>
  <c r="D5280" i="7"/>
  <c r="D5279" i="7"/>
  <c r="D5278" i="7"/>
  <c r="D5277" i="7"/>
  <c r="D5276" i="7"/>
  <c r="D5275" i="7"/>
  <c r="D5274" i="7"/>
  <c r="D5273" i="7"/>
  <c r="D5272" i="7"/>
  <c r="D5271" i="7"/>
  <c r="D5270" i="7"/>
  <c r="D5269" i="7"/>
  <c r="D5268" i="7"/>
  <c r="D5267" i="7"/>
  <c r="D5266" i="7"/>
  <c r="D5265" i="7"/>
  <c r="D5264" i="7"/>
  <c r="D5263" i="7"/>
  <c r="D5262" i="7"/>
  <c r="D5261" i="7"/>
  <c r="D5260" i="7"/>
  <c r="D5259" i="7"/>
  <c r="D5258" i="7"/>
  <c r="D5257" i="7"/>
  <c r="D5256" i="7"/>
  <c r="D5255" i="7"/>
  <c r="D5254" i="7"/>
  <c r="D5253" i="7"/>
  <c r="D5252" i="7"/>
  <c r="D5251" i="7"/>
  <c r="D5250" i="7"/>
  <c r="D5249" i="7"/>
  <c r="D5248" i="7"/>
  <c r="D5247" i="7"/>
  <c r="D5246" i="7"/>
  <c r="D5245" i="7"/>
  <c r="D5244" i="7"/>
  <c r="D5243" i="7"/>
  <c r="D5242" i="7"/>
  <c r="D5241" i="7"/>
  <c r="D5240" i="7"/>
  <c r="D5239" i="7"/>
  <c r="D5238" i="7"/>
  <c r="D5237" i="7"/>
  <c r="D5236" i="7"/>
  <c r="D5235" i="7"/>
  <c r="D5234" i="7"/>
  <c r="D5233" i="7"/>
  <c r="D5232" i="7"/>
  <c r="D5231" i="7"/>
  <c r="D5230" i="7"/>
  <c r="D5229" i="7"/>
  <c r="D5228" i="7"/>
  <c r="D5227" i="7"/>
  <c r="D5226" i="7"/>
  <c r="D5225" i="7"/>
  <c r="D5224" i="7"/>
  <c r="D5223" i="7"/>
  <c r="D5222" i="7"/>
  <c r="D5221" i="7"/>
  <c r="D5220" i="7"/>
  <c r="D5219" i="7"/>
  <c r="D5218" i="7"/>
  <c r="D5217" i="7"/>
  <c r="D5216" i="7"/>
  <c r="D5215" i="7"/>
  <c r="D5214" i="7"/>
  <c r="D5213" i="7"/>
  <c r="D5212" i="7"/>
  <c r="D5211" i="7"/>
  <c r="D5210" i="7"/>
  <c r="D5209" i="7"/>
  <c r="D5208" i="7"/>
  <c r="D5207" i="7"/>
  <c r="D5206" i="7"/>
  <c r="D5205" i="7"/>
  <c r="D5204" i="7"/>
  <c r="D5203" i="7"/>
  <c r="D5202" i="7"/>
  <c r="D5201" i="7"/>
  <c r="D5200" i="7"/>
  <c r="D5199" i="7"/>
  <c r="D5198" i="7"/>
  <c r="D5197" i="7"/>
  <c r="D5196" i="7"/>
  <c r="D5195" i="7"/>
  <c r="D5194" i="7"/>
  <c r="D5193" i="7"/>
  <c r="D5192" i="7"/>
  <c r="D5191" i="7"/>
  <c r="D5190" i="7"/>
  <c r="D5189" i="7"/>
  <c r="D5188" i="7"/>
  <c r="D5187" i="7"/>
  <c r="D5186" i="7"/>
  <c r="D5185" i="7"/>
  <c r="D5184" i="7"/>
  <c r="D5183" i="7"/>
  <c r="D5182" i="7"/>
  <c r="D5181" i="7"/>
  <c r="D5180" i="7"/>
  <c r="D5179" i="7"/>
  <c r="D5178" i="7"/>
  <c r="D5177" i="7"/>
  <c r="D5176" i="7"/>
  <c r="D5175" i="7"/>
  <c r="D5174" i="7"/>
  <c r="D5173" i="7"/>
  <c r="D5172" i="7"/>
  <c r="D5171" i="7"/>
  <c r="D5170" i="7"/>
  <c r="D5169" i="7"/>
  <c r="D5168" i="7"/>
  <c r="D5167" i="7"/>
  <c r="D5166" i="7"/>
  <c r="D5165" i="7"/>
  <c r="D5164" i="7"/>
  <c r="D5163" i="7"/>
  <c r="D5162" i="7"/>
  <c r="D5161" i="7"/>
  <c r="D5160" i="7"/>
  <c r="D5159" i="7"/>
  <c r="D5158" i="7"/>
  <c r="D5157" i="7"/>
  <c r="D5156" i="7"/>
  <c r="D5155" i="7"/>
  <c r="D5154" i="7"/>
  <c r="D5153" i="7"/>
  <c r="D5152" i="7"/>
  <c r="D5151" i="7"/>
  <c r="D5150" i="7"/>
  <c r="D5149" i="7"/>
  <c r="D5148" i="7"/>
  <c r="D5147" i="7"/>
  <c r="D5146" i="7"/>
  <c r="D5145" i="7"/>
  <c r="D5144" i="7"/>
  <c r="D5143" i="7"/>
  <c r="D5142" i="7"/>
  <c r="D5141" i="7"/>
  <c r="D5140" i="7"/>
  <c r="D5139" i="7"/>
  <c r="D5138" i="7"/>
  <c r="D5137" i="7"/>
  <c r="D5136" i="7"/>
  <c r="D5135" i="7"/>
  <c r="D5134" i="7"/>
  <c r="D5133" i="7"/>
  <c r="D5132" i="7"/>
  <c r="D5131" i="7"/>
  <c r="D5130" i="7"/>
  <c r="D5129" i="7"/>
  <c r="D5128" i="7"/>
  <c r="D5127" i="7"/>
  <c r="D5126" i="7"/>
  <c r="D5125" i="7"/>
  <c r="D5124" i="7"/>
  <c r="D5123" i="7"/>
  <c r="D5122" i="7"/>
  <c r="D5121" i="7"/>
  <c r="D5120" i="7"/>
  <c r="D5119" i="7"/>
  <c r="D5118" i="7"/>
  <c r="D5117" i="7"/>
  <c r="D5116" i="7"/>
  <c r="D5115" i="7"/>
  <c r="D5114" i="7"/>
  <c r="D5113" i="7"/>
  <c r="D5112" i="7"/>
  <c r="D5111" i="7"/>
  <c r="D5110" i="7"/>
  <c r="D5109" i="7"/>
  <c r="D5108" i="7"/>
  <c r="D5107" i="7"/>
  <c r="D5106" i="7"/>
  <c r="D5105" i="7"/>
  <c r="D5104" i="7"/>
  <c r="D5103" i="7"/>
  <c r="D5102" i="7"/>
  <c r="D5101" i="7"/>
  <c r="D5100" i="7"/>
  <c r="D5099" i="7"/>
  <c r="D5098" i="7"/>
  <c r="D5097" i="7"/>
  <c r="D5096" i="7"/>
  <c r="D5095" i="7"/>
  <c r="D5094" i="7"/>
  <c r="D5093" i="7"/>
  <c r="D5092" i="7"/>
  <c r="D5091" i="7"/>
  <c r="D5090" i="7"/>
  <c r="D5089" i="7"/>
  <c r="D5088" i="7"/>
  <c r="D5087" i="7"/>
  <c r="D5086" i="7"/>
  <c r="D5085" i="7"/>
  <c r="D5084" i="7"/>
  <c r="D5083" i="7"/>
  <c r="D5082" i="7"/>
  <c r="D5081" i="7"/>
  <c r="D5080" i="7"/>
  <c r="D5079" i="7"/>
  <c r="D5078" i="7"/>
  <c r="D5077" i="7"/>
  <c r="D5076" i="7"/>
  <c r="D5075" i="7"/>
  <c r="D5074" i="7"/>
  <c r="D5073" i="7"/>
  <c r="D5072" i="7"/>
  <c r="D5071" i="7"/>
  <c r="D5070" i="7"/>
  <c r="D5069" i="7"/>
  <c r="D5068" i="7"/>
  <c r="D5067" i="7"/>
  <c r="D5066" i="7"/>
  <c r="D5065" i="7"/>
  <c r="D5064" i="7"/>
  <c r="D5063" i="7"/>
  <c r="D5062" i="7"/>
  <c r="D5061" i="7"/>
  <c r="D5060" i="7"/>
  <c r="D5059" i="7"/>
  <c r="D5058" i="7"/>
  <c r="D5057" i="7"/>
  <c r="D5056" i="7"/>
  <c r="D5055" i="7"/>
  <c r="D5054" i="7"/>
  <c r="D5053" i="7"/>
  <c r="D5052" i="7"/>
  <c r="D5051" i="7"/>
  <c r="D5050" i="7"/>
  <c r="D5049" i="7"/>
  <c r="D5048" i="7"/>
  <c r="D5047" i="7"/>
  <c r="D5046" i="7"/>
  <c r="D5045" i="7"/>
  <c r="D5044" i="7"/>
  <c r="D5043" i="7"/>
  <c r="D5042" i="7"/>
  <c r="D5041" i="7"/>
  <c r="D5040" i="7"/>
  <c r="D5039" i="7"/>
  <c r="D5038" i="7"/>
  <c r="D5037" i="7"/>
  <c r="D5036" i="7"/>
  <c r="D5035" i="7"/>
  <c r="D5034" i="7"/>
  <c r="D5033" i="7"/>
  <c r="D5032" i="7"/>
  <c r="D5031" i="7"/>
  <c r="D5030" i="7"/>
  <c r="D5029" i="7"/>
  <c r="D5028" i="7"/>
  <c r="D5027" i="7"/>
  <c r="D5026" i="7"/>
  <c r="D5025" i="7"/>
  <c r="D5024" i="7"/>
  <c r="D5023" i="7"/>
  <c r="D5022" i="7"/>
  <c r="D5021" i="7"/>
  <c r="D5020" i="7"/>
  <c r="D5019" i="7"/>
  <c r="D5018" i="7"/>
  <c r="D5017" i="7"/>
  <c r="D5016" i="7"/>
  <c r="D5015" i="7"/>
  <c r="D5014" i="7"/>
  <c r="D5013" i="7"/>
  <c r="D5012" i="7"/>
  <c r="D5011" i="7"/>
  <c r="D5010" i="7"/>
  <c r="D5009" i="7"/>
  <c r="D5008" i="7"/>
  <c r="D5007" i="7"/>
  <c r="D5006" i="7"/>
  <c r="D5005" i="7"/>
  <c r="D5004" i="7"/>
  <c r="D5003" i="7"/>
  <c r="D5002" i="7"/>
  <c r="D5001" i="7"/>
  <c r="D5000" i="7"/>
  <c r="D4999" i="7"/>
  <c r="D4998" i="7"/>
  <c r="D4997" i="7"/>
  <c r="D4996" i="7"/>
  <c r="D4995" i="7"/>
  <c r="D4994" i="7"/>
  <c r="D4993" i="7"/>
  <c r="D4992" i="7"/>
  <c r="D4991" i="7"/>
  <c r="D4990" i="7"/>
  <c r="D4989" i="7"/>
  <c r="D4988" i="7"/>
  <c r="D4987" i="7"/>
  <c r="D4986" i="7"/>
  <c r="D4985" i="7"/>
  <c r="D4984" i="7"/>
  <c r="D4983" i="7"/>
  <c r="D4982" i="7"/>
  <c r="D4981" i="7"/>
  <c r="D4980" i="7"/>
  <c r="D4979" i="7"/>
  <c r="D4978" i="7"/>
  <c r="D4977" i="7"/>
  <c r="D4976" i="7"/>
  <c r="D4975" i="7"/>
  <c r="D4974" i="7"/>
  <c r="D4973" i="7"/>
  <c r="D4972" i="7"/>
  <c r="D4971" i="7"/>
  <c r="D4970" i="7"/>
  <c r="D4969" i="7"/>
  <c r="D4968" i="7"/>
  <c r="D4967" i="7"/>
  <c r="D4966" i="7"/>
  <c r="D4965" i="7"/>
  <c r="D4964" i="7"/>
  <c r="D4963" i="7"/>
  <c r="D4962" i="7"/>
  <c r="D4961" i="7"/>
  <c r="D4960" i="7"/>
  <c r="D4959" i="7"/>
  <c r="D4958" i="7"/>
  <c r="D4957" i="7"/>
  <c r="D4956" i="7"/>
  <c r="D4955" i="7"/>
  <c r="D4954" i="7"/>
  <c r="D4953" i="7"/>
  <c r="D4952" i="7"/>
  <c r="D4951" i="7"/>
  <c r="D4950" i="7"/>
  <c r="D4949" i="7"/>
  <c r="D4948" i="7"/>
  <c r="D4947" i="7"/>
  <c r="D4946" i="7"/>
  <c r="D4945" i="7"/>
  <c r="D4944" i="7"/>
  <c r="D4943" i="7"/>
  <c r="D4942" i="7"/>
  <c r="D4941" i="7"/>
  <c r="D4940" i="7"/>
  <c r="D4939" i="7"/>
  <c r="D4938" i="7"/>
  <c r="D4937" i="7"/>
  <c r="D4936" i="7"/>
  <c r="D4935" i="7"/>
  <c r="D4934" i="7"/>
  <c r="D4933" i="7"/>
  <c r="D4932" i="7"/>
  <c r="D4931" i="7"/>
  <c r="D4930" i="7"/>
  <c r="D4929" i="7"/>
  <c r="D4928" i="7"/>
  <c r="D4927" i="7"/>
  <c r="D4926" i="7"/>
  <c r="D4925" i="7"/>
  <c r="D4924" i="7"/>
  <c r="D4923" i="7"/>
  <c r="D4922" i="7"/>
  <c r="D4921" i="7"/>
  <c r="D4920" i="7"/>
  <c r="D4919" i="7"/>
  <c r="D4918" i="7"/>
  <c r="D4917" i="7"/>
  <c r="D4916" i="7"/>
  <c r="D4915" i="7"/>
  <c r="D4914" i="7"/>
  <c r="D4913" i="7"/>
  <c r="D4912" i="7"/>
  <c r="D4911" i="7"/>
  <c r="D4910" i="7"/>
  <c r="D4909" i="7"/>
  <c r="D4908" i="7"/>
  <c r="D4907" i="7"/>
  <c r="D4906" i="7"/>
  <c r="D4905" i="7"/>
  <c r="D4904" i="7"/>
  <c r="D4903" i="7"/>
  <c r="D4902" i="7"/>
  <c r="D4901" i="7"/>
  <c r="D4900" i="7"/>
  <c r="D4899" i="7"/>
  <c r="D4898" i="7"/>
  <c r="D4897" i="7"/>
  <c r="D4896" i="7"/>
  <c r="D4895" i="7"/>
  <c r="D4894" i="7"/>
  <c r="D4893" i="7"/>
  <c r="D4892" i="7"/>
  <c r="D4891" i="7"/>
  <c r="D4890" i="7"/>
  <c r="D4889" i="7"/>
  <c r="D4888" i="7"/>
  <c r="D4887" i="7"/>
  <c r="D4886" i="7"/>
  <c r="D4885" i="7"/>
  <c r="D4884" i="7"/>
  <c r="D4883" i="7"/>
  <c r="D4882" i="7"/>
  <c r="D4881" i="7"/>
  <c r="D4880" i="7"/>
  <c r="D4879" i="7"/>
  <c r="D4878" i="7"/>
  <c r="D4877" i="7"/>
  <c r="D4876" i="7"/>
  <c r="D4875" i="7"/>
  <c r="D4874" i="7"/>
  <c r="D4873" i="7"/>
  <c r="D4872" i="7"/>
  <c r="D4871" i="7"/>
  <c r="D4870" i="7"/>
  <c r="D4869" i="7"/>
  <c r="D4868" i="7"/>
  <c r="D4867" i="7"/>
  <c r="D4866" i="7"/>
  <c r="D4865" i="7"/>
  <c r="D4864" i="7"/>
  <c r="D4863" i="7"/>
  <c r="D4862" i="7"/>
  <c r="D4861" i="7"/>
  <c r="D4860" i="7"/>
  <c r="D4859" i="7"/>
  <c r="D4858" i="7"/>
  <c r="D4857" i="7"/>
  <c r="D4856" i="7"/>
  <c r="D4855" i="7"/>
  <c r="D4854" i="7"/>
  <c r="D4853" i="7"/>
  <c r="D4852" i="7"/>
  <c r="D4851" i="7"/>
  <c r="D4850" i="7"/>
  <c r="D4849" i="7"/>
  <c r="D4848" i="7"/>
  <c r="D4847" i="7"/>
  <c r="D4846" i="7"/>
  <c r="D4845" i="7"/>
  <c r="D4844" i="7"/>
  <c r="D4843" i="7"/>
  <c r="D4842" i="7"/>
  <c r="D4841" i="7"/>
  <c r="D4840" i="7"/>
  <c r="D4839" i="7"/>
  <c r="D4838" i="7"/>
  <c r="D4837" i="7"/>
  <c r="D4836" i="7"/>
  <c r="D4835" i="7"/>
  <c r="D4834" i="7"/>
  <c r="D4833" i="7"/>
  <c r="D4832" i="7"/>
  <c r="D4831" i="7"/>
  <c r="D4830" i="7"/>
  <c r="D4829" i="7"/>
  <c r="D4828" i="7"/>
  <c r="D4827" i="7"/>
  <c r="D4826" i="7"/>
  <c r="D4825" i="7"/>
  <c r="D4824" i="7"/>
  <c r="D4823" i="7"/>
  <c r="D4822" i="7"/>
  <c r="D4821" i="7"/>
  <c r="D4820" i="7"/>
  <c r="D4819" i="7"/>
  <c r="D4818" i="7"/>
  <c r="D4817" i="7"/>
  <c r="D4816" i="7"/>
  <c r="D4815" i="7"/>
  <c r="D4814" i="7"/>
  <c r="D4813" i="7"/>
  <c r="D4812" i="7"/>
  <c r="D4811" i="7"/>
  <c r="D4810" i="7"/>
  <c r="D4809" i="7"/>
  <c r="D4808" i="7"/>
  <c r="D4807" i="7"/>
  <c r="D4806" i="7"/>
  <c r="D4805" i="7"/>
  <c r="D4804" i="7"/>
  <c r="D4803" i="7"/>
  <c r="D4802" i="7"/>
  <c r="D4801" i="7"/>
  <c r="D4800" i="7"/>
  <c r="D4799" i="7"/>
  <c r="D4798" i="7"/>
  <c r="D4797" i="7"/>
  <c r="D4796" i="7"/>
  <c r="D4795" i="7"/>
  <c r="D4794" i="7"/>
  <c r="D4793" i="7"/>
  <c r="D4792" i="7"/>
  <c r="D4791" i="7"/>
  <c r="D4790" i="7"/>
  <c r="D4789" i="7"/>
  <c r="D4788" i="7"/>
  <c r="D4787" i="7"/>
  <c r="D4786" i="7"/>
  <c r="D4785" i="7"/>
  <c r="D4784" i="7"/>
  <c r="D4783" i="7"/>
  <c r="D4782" i="7"/>
  <c r="D4781" i="7"/>
  <c r="D4780" i="7"/>
  <c r="D4779" i="7"/>
  <c r="D4778" i="7"/>
  <c r="D4777" i="7"/>
  <c r="D4776" i="7"/>
  <c r="D4775" i="7"/>
  <c r="D4774" i="7"/>
  <c r="D4773" i="7"/>
  <c r="D4772" i="7"/>
  <c r="D4771" i="7"/>
  <c r="D4770" i="7"/>
  <c r="D4769" i="7"/>
  <c r="D4768" i="7"/>
  <c r="D4767" i="7"/>
  <c r="D4766" i="7"/>
  <c r="D4765" i="7"/>
  <c r="D4764" i="7"/>
  <c r="D4763" i="7"/>
  <c r="D4762" i="7"/>
  <c r="D4761" i="7"/>
  <c r="D4760" i="7"/>
  <c r="D4759" i="7"/>
  <c r="D4758" i="7"/>
  <c r="D4757" i="7"/>
  <c r="D4756" i="7"/>
  <c r="D4755" i="7"/>
  <c r="D4754" i="7"/>
  <c r="D4753" i="7"/>
  <c r="D4752" i="7"/>
  <c r="D4751" i="7"/>
  <c r="D4750" i="7"/>
  <c r="D4749" i="7"/>
  <c r="D4748" i="7"/>
  <c r="D4747" i="7"/>
  <c r="D4746" i="7"/>
  <c r="D4745" i="7"/>
  <c r="D4744" i="7"/>
  <c r="D4743" i="7"/>
  <c r="D4742" i="7"/>
  <c r="D4741" i="7"/>
  <c r="D4740" i="7"/>
  <c r="D4739" i="7"/>
  <c r="D4738" i="7"/>
  <c r="D4737" i="7"/>
  <c r="D4736" i="7"/>
  <c r="D4735" i="7"/>
  <c r="D4734" i="7"/>
  <c r="D4733" i="7"/>
  <c r="D4732" i="7"/>
  <c r="D4731" i="7"/>
  <c r="D4730" i="7"/>
  <c r="D4729" i="7"/>
  <c r="D4728" i="7"/>
  <c r="D4727" i="7"/>
  <c r="D4726" i="7"/>
  <c r="D4725" i="7"/>
  <c r="D4724" i="7"/>
  <c r="D4723" i="7"/>
  <c r="D4722" i="7"/>
  <c r="D4721" i="7"/>
  <c r="D4720" i="7"/>
  <c r="D4719" i="7"/>
  <c r="D4718" i="7"/>
  <c r="D4717" i="7"/>
  <c r="D4716" i="7"/>
  <c r="D4715" i="7"/>
  <c r="D4714" i="7"/>
  <c r="D4713" i="7"/>
  <c r="D4712" i="7"/>
  <c r="D4711" i="7"/>
  <c r="D4710" i="7"/>
  <c r="D4709" i="7"/>
  <c r="D4708" i="7"/>
  <c r="D4707" i="7"/>
  <c r="D4706" i="7"/>
  <c r="D4705" i="7"/>
  <c r="D4704" i="7"/>
  <c r="D4703" i="7"/>
  <c r="D4702" i="7"/>
  <c r="D4701" i="7"/>
  <c r="D4700" i="7"/>
  <c r="D4699" i="7"/>
  <c r="D4698" i="7"/>
  <c r="D4697" i="7"/>
  <c r="D4696" i="7"/>
  <c r="D4695" i="7"/>
  <c r="D4694" i="7"/>
  <c r="D4693" i="7"/>
  <c r="D4692" i="7"/>
  <c r="D4691" i="7"/>
  <c r="D4690" i="7"/>
  <c r="D4689" i="7"/>
  <c r="D4688" i="7"/>
  <c r="D4687" i="7"/>
  <c r="D4686" i="7"/>
  <c r="D4685" i="7"/>
  <c r="D4684" i="7"/>
  <c r="D4683" i="7"/>
  <c r="D4682" i="7"/>
  <c r="D4681" i="7"/>
  <c r="D4680" i="7"/>
  <c r="D4679" i="7"/>
  <c r="D4678" i="7"/>
  <c r="D4677" i="7"/>
  <c r="D4676" i="7"/>
  <c r="D4675" i="7"/>
  <c r="D4674" i="7"/>
  <c r="D4673" i="7"/>
  <c r="D4672" i="7"/>
  <c r="D4671" i="7"/>
  <c r="D4670" i="7"/>
  <c r="D4669" i="7"/>
  <c r="D4668" i="7"/>
  <c r="D4667" i="7"/>
  <c r="D4666" i="7"/>
  <c r="D4665" i="7"/>
  <c r="D4664" i="7"/>
  <c r="D4663" i="7"/>
  <c r="D4662" i="7"/>
  <c r="D4661" i="7"/>
  <c r="D4660" i="7"/>
  <c r="D4659" i="7"/>
  <c r="D4658" i="7"/>
  <c r="D4657" i="7"/>
  <c r="D4656" i="7"/>
  <c r="D4655" i="7"/>
  <c r="D4654" i="7"/>
  <c r="D4653" i="7"/>
  <c r="D4652" i="7"/>
  <c r="D4651" i="7"/>
  <c r="D4650" i="7"/>
  <c r="D4649" i="7"/>
  <c r="D4648" i="7"/>
  <c r="D4647" i="7"/>
  <c r="D4646" i="7"/>
  <c r="D4645" i="7"/>
  <c r="D4644" i="7"/>
  <c r="D4643" i="7"/>
  <c r="D4642" i="7"/>
  <c r="D4641" i="7"/>
  <c r="D4640" i="7"/>
  <c r="D4639" i="7"/>
  <c r="D4638" i="7"/>
  <c r="D4637" i="7"/>
  <c r="D4636" i="7"/>
  <c r="D4635" i="7"/>
  <c r="D4634" i="7"/>
  <c r="D4633" i="7"/>
  <c r="D4632" i="7"/>
  <c r="D4631" i="7"/>
  <c r="D4630" i="7"/>
  <c r="D4629" i="7"/>
  <c r="D4628" i="7"/>
  <c r="D4627" i="7"/>
  <c r="D4626" i="7"/>
  <c r="D4625" i="7"/>
  <c r="D4624" i="7"/>
  <c r="D4623" i="7"/>
  <c r="D4622" i="7"/>
  <c r="D4621" i="7"/>
  <c r="D4620" i="7"/>
  <c r="D4619" i="7"/>
  <c r="D4618" i="7"/>
  <c r="D4617" i="7"/>
  <c r="D4616" i="7"/>
  <c r="D4615" i="7"/>
  <c r="D4614" i="7"/>
  <c r="D4613" i="7"/>
  <c r="D4612" i="7"/>
  <c r="D4611" i="7"/>
  <c r="D4610" i="7"/>
  <c r="D4609" i="7"/>
  <c r="D4608" i="7"/>
  <c r="D4607" i="7"/>
  <c r="D4606" i="7"/>
  <c r="D4605" i="7"/>
  <c r="D4604" i="7"/>
  <c r="D4603" i="7"/>
  <c r="D4602" i="7"/>
  <c r="D4601" i="7"/>
  <c r="D4600" i="7"/>
  <c r="D4599" i="7"/>
  <c r="D4598" i="7"/>
  <c r="D4597" i="7"/>
  <c r="D4596" i="7"/>
  <c r="D4595" i="7"/>
  <c r="D4594" i="7"/>
  <c r="D4593" i="7"/>
  <c r="D4592" i="7"/>
  <c r="D4591" i="7"/>
  <c r="D4590" i="7"/>
  <c r="D4589" i="7"/>
  <c r="D4588" i="7"/>
  <c r="D4587" i="7"/>
  <c r="D4586" i="7"/>
  <c r="D4585" i="7"/>
  <c r="D4584" i="7"/>
  <c r="D4583" i="7"/>
  <c r="D4582" i="7"/>
  <c r="D4581" i="7"/>
  <c r="D4580" i="7"/>
  <c r="D4579" i="7"/>
  <c r="D4578" i="7"/>
  <c r="D4577" i="7"/>
  <c r="D4576" i="7"/>
  <c r="D4575" i="7"/>
  <c r="D4574" i="7"/>
  <c r="D4573" i="7"/>
  <c r="D4572" i="7"/>
  <c r="D4571" i="7"/>
  <c r="D4570" i="7"/>
  <c r="D4569" i="7"/>
  <c r="D4568" i="7"/>
  <c r="D4567" i="7"/>
  <c r="D4566" i="7"/>
  <c r="D4565" i="7"/>
  <c r="D4564" i="7"/>
  <c r="D4563" i="7"/>
  <c r="D4562" i="7"/>
  <c r="D4561" i="7"/>
  <c r="D4560" i="7"/>
  <c r="D4559" i="7"/>
  <c r="D4558" i="7"/>
  <c r="D4557" i="7"/>
  <c r="D4556" i="7"/>
  <c r="D4555" i="7"/>
  <c r="D4554" i="7"/>
  <c r="D4553" i="7"/>
  <c r="D4552" i="7"/>
  <c r="D4551" i="7"/>
  <c r="D4550" i="7"/>
  <c r="D4549" i="7"/>
  <c r="D4548" i="7"/>
  <c r="D4547" i="7"/>
  <c r="D4546" i="7"/>
  <c r="D4545" i="7"/>
  <c r="D4544" i="7"/>
  <c r="D4543" i="7"/>
  <c r="D4542" i="7"/>
  <c r="D4541" i="7"/>
  <c r="D4540" i="7"/>
  <c r="D4539" i="7"/>
  <c r="D4538" i="7"/>
  <c r="D4537" i="7"/>
  <c r="D4536" i="7"/>
  <c r="D4535" i="7"/>
  <c r="D4534" i="7"/>
  <c r="D4533" i="7"/>
  <c r="D4532" i="7"/>
  <c r="D4531" i="7"/>
  <c r="D4530" i="7"/>
  <c r="D4529" i="7"/>
  <c r="D4528" i="7"/>
  <c r="D4527" i="7"/>
  <c r="D4526" i="7"/>
  <c r="D4525" i="7"/>
  <c r="D4524" i="7"/>
  <c r="D4523" i="7"/>
  <c r="D4522" i="7"/>
  <c r="D4521" i="7"/>
  <c r="D4520" i="7"/>
  <c r="D4519" i="7"/>
  <c r="D4518" i="7"/>
  <c r="D4517" i="7"/>
  <c r="D4516" i="7"/>
  <c r="D4515" i="7"/>
  <c r="D4514" i="7"/>
  <c r="D4513" i="7"/>
  <c r="D4512" i="7"/>
  <c r="D4511" i="7"/>
  <c r="D4510" i="7"/>
  <c r="D4509" i="7"/>
  <c r="D4508" i="7"/>
  <c r="D4507" i="7"/>
  <c r="D4506" i="7"/>
  <c r="D4505" i="7"/>
  <c r="D4504" i="7"/>
  <c r="D4503" i="7"/>
  <c r="D4502" i="7"/>
  <c r="D4501" i="7"/>
  <c r="D4500" i="7"/>
  <c r="D4499" i="7"/>
  <c r="D4498" i="7"/>
  <c r="D4497" i="7"/>
  <c r="D4496" i="7"/>
  <c r="D4495" i="7"/>
  <c r="D4494" i="7"/>
  <c r="D4493" i="7"/>
  <c r="D4492" i="7"/>
  <c r="D4491" i="7"/>
  <c r="D4490" i="7"/>
  <c r="D4489" i="7"/>
  <c r="D4488" i="7"/>
  <c r="D4487" i="7"/>
  <c r="D4486" i="7"/>
  <c r="D4485" i="7"/>
  <c r="D4484" i="7"/>
  <c r="D4483" i="7"/>
  <c r="D4482" i="7"/>
  <c r="D4481" i="7"/>
  <c r="D4480" i="7"/>
  <c r="D4479" i="7"/>
  <c r="D4478" i="7"/>
  <c r="D4477" i="7"/>
  <c r="D4476" i="7"/>
  <c r="D4475" i="7"/>
  <c r="D4474" i="7"/>
  <c r="D4473" i="7"/>
  <c r="D4472" i="7"/>
  <c r="D4471" i="7"/>
  <c r="D4470" i="7"/>
  <c r="D4469" i="7"/>
  <c r="D4468" i="7"/>
  <c r="D4467" i="7"/>
  <c r="D4466" i="7"/>
  <c r="D4465" i="7"/>
  <c r="D4464" i="7"/>
  <c r="D4463" i="7"/>
  <c r="D4462" i="7"/>
  <c r="D4461" i="7"/>
  <c r="D4460" i="7"/>
  <c r="D4459" i="7"/>
  <c r="D4458" i="7"/>
  <c r="D4457" i="7"/>
  <c r="D4456" i="7"/>
  <c r="D4455" i="7"/>
  <c r="D4454" i="7"/>
  <c r="D4453" i="7"/>
  <c r="D4452" i="7"/>
  <c r="D4451" i="7"/>
  <c r="D4450" i="7"/>
  <c r="D4449" i="7"/>
  <c r="D4448" i="7"/>
  <c r="D4447" i="7"/>
  <c r="D4446" i="7"/>
  <c r="D4445" i="7"/>
  <c r="D4444" i="7"/>
  <c r="D4443" i="7"/>
  <c r="D4442" i="7"/>
  <c r="D4441" i="7"/>
  <c r="D4440" i="7"/>
  <c r="D4439" i="7"/>
  <c r="D4438" i="7"/>
  <c r="D4437" i="7"/>
  <c r="D4436" i="7"/>
  <c r="D4435" i="7"/>
  <c r="D4434" i="7"/>
  <c r="D4433" i="7"/>
  <c r="D4432" i="7"/>
  <c r="D4431" i="7"/>
  <c r="D4430" i="7"/>
  <c r="D4429" i="7"/>
  <c r="D4428" i="7"/>
  <c r="D4427" i="7"/>
  <c r="D4426" i="7"/>
  <c r="D4425" i="7"/>
  <c r="D4424" i="7"/>
  <c r="D4423" i="7"/>
  <c r="D4422" i="7"/>
  <c r="D4421" i="7"/>
  <c r="D4420" i="7"/>
  <c r="D4419" i="7"/>
  <c r="D4418" i="7"/>
  <c r="D4417" i="7"/>
  <c r="D4416" i="7"/>
  <c r="D4415" i="7"/>
  <c r="D4414" i="7"/>
  <c r="D4413" i="7"/>
  <c r="D4412" i="7"/>
  <c r="D4411" i="7"/>
  <c r="D4410" i="7"/>
  <c r="D4409" i="7"/>
  <c r="D4408" i="7"/>
  <c r="D4407" i="7"/>
  <c r="D4406" i="7"/>
  <c r="D4405" i="7"/>
  <c r="D4404" i="7"/>
  <c r="D4403" i="7"/>
  <c r="D4402" i="7"/>
  <c r="D4401" i="7"/>
  <c r="D4400" i="7"/>
  <c r="D4399" i="7"/>
  <c r="D4398" i="7"/>
  <c r="D4397" i="7"/>
  <c r="D4396" i="7"/>
  <c r="D4395" i="7"/>
  <c r="D4394" i="7"/>
  <c r="D4393" i="7"/>
  <c r="D4392" i="7"/>
  <c r="D4391" i="7"/>
  <c r="D4390" i="7"/>
  <c r="D4389" i="7"/>
  <c r="D4388" i="7"/>
  <c r="D4387" i="7"/>
  <c r="D4386" i="7"/>
  <c r="D4385" i="7"/>
  <c r="D4384" i="7"/>
  <c r="D4383" i="7"/>
  <c r="D4382" i="7"/>
  <c r="D4381" i="7"/>
  <c r="D4380" i="7"/>
  <c r="D4379" i="7"/>
  <c r="D4378" i="7"/>
  <c r="D4377" i="7"/>
  <c r="D4376" i="7"/>
  <c r="D4375" i="7"/>
  <c r="D4374" i="7"/>
  <c r="D4373" i="7"/>
  <c r="D4372" i="7"/>
  <c r="D4371" i="7"/>
  <c r="D4370" i="7"/>
  <c r="D4369" i="7"/>
  <c r="D4368" i="7"/>
  <c r="D4367" i="7"/>
  <c r="D4366" i="7"/>
  <c r="D4365" i="7"/>
  <c r="D4364" i="7"/>
  <c r="D4363" i="7"/>
  <c r="D4362" i="7"/>
  <c r="D4361" i="7"/>
  <c r="D4360" i="7"/>
  <c r="D4359" i="7"/>
  <c r="D4358" i="7"/>
  <c r="D4357" i="7"/>
  <c r="D4356" i="7"/>
  <c r="D4355" i="7"/>
  <c r="D4354" i="7"/>
  <c r="D4353" i="7"/>
  <c r="D4352" i="7"/>
  <c r="D4351" i="7"/>
  <c r="D4350" i="7"/>
  <c r="D4349" i="7"/>
  <c r="D4348" i="7"/>
  <c r="D4347" i="7"/>
  <c r="D4346" i="7"/>
  <c r="D4345" i="7"/>
  <c r="D4344" i="7"/>
  <c r="D4343" i="7"/>
  <c r="D4342" i="7"/>
  <c r="D4341" i="7"/>
  <c r="D4340" i="7"/>
  <c r="D4339" i="7"/>
  <c r="D4338" i="7"/>
  <c r="D4337" i="7"/>
  <c r="D4336" i="7"/>
  <c r="D4335" i="7"/>
  <c r="D4334" i="7"/>
  <c r="D4333" i="7"/>
  <c r="D4332" i="7"/>
  <c r="D4331" i="7"/>
  <c r="D4330" i="7"/>
  <c r="D4329" i="7"/>
  <c r="D4328" i="7"/>
  <c r="D4327" i="7"/>
  <c r="D4326" i="7"/>
  <c r="D4325" i="7"/>
  <c r="D4324" i="7"/>
  <c r="D4323" i="7"/>
  <c r="D4322" i="7"/>
  <c r="D4321" i="7"/>
  <c r="D4320" i="7"/>
  <c r="D4319" i="7"/>
  <c r="D4318" i="7"/>
  <c r="D4317" i="7"/>
  <c r="D4316" i="7"/>
  <c r="D4315" i="7"/>
  <c r="D4314" i="7"/>
  <c r="D4313" i="7"/>
  <c r="D4312" i="7"/>
  <c r="D4311" i="7"/>
  <c r="D4310" i="7"/>
  <c r="D4309" i="7"/>
  <c r="D4308" i="7"/>
  <c r="D4307" i="7"/>
  <c r="D4306" i="7"/>
  <c r="D4305" i="7"/>
  <c r="D4304" i="7"/>
  <c r="D4303" i="7"/>
  <c r="D4302" i="7"/>
  <c r="D4301" i="7"/>
  <c r="D4300" i="7"/>
  <c r="D4299" i="7"/>
  <c r="D4298" i="7"/>
  <c r="D4297" i="7"/>
  <c r="D4296" i="7"/>
  <c r="D4295" i="7"/>
  <c r="D4294" i="7"/>
  <c r="D4293" i="7"/>
  <c r="D4292" i="7"/>
  <c r="D4291" i="7"/>
  <c r="D4290" i="7"/>
  <c r="D4289" i="7"/>
  <c r="D4288" i="7"/>
  <c r="D4287" i="7"/>
  <c r="D4286" i="7"/>
  <c r="D4285" i="7"/>
  <c r="D4284" i="7"/>
  <c r="D4283" i="7"/>
  <c r="D4282" i="7"/>
  <c r="D4281" i="7"/>
  <c r="D4280" i="7"/>
  <c r="D4279" i="7"/>
  <c r="D4278" i="7"/>
  <c r="D4277" i="7"/>
  <c r="D4276" i="7"/>
  <c r="D4275" i="7"/>
  <c r="D4274" i="7"/>
  <c r="D4273" i="7"/>
  <c r="D4272" i="7"/>
  <c r="D4271" i="7"/>
  <c r="D4270" i="7"/>
  <c r="D4269" i="7"/>
  <c r="D4268" i="7"/>
  <c r="D4267" i="7"/>
  <c r="D4266" i="7"/>
  <c r="D4265" i="7"/>
  <c r="D4264" i="7"/>
  <c r="D4263" i="7"/>
  <c r="D4262" i="7"/>
  <c r="D4261" i="7"/>
  <c r="D4260" i="7"/>
  <c r="D4259" i="7"/>
  <c r="D4258" i="7"/>
  <c r="D4257" i="7"/>
  <c r="D4256" i="7"/>
  <c r="D4255" i="7"/>
  <c r="D4254" i="7"/>
  <c r="D4253" i="7"/>
  <c r="D4252" i="7"/>
  <c r="D4251" i="7"/>
  <c r="D4250" i="7"/>
  <c r="D4249" i="7"/>
  <c r="D4248" i="7"/>
  <c r="D4247" i="7"/>
  <c r="D4246" i="7"/>
  <c r="D4245" i="7"/>
  <c r="D4244" i="7"/>
  <c r="D4243" i="7"/>
  <c r="D4242" i="7"/>
  <c r="D4241" i="7"/>
  <c r="D4240" i="7"/>
  <c r="D4239" i="7"/>
  <c r="D4238" i="7"/>
  <c r="D4237" i="7"/>
  <c r="D4236" i="7"/>
  <c r="D4235" i="7"/>
  <c r="D4234" i="7"/>
  <c r="D4233" i="7"/>
  <c r="D4232" i="7"/>
  <c r="D4231" i="7"/>
  <c r="D4230" i="7"/>
  <c r="D4229" i="7"/>
  <c r="D4228" i="7"/>
  <c r="D4227" i="7"/>
  <c r="D4226" i="7"/>
  <c r="D4225" i="7"/>
  <c r="D4224" i="7"/>
  <c r="D4223" i="7"/>
  <c r="D4222" i="7"/>
  <c r="D4221" i="7"/>
  <c r="D4220" i="7"/>
  <c r="D4219" i="7"/>
  <c r="D4218" i="7"/>
  <c r="D4217" i="7"/>
  <c r="D4216" i="7"/>
  <c r="D4215" i="7"/>
  <c r="D4214" i="7"/>
  <c r="D4213" i="7"/>
  <c r="D4212" i="7"/>
  <c r="D4211" i="7"/>
  <c r="D4210" i="7"/>
  <c r="D4209" i="7"/>
  <c r="D4208" i="7"/>
  <c r="D4207" i="7"/>
  <c r="D4206" i="7"/>
  <c r="D4205" i="7"/>
  <c r="D4204" i="7"/>
  <c r="D4203" i="7"/>
  <c r="D4202" i="7"/>
  <c r="D4201" i="7"/>
  <c r="D4200" i="7"/>
  <c r="D4199" i="7"/>
  <c r="D4198" i="7"/>
  <c r="D4197" i="7"/>
  <c r="D4196" i="7"/>
  <c r="D4195" i="7"/>
  <c r="D4194" i="7"/>
  <c r="D4193" i="7"/>
  <c r="D4192" i="7"/>
  <c r="D4191" i="7"/>
  <c r="D4190" i="7"/>
  <c r="D4189" i="7"/>
  <c r="D4188" i="7"/>
  <c r="D4187" i="7"/>
  <c r="D4186" i="7"/>
  <c r="D4185" i="7"/>
  <c r="D4184" i="7"/>
  <c r="D4183" i="7"/>
  <c r="D4182" i="7"/>
  <c r="D4181" i="7"/>
  <c r="D4180" i="7"/>
  <c r="D4179" i="7"/>
  <c r="D4178" i="7"/>
  <c r="D4177" i="7"/>
  <c r="D4176" i="7"/>
  <c r="D4175" i="7"/>
  <c r="D4174" i="7"/>
  <c r="D4173" i="7"/>
  <c r="D4172" i="7"/>
  <c r="D4171" i="7"/>
  <c r="D4170" i="7"/>
  <c r="D4169" i="7"/>
  <c r="D4168" i="7"/>
  <c r="D4167" i="7"/>
  <c r="D4166" i="7"/>
  <c r="D4165" i="7"/>
  <c r="D4164" i="7"/>
  <c r="D4163" i="7"/>
  <c r="D4162" i="7"/>
  <c r="D4161" i="7"/>
  <c r="D4160" i="7"/>
  <c r="D4159" i="7"/>
  <c r="D4158" i="7"/>
  <c r="D4157" i="7"/>
  <c r="D4156" i="7"/>
  <c r="D4155" i="7"/>
  <c r="D4154" i="7"/>
  <c r="D4153" i="7"/>
  <c r="D4152" i="7"/>
  <c r="D4151" i="7"/>
  <c r="D4150" i="7"/>
  <c r="D4149" i="7"/>
  <c r="D4148" i="7"/>
  <c r="D4147" i="7"/>
  <c r="D4146" i="7"/>
  <c r="D4145" i="7"/>
  <c r="D4144" i="7"/>
  <c r="D4143" i="7"/>
  <c r="D4142" i="7"/>
  <c r="D4141" i="7"/>
  <c r="D4140" i="7"/>
  <c r="D4139" i="7"/>
  <c r="D4138" i="7"/>
  <c r="D4137" i="7"/>
  <c r="D4136" i="7"/>
  <c r="D4135" i="7"/>
  <c r="D4134" i="7"/>
  <c r="D4133" i="7"/>
  <c r="D4132" i="7"/>
  <c r="D4131" i="7"/>
  <c r="D4130" i="7"/>
  <c r="D4129" i="7"/>
  <c r="D4128" i="7"/>
  <c r="D4127" i="7"/>
  <c r="D4126" i="7"/>
  <c r="D4125" i="7"/>
  <c r="D4124" i="7"/>
  <c r="D4123" i="7"/>
  <c r="D4122" i="7"/>
  <c r="D4121" i="7"/>
  <c r="D4120" i="7"/>
  <c r="D4119" i="7"/>
  <c r="D4118" i="7"/>
  <c r="D4117" i="7"/>
  <c r="D4116" i="7"/>
  <c r="D4115" i="7"/>
  <c r="D4114" i="7"/>
  <c r="D4113" i="7"/>
  <c r="D4112" i="7"/>
  <c r="D4111" i="7"/>
  <c r="D4110" i="7"/>
  <c r="D4109" i="7"/>
  <c r="D4108" i="7"/>
  <c r="D4107" i="7"/>
  <c r="D4106" i="7"/>
  <c r="D4105" i="7"/>
  <c r="D4104" i="7"/>
  <c r="D4103" i="7"/>
  <c r="D4102" i="7"/>
  <c r="D4101" i="7"/>
  <c r="D4100" i="7"/>
  <c r="D4099" i="7"/>
  <c r="D4098" i="7"/>
  <c r="D4097" i="7"/>
  <c r="D4096" i="7"/>
  <c r="D4095" i="7"/>
  <c r="D4094" i="7"/>
  <c r="D4093" i="7"/>
  <c r="D4092" i="7"/>
  <c r="D4091" i="7"/>
  <c r="D4090" i="7"/>
  <c r="D4089" i="7"/>
  <c r="D4088" i="7"/>
  <c r="D4087" i="7"/>
  <c r="D4086" i="7"/>
  <c r="D4085" i="7"/>
  <c r="D4084" i="7"/>
  <c r="D4083" i="7"/>
  <c r="D4082" i="7"/>
  <c r="D4081" i="7"/>
  <c r="D4080" i="7"/>
  <c r="D4079" i="7"/>
  <c r="D4078" i="7"/>
  <c r="D4077" i="7"/>
  <c r="D4076" i="7"/>
  <c r="D4075" i="7"/>
  <c r="D4074" i="7"/>
  <c r="D4073" i="7"/>
  <c r="D4072" i="7"/>
  <c r="D4071" i="7"/>
  <c r="D4070" i="7"/>
  <c r="D4069" i="7"/>
  <c r="D4068" i="7"/>
  <c r="D4067" i="7"/>
  <c r="D4066" i="7"/>
  <c r="D4065" i="7"/>
  <c r="D4064" i="7"/>
  <c r="D4063" i="7"/>
  <c r="D4062" i="7"/>
  <c r="D4061" i="7"/>
  <c r="D4060" i="7"/>
  <c r="D4059" i="7"/>
  <c r="D4058" i="7"/>
  <c r="D4057" i="7"/>
  <c r="D4056" i="7"/>
  <c r="D4055" i="7"/>
  <c r="D4054" i="7"/>
  <c r="D4053" i="7"/>
  <c r="D4052" i="7"/>
  <c r="D4051" i="7"/>
  <c r="D4050" i="7"/>
  <c r="D4049" i="7"/>
  <c r="D4048" i="7"/>
  <c r="D4047" i="7"/>
  <c r="D4046" i="7"/>
  <c r="D4045" i="7"/>
  <c r="D4044" i="7"/>
  <c r="D4043" i="7"/>
  <c r="D4042" i="7"/>
  <c r="D4041" i="7"/>
  <c r="D4040" i="7"/>
  <c r="D4039" i="7"/>
  <c r="D4038" i="7"/>
  <c r="D4037" i="7"/>
  <c r="D4036" i="7"/>
  <c r="D4035" i="7"/>
  <c r="D4034" i="7"/>
  <c r="D4033" i="7"/>
  <c r="D4032" i="7"/>
  <c r="D4031" i="7"/>
  <c r="D4030" i="7"/>
  <c r="D4029" i="7"/>
  <c r="D4028" i="7"/>
  <c r="D4027" i="7"/>
  <c r="D4026" i="7"/>
  <c r="D4025" i="7"/>
  <c r="D4024" i="7"/>
  <c r="D4023" i="7"/>
  <c r="D4022" i="7"/>
  <c r="D4021" i="7"/>
  <c r="D4020" i="7"/>
  <c r="D4019" i="7"/>
  <c r="D4018" i="7"/>
  <c r="D4017" i="7"/>
  <c r="D4016" i="7"/>
  <c r="D4015" i="7"/>
  <c r="D4014" i="7"/>
  <c r="D4013" i="7"/>
  <c r="D4012" i="7"/>
  <c r="D4011" i="7"/>
  <c r="D4010" i="7"/>
  <c r="D4009" i="7"/>
  <c r="D4008" i="7"/>
  <c r="D4007" i="7"/>
  <c r="D4006" i="7"/>
  <c r="D4005" i="7"/>
  <c r="D4004" i="7"/>
  <c r="D4003" i="7"/>
  <c r="D4002" i="7"/>
  <c r="D4001" i="7"/>
  <c r="D4000" i="7"/>
  <c r="D3999" i="7"/>
  <c r="D3998" i="7"/>
  <c r="D3997" i="7"/>
  <c r="D3996" i="7"/>
  <c r="D3995" i="7"/>
  <c r="D3994" i="7"/>
  <c r="D3993" i="7"/>
  <c r="D3992" i="7"/>
  <c r="D3991" i="7"/>
  <c r="D3990" i="7"/>
  <c r="D3989" i="7"/>
  <c r="D3988" i="7"/>
  <c r="D3987" i="7"/>
  <c r="D3986" i="7"/>
  <c r="D3985" i="7"/>
  <c r="D3984" i="7"/>
  <c r="D3983" i="7"/>
  <c r="D3982" i="7"/>
  <c r="D3981" i="7"/>
  <c r="D3980" i="7"/>
  <c r="D3979" i="7"/>
  <c r="D3978" i="7"/>
  <c r="D3977" i="7"/>
  <c r="D3976" i="7"/>
  <c r="D3975" i="7"/>
  <c r="D3974" i="7"/>
  <c r="D3973" i="7"/>
  <c r="D3972" i="7"/>
  <c r="D3971" i="7"/>
  <c r="D3970" i="7"/>
  <c r="D3969" i="7"/>
  <c r="D3968" i="7"/>
  <c r="D3967" i="7"/>
  <c r="D3966" i="7"/>
  <c r="D3965" i="7"/>
  <c r="D3964" i="7"/>
  <c r="D3963" i="7"/>
  <c r="D3962" i="7"/>
  <c r="D3961" i="7"/>
  <c r="D3960" i="7"/>
  <c r="D3959" i="7"/>
  <c r="D3958" i="7"/>
  <c r="D3957" i="7"/>
  <c r="D3956" i="7"/>
  <c r="D3955" i="7"/>
  <c r="D3954" i="7"/>
  <c r="D3953" i="7"/>
  <c r="D3952" i="7"/>
  <c r="D3951" i="7"/>
  <c r="D3950" i="7"/>
  <c r="D3949" i="7"/>
  <c r="D3948" i="7"/>
  <c r="D3947" i="7"/>
  <c r="D3946" i="7"/>
  <c r="D3945" i="7"/>
  <c r="D3944" i="7"/>
  <c r="D3943" i="7"/>
  <c r="D3942" i="7"/>
  <c r="D3941" i="7"/>
  <c r="D3940" i="7"/>
  <c r="D3939" i="7"/>
  <c r="D3938" i="7"/>
  <c r="D3937" i="7"/>
  <c r="D3936" i="7"/>
  <c r="D3935" i="7"/>
  <c r="D3934" i="7"/>
  <c r="D3933" i="7"/>
  <c r="D3932" i="7"/>
  <c r="D3931" i="7"/>
  <c r="D3930" i="7"/>
  <c r="D3929" i="7"/>
  <c r="D3928" i="7"/>
  <c r="D3927" i="7"/>
  <c r="D3926" i="7"/>
  <c r="D3925" i="7"/>
  <c r="D3924" i="7"/>
  <c r="D3923" i="7"/>
  <c r="D3922" i="7"/>
  <c r="D3921" i="7"/>
  <c r="D3920" i="7"/>
  <c r="D3919" i="7"/>
  <c r="D3918" i="7"/>
  <c r="D3917" i="7"/>
  <c r="D3916" i="7"/>
  <c r="D3915" i="7"/>
  <c r="D3914" i="7"/>
  <c r="D3913" i="7"/>
  <c r="D3912" i="7"/>
  <c r="D3911" i="7"/>
  <c r="D3910" i="7"/>
  <c r="D3909" i="7"/>
  <c r="D3908" i="7"/>
  <c r="D3907" i="7"/>
  <c r="D3906" i="7"/>
  <c r="D3905" i="7"/>
  <c r="D3904" i="7"/>
  <c r="D3903" i="7"/>
  <c r="D3902" i="7"/>
  <c r="D3901" i="7"/>
  <c r="D3900" i="7"/>
  <c r="D3899" i="7"/>
  <c r="D3898" i="7"/>
  <c r="D3897" i="7"/>
  <c r="D3896" i="7"/>
  <c r="D3895" i="7"/>
  <c r="D3894" i="7"/>
  <c r="D3893" i="7"/>
  <c r="D3892" i="7"/>
  <c r="D3891" i="7"/>
  <c r="D3890" i="7"/>
  <c r="D3889" i="7"/>
  <c r="D3888" i="7"/>
  <c r="D3887" i="7"/>
  <c r="D3886" i="7"/>
  <c r="D3885" i="7"/>
  <c r="D3884" i="7"/>
  <c r="D3883" i="7"/>
  <c r="D3882" i="7"/>
  <c r="D3881" i="7"/>
  <c r="D3880" i="7"/>
  <c r="D3879" i="7"/>
  <c r="D3878" i="7"/>
  <c r="D3877" i="7"/>
  <c r="D3876" i="7"/>
  <c r="D3875" i="7"/>
  <c r="D3874" i="7"/>
  <c r="D3873" i="7"/>
  <c r="D3872" i="7"/>
  <c r="D3871" i="7"/>
  <c r="D3870" i="7"/>
  <c r="D3869" i="7"/>
  <c r="D3868" i="7"/>
  <c r="D3867" i="7"/>
  <c r="D3866" i="7"/>
  <c r="D3865" i="7"/>
  <c r="D3864" i="7"/>
  <c r="D3863" i="7"/>
  <c r="D3862" i="7"/>
  <c r="D3861" i="7"/>
  <c r="D3860" i="7"/>
  <c r="D3859" i="7"/>
  <c r="D3858" i="7"/>
  <c r="D3857" i="7"/>
  <c r="D3856" i="7"/>
  <c r="D3855" i="7"/>
  <c r="D3854" i="7"/>
  <c r="D3853" i="7"/>
  <c r="D3852" i="7"/>
  <c r="D3851" i="7"/>
  <c r="D3850" i="7"/>
  <c r="D3849" i="7"/>
  <c r="D3848" i="7"/>
  <c r="D3847" i="7"/>
  <c r="D3846" i="7"/>
  <c r="D3845" i="7"/>
  <c r="D3844" i="7"/>
  <c r="D3843" i="7"/>
  <c r="D3842" i="7"/>
  <c r="D3841" i="7"/>
  <c r="D3840" i="7"/>
  <c r="D3839" i="7"/>
  <c r="D3838" i="7"/>
  <c r="D3837" i="7"/>
  <c r="D3836" i="7"/>
  <c r="D3835" i="7"/>
  <c r="D3834" i="7"/>
  <c r="D3833" i="7"/>
  <c r="D3832" i="7"/>
  <c r="D3831" i="7"/>
  <c r="D3830" i="7"/>
  <c r="D3829" i="7"/>
  <c r="D3828" i="7"/>
  <c r="D3827" i="7"/>
  <c r="D3826" i="7"/>
  <c r="D3825" i="7"/>
  <c r="D3824" i="7"/>
  <c r="D3823" i="7"/>
  <c r="D3822" i="7"/>
  <c r="D3821" i="7"/>
  <c r="D3820" i="7"/>
  <c r="D3819" i="7"/>
  <c r="D3818" i="7"/>
  <c r="D3817" i="7"/>
  <c r="D3816" i="7"/>
  <c r="D3815" i="7"/>
  <c r="D3814" i="7"/>
  <c r="D3813" i="7"/>
  <c r="D3812" i="7"/>
  <c r="D3811" i="7"/>
  <c r="D3810" i="7"/>
  <c r="D3809" i="7"/>
  <c r="D3808" i="7"/>
  <c r="D3807" i="7"/>
  <c r="D3806" i="7"/>
  <c r="D3805" i="7"/>
  <c r="D3804" i="7"/>
  <c r="D3803" i="7"/>
  <c r="D3802" i="7"/>
  <c r="D3801" i="7"/>
  <c r="D3800" i="7"/>
  <c r="D3799" i="7"/>
  <c r="D3798" i="7"/>
  <c r="D3797" i="7"/>
  <c r="D3796" i="7"/>
  <c r="D3795" i="7"/>
  <c r="D3794" i="7"/>
  <c r="D3793" i="7"/>
  <c r="D3792" i="7"/>
  <c r="D3791" i="7"/>
  <c r="D3790" i="7"/>
  <c r="D3789" i="7"/>
  <c r="D3788" i="7"/>
  <c r="D3787" i="7"/>
  <c r="D3786" i="7"/>
  <c r="D3785" i="7"/>
  <c r="D3784" i="7"/>
  <c r="D3783" i="7"/>
  <c r="D3782" i="7"/>
  <c r="D3781" i="7"/>
  <c r="D3780" i="7"/>
  <c r="D3779" i="7"/>
  <c r="D3778" i="7"/>
  <c r="D3777" i="7"/>
  <c r="D3776" i="7"/>
  <c r="D3775" i="7"/>
  <c r="D3774" i="7"/>
  <c r="D3773" i="7"/>
  <c r="D3772" i="7"/>
  <c r="D3771" i="7"/>
  <c r="D3770" i="7"/>
  <c r="D3769" i="7"/>
  <c r="D3768" i="7"/>
  <c r="D3767" i="7"/>
  <c r="D3766" i="7"/>
  <c r="D3765" i="7"/>
  <c r="D3764" i="7"/>
  <c r="D3763" i="7"/>
  <c r="D3762" i="7"/>
  <c r="D3761" i="7"/>
  <c r="D3760" i="7"/>
  <c r="D3759" i="7"/>
  <c r="D3758" i="7"/>
  <c r="D3757" i="7"/>
  <c r="D3756" i="7"/>
  <c r="D3755" i="7"/>
  <c r="D3754" i="7"/>
  <c r="D3753" i="7"/>
  <c r="D3752" i="7"/>
  <c r="D3751" i="7"/>
  <c r="D3750" i="7"/>
  <c r="D3749" i="7"/>
  <c r="D3748" i="7"/>
  <c r="D3747" i="7"/>
  <c r="D3746" i="7"/>
  <c r="D3745" i="7"/>
  <c r="D3744" i="7"/>
  <c r="D3743" i="7"/>
  <c r="D3742" i="7"/>
  <c r="D3741" i="7"/>
  <c r="D3740" i="7"/>
  <c r="D3739" i="7"/>
  <c r="D3738" i="7"/>
  <c r="D3737" i="7"/>
  <c r="D3736" i="7"/>
  <c r="D3735" i="7"/>
  <c r="D3734" i="7"/>
  <c r="D3733" i="7"/>
  <c r="D3732" i="7"/>
  <c r="D3731" i="7"/>
  <c r="D3730" i="7"/>
  <c r="D3729" i="7"/>
  <c r="D3728" i="7"/>
  <c r="D3727" i="7"/>
  <c r="D3726" i="7"/>
  <c r="D3725" i="7"/>
  <c r="D3724" i="7"/>
  <c r="D3723" i="7"/>
  <c r="D3722" i="7"/>
  <c r="D3721" i="7"/>
  <c r="D3720" i="7"/>
  <c r="D3719" i="7"/>
  <c r="D3718" i="7"/>
  <c r="D3717" i="7"/>
  <c r="D3716" i="7"/>
  <c r="D3715" i="7"/>
  <c r="D3714" i="7"/>
  <c r="D3713" i="7"/>
  <c r="D3712" i="7"/>
  <c r="D3711" i="7"/>
  <c r="D3710" i="7"/>
  <c r="D3709" i="7"/>
  <c r="D3708" i="7"/>
  <c r="D3707" i="7"/>
  <c r="D3706" i="7"/>
  <c r="D3705" i="7"/>
  <c r="D3704" i="7"/>
  <c r="D3703" i="7"/>
  <c r="D3702" i="7"/>
  <c r="D3701" i="7"/>
  <c r="D3700" i="7"/>
  <c r="D3699" i="7"/>
  <c r="D3698" i="7"/>
  <c r="D3697" i="7"/>
  <c r="D3696" i="7"/>
  <c r="D3695" i="7"/>
  <c r="D3694" i="7"/>
  <c r="D3693" i="7"/>
  <c r="D3692" i="7"/>
  <c r="D3691" i="7"/>
  <c r="D3690" i="7"/>
  <c r="D3689" i="7"/>
  <c r="D3688" i="7"/>
  <c r="D3687" i="7"/>
  <c r="D3686" i="7"/>
  <c r="D3685" i="7"/>
  <c r="D3684" i="7"/>
  <c r="D3683" i="7"/>
  <c r="D3682" i="7"/>
  <c r="D3681" i="7"/>
  <c r="D3680" i="7"/>
  <c r="D3679" i="7"/>
  <c r="D3678" i="7"/>
  <c r="D3677" i="7"/>
  <c r="D3676" i="7"/>
  <c r="D3675" i="7"/>
  <c r="D3674" i="7"/>
  <c r="D3673" i="7"/>
  <c r="D3672" i="7"/>
  <c r="D3671" i="7"/>
  <c r="D3670" i="7"/>
  <c r="D3669" i="7"/>
  <c r="D3668" i="7"/>
  <c r="D3667" i="7"/>
  <c r="D3666" i="7"/>
  <c r="D3665" i="7"/>
  <c r="D3664" i="7"/>
  <c r="D3663" i="7"/>
  <c r="D3662" i="7"/>
  <c r="D3661" i="7"/>
  <c r="D3660" i="7"/>
  <c r="D3659" i="7"/>
  <c r="D3658" i="7"/>
  <c r="D3657" i="7"/>
  <c r="D3656" i="7"/>
  <c r="D3655" i="7"/>
  <c r="D3654" i="7"/>
  <c r="D3653" i="7"/>
  <c r="D3652" i="7"/>
  <c r="D3651" i="7"/>
  <c r="D3650" i="7"/>
  <c r="D3649" i="7"/>
  <c r="D3648" i="7"/>
  <c r="D3647" i="7"/>
  <c r="D3646" i="7"/>
  <c r="D3645" i="7"/>
  <c r="D3644" i="7"/>
  <c r="D3643" i="7"/>
  <c r="D3642" i="7"/>
  <c r="D3641" i="7"/>
  <c r="D3640" i="7"/>
  <c r="D3639" i="7"/>
  <c r="D3638" i="7"/>
  <c r="D3637" i="7"/>
  <c r="D3636" i="7"/>
  <c r="D3635" i="7"/>
  <c r="D3634" i="7"/>
  <c r="D3633" i="7"/>
  <c r="D3632" i="7"/>
  <c r="D3631" i="7"/>
  <c r="D3630" i="7"/>
  <c r="D3629" i="7"/>
  <c r="D3628" i="7"/>
  <c r="D3627" i="7"/>
  <c r="D3626" i="7"/>
  <c r="D3625" i="7"/>
  <c r="D3624" i="7"/>
  <c r="D3623" i="7"/>
  <c r="D3622" i="7"/>
  <c r="D3621" i="7"/>
  <c r="D3620" i="7"/>
  <c r="D3619" i="7"/>
  <c r="D3618" i="7"/>
  <c r="D3617" i="7"/>
  <c r="D3616" i="7"/>
  <c r="D3615" i="7"/>
  <c r="D3614" i="7"/>
  <c r="D3613" i="7"/>
  <c r="D3612" i="7"/>
  <c r="D3611" i="7"/>
  <c r="D3610" i="7"/>
  <c r="D3609" i="7"/>
  <c r="D3608" i="7"/>
  <c r="D3607" i="7"/>
  <c r="D3606" i="7"/>
  <c r="D3605" i="7"/>
  <c r="D3604" i="7"/>
  <c r="D3603" i="7"/>
  <c r="D3602" i="7"/>
  <c r="D3601" i="7"/>
  <c r="D3600" i="7"/>
  <c r="D3599" i="7"/>
  <c r="D3598" i="7"/>
  <c r="D3597" i="7"/>
  <c r="D3596" i="7"/>
  <c r="D3595" i="7"/>
  <c r="D3594" i="7"/>
  <c r="D3593" i="7"/>
  <c r="D3592" i="7"/>
  <c r="D3591" i="7"/>
  <c r="D3590" i="7"/>
  <c r="D3589" i="7"/>
  <c r="D3588" i="7"/>
  <c r="D3587" i="7"/>
  <c r="D3586" i="7"/>
  <c r="D3585" i="7"/>
  <c r="D3584" i="7"/>
  <c r="D3583" i="7"/>
  <c r="D3582" i="7"/>
  <c r="D3581" i="7"/>
  <c r="D3580" i="7"/>
  <c r="D3579" i="7"/>
  <c r="D3578" i="7"/>
  <c r="D3577" i="7"/>
  <c r="D3576" i="7"/>
  <c r="D3575" i="7"/>
  <c r="D3574" i="7"/>
  <c r="D3573" i="7"/>
  <c r="D3572" i="7"/>
  <c r="D3571" i="7"/>
  <c r="D3570" i="7"/>
  <c r="D3569" i="7"/>
  <c r="D3568" i="7"/>
  <c r="D3567" i="7"/>
  <c r="D3566" i="7"/>
  <c r="D3565" i="7"/>
  <c r="D3564" i="7"/>
  <c r="D3563" i="7"/>
  <c r="D3562" i="7"/>
  <c r="D3561" i="7"/>
  <c r="D3560" i="7"/>
  <c r="D3559" i="7"/>
  <c r="D3558" i="7"/>
  <c r="D3557" i="7"/>
  <c r="D3556" i="7"/>
  <c r="D3555" i="7"/>
  <c r="D3554" i="7"/>
  <c r="D3553" i="7"/>
  <c r="D3552" i="7"/>
  <c r="D3551" i="7"/>
  <c r="D3550" i="7"/>
  <c r="D3549" i="7"/>
  <c r="D3548" i="7"/>
  <c r="D3547" i="7"/>
  <c r="D3546" i="7"/>
  <c r="D3545" i="7"/>
  <c r="D3544" i="7"/>
  <c r="D3543" i="7"/>
  <c r="D3542" i="7"/>
  <c r="D3541" i="7"/>
  <c r="D3540" i="7"/>
  <c r="D3539" i="7"/>
  <c r="D3538" i="7"/>
  <c r="D3537" i="7"/>
  <c r="D3536" i="7"/>
  <c r="D3535" i="7"/>
  <c r="D3534" i="7"/>
  <c r="D3533" i="7"/>
  <c r="D3532" i="7"/>
  <c r="D3531" i="7"/>
  <c r="D3530" i="7"/>
  <c r="D3529" i="7"/>
  <c r="D3528" i="7"/>
  <c r="D3527" i="7"/>
  <c r="D3526" i="7"/>
  <c r="D3525" i="7"/>
  <c r="D3524" i="7"/>
  <c r="D3523" i="7"/>
  <c r="D3522" i="7"/>
  <c r="D3521" i="7"/>
  <c r="D3520" i="7"/>
  <c r="D3519" i="7"/>
  <c r="D3518" i="7"/>
  <c r="D3517" i="7"/>
  <c r="D3516" i="7"/>
  <c r="D3515" i="7"/>
  <c r="D3514" i="7"/>
  <c r="D3513" i="7"/>
  <c r="D3512" i="7"/>
  <c r="D3511" i="7"/>
  <c r="D3510" i="7"/>
  <c r="D3509" i="7"/>
  <c r="D3508" i="7"/>
  <c r="D3507" i="7"/>
  <c r="D3506" i="7"/>
  <c r="D3505" i="7"/>
  <c r="D3504" i="7"/>
  <c r="D3503" i="7"/>
  <c r="D3502" i="7"/>
  <c r="D3501" i="7"/>
  <c r="D3500" i="7"/>
  <c r="D3499" i="7"/>
  <c r="D3498" i="7"/>
  <c r="D3497" i="7"/>
  <c r="D3496" i="7"/>
  <c r="D3495" i="7"/>
  <c r="D3494" i="7"/>
  <c r="D3493" i="7"/>
  <c r="D3492" i="7"/>
  <c r="D3491" i="7"/>
  <c r="D3490" i="7"/>
  <c r="D3489" i="7"/>
  <c r="D3488" i="7"/>
  <c r="D3487" i="7"/>
  <c r="D3486" i="7"/>
  <c r="D3485" i="7"/>
  <c r="D3484" i="7"/>
  <c r="D3483" i="7"/>
  <c r="D3482" i="7"/>
  <c r="D3481" i="7"/>
  <c r="D3480" i="7"/>
  <c r="D3479" i="7"/>
  <c r="D3478" i="7"/>
  <c r="D3477" i="7"/>
  <c r="D3476" i="7"/>
  <c r="D3475" i="7"/>
  <c r="D3474" i="7"/>
  <c r="D3473" i="7"/>
  <c r="D3472" i="7"/>
  <c r="D3471" i="7"/>
  <c r="D3470" i="7"/>
  <c r="D3469" i="7"/>
  <c r="D3468" i="7"/>
  <c r="D3467" i="7"/>
  <c r="D3466" i="7"/>
  <c r="D3465" i="7"/>
  <c r="D3464" i="7"/>
  <c r="D3463" i="7"/>
  <c r="D3462" i="7"/>
  <c r="D3461" i="7"/>
  <c r="D3460" i="7"/>
  <c r="D3459" i="7"/>
  <c r="D3458" i="7"/>
  <c r="D3457" i="7"/>
  <c r="D3456" i="7"/>
  <c r="D3455" i="7"/>
  <c r="D3454" i="7"/>
  <c r="D3453" i="7"/>
  <c r="D3452" i="7"/>
  <c r="D3451" i="7"/>
  <c r="D3450" i="7"/>
  <c r="D3449" i="7"/>
  <c r="D3448" i="7"/>
  <c r="D3447" i="7"/>
  <c r="D3446" i="7"/>
  <c r="D3445" i="7"/>
  <c r="D3444" i="7"/>
  <c r="D3443" i="7"/>
  <c r="D3442" i="7"/>
  <c r="D3441" i="7"/>
  <c r="D3440" i="7"/>
  <c r="D3439" i="7"/>
  <c r="D3438" i="7"/>
  <c r="D3437" i="7"/>
  <c r="D3436" i="7"/>
  <c r="D3435" i="7"/>
  <c r="D3434" i="7"/>
  <c r="D3433" i="7"/>
  <c r="D3432" i="7"/>
  <c r="D3431" i="7"/>
  <c r="D3430" i="7"/>
  <c r="D3429" i="7"/>
  <c r="D3428" i="7"/>
  <c r="D3427" i="7"/>
  <c r="D3426" i="7"/>
  <c r="D3425" i="7"/>
  <c r="D3424" i="7"/>
  <c r="D3423" i="7"/>
  <c r="D3422" i="7"/>
  <c r="D3421" i="7"/>
  <c r="D3420" i="7"/>
  <c r="D3419" i="7"/>
  <c r="D3418" i="7"/>
  <c r="D3417" i="7"/>
  <c r="D3416" i="7"/>
  <c r="D3415" i="7"/>
  <c r="D3414" i="7"/>
  <c r="D3413" i="7"/>
  <c r="D3412" i="7"/>
  <c r="D3411" i="7"/>
  <c r="D3410" i="7"/>
  <c r="D3409" i="7"/>
  <c r="D3408" i="7"/>
  <c r="D3407" i="7"/>
  <c r="D3406" i="7"/>
  <c r="D3405" i="7"/>
  <c r="D3404" i="7"/>
  <c r="D3403" i="7"/>
  <c r="D3402" i="7"/>
  <c r="D3401" i="7"/>
  <c r="D3400" i="7"/>
  <c r="D3399" i="7"/>
  <c r="D3398" i="7"/>
  <c r="D3397" i="7"/>
  <c r="D3396" i="7"/>
  <c r="D3395" i="7"/>
  <c r="D3394" i="7"/>
  <c r="D3393" i="7"/>
  <c r="D3392" i="7"/>
  <c r="D3391" i="7"/>
  <c r="D3390" i="7"/>
  <c r="D3389" i="7"/>
  <c r="D3388" i="7"/>
  <c r="D3387" i="7"/>
  <c r="D3386" i="7"/>
  <c r="D3385" i="7"/>
  <c r="D3384" i="7"/>
  <c r="D3383" i="7"/>
  <c r="D3382" i="7"/>
  <c r="D3381" i="7"/>
  <c r="D3380" i="7"/>
  <c r="D3379" i="7"/>
  <c r="D3378" i="7"/>
  <c r="D3377" i="7"/>
  <c r="D3376" i="7"/>
  <c r="D3375" i="7"/>
  <c r="D3374" i="7"/>
  <c r="D3373" i="7"/>
  <c r="D3372" i="7"/>
  <c r="D3371" i="7"/>
  <c r="D3370" i="7"/>
  <c r="D3369" i="7"/>
  <c r="D3368" i="7"/>
  <c r="D3367" i="7"/>
  <c r="D3366" i="7"/>
  <c r="D3365" i="7"/>
  <c r="D3364" i="7"/>
  <c r="D3363" i="7"/>
  <c r="D3362" i="7"/>
  <c r="D3361" i="7"/>
  <c r="D3360" i="7"/>
  <c r="D3359" i="7"/>
  <c r="D3358" i="7"/>
  <c r="D3357" i="7"/>
  <c r="D3356" i="7"/>
  <c r="D3355" i="7"/>
  <c r="D3354" i="7"/>
  <c r="D3353" i="7"/>
  <c r="D3352" i="7"/>
  <c r="D3351" i="7"/>
  <c r="D3350" i="7"/>
  <c r="D3349" i="7"/>
  <c r="D3348" i="7"/>
  <c r="D3347" i="7"/>
  <c r="D3346" i="7"/>
  <c r="D3345" i="7"/>
  <c r="D3344" i="7"/>
  <c r="D3343" i="7"/>
  <c r="D3342" i="7"/>
  <c r="D3341" i="7"/>
  <c r="D3340" i="7"/>
  <c r="D3339" i="7"/>
  <c r="D3338" i="7"/>
  <c r="D3337" i="7"/>
  <c r="D3336" i="7"/>
  <c r="D3335" i="7"/>
  <c r="D3334" i="7"/>
  <c r="D3333" i="7"/>
  <c r="D3332" i="7"/>
  <c r="D3331" i="7"/>
  <c r="D3330" i="7"/>
  <c r="D3329" i="7"/>
  <c r="D3328" i="7"/>
  <c r="D3327" i="7"/>
  <c r="D3326" i="7"/>
  <c r="D3325" i="7"/>
  <c r="D3324" i="7"/>
  <c r="D3323" i="7"/>
  <c r="D3322" i="7"/>
  <c r="D3321" i="7"/>
  <c r="D3320" i="7"/>
  <c r="D3319" i="7"/>
  <c r="D3318" i="7"/>
  <c r="D3317" i="7"/>
  <c r="D3316" i="7"/>
  <c r="D3315" i="7"/>
  <c r="D3314" i="7"/>
  <c r="D3313" i="7"/>
  <c r="D3312" i="7"/>
  <c r="D3311" i="7"/>
  <c r="D3310" i="7"/>
  <c r="D3309" i="7"/>
  <c r="D3308" i="7"/>
  <c r="D3307" i="7"/>
  <c r="D3306" i="7"/>
  <c r="D3305" i="7"/>
  <c r="D3304" i="7"/>
  <c r="D3303" i="7"/>
  <c r="D3302" i="7"/>
  <c r="D3301" i="7"/>
  <c r="D3300" i="7"/>
  <c r="D3299" i="7"/>
  <c r="D3298" i="7"/>
  <c r="D3297" i="7"/>
  <c r="D3296" i="7"/>
  <c r="D3295" i="7"/>
  <c r="D3294" i="7"/>
  <c r="D3293" i="7"/>
  <c r="D3292" i="7"/>
  <c r="D3291" i="7"/>
  <c r="D3290" i="7"/>
  <c r="D3289" i="7"/>
  <c r="D3288" i="7"/>
  <c r="D3287" i="7"/>
  <c r="D3286" i="7"/>
  <c r="D3285" i="7"/>
  <c r="D3284" i="7"/>
  <c r="D3283" i="7"/>
  <c r="D3282" i="7"/>
  <c r="D3281" i="7"/>
  <c r="D3280" i="7"/>
  <c r="D3279" i="7"/>
  <c r="D3278" i="7"/>
  <c r="D3277" i="7"/>
  <c r="D3276" i="7"/>
  <c r="D3275" i="7"/>
  <c r="D3274" i="7"/>
  <c r="D3273" i="7"/>
  <c r="D3272" i="7"/>
  <c r="D3271" i="7"/>
  <c r="D3270" i="7"/>
  <c r="D3269" i="7"/>
  <c r="D3268" i="7"/>
  <c r="D3267" i="7"/>
  <c r="D3266" i="7"/>
  <c r="D3265" i="7"/>
  <c r="D3264" i="7"/>
  <c r="D3263" i="7"/>
  <c r="D3262" i="7"/>
  <c r="D3261" i="7"/>
  <c r="D3260" i="7"/>
  <c r="D3259" i="7"/>
  <c r="D3258" i="7"/>
  <c r="D3257" i="7"/>
  <c r="D3256" i="7"/>
  <c r="D3255" i="7"/>
  <c r="D3254" i="7"/>
  <c r="D3253" i="7"/>
  <c r="D3252" i="7"/>
  <c r="D3251" i="7"/>
  <c r="D3250" i="7"/>
  <c r="D3249" i="7"/>
  <c r="D3248" i="7"/>
  <c r="D3247" i="7"/>
  <c r="D3246" i="7"/>
  <c r="D3245" i="7"/>
  <c r="D3244" i="7"/>
  <c r="D3243" i="7"/>
  <c r="D3242" i="7"/>
  <c r="D3241" i="7"/>
  <c r="D3240" i="7"/>
  <c r="D3239" i="7"/>
  <c r="D3238" i="7"/>
  <c r="D3237" i="7"/>
  <c r="D3236" i="7"/>
  <c r="D3235" i="7"/>
  <c r="D3234" i="7"/>
  <c r="D3233" i="7"/>
  <c r="D3232" i="7"/>
  <c r="D3231" i="7"/>
  <c r="D3230" i="7"/>
  <c r="D3229" i="7"/>
  <c r="D3228" i="7"/>
  <c r="D3227" i="7"/>
  <c r="D3226" i="7"/>
  <c r="D3225" i="7"/>
  <c r="D3224" i="7"/>
  <c r="D3223" i="7"/>
  <c r="D3222" i="7"/>
  <c r="D3221" i="7"/>
  <c r="D3220" i="7"/>
  <c r="D3219" i="7"/>
  <c r="D3218" i="7"/>
  <c r="D3217" i="7"/>
  <c r="D3216" i="7"/>
  <c r="D3215" i="7"/>
  <c r="D3214" i="7"/>
  <c r="D3213" i="7"/>
  <c r="D3212" i="7"/>
  <c r="D3211" i="7"/>
  <c r="D3210" i="7"/>
  <c r="D3209" i="7"/>
  <c r="D3208" i="7"/>
  <c r="D3207" i="7"/>
  <c r="D3206" i="7"/>
  <c r="D3205" i="7"/>
  <c r="D3204" i="7"/>
  <c r="D3203" i="7"/>
  <c r="D3202" i="7"/>
  <c r="D3201" i="7"/>
  <c r="D3200" i="7"/>
  <c r="D3199" i="7"/>
  <c r="D3198" i="7"/>
  <c r="D3197" i="7"/>
  <c r="D3196" i="7"/>
  <c r="D3195" i="7"/>
  <c r="D3194" i="7"/>
  <c r="D3193" i="7"/>
  <c r="D3192" i="7"/>
  <c r="D3191" i="7"/>
  <c r="D3190" i="7"/>
  <c r="D3189" i="7"/>
  <c r="D3188" i="7"/>
  <c r="D3187" i="7"/>
  <c r="D3186" i="7"/>
  <c r="D3185" i="7"/>
  <c r="D3184" i="7"/>
  <c r="D3183" i="7"/>
  <c r="D3182" i="7"/>
  <c r="D3181" i="7"/>
  <c r="D3180" i="7"/>
  <c r="D3179" i="7"/>
  <c r="D3178" i="7"/>
  <c r="D3177" i="7"/>
  <c r="D3176" i="7"/>
  <c r="D3175" i="7"/>
  <c r="D3174" i="7"/>
  <c r="D3173" i="7"/>
  <c r="D3172" i="7"/>
  <c r="D3171" i="7"/>
  <c r="D3170" i="7"/>
  <c r="D3169" i="7"/>
  <c r="D3168" i="7"/>
  <c r="D3167" i="7"/>
  <c r="D3166" i="7"/>
  <c r="D3165" i="7"/>
  <c r="D3164" i="7"/>
  <c r="D3163" i="7"/>
  <c r="D3162" i="7"/>
  <c r="D3161" i="7"/>
  <c r="D3160" i="7"/>
  <c r="D3159" i="7"/>
  <c r="D3158" i="7"/>
  <c r="D3157" i="7"/>
  <c r="D3156" i="7"/>
  <c r="D3155" i="7"/>
  <c r="D3154" i="7"/>
  <c r="D3153" i="7"/>
  <c r="D3152" i="7"/>
  <c r="D3151" i="7"/>
  <c r="D3150" i="7"/>
  <c r="D3149" i="7"/>
  <c r="D3148" i="7"/>
  <c r="D3147" i="7"/>
  <c r="D3146" i="7"/>
  <c r="D3145" i="7"/>
  <c r="D3144" i="7"/>
  <c r="D3143" i="7"/>
  <c r="D3142" i="7"/>
  <c r="D3141" i="7"/>
  <c r="D3140" i="7"/>
  <c r="D3139" i="7"/>
  <c r="D3138" i="7"/>
  <c r="D3137" i="7"/>
  <c r="D3136" i="7"/>
  <c r="D3135" i="7"/>
  <c r="D3134" i="7"/>
  <c r="D3133" i="7"/>
  <c r="D3132" i="7"/>
  <c r="D3131" i="7"/>
  <c r="D3130" i="7"/>
  <c r="D3129" i="7"/>
  <c r="D3128" i="7"/>
  <c r="D3127" i="7"/>
  <c r="D3126" i="7"/>
  <c r="D3125" i="7"/>
  <c r="D3124" i="7"/>
  <c r="D3123" i="7"/>
  <c r="D3122" i="7"/>
  <c r="D3121" i="7"/>
  <c r="D3120" i="7"/>
  <c r="D3119" i="7"/>
  <c r="D3118" i="7"/>
  <c r="D3117" i="7"/>
  <c r="D3116" i="7"/>
  <c r="D3115" i="7"/>
  <c r="D3114" i="7"/>
  <c r="D3113" i="7"/>
  <c r="D3112" i="7"/>
  <c r="D3111" i="7"/>
  <c r="D3110" i="7"/>
  <c r="D3109" i="7"/>
  <c r="D3108" i="7"/>
  <c r="D3107" i="7"/>
  <c r="D3106" i="7"/>
  <c r="D3105" i="7"/>
  <c r="D3104" i="7"/>
  <c r="D3103" i="7"/>
  <c r="D3102" i="7"/>
  <c r="D3101" i="7"/>
  <c r="D3100" i="7"/>
  <c r="D3099" i="7"/>
  <c r="D3098" i="7"/>
  <c r="D3097" i="7"/>
  <c r="D3096" i="7"/>
  <c r="D3095" i="7"/>
  <c r="D3094" i="7"/>
  <c r="D3093" i="7"/>
  <c r="D3092" i="7"/>
  <c r="D3091" i="7"/>
  <c r="D3090" i="7"/>
  <c r="D3089" i="7"/>
  <c r="D3088" i="7"/>
  <c r="D3087" i="7"/>
  <c r="D3086" i="7"/>
  <c r="D3085" i="7"/>
  <c r="D3084" i="7"/>
  <c r="D3083" i="7"/>
  <c r="D3082" i="7"/>
  <c r="D3081" i="7"/>
  <c r="D3080" i="7"/>
  <c r="D3079" i="7"/>
  <c r="D3078" i="7"/>
  <c r="D3077" i="7"/>
  <c r="D3076" i="7"/>
  <c r="D3075" i="7"/>
  <c r="D3074" i="7"/>
  <c r="D3073" i="7"/>
  <c r="D3072" i="7"/>
  <c r="D3071" i="7"/>
  <c r="D3070" i="7"/>
  <c r="D3069" i="7"/>
  <c r="D3068" i="7"/>
  <c r="D3067" i="7"/>
  <c r="D3066" i="7"/>
  <c r="D3065" i="7"/>
  <c r="D3064" i="7"/>
  <c r="D3063" i="7"/>
  <c r="D3062" i="7"/>
  <c r="D3061" i="7"/>
  <c r="D3060" i="7"/>
  <c r="D3059" i="7"/>
  <c r="D3058" i="7"/>
  <c r="D3057" i="7"/>
  <c r="D3056" i="7"/>
  <c r="D3055" i="7"/>
  <c r="D3054" i="7"/>
  <c r="D3053" i="7"/>
  <c r="D3052" i="7"/>
  <c r="D3051" i="7"/>
  <c r="D3050" i="7"/>
  <c r="D3049" i="7"/>
  <c r="D3048" i="7"/>
  <c r="D3047" i="7"/>
  <c r="D3046" i="7"/>
  <c r="D3045" i="7"/>
  <c r="D3044" i="7"/>
  <c r="D3043" i="7"/>
  <c r="D3042" i="7"/>
  <c r="D3041" i="7"/>
  <c r="D3040" i="7"/>
  <c r="D3039" i="7"/>
  <c r="D3038" i="7"/>
  <c r="D3037" i="7"/>
  <c r="D3036" i="7"/>
  <c r="D3035" i="7"/>
  <c r="D3034" i="7"/>
  <c r="D3033" i="7"/>
  <c r="D3032" i="7"/>
  <c r="D3031" i="7"/>
  <c r="D3030" i="7"/>
  <c r="D3029" i="7"/>
  <c r="D3028" i="7"/>
  <c r="D3027" i="7"/>
  <c r="D3026" i="7"/>
  <c r="D3025" i="7"/>
  <c r="D3024" i="7"/>
  <c r="D3023" i="7"/>
  <c r="D3022" i="7"/>
  <c r="D3021" i="7"/>
  <c r="D3020" i="7"/>
  <c r="D3019" i="7"/>
  <c r="D3018" i="7"/>
  <c r="D3017" i="7"/>
  <c r="D3016" i="7"/>
  <c r="D3015" i="7"/>
  <c r="D3014" i="7"/>
  <c r="D3013" i="7"/>
  <c r="D3012" i="7"/>
  <c r="D3011" i="7"/>
  <c r="D3010" i="7"/>
  <c r="D3009" i="7"/>
  <c r="D3008" i="7"/>
  <c r="D3007" i="7"/>
  <c r="D3006" i="7"/>
  <c r="D3005" i="7"/>
  <c r="D3004" i="7"/>
  <c r="D3003" i="7"/>
  <c r="D3002" i="7"/>
  <c r="D3001" i="7"/>
  <c r="D3000" i="7"/>
  <c r="D2999" i="7"/>
  <c r="D2998" i="7"/>
  <c r="D2997" i="7"/>
  <c r="D2996" i="7"/>
  <c r="D2995" i="7"/>
  <c r="D2994" i="7"/>
  <c r="D2993" i="7"/>
  <c r="D2992" i="7"/>
  <c r="D2991" i="7"/>
  <c r="D2990" i="7"/>
  <c r="D2989" i="7"/>
  <c r="D2988" i="7"/>
  <c r="D2987" i="7"/>
  <c r="D2986" i="7"/>
  <c r="D2985" i="7"/>
  <c r="D2984" i="7"/>
  <c r="D2983" i="7"/>
  <c r="D2982" i="7"/>
  <c r="D2981" i="7"/>
  <c r="D2980" i="7"/>
  <c r="D2979" i="7"/>
  <c r="D2978" i="7"/>
  <c r="D2977" i="7"/>
  <c r="D2976" i="7"/>
  <c r="D2975" i="7"/>
  <c r="D2974" i="7"/>
  <c r="D2973" i="7"/>
  <c r="D2972" i="7"/>
  <c r="D2971" i="7"/>
  <c r="D2970" i="7"/>
  <c r="D2969" i="7"/>
  <c r="D2968" i="7"/>
  <c r="D2967" i="7"/>
  <c r="D2966" i="7"/>
  <c r="D2965" i="7"/>
  <c r="D2964" i="7"/>
  <c r="D2963" i="7"/>
  <c r="D2962" i="7"/>
  <c r="D2961" i="7"/>
  <c r="D2960" i="7"/>
  <c r="D2959" i="7"/>
  <c r="D2958" i="7"/>
  <c r="D2957" i="7"/>
  <c r="D2956" i="7"/>
  <c r="D2955" i="7"/>
  <c r="D2954" i="7"/>
  <c r="D2953" i="7"/>
  <c r="D2952" i="7"/>
  <c r="D2951" i="7"/>
  <c r="D2950" i="7"/>
  <c r="D2949" i="7"/>
  <c r="D2948" i="7"/>
  <c r="D2947" i="7"/>
  <c r="D2946" i="7"/>
  <c r="D2945" i="7"/>
  <c r="D2944" i="7"/>
  <c r="D2943" i="7"/>
  <c r="D2942" i="7"/>
  <c r="D2941" i="7"/>
  <c r="D2940" i="7"/>
  <c r="D2939" i="7"/>
  <c r="D2938" i="7"/>
  <c r="D2937" i="7"/>
  <c r="D2936" i="7"/>
  <c r="D2935" i="7"/>
  <c r="D2934" i="7"/>
  <c r="D2933" i="7"/>
  <c r="D2932" i="7"/>
  <c r="D2931" i="7"/>
  <c r="D2930" i="7"/>
  <c r="D2929" i="7"/>
  <c r="D2928" i="7"/>
  <c r="D2927" i="7"/>
  <c r="D2926" i="7"/>
  <c r="D2925" i="7"/>
  <c r="D2924" i="7"/>
  <c r="D2923" i="7"/>
  <c r="D2922" i="7"/>
  <c r="D2921" i="7"/>
  <c r="D2920" i="7"/>
  <c r="D2919" i="7"/>
  <c r="D2918" i="7"/>
  <c r="D2917" i="7"/>
  <c r="D2916" i="7"/>
  <c r="D2915" i="7"/>
  <c r="D2914" i="7"/>
  <c r="D2913" i="7"/>
  <c r="D2912" i="7"/>
  <c r="D2911" i="7"/>
  <c r="D2910" i="7"/>
  <c r="D2909" i="7"/>
  <c r="D2908" i="7"/>
  <c r="D2907" i="7"/>
  <c r="D2906" i="7"/>
  <c r="D2905" i="7"/>
  <c r="D2904" i="7"/>
  <c r="D2903" i="7"/>
  <c r="D2902" i="7"/>
  <c r="D2901" i="7"/>
  <c r="D2900" i="7"/>
  <c r="D2899" i="7"/>
  <c r="D2898" i="7"/>
  <c r="D2897" i="7"/>
  <c r="D2896" i="7"/>
  <c r="D2895" i="7"/>
  <c r="D2894" i="7"/>
  <c r="D2893" i="7"/>
  <c r="D2892" i="7"/>
  <c r="D2891" i="7"/>
  <c r="D2890" i="7"/>
  <c r="D2889" i="7"/>
  <c r="D2888" i="7"/>
  <c r="D2887" i="7"/>
  <c r="D2886" i="7"/>
  <c r="D2885" i="7"/>
  <c r="D2884" i="7"/>
  <c r="D2883" i="7"/>
  <c r="D2882" i="7"/>
  <c r="D2881" i="7"/>
  <c r="D2880" i="7"/>
  <c r="D2879" i="7"/>
  <c r="D2878" i="7"/>
  <c r="D2877" i="7"/>
  <c r="D2876" i="7"/>
  <c r="D2875" i="7"/>
  <c r="D2874" i="7"/>
  <c r="D2873" i="7"/>
  <c r="D2872" i="7"/>
  <c r="D2871" i="7"/>
  <c r="D2870" i="7"/>
  <c r="D2869" i="7"/>
  <c r="D2868" i="7"/>
  <c r="D2867" i="7"/>
  <c r="D2866" i="7"/>
  <c r="D2865" i="7"/>
  <c r="D2864" i="7"/>
  <c r="D2863" i="7"/>
  <c r="D2862" i="7"/>
  <c r="D2861" i="7"/>
  <c r="D2860" i="7"/>
  <c r="D2859" i="7"/>
  <c r="D2858" i="7"/>
  <c r="D2857" i="7"/>
  <c r="D2856" i="7"/>
  <c r="D2855" i="7"/>
  <c r="D2854" i="7"/>
  <c r="D2853" i="7"/>
  <c r="D2852" i="7"/>
  <c r="D2851" i="7"/>
  <c r="D2850" i="7"/>
  <c r="D2849" i="7"/>
  <c r="D2848" i="7"/>
  <c r="D2847" i="7"/>
  <c r="D2846" i="7"/>
  <c r="D2845" i="7"/>
  <c r="D2844" i="7"/>
  <c r="D2843" i="7"/>
  <c r="D2842" i="7"/>
  <c r="D2841" i="7"/>
  <c r="D2840" i="7"/>
  <c r="D2839" i="7"/>
  <c r="D2838" i="7"/>
  <c r="D2837" i="7"/>
  <c r="D2836" i="7"/>
  <c r="D2835" i="7"/>
  <c r="D2834" i="7"/>
  <c r="D2833" i="7"/>
  <c r="D2832" i="7"/>
  <c r="D2831" i="7"/>
  <c r="D2830" i="7"/>
  <c r="D2829" i="7"/>
  <c r="D2828" i="7"/>
  <c r="D2827" i="7"/>
  <c r="D2826" i="7"/>
  <c r="D2825" i="7"/>
  <c r="D2824" i="7"/>
  <c r="D2823" i="7"/>
  <c r="D2822" i="7"/>
  <c r="D2821" i="7"/>
  <c r="D2820" i="7"/>
  <c r="D2819" i="7"/>
  <c r="D2818" i="7"/>
  <c r="D2817" i="7"/>
  <c r="D2816" i="7"/>
  <c r="D2815" i="7"/>
  <c r="D2814" i="7"/>
  <c r="D2813" i="7"/>
  <c r="D2812" i="7"/>
  <c r="D2811" i="7"/>
  <c r="D2810" i="7"/>
  <c r="D2809" i="7"/>
  <c r="D2808" i="7"/>
  <c r="D2807" i="7"/>
  <c r="D2806" i="7"/>
  <c r="D2805" i="7"/>
  <c r="D2804" i="7"/>
  <c r="D2803" i="7"/>
  <c r="D2802" i="7"/>
  <c r="D2801" i="7"/>
  <c r="D2800" i="7"/>
  <c r="D2799" i="7"/>
  <c r="D2798" i="7"/>
  <c r="D2797" i="7"/>
  <c r="D2796" i="7"/>
  <c r="D2795" i="7"/>
  <c r="D2794" i="7"/>
  <c r="D2793" i="7"/>
  <c r="D2792" i="7"/>
  <c r="D2791" i="7"/>
  <c r="D2790" i="7"/>
  <c r="D2789" i="7"/>
  <c r="D2788" i="7"/>
  <c r="D2787" i="7"/>
  <c r="D2786" i="7"/>
  <c r="D2785" i="7"/>
  <c r="D2784" i="7"/>
  <c r="D2783" i="7"/>
  <c r="D2782" i="7"/>
  <c r="D2781" i="7"/>
  <c r="D2780" i="7"/>
  <c r="D2779" i="7"/>
  <c r="D2778" i="7"/>
  <c r="D2777" i="7"/>
  <c r="D2776" i="7"/>
  <c r="D2775" i="7"/>
  <c r="D2774" i="7"/>
  <c r="D2773" i="7"/>
  <c r="D2772" i="7"/>
  <c r="D2771" i="7"/>
  <c r="D2770" i="7"/>
  <c r="D2769" i="7"/>
  <c r="D2768" i="7"/>
  <c r="D2767" i="7"/>
  <c r="D2766" i="7"/>
  <c r="D2765" i="7"/>
  <c r="D2764" i="7"/>
  <c r="D2763" i="7"/>
  <c r="D2762" i="7"/>
  <c r="D2761" i="7"/>
  <c r="D2760" i="7"/>
  <c r="D2759" i="7"/>
  <c r="D2758" i="7"/>
  <c r="D2757" i="7"/>
  <c r="D2756" i="7"/>
  <c r="D2755" i="7"/>
  <c r="D2754" i="7"/>
  <c r="D2753" i="7"/>
  <c r="D2752" i="7"/>
  <c r="D2751" i="7"/>
  <c r="D2750" i="7"/>
  <c r="D2749" i="7"/>
  <c r="D2748" i="7"/>
  <c r="D2747" i="7"/>
  <c r="D2746" i="7"/>
  <c r="D2745" i="7"/>
  <c r="D2744" i="7"/>
  <c r="D2743" i="7"/>
  <c r="D2742" i="7"/>
  <c r="D2741" i="7"/>
  <c r="D2740" i="7"/>
  <c r="D2739" i="7"/>
  <c r="D2738" i="7"/>
  <c r="D2737" i="7"/>
  <c r="D2736" i="7"/>
  <c r="D2735" i="7"/>
  <c r="D2734" i="7"/>
  <c r="D2733" i="7"/>
  <c r="D2732" i="7"/>
  <c r="D2731" i="7"/>
  <c r="D2730" i="7"/>
  <c r="D2729" i="7"/>
  <c r="D2728" i="7"/>
  <c r="D2727" i="7"/>
  <c r="D2726" i="7"/>
  <c r="D2725" i="7"/>
  <c r="D2724" i="7"/>
  <c r="D2723" i="7"/>
  <c r="D2722" i="7"/>
  <c r="D2721" i="7"/>
  <c r="D2720" i="7"/>
  <c r="D2719" i="7"/>
  <c r="D2718" i="7"/>
  <c r="D2717" i="7"/>
  <c r="D2716" i="7"/>
  <c r="D2715" i="7"/>
  <c r="D2714" i="7"/>
  <c r="D2713" i="7"/>
  <c r="D2712" i="7"/>
  <c r="D2711" i="7"/>
  <c r="D2710" i="7"/>
  <c r="D2709" i="7"/>
  <c r="D2708" i="7"/>
  <c r="D2707" i="7"/>
  <c r="D2706" i="7"/>
  <c r="D2705" i="7"/>
  <c r="D2704" i="7"/>
  <c r="D2703" i="7"/>
  <c r="D2702" i="7"/>
  <c r="D2701" i="7"/>
  <c r="D2700" i="7"/>
  <c r="D2699" i="7"/>
  <c r="D2698" i="7"/>
  <c r="D2697" i="7"/>
  <c r="D2696" i="7"/>
  <c r="D2695" i="7"/>
  <c r="D2694" i="7"/>
  <c r="D2693" i="7"/>
  <c r="D2692" i="7"/>
  <c r="D2691" i="7"/>
  <c r="D2690" i="7"/>
  <c r="D2689" i="7"/>
  <c r="D2688" i="7"/>
  <c r="D2687" i="7"/>
  <c r="D2686" i="7"/>
  <c r="D2685" i="7"/>
  <c r="D2684" i="7"/>
  <c r="D2683" i="7"/>
  <c r="D2682" i="7"/>
  <c r="D2681" i="7"/>
  <c r="D2680" i="7"/>
  <c r="D2679" i="7"/>
  <c r="D2678" i="7"/>
  <c r="D2677" i="7"/>
  <c r="D2676" i="7"/>
  <c r="D2675" i="7"/>
  <c r="D2674" i="7"/>
  <c r="D2673" i="7"/>
  <c r="D2672" i="7"/>
  <c r="D2671" i="7"/>
  <c r="D2670" i="7"/>
  <c r="D2669" i="7"/>
  <c r="D2668" i="7"/>
  <c r="D2667" i="7"/>
  <c r="D2666" i="7"/>
  <c r="D2665" i="7"/>
  <c r="D2664" i="7"/>
  <c r="D2663" i="7"/>
  <c r="D2662" i="7"/>
  <c r="D2661" i="7"/>
  <c r="D2660" i="7"/>
  <c r="D2659" i="7"/>
  <c r="D2658" i="7"/>
  <c r="D2657" i="7"/>
  <c r="D2656" i="7"/>
  <c r="D2655" i="7"/>
  <c r="D2654" i="7"/>
  <c r="D2653" i="7"/>
  <c r="D2652" i="7"/>
  <c r="D2651" i="7"/>
  <c r="D2650" i="7"/>
  <c r="D2649" i="7"/>
  <c r="D2648" i="7"/>
  <c r="D2647" i="7"/>
  <c r="D2646" i="7"/>
  <c r="D2645" i="7"/>
  <c r="D2644" i="7"/>
  <c r="D2643" i="7"/>
  <c r="D2642" i="7"/>
  <c r="D2641" i="7"/>
  <c r="D2640" i="7"/>
  <c r="D2639" i="7"/>
  <c r="D2638" i="7"/>
  <c r="D2637" i="7"/>
  <c r="D2636" i="7"/>
  <c r="D2635" i="7"/>
  <c r="D2634" i="7"/>
  <c r="D2633" i="7"/>
  <c r="D2632" i="7"/>
  <c r="D2631" i="7"/>
  <c r="D2630" i="7"/>
  <c r="D2629" i="7"/>
  <c r="D2628" i="7"/>
  <c r="D2627" i="7"/>
  <c r="D2626" i="7"/>
  <c r="D2625" i="7"/>
  <c r="D2624" i="7"/>
  <c r="D2623" i="7"/>
  <c r="D2622" i="7"/>
  <c r="D2621" i="7"/>
  <c r="D2620" i="7"/>
  <c r="D2619" i="7"/>
  <c r="D2618" i="7"/>
  <c r="D2617" i="7"/>
  <c r="D2616" i="7"/>
  <c r="D2615" i="7"/>
  <c r="D2614" i="7"/>
  <c r="D2613" i="7"/>
  <c r="D2612" i="7"/>
  <c r="D2611" i="7"/>
  <c r="D2610" i="7"/>
  <c r="D2609" i="7"/>
  <c r="D2608" i="7"/>
  <c r="D2607" i="7"/>
  <c r="D2606" i="7"/>
  <c r="D2605" i="7"/>
  <c r="D2604" i="7"/>
  <c r="D2603" i="7"/>
  <c r="D2602" i="7"/>
  <c r="D2601" i="7"/>
  <c r="D2600" i="7"/>
  <c r="D2599" i="7"/>
  <c r="D2598" i="7"/>
  <c r="D2597" i="7"/>
  <c r="D2596" i="7"/>
  <c r="D2595" i="7"/>
  <c r="D2594" i="7"/>
  <c r="D2593" i="7"/>
  <c r="D2592" i="7"/>
  <c r="D2591" i="7"/>
  <c r="D2590" i="7"/>
  <c r="D2589" i="7"/>
  <c r="D2588" i="7"/>
  <c r="D2587" i="7"/>
  <c r="D2586" i="7"/>
  <c r="D2585" i="7"/>
  <c r="D2584" i="7"/>
  <c r="D2583" i="7"/>
  <c r="D2582" i="7"/>
  <c r="D2581" i="7"/>
  <c r="D2580" i="7"/>
  <c r="D2579" i="7"/>
  <c r="D2578" i="7"/>
  <c r="D2577" i="7"/>
  <c r="D2576" i="7"/>
  <c r="D2575" i="7"/>
  <c r="D2574" i="7"/>
  <c r="D2573" i="7"/>
  <c r="D2572" i="7"/>
  <c r="D2571" i="7"/>
  <c r="D2570" i="7"/>
  <c r="D2569" i="7"/>
  <c r="D2568" i="7"/>
  <c r="D2567" i="7"/>
  <c r="D2566" i="7"/>
  <c r="D2565" i="7"/>
  <c r="D2564" i="7"/>
  <c r="D2563" i="7"/>
  <c r="D2562" i="7"/>
  <c r="D2561" i="7"/>
  <c r="D2560" i="7"/>
  <c r="D2559" i="7"/>
  <c r="D2558" i="7"/>
  <c r="D2557" i="7"/>
  <c r="D2556" i="7"/>
  <c r="D2555" i="7"/>
  <c r="D2554" i="7"/>
  <c r="D2553" i="7"/>
  <c r="D2552" i="7"/>
  <c r="D2551" i="7"/>
  <c r="D2550" i="7"/>
  <c r="D2549" i="7"/>
  <c r="D2548" i="7"/>
  <c r="D2547" i="7"/>
  <c r="D2546" i="7"/>
  <c r="D2545" i="7"/>
  <c r="D2544" i="7"/>
  <c r="D2543" i="7"/>
  <c r="D2542" i="7"/>
  <c r="D2541" i="7"/>
  <c r="D2540" i="7"/>
  <c r="D2539" i="7"/>
  <c r="D2538" i="7"/>
  <c r="D2537" i="7"/>
  <c r="D2536" i="7"/>
  <c r="D2535" i="7"/>
  <c r="D2534" i="7"/>
  <c r="D2533" i="7"/>
  <c r="D2532" i="7"/>
  <c r="D2531" i="7"/>
  <c r="D2530" i="7"/>
  <c r="D2529" i="7"/>
  <c r="D2528" i="7"/>
  <c r="D2527" i="7"/>
  <c r="D2526" i="7"/>
  <c r="D2525" i="7"/>
  <c r="D2524" i="7"/>
  <c r="D2523" i="7"/>
  <c r="D2522" i="7"/>
  <c r="D2521" i="7"/>
  <c r="D2520" i="7"/>
  <c r="D2519" i="7"/>
  <c r="D2518" i="7"/>
  <c r="D2517" i="7"/>
  <c r="D2516" i="7"/>
  <c r="D2515" i="7"/>
  <c r="D2514" i="7"/>
  <c r="D2513" i="7"/>
  <c r="D2512" i="7"/>
  <c r="D2511" i="7"/>
  <c r="D2510" i="7"/>
  <c r="D2509" i="7"/>
  <c r="D2508" i="7"/>
  <c r="D2507" i="7"/>
  <c r="D2506" i="7"/>
  <c r="D2505" i="7"/>
  <c r="D2504" i="7"/>
  <c r="D2503" i="7"/>
  <c r="D2502" i="7"/>
  <c r="D2501" i="7"/>
  <c r="D2500" i="7"/>
  <c r="D2499" i="7"/>
  <c r="D2498" i="7"/>
  <c r="D2497" i="7"/>
  <c r="D2496" i="7"/>
  <c r="D2495" i="7"/>
  <c r="D2494" i="7"/>
  <c r="D2493" i="7"/>
  <c r="D2492" i="7"/>
  <c r="D2491" i="7"/>
  <c r="D2490" i="7"/>
  <c r="D2489" i="7"/>
  <c r="D2488" i="7"/>
  <c r="D2487" i="7"/>
  <c r="D2486" i="7"/>
  <c r="D2485" i="7"/>
  <c r="D2484" i="7"/>
  <c r="D2483" i="7"/>
  <c r="D2482" i="7"/>
  <c r="D2481" i="7"/>
  <c r="D2480" i="7"/>
  <c r="D2479" i="7"/>
  <c r="D2478" i="7"/>
  <c r="D2477" i="7"/>
  <c r="D2476" i="7"/>
  <c r="D2475" i="7"/>
  <c r="D2474" i="7"/>
  <c r="D2473" i="7"/>
  <c r="D2472" i="7"/>
  <c r="D2471" i="7"/>
  <c r="D2470" i="7"/>
  <c r="D2469" i="7"/>
  <c r="D2468" i="7"/>
  <c r="D2467" i="7"/>
  <c r="D2466" i="7"/>
  <c r="D2465" i="7"/>
  <c r="D2464" i="7"/>
  <c r="D2463" i="7"/>
  <c r="D2462" i="7"/>
  <c r="D2461" i="7"/>
  <c r="D2460" i="7"/>
  <c r="D2459" i="7"/>
  <c r="D2458" i="7"/>
  <c r="D2457" i="7"/>
  <c r="D2456" i="7"/>
  <c r="D2455" i="7"/>
  <c r="D2454" i="7"/>
  <c r="D2453" i="7"/>
  <c r="D2452" i="7"/>
  <c r="D2451" i="7"/>
  <c r="D2450" i="7"/>
  <c r="D2449" i="7"/>
  <c r="D2448" i="7"/>
  <c r="D2447" i="7"/>
  <c r="D2446" i="7"/>
  <c r="D2445" i="7"/>
  <c r="D2444" i="7"/>
  <c r="D2443" i="7"/>
  <c r="D2442" i="7"/>
  <c r="D2441" i="7"/>
  <c r="D2440" i="7"/>
  <c r="D2439" i="7"/>
  <c r="D2438" i="7"/>
  <c r="D2437" i="7"/>
  <c r="D2436" i="7"/>
  <c r="D2435" i="7"/>
  <c r="D2434" i="7"/>
  <c r="D2433" i="7"/>
  <c r="D2432" i="7"/>
  <c r="D2431" i="7"/>
  <c r="D2430" i="7"/>
  <c r="D2429" i="7"/>
  <c r="D2428" i="7"/>
  <c r="D2427" i="7"/>
  <c r="D2426" i="7"/>
  <c r="D2425" i="7"/>
  <c r="D2424" i="7"/>
  <c r="D2423" i="7"/>
  <c r="D2422" i="7"/>
  <c r="D2421" i="7"/>
  <c r="D2420" i="7"/>
  <c r="D2419" i="7"/>
  <c r="D2418" i="7"/>
  <c r="D2417" i="7"/>
  <c r="D2416" i="7"/>
  <c r="D2415" i="7"/>
  <c r="D2414" i="7"/>
  <c r="D2413" i="7"/>
  <c r="D2412" i="7"/>
  <c r="D2411" i="7"/>
  <c r="D2410" i="7"/>
  <c r="D2409" i="7"/>
  <c r="D2408" i="7"/>
  <c r="D2407" i="7"/>
  <c r="D2406" i="7"/>
  <c r="D2405" i="7"/>
  <c r="D2404" i="7"/>
  <c r="D2403" i="7"/>
  <c r="D2402" i="7"/>
  <c r="D2401" i="7"/>
  <c r="D2400" i="7"/>
  <c r="D2399" i="7"/>
  <c r="D2398" i="7"/>
  <c r="D2397" i="7"/>
  <c r="D2396" i="7"/>
  <c r="D2395" i="7"/>
  <c r="D2394" i="7"/>
  <c r="D2393" i="7"/>
  <c r="D2392" i="7"/>
  <c r="D2391" i="7"/>
  <c r="D2390" i="7"/>
  <c r="D2389" i="7"/>
  <c r="D2388" i="7"/>
  <c r="D2387" i="7"/>
  <c r="D2386" i="7"/>
  <c r="D2385" i="7"/>
  <c r="D2384" i="7"/>
  <c r="D2383" i="7"/>
  <c r="D2382" i="7"/>
  <c r="D2381" i="7"/>
  <c r="D2380" i="7"/>
  <c r="D2379" i="7"/>
  <c r="D2378" i="7"/>
  <c r="D2377" i="7"/>
  <c r="D2376" i="7"/>
  <c r="D2375" i="7"/>
  <c r="D2374" i="7"/>
  <c r="D2373" i="7"/>
  <c r="D2372" i="7"/>
  <c r="D2371" i="7"/>
  <c r="D2370" i="7"/>
  <c r="D2369" i="7"/>
  <c r="D2368" i="7"/>
  <c r="D2367" i="7"/>
  <c r="D2366" i="7"/>
  <c r="D2365" i="7"/>
  <c r="D2364" i="7"/>
  <c r="D2363" i="7"/>
  <c r="D2362" i="7"/>
  <c r="D2361" i="7"/>
  <c r="D2360" i="7"/>
  <c r="D2359" i="7"/>
  <c r="D2358" i="7"/>
  <c r="D2357" i="7"/>
  <c r="D2356" i="7"/>
  <c r="D2355" i="7"/>
  <c r="D2354" i="7"/>
  <c r="D2353" i="7"/>
  <c r="D2352" i="7"/>
  <c r="D2351" i="7"/>
  <c r="D2350" i="7"/>
  <c r="D2349" i="7"/>
  <c r="D2348" i="7"/>
  <c r="D2347" i="7"/>
  <c r="D2346" i="7"/>
  <c r="D2345" i="7"/>
  <c r="D2344" i="7"/>
  <c r="D2343" i="7"/>
  <c r="D2342" i="7"/>
  <c r="D2341" i="7"/>
  <c r="D2340" i="7"/>
  <c r="D2339" i="7"/>
  <c r="D2338" i="7"/>
  <c r="D2337" i="7"/>
  <c r="D2336" i="7"/>
  <c r="D2335" i="7"/>
  <c r="D2334" i="7"/>
  <c r="D2333" i="7"/>
  <c r="D2332" i="7"/>
  <c r="D2331" i="7"/>
  <c r="D2330" i="7"/>
  <c r="D2329" i="7"/>
  <c r="D2328" i="7"/>
  <c r="D2327" i="7"/>
  <c r="D2326" i="7"/>
  <c r="D2325" i="7"/>
  <c r="D2324" i="7"/>
  <c r="D2323" i="7"/>
  <c r="D2322" i="7"/>
  <c r="D2321" i="7"/>
  <c r="D2320" i="7"/>
  <c r="D2319" i="7"/>
  <c r="D2318" i="7"/>
  <c r="D2317" i="7"/>
  <c r="D2316" i="7"/>
  <c r="D2315" i="7"/>
  <c r="D2314" i="7"/>
  <c r="D2313" i="7"/>
  <c r="D2312" i="7"/>
  <c r="D2311" i="7"/>
  <c r="D2310" i="7"/>
  <c r="D2309" i="7"/>
  <c r="D2308" i="7"/>
  <c r="D2307" i="7"/>
  <c r="D2306" i="7"/>
  <c r="D2305" i="7"/>
  <c r="D2304" i="7"/>
  <c r="D2303" i="7"/>
  <c r="D2302" i="7"/>
  <c r="D2301" i="7"/>
  <c r="D2300" i="7"/>
  <c r="D2299" i="7"/>
  <c r="D2298" i="7"/>
  <c r="D2297" i="7"/>
  <c r="D2296" i="7"/>
  <c r="D2295" i="7"/>
  <c r="D2294" i="7"/>
  <c r="D2293" i="7"/>
  <c r="D2292" i="7"/>
  <c r="D2291" i="7"/>
  <c r="D2290" i="7"/>
  <c r="D2289" i="7"/>
  <c r="D2288" i="7"/>
  <c r="D2287" i="7"/>
  <c r="D2286" i="7"/>
  <c r="D2285" i="7"/>
  <c r="D2284" i="7"/>
  <c r="D2283" i="7"/>
  <c r="D2282" i="7"/>
  <c r="D2281" i="7"/>
  <c r="D2280" i="7"/>
  <c r="D2279" i="7"/>
  <c r="D2278" i="7"/>
  <c r="D2277" i="7"/>
  <c r="D2276" i="7"/>
  <c r="D2275" i="7"/>
  <c r="D2274" i="7"/>
  <c r="D2273" i="7"/>
  <c r="D2272" i="7"/>
  <c r="D2271" i="7"/>
  <c r="D2270" i="7"/>
  <c r="D2269" i="7"/>
  <c r="D2268" i="7"/>
  <c r="D2267" i="7"/>
  <c r="D2266" i="7"/>
  <c r="D2265" i="7"/>
  <c r="D2264" i="7"/>
  <c r="D2263" i="7"/>
  <c r="D2262" i="7"/>
  <c r="D2261" i="7"/>
  <c r="D2260" i="7"/>
  <c r="D2259" i="7"/>
  <c r="D2258" i="7"/>
  <c r="D2257" i="7"/>
  <c r="D2256" i="7"/>
  <c r="D2255" i="7"/>
  <c r="D2254" i="7"/>
  <c r="D2253" i="7"/>
  <c r="D2252" i="7"/>
  <c r="D2251" i="7"/>
  <c r="D2250" i="7"/>
  <c r="D2249" i="7"/>
  <c r="D2248" i="7"/>
  <c r="D2247" i="7"/>
  <c r="D2246" i="7"/>
  <c r="D2245" i="7"/>
  <c r="D2244" i="7"/>
  <c r="D2243" i="7"/>
  <c r="D2242" i="7"/>
  <c r="D2241" i="7"/>
  <c r="D2240" i="7"/>
  <c r="D2239" i="7"/>
  <c r="D2238" i="7"/>
  <c r="D2237" i="7"/>
  <c r="D2236" i="7"/>
  <c r="D2235" i="7"/>
  <c r="D2234" i="7"/>
  <c r="D2233" i="7"/>
  <c r="D2232" i="7"/>
  <c r="D2231" i="7"/>
  <c r="D2230" i="7"/>
  <c r="D2229" i="7"/>
  <c r="D2228" i="7"/>
  <c r="D2227" i="7"/>
  <c r="D2226" i="7"/>
  <c r="D2225" i="7"/>
  <c r="D2224" i="7"/>
  <c r="D2223" i="7"/>
  <c r="D2222" i="7"/>
  <c r="D2221" i="7"/>
  <c r="D2220" i="7"/>
  <c r="D2219" i="7"/>
  <c r="D2218" i="7"/>
  <c r="D2217" i="7"/>
  <c r="D2216" i="7"/>
  <c r="D2215" i="7"/>
  <c r="D2214" i="7"/>
  <c r="D2213" i="7"/>
  <c r="D2212" i="7"/>
  <c r="D2211" i="7"/>
  <c r="D2210" i="7"/>
  <c r="D2209" i="7"/>
  <c r="D2208" i="7"/>
  <c r="D2207" i="7"/>
  <c r="D2206" i="7"/>
  <c r="D2205" i="7"/>
  <c r="D2204" i="7"/>
  <c r="D2203" i="7"/>
  <c r="D2202" i="7"/>
  <c r="D2201" i="7"/>
  <c r="D2200" i="7"/>
  <c r="D2199" i="7"/>
  <c r="D2198" i="7"/>
  <c r="D2197" i="7"/>
  <c r="D2196" i="7"/>
  <c r="D2195" i="7"/>
  <c r="D2194" i="7"/>
  <c r="D2193" i="7"/>
  <c r="D2192" i="7"/>
  <c r="D2191" i="7"/>
  <c r="D2190" i="7"/>
  <c r="D2189" i="7"/>
  <c r="D2188" i="7"/>
  <c r="D2187" i="7"/>
  <c r="D2186" i="7"/>
  <c r="D2185" i="7"/>
  <c r="D2184" i="7"/>
  <c r="D2183" i="7"/>
  <c r="D2182" i="7"/>
  <c r="D2181" i="7"/>
  <c r="D2180" i="7"/>
  <c r="D2179" i="7"/>
  <c r="D2178" i="7"/>
  <c r="D2177" i="7"/>
  <c r="D2176" i="7"/>
  <c r="D2175" i="7"/>
  <c r="D2174" i="7"/>
  <c r="D2173" i="7"/>
  <c r="D2172" i="7"/>
  <c r="D2171" i="7"/>
  <c r="D2170" i="7"/>
  <c r="D2169" i="7"/>
  <c r="D2168" i="7"/>
  <c r="D2167" i="7"/>
  <c r="D2166" i="7"/>
  <c r="D2165" i="7"/>
  <c r="D2164" i="7"/>
  <c r="D2163" i="7"/>
  <c r="D2162" i="7"/>
  <c r="D2161" i="7"/>
  <c r="D2160" i="7"/>
  <c r="D2159" i="7"/>
  <c r="D2158" i="7"/>
  <c r="D2157" i="7"/>
  <c r="D2156" i="7"/>
  <c r="D2155" i="7"/>
  <c r="D2154" i="7"/>
  <c r="D2153" i="7"/>
  <c r="D2152" i="7"/>
  <c r="D2151" i="7"/>
  <c r="D2150" i="7"/>
  <c r="D2149" i="7"/>
  <c r="D2148" i="7"/>
  <c r="D2147" i="7"/>
  <c r="D2146" i="7"/>
  <c r="D2145" i="7"/>
  <c r="D2144" i="7"/>
  <c r="D2143" i="7"/>
  <c r="D2142" i="7"/>
  <c r="D2141" i="7"/>
  <c r="D2140" i="7"/>
  <c r="D2139" i="7"/>
  <c r="D2138" i="7"/>
  <c r="D2137" i="7"/>
  <c r="D2136" i="7"/>
  <c r="D2135" i="7"/>
  <c r="D2134" i="7"/>
  <c r="D2133" i="7"/>
  <c r="D2132" i="7"/>
  <c r="D2131" i="7"/>
  <c r="D2130" i="7"/>
  <c r="D2129" i="7"/>
  <c r="D2128" i="7"/>
  <c r="D2127" i="7"/>
  <c r="D2126" i="7"/>
  <c r="D2125" i="7"/>
  <c r="D2124" i="7"/>
  <c r="D2123" i="7"/>
  <c r="D2122" i="7"/>
  <c r="D2121" i="7"/>
  <c r="D2120" i="7"/>
  <c r="D2119" i="7"/>
  <c r="D2118" i="7"/>
  <c r="D2117" i="7"/>
  <c r="D2116" i="7"/>
  <c r="D2115" i="7"/>
  <c r="D2114" i="7"/>
  <c r="D2113" i="7"/>
  <c r="D2112" i="7"/>
  <c r="D2111" i="7"/>
  <c r="D2110" i="7"/>
  <c r="D2109" i="7"/>
  <c r="D2108" i="7"/>
  <c r="D2107" i="7"/>
  <c r="D2106" i="7"/>
  <c r="D2105" i="7"/>
  <c r="D2104" i="7"/>
  <c r="D2103" i="7"/>
  <c r="D2102" i="7"/>
  <c r="D2101" i="7"/>
  <c r="D2100" i="7"/>
  <c r="D2099" i="7"/>
  <c r="D2098" i="7"/>
  <c r="D2097" i="7"/>
  <c r="D2096" i="7"/>
  <c r="D2095" i="7"/>
  <c r="D2094" i="7"/>
  <c r="D2093" i="7"/>
  <c r="D2092" i="7"/>
  <c r="D2091" i="7"/>
  <c r="D2090" i="7"/>
  <c r="D2089" i="7"/>
  <c r="D2088" i="7"/>
  <c r="D2087" i="7"/>
  <c r="D2086" i="7"/>
  <c r="D2085" i="7"/>
  <c r="D2084" i="7"/>
  <c r="D2083" i="7"/>
  <c r="D2082" i="7"/>
  <c r="D2081" i="7"/>
  <c r="D2080" i="7"/>
  <c r="D2079" i="7"/>
  <c r="D2078" i="7"/>
  <c r="D2077" i="7"/>
  <c r="D2076" i="7"/>
  <c r="D2075" i="7"/>
  <c r="D2074" i="7"/>
  <c r="D2073" i="7"/>
  <c r="D2072" i="7"/>
  <c r="D2071" i="7"/>
  <c r="D2070" i="7"/>
  <c r="D2069" i="7"/>
  <c r="D2068" i="7"/>
  <c r="D2067" i="7"/>
  <c r="D2066" i="7"/>
  <c r="D2065" i="7"/>
  <c r="D2064" i="7"/>
  <c r="D2063" i="7"/>
  <c r="D2062" i="7"/>
  <c r="D2061" i="7"/>
  <c r="D2060" i="7"/>
  <c r="D2059" i="7"/>
  <c r="D2058" i="7"/>
  <c r="D2057" i="7"/>
  <c r="D2056" i="7"/>
  <c r="D2055" i="7"/>
  <c r="D2054" i="7"/>
  <c r="D2053" i="7"/>
  <c r="D2052" i="7"/>
  <c r="D2051" i="7"/>
  <c r="D2050" i="7"/>
  <c r="D2049" i="7"/>
  <c r="D2048" i="7"/>
  <c r="D2047" i="7"/>
  <c r="D2046" i="7"/>
  <c r="D2045" i="7"/>
  <c r="D2044" i="7"/>
  <c r="D2043" i="7"/>
  <c r="D2042" i="7"/>
  <c r="D2041" i="7"/>
  <c r="D2040" i="7"/>
  <c r="D2039" i="7"/>
  <c r="D2038" i="7"/>
  <c r="D2037" i="7"/>
  <c r="D2036" i="7"/>
  <c r="D2035" i="7"/>
  <c r="D2034" i="7"/>
  <c r="D2033" i="7"/>
  <c r="D2032" i="7"/>
  <c r="D2031" i="7"/>
  <c r="D2030" i="7"/>
  <c r="D2029" i="7"/>
  <c r="D2028" i="7"/>
  <c r="D2027" i="7"/>
  <c r="D2026" i="7"/>
  <c r="D2025" i="7"/>
  <c r="D2024" i="7"/>
  <c r="D2023" i="7"/>
  <c r="D2022" i="7"/>
  <c r="D2021" i="7"/>
  <c r="D2020" i="7"/>
  <c r="D2019" i="7"/>
  <c r="D2018" i="7"/>
  <c r="D2017" i="7"/>
  <c r="D2016" i="7"/>
  <c r="D2015" i="7"/>
  <c r="D2014" i="7"/>
  <c r="D2013" i="7"/>
  <c r="D2012" i="7"/>
  <c r="D2011" i="7"/>
  <c r="D2010" i="7"/>
  <c r="D2009" i="7"/>
  <c r="D2008" i="7"/>
  <c r="D2007" i="7"/>
  <c r="D2006" i="7"/>
  <c r="D2005" i="7"/>
  <c r="D2004" i="7"/>
  <c r="D2003" i="7"/>
  <c r="D2002" i="7"/>
  <c r="D2001" i="7"/>
  <c r="D2000" i="7"/>
  <c r="D1999" i="7"/>
  <c r="D1998" i="7"/>
  <c r="D1997" i="7"/>
  <c r="D1996" i="7"/>
  <c r="D1995" i="7"/>
  <c r="D1994" i="7"/>
  <c r="D1993" i="7"/>
  <c r="D1992" i="7"/>
  <c r="D1991" i="7"/>
  <c r="D1990" i="7"/>
  <c r="D1989" i="7"/>
  <c r="D1988" i="7"/>
  <c r="D1987" i="7"/>
  <c r="D1986" i="7"/>
  <c r="D1985" i="7"/>
  <c r="D1984" i="7"/>
  <c r="D1983" i="7"/>
  <c r="D1982" i="7"/>
  <c r="D1981" i="7"/>
  <c r="D1980" i="7"/>
  <c r="D1979" i="7"/>
  <c r="D1978" i="7"/>
  <c r="D1977" i="7"/>
  <c r="D1976" i="7"/>
  <c r="D1975" i="7"/>
  <c r="D1974" i="7"/>
  <c r="D1973" i="7"/>
  <c r="D1972" i="7"/>
  <c r="D1971" i="7"/>
  <c r="D1970" i="7"/>
  <c r="D1969" i="7"/>
  <c r="D1968" i="7"/>
  <c r="D1967" i="7"/>
  <c r="D1966" i="7"/>
  <c r="D1965" i="7"/>
  <c r="D1964" i="7"/>
  <c r="D1963" i="7"/>
  <c r="D1962" i="7"/>
  <c r="D1961" i="7"/>
  <c r="D1960" i="7"/>
  <c r="D1959" i="7"/>
  <c r="D1958" i="7"/>
  <c r="D1957" i="7"/>
  <c r="D1956" i="7"/>
  <c r="D1955" i="7"/>
  <c r="D1954" i="7"/>
  <c r="D1953" i="7"/>
  <c r="D1952" i="7"/>
  <c r="D1951" i="7"/>
  <c r="D1950" i="7"/>
  <c r="D1949" i="7"/>
  <c r="D1948" i="7"/>
  <c r="D1947" i="7"/>
  <c r="D1946" i="7"/>
  <c r="D1945" i="7"/>
  <c r="D1944" i="7"/>
  <c r="D1943" i="7"/>
  <c r="D1942" i="7"/>
  <c r="D1941" i="7"/>
  <c r="D1940" i="7"/>
  <c r="D1939" i="7"/>
  <c r="D1938" i="7"/>
  <c r="D1937" i="7"/>
  <c r="D1936" i="7"/>
  <c r="D1935" i="7"/>
  <c r="D1934" i="7"/>
  <c r="D1933" i="7"/>
  <c r="D1932" i="7"/>
  <c r="D1931" i="7"/>
  <c r="D1930" i="7"/>
  <c r="D1929" i="7"/>
  <c r="D1928" i="7"/>
  <c r="D1927" i="7"/>
  <c r="D1926" i="7"/>
  <c r="D1925" i="7"/>
  <c r="D1924" i="7"/>
  <c r="D1923" i="7"/>
  <c r="D1922" i="7"/>
  <c r="D1921" i="7"/>
  <c r="D1920" i="7"/>
  <c r="D1919" i="7"/>
  <c r="D1918" i="7"/>
  <c r="D1917" i="7"/>
  <c r="D1916" i="7"/>
  <c r="D1915" i="7"/>
  <c r="D1914" i="7"/>
  <c r="D1913" i="7"/>
  <c r="D1912" i="7"/>
  <c r="D1911" i="7"/>
  <c r="D1910" i="7"/>
  <c r="D1909" i="7"/>
  <c r="D1908" i="7"/>
  <c r="D1907" i="7"/>
  <c r="D1906" i="7"/>
  <c r="D1905" i="7"/>
  <c r="D1904" i="7"/>
  <c r="D1903" i="7"/>
  <c r="D1902" i="7"/>
  <c r="D1901" i="7"/>
  <c r="D1900" i="7"/>
  <c r="D1899" i="7"/>
  <c r="D1898" i="7"/>
  <c r="D1897" i="7"/>
  <c r="D1896" i="7"/>
  <c r="D1895" i="7"/>
  <c r="D1894" i="7"/>
  <c r="D1893" i="7"/>
  <c r="D1892" i="7"/>
  <c r="D1891" i="7"/>
  <c r="D1890" i="7"/>
  <c r="D1889" i="7"/>
  <c r="D1888" i="7"/>
  <c r="D1887" i="7"/>
  <c r="D1886" i="7"/>
  <c r="D1885" i="7"/>
  <c r="D1884" i="7"/>
  <c r="D1883" i="7"/>
  <c r="D1882" i="7"/>
  <c r="D1881" i="7"/>
  <c r="D1880" i="7"/>
  <c r="D1879" i="7"/>
  <c r="D1878" i="7"/>
  <c r="D1877" i="7"/>
  <c r="D1876" i="7"/>
  <c r="D1875" i="7"/>
  <c r="D1874" i="7"/>
  <c r="D1873" i="7"/>
  <c r="D1872" i="7"/>
  <c r="D1871" i="7"/>
  <c r="D1870" i="7"/>
  <c r="D1869" i="7"/>
  <c r="D1868" i="7"/>
  <c r="D1867" i="7"/>
  <c r="D1866" i="7"/>
  <c r="D1865" i="7"/>
  <c r="D1864" i="7"/>
  <c r="D1863" i="7"/>
  <c r="D1862" i="7"/>
  <c r="D1861" i="7"/>
  <c r="D1860" i="7"/>
  <c r="D1859" i="7"/>
  <c r="D1858" i="7"/>
  <c r="D1857" i="7"/>
  <c r="D1856" i="7"/>
  <c r="D1855" i="7"/>
  <c r="D1854" i="7"/>
  <c r="D1853" i="7"/>
  <c r="D1852" i="7"/>
  <c r="D1851" i="7"/>
  <c r="D1850" i="7"/>
  <c r="D1849" i="7"/>
  <c r="D1848" i="7"/>
  <c r="D1847" i="7"/>
  <c r="D1846" i="7"/>
  <c r="D1845" i="7"/>
  <c r="D1844" i="7"/>
  <c r="D1843" i="7"/>
  <c r="D1842" i="7"/>
  <c r="D1841" i="7"/>
  <c r="D1840" i="7"/>
  <c r="D1839" i="7"/>
  <c r="D1838" i="7"/>
  <c r="D1837" i="7"/>
  <c r="D1836" i="7"/>
  <c r="D1835" i="7"/>
  <c r="D1834" i="7"/>
  <c r="D1833" i="7"/>
  <c r="D1832" i="7"/>
  <c r="D1831" i="7"/>
  <c r="D1830" i="7"/>
  <c r="D1829" i="7"/>
  <c r="D1828" i="7"/>
  <c r="D1827" i="7"/>
  <c r="D1826" i="7"/>
  <c r="D1825" i="7"/>
  <c r="D1824" i="7"/>
  <c r="D1823" i="7"/>
  <c r="D1822" i="7"/>
  <c r="D1821" i="7"/>
  <c r="D1820" i="7"/>
  <c r="D1819" i="7"/>
  <c r="D1818" i="7"/>
  <c r="D1817" i="7"/>
  <c r="D1816" i="7"/>
  <c r="D1815" i="7"/>
  <c r="D1814" i="7"/>
  <c r="D1813" i="7"/>
  <c r="D1812" i="7"/>
  <c r="D1811" i="7"/>
  <c r="D1810" i="7"/>
  <c r="D1809" i="7"/>
  <c r="D1808" i="7"/>
  <c r="D1807" i="7"/>
  <c r="D1806" i="7"/>
  <c r="D1805" i="7"/>
  <c r="D1804" i="7"/>
  <c r="D1803" i="7"/>
  <c r="D1802" i="7"/>
  <c r="D1801" i="7"/>
  <c r="D1800" i="7"/>
  <c r="D1799" i="7"/>
  <c r="D1798" i="7"/>
  <c r="D1797" i="7"/>
  <c r="D1796" i="7"/>
  <c r="D1795" i="7"/>
  <c r="D1794" i="7"/>
  <c r="D1793" i="7"/>
  <c r="D1792" i="7"/>
  <c r="D1791" i="7"/>
  <c r="D1790" i="7"/>
  <c r="D1789" i="7"/>
  <c r="D1788" i="7"/>
  <c r="D1787" i="7"/>
  <c r="D1786" i="7"/>
  <c r="D1785" i="7"/>
  <c r="D1784" i="7"/>
  <c r="D1783" i="7"/>
  <c r="D1782" i="7"/>
  <c r="D1781" i="7"/>
  <c r="D1780" i="7"/>
  <c r="D1779" i="7"/>
  <c r="D1778" i="7"/>
  <c r="D1777" i="7"/>
  <c r="D1776" i="7"/>
  <c r="D1775" i="7"/>
  <c r="D1774" i="7"/>
  <c r="D1773" i="7"/>
  <c r="D1772" i="7"/>
  <c r="D1771" i="7"/>
  <c r="D1770" i="7"/>
  <c r="D1769" i="7"/>
  <c r="D1768" i="7"/>
  <c r="D1767" i="7"/>
  <c r="D1766" i="7"/>
  <c r="D1765" i="7"/>
  <c r="D1764" i="7"/>
  <c r="D1763" i="7"/>
  <c r="D1762" i="7"/>
  <c r="D1761" i="7"/>
  <c r="D1760" i="7"/>
  <c r="D1759" i="7"/>
  <c r="D1758" i="7"/>
  <c r="D1757" i="7"/>
  <c r="D1756" i="7"/>
  <c r="D1755" i="7"/>
  <c r="D1754" i="7"/>
  <c r="D1753" i="7"/>
  <c r="D1752" i="7"/>
  <c r="D1751" i="7"/>
  <c r="D1750" i="7"/>
  <c r="D1749" i="7"/>
  <c r="D1748" i="7"/>
  <c r="D1747" i="7"/>
  <c r="D1746" i="7"/>
  <c r="D1745" i="7"/>
  <c r="D1744" i="7"/>
  <c r="D1743" i="7"/>
  <c r="D1742" i="7"/>
  <c r="D1741" i="7"/>
  <c r="D1740" i="7"/>
  <c r="D1739" i="7"/>
  <c r="D1738" i="7"/>
  <c r="D1737" i="7"/>
  <c r="D1736" i="7"/>
  <c r="D1735" i="7"/>
  <c r="D1734" i="7"/>
  <c r="D1733" i="7"/>
  <c r="D1732" i="7"/>
  <c r="D1731" i="7"/>
  <c r="D1730" i="7"/>
  <c r="D1729" i="7"/>
  <c r="D1728" i="7"/>
  <c r="D1727" i="7"/>
  <c r="D1726" i="7"/>
  <c r="D1725" i="7"/>
  <c r="D1724" i="7"/>
  <c r="D1723" i="7"/>
  <c r="D1722" i="7"/>
  <c r="D1721" i="7"/>
  <c r="D1720" i="7"/>
  <c r="D1719" i="7"/>
  <c r="D1718" i="7"/>
  <c r="D1717" i="7"/>
  <c r="D1716" i="7"/>
  <c r="D1715" i="7"/>
  <c r="D1714" i="7"/>
  <c r="D1713" i="7"/>
  <c r="D1712" i="7"/>
  <c r="D1711" i="7"/>
  <c r="D1710" i="7"/>
  <c r="D1709" i="7"/>
  <c r="D1708" i="7"/>
  <c r="D1707" i="7"/>
  <c r="D1706" i="7"/>
  <c r="D1705" i="7"/>
  <c r="D1704" i="7"/>
  <c r="D1703" i="7"/>
  <c r="D1702" i="7"/>
  <c r="D1701" i="7"/>
  <c r="D1700" i="7"/>
  <c r="D1699" i="7"/>
  <c r="D1698" i="7"/>
  <c r="D1697" i="7"/>
  <c r="D1696" i="7"/>
  <c r="D1695" i="7"/>
  <c r="D1694" i="7"/>
  <c r="D1693" i="7"/>
  <c r="D1692" i="7"/>
  <c r="D1691" i="7"/>
  <c r="D1690" i="7"/>
  <c r="D1689" i="7"/>
  <c r="D1688" i="7"/>
  <c r="D1687" i="7"/>
  <c r="D1686" i="7"/>
  <c r="D1685" i="7"/>
  <c r="D1684" i="7"/>
  <c r="D1683" i="7"/>
  <c r="D1682" i="7"/>
  <c r="D1681" i="7"/>
  <c r="D1680" i="7"/>
  <c r="D1679" i="7"/>
  <c r="D1678" i="7"/>
  <c r="D1677" i="7"/>
  <c r="D1676" i="7"/>
  <c r="D1675" i="7"/>
  <c r="D1674" i="7"/>
  <c r="D1673" i="7"/>
  <c r="D1672" i="7"/>
  <c r="D1671" i="7"/>
  <c r="D1670" i="7"/>
  <c r="D1669" i="7"/>
  <c r="D1668" i="7"/>
  <c r="D1667" i="7"/>
  <c r="D1666" i="7"/>
  <c r="D1665" i="7"/>
  <c r="D1664" i="7"/>
  <c r="D1663" i="7"/>
  <c r="D1662" i="7"/>
  <c r="D1661" i="7"/>
  <c r="D1660" i="7"/>
  <c r="D1659" i="7"/>
  <c r="D1658" i="7"/>
  <c r="D1657" i="7"/>
  <c r="D1656" i="7"/>
  <c r="D1655" i="7"/>
  <c r="D1654" i="7"/>
  <c r="D1653" i="7"/>
  <c r="D1652" i="7"/>
  <c r="D1651" i="7"/>
  <c r="D1650" i="7"/>
  <c r="D1649" i="7"/>
  <c r="D1648" i="7"/>
  <c r="D1647" i="7"/>
  <c r="D1646" i="7"/>
  <c r="D1645" i="7"/>
  <c r="D1644" i="7"/>
  <c r="D1643" i="7"/>
  <c r="D1642" i="7"/>
  <c r="D1641" i="7"/>
  <c r="D1640" i="7"/>
  <c r="D1639" i="7"/>
  <c r="D1638" i="7"/>
  <c r="D1637" i="7"/>
  <c r="D1636" i="7"/>
  <c r="D1635" i="7"/>
  <c r="D1634" i="7"/>
  <c r="D1633" i="7"/>
  <c r="D1632" i="7"/>
  <c r="D1631" i="7"/>
  <c r="D1630" i="7"/>
  <c r="D1629" i="7"/>
  <c r="D1628" i="7"/>
  <c r="D1627" i="7"/>
  <c r="D1626" i="7"/>
  <c r="D1625" i="7"/>
  <c r="D1624" i="7"/>
  <c r="D1623" i="7"/>
  <c r="D1622" i="7"/>
  <c r="D1621" i="7"/>
  <c r="D1620" i="7"/>
  <c r="D1619" i="7"/>
  <c r="D1618" i="7"/>
  <c r="D1617" i="7"/>
  <c r="D1616" i="7"/>
  <c r="D1615" i="7"/>
  <c r="D1614" i="7"/>
  <c r="D1613" i="7"/>
  <c r="D1612" i="7"/>
  <c r="D1611" i="7"/>
  <c r="D1610" i="7"/>
  <c r="D1609" i="7"/>
  <c r="D1608" i="7"/>
  <c r="D1607" i="7"/>
  <c r="D1606" i="7"/>
  <c r="D1605" i="7"/>
  <c r="D1604" i="7"/>
  <c r="D1603" i="7"/>
  <c r="D1602" i="7"/>
  <c r="D1601" i="7"/>
  <c r="D1600" i="7"/>
  <c r="D1599" i="7"/>
  <c r="D1598" i="7"/>
  <c r="D1597" i="7"/>
  <c r="D1596" i="7"/>
  <c r="D1595" i="7"/>
  <c r="D1594" i="7"/>
  <c r="D1593" i="7"/>
  <c r="D1592" i="7"/>
  <c r="D1591" i="7"/>
  <c r="D1590" i="7"/>
  <c r="D1589" i="7"/>
  <c r="D1588" i="7"/>
  <c r="D1587" i="7"/>
  <c r="D1586" i="7"/>
  <c r="D1585" i="7"/>
  <c r="D1584" i="7"/>
  <c r="D1583" i="7"/>
  <c r="D1582" i="7"/>
  <c r="D1581" i="7"/>
  <c r="D1580" i="7"/>
  <c r="D1579" i="7"/>
  <c r="D1578" i="7"/>
  <c r="D1577" i="7"/>
  <c r="D1576" i="7"/>
  <c r="D1575" i="7"/>
  <c r="D1574" i="7"/>
  <c r="D1573" i="7"/>
  <c r="D1572" i="7"/>
  <c r="D1571" i="7"/>
  <c r="D1570" i="7"/>
  <c r="D1569" i="7"/>
  <c r="D1568" i="7"/>
  <c r="D1567" i="7"/>
  <c r="D1566" i="7"/>
  <c r="D1565" i="7"/>
  <c r="D1564" i="7"/>
  <c r="D1563" i="7"/>
  <c r="D1562" i="7"/>
  <c r="D1561" i="7"/>
  <c r="D1560" i="7"/>
  <c r="D1559" i="7"/>
  <c r="D1558" i="7"/>
  <c r="D1557" i="7"/>
  <c r="D1556" i="7"/>
  <c r="D1555" i="7"/>
  <c r="D1554" i="7"/>
  <c r="D1553" i="7"/>
  <c r="D1552" i="7"/>
  <c r="D1551" i="7"/>
  <c r="D1550" i="7"/>
  <c r="D1549" i="7"/>
  <c r="D1548" i="7"/>
  <c r="D1547" i="7"/>
  <c r="D1546" i="7"/>
  <c r="D1545" i="7"/>
  <c r="D1544" i="7"/>
  <c r="D1543" i="7"/>
  <c r="D1542" i="7"/>
  <c r="D1541" i="7"/>
  <c r="D1540" i="7"/>
  <c r="D1539" i="7"/>
  <c r="D1538" i="7"/>
  <c r="D1537" i="7"/>
  <c r="D1536" i="7"/>
  <c r="D1535" i="7"/>
  <c r="D1534" i="7"/>
  <c r="D1533" i="7"/>
  <c r="D1532" i="7"/>
  <c r="D1531" i="7"/>
  <c r="D1530" i="7"/>
  <c r="D1529" i="7"/>
  <c r="D1528" i="7"/>
  <c r="D1527" i="7"/>
  <c r="D1526" i="7"/>
  <c r="D1525" i="7"/>
  <c r="D1524" i="7"/>
  <c r="D1523" i="7"/>
  <c r="D1522" i="7"/>
  <c r="D1521" i="7"/>
  <c r="D1520" i="7"/>
  <c r="D1519" i="7"/>
  <c r="D1518" i="7"/>
  <c r="D1517" i="7"/>
  <c r="D1516" i="7"/>
  <c r="D1515" i="7"/>
  <c r="D1514" i="7"/>
  <c r="D1513" i="7"/>
  <c r="D1512" i="7"/>
  <c r="D1511" i="7"/>
  <c r="D1510" i="7"/>
  <c r="D1509" i="7"/>
  <c r="D1508" i="7"/>
  <c r="D1507" i="7"/>
  <c r="D1506" i="7"/>
  <c r="D1505" i="7"/>
  <c r="D1504" i="7"/>
  <c r="D1503" i="7"/>
  <c r="D1502" i="7"/>
  <c r="D1501" i="7"/>
  <c r="D1500" i="7"/>
  <c r="D1499" i="7"/>
  <c r="D1498" i="7"/>
  <c r="D1497" i="7"/>
  <c r="D1496" i="7"/>
  <c r="D1495" i="7"/>
  <c r="D1494" i="7"/>
  <c r="D1493" i="7"/>
  <c r="D1492" i="7"/>
  <c r="D1491" i="7"/>
  <c r="D1490" i="7"/>
  <c r="D1489" i="7"/>
  <c r="D1488" i="7"/>
  <c r="D1487" i="7"/>
  <c r="D1486" i="7"/>
  <c r="D1485" i="7"/>
  <c r="D1484" i="7"/>
  <c r="D1483" i="7"/>
  <c r="D1482" i="7"/>
  <c r="D1481" i="7"/>
  <c r="D1480" i="7"/>
  <c r="D1479" i="7"/>
  <c r="D1478" i="7"/>
  <c r="D1477" i="7"/>
  <c r="D1476" i="7"/>
  <c r="D1475" i="7"/>
  <c r="D1474" i="7"/>
  <c r="D1473" i="7"/>
  <c r="D1472" i="7"/>
  <c r="D1471" i="7"/>
  <c r="D1470" i="7"/>
  <c r="D1469" i="7"/>
  <c r="D1468" i="7"/>
  <c r="D1467" i="7"/>
  <c r="D1466" i="7"/>
  <c r="D1465" i="7"/>
  <c r="D1464" i="7"/>
  <c r="D1463" i="7"/>
  <c r="D1462" i="7"/>
  <c r="D1461" i="7"/>
  <c r="D1460" i="7"/>
  <c r="D1459" i="7"/>
  <c r="D1458" i="7"/>
  <c r="D1457" i="7"/>
  <c r="D1456" i="7"/>
  <c r="D1455" i="7"/>
  <c r="D1454" i="7"/>
  <c r="D1453" i="7"/>
  <c r="D1452" i="7"/>
  <c r="D1451" i="7"/>
  <c r="D1450" i="7"/>
  <c r="D1449" i="7"/>
  <c r="D1448" i="7"/>
  <c r="D1447" i="7"/>
  <c r="D1446" i="7"/>
  <c r="D1445" i="7"/>
  <c r="D1444" i="7"/>
  <c r="D1443" i="7"/>
  <c r="D1442" i="7"/>
  <c r="D1441" i="7"/>
  <c r="D1440" i="7"/>
  <c r="D1439" i="7"/>
  <c r="D1438" i="7"/>
  <c r="D1437" i="7"/>
  <c r="D1436" i="7"/>
  <c r="D1435" i="7"/>
  <c r="D1434" i="7"/>
  <c r="D1433" i="7"/>
  <c r="D1432" i="7"/>
  <c r="D1431" i="7"/>
  <c r="D1430" i="7"/>
  <c r="D1429" i="7"/>
  <c r="D1428" i="7"/>
  <c r="D1427" i="7"/>
  <c r="D1426" i="7"/>
  <c r="D1425" i="7"/>
  <c r="D1424" i="7"/>
  <c r="D1423" i="7"/>
  <c r="D1422" i="7"/>
  <c r="D1421" i="7"/>
  <c r="D1420" i="7"/>
  <c r="D1419" i="7"/>
  <c r="D1418" i="7"/>
  <c r="D1417" i="7"/>
  <c r="D1416" i="7"/>
  <c r="D1415" i="7"/>
  <c r="D1414" i="7"/>
  <c r="D1413" i="7"/>
  <c r="D1412" i="7"/>
  <c r="D1411" i="7"/>
  <c r="D1410" i="7"/>
  <c r="D1409" i="7"/>
  <c r="D1408" i="7"/>
  <c r="D1407" i="7"/>
  <c r="D1406" i="7"/>
  <c r="D1405" i="7"/>
  <c r="D1404" i="7"/>
  <c r="D1403" i="7"/>
  <c r="D1402" i="7"/>
  <c r="D1401" i="7"/>
  <c r="D1400" i="7"/>
  <c r="D1399" i="7"/>
  <c r="D1398" i="7"/>
  <c r="D1397" i="7"/>
  <c r="D1396" i="7"/>
  <c r="D1395" i="7"/>
  <c r="D1394" i="7"/>
  <c r="D1393" i="7"/>
  <c r="D1392" i="7"/>
  <c r="D1391" i="7"/>
  <c r="D1390" i="7"/>
  <c r="D1389" i="7"/>
  <c r="D1388" i="7"/>
  <c r="D1387" i="7"/>
  <c r="D1386" i="7"/>
  <c r="D1385" i="7"/>
  <c r="D1384" i="7"/>
  <c r="D1383" i="7"/>
  <c r="D1382" i="7"/>
  <c r="D1381" i="7"/>
  <c r="D1380" i="7"/>
  <c r="D1379" i="7"/>
  <c r="D1378" i="7"/>
  <c r="D1377" i="7"/>
  <c r="D1376" i="7"/>
  <c r="D1375" i="7"/>
  <c r="D1374" i="7"/>
  <c r="D1373" i="7"/>
  <c r="D1372" i="7"/>
  <c r="D1371" i="7"/>
  <c r="D1370" i="7"/>
  <c r="D1369" i="7"/>
  <c r="D1368" i="7"/>
  <c r="D1367" i="7"/>
  <c r="D1366" i="7"/>
  <c r="D1365" i="7"/>
  <c r="D1364" i="7"/>
  <c r="D1363" i="7"/>
  <c r="D1362" i="7"/>
  <c r="D1361" i="7"/>
  <c r="D1360" i="7"/>
  <c r="D1359" i="7"/>
  <c r="D1358" i="7"/>
  <c r="D1357" i="7"/>
  <c r="D1356" i="7"/>
  <c r="D1355" i="7"/>
  <c r="D1354" i="7"/>
  <c r="D1353" i="7"/>
  <c r="D1352" i="7"/>
  <c r="D1351" i="7"/>
  <c r="D1350" i="7"/>
  <c r="D1349" i="7"/>
  <c r="D1348" i="7"/>
  <c r="D1347" i="7"/>
  <c r="D1346" i="7"/>
  <c r="D1345" i="7"/>
  <c r="D1344" i="7"/>
  <c r="D1343" i="7"/>
  <c r="D1342" i="7"/>
  <c r="D1341" i="7"/>
  <c r="D1340" i="7"/>
  <c r="D1339" i="7"/>
  <c r="D1338" i="7"/>
  <c r="D1337" i="7"/>
  <c r="D1336" i="7"/>
  <c r="D1335" i="7"/>
  <c r="D1334" i="7"/>
  <c r="D1333" i="7"/>
  <c r="D1332" i="7"/>
  <c r="D1331" i="7"/>
  <c r="D1330" i="7"/>
  <c r="D1329" i="7"/>
  <c r="D1328" i="7"/>
  <c r="D1327" i="7"/>
  <c r="D1326" i="7"/>
  <c r="D1325" i="7"/>
  <c r="D1324" i="7"/>
  <c r="D1323" i="7"/>
  <c r="D1322" i="7"/>
  <c r="D1321" i="7"/>
  <c r="D1320" i="7"/>
  <c r="D1319" i="7"/>
  <c r="D1318" i="7"/>
  <c r="D1317" i="7"/>
  <c r="D1316" i="7"/>
  <c r="D1315" i="7"/>
  <c r="D1314" i="7"/>
  <c r="D1313" i="7"/>
  <c r="D1312" i="7"/>
  <c r="D1311" i="7"/>
  <c r="D1310" i="7"/>
  <c r="D1309" i="7"/>
  <c r="D1308" i="7"/>
  <c r="D1307" i="7"/>
  <c r="D1306" i="7"/>
  <c r="D1305" i="7"/>
  <c r="D1304" i="7"/>
  <c r="D1303" i="7"/>
  <c r="D1302" i="7"/>
  <c r="D1301" i="7"/>
  <c r="D1300" i="7"/>
  <c r="D1299" i="7"/>
  <c r="D1298" i="7"/>
  <c r="D1297" i="7"/>
  <c r="D1296" i="7"/>
  <c r="D1295" i="7"/>
  <c r="D1294" i="7"/>
  <c r="D1293" i="7"/>
  <c r="D1292" i="7"/>
  <c r="D1291" i="7"/>
  <c r="D1290" i="7"/>
  <c r="D1289" i="7"/>
  <c r="D1288" i="7"/>
  <c r="D1287" i="7"/>
  <c r="D1286" i="7"/>
  <c r="D1285" i="7"/>
  <c r="D1284" i="7"/>
  <c r="D1283" i="7"/>
  <c r="D1282" i="7"/>
  <c r="D1281" i="7"/>
  <c r="D1280" i="7"/>
  <c r="D1279" i="7"/>
  <c r="D1278" i="7"/>
  <c r="D1277" i="7"/>
  <c r="D1276" i="7"/>
  <c r="D1275" i="7"/>
  <c r="D1274" i="7"/>
  <c r="D1273" i="7"/>
  <c r="D1272" i="7"/>
  <c r="D1271" i="7"/>
  <c r="D1270" i="7"/>
  <c r="D1269" i="7"/>
  <c r="D1268" i="7"/>
  <c r="D1267" i="7"/>
  <c r="D1266" i="7"/>
  <c r="D1265" i="7"/>
  <c r="D1264" i="7"/>
  <c r="D1263" i="7"/>
  <c r="D1262" i="7"/>
  <c r="D1261" i="7"/>
  <c r="D1260" i="7"/>
  <c r="D1259" i="7"/>
  <c r="D1258" i="7"/>
  <c r="D1257" i="7"/>
  <c r="D1256" i="7"/>
  <c r="D1255" i="7"/>
  <c r="D1254" i="7"/>
  <c r="D1253" i="7"/>
  <c r="D1252" i="7"/>
  <c r="D1251" i="7"/>
  <c r="D1250" i="7"/>
  <c r="D1249" i="7"/>
  <c r="D1248" i="7"/>
  <c r="D1247" i="7"/>
  <c r="D1246" i="7"/>
  <c r="D1245" i="7"/>
  <c r="D1244" i="7"/>
  <c r="D1243" i="7"/>
  <c r="D1242" i="7"/>
  <c r="D1241" i="7"/>
  <c r="D1240" i="7"/>
  <c r="D1239" i="7"/>
  <c r="D1238" i="7"/>
  <c r="D1237" i="7"/>
  <c r="D1236" i="7"/>
  <c r="D1235" i="7"/>
  <c r="D1234" i="7"/>
  <c r="D1233" i="7"/>
  <c r="D1232" i="7"/>
  <c r="D1231" i="7"/>
  <c r="D1230" i="7"/>
  <c r="D1229" i="7"/>
  <c r="D1228" i="7"/>
  <c r="D1227" i="7"/>
  <c r="D1226" i="7"/>
  <c r="D1225" i="7"/>
  <c r="D1224" i="7"/>
  <c r="D1223" i="7"/>
  <c r="D1222" i="7"/>
  <c r="D1221" i="7"/>
  <c r="D1220" i="7"/>
  <c r="D1219" i="7"/>
  <c r="D1218" i="7"/>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S8" i="16"/>
  <c r="S9" i="16"/>
  <c r="S7" i="16"/>
  <c r="R8" i="16"/>
  <c r="R9" i="16"/>
  <c r="R7" i="16"/>
  <c r="S4" i="16"/>
  <c r="S3" i="16"/>
  <c r="R4" i="16"/>
  <c r="R3" i="16"/>
  <c r="Q4" i="16"/>
  <c r="Q3" i="16"/>
  <c r="N5" i="16"/>
  <c r="M4" i="16"/>
  <c r="N4" i="16"/>
  <c r="M3" i="16"/>
  <c r="N3" i="16" s="1"/>
  <c r="M5" i="16"/>
  <c r="L6" i="16"/>
  <c r="C14" i="16"/>
  <c r="C15" i="16"/>
  <c r="C17" i="16"/>
  <c r="C18" i="16"/>
  <c r="C13" i="16"/>
  <c r="C16"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J13" i="16"/>
  <c r="K13" i="16" s="1"/>
  <c r="J14" i="16"/>
  <c r="J15" i="16"/>
  <c r="J16" i="16"/>
  <c r="J17" i="16"/>
  <c r="J18" i="16"/>
  <c r="J19" i="16"/>
  <c r="J20" i="16"/>
  <c r="J21" i="16"/>
  <c r="J22" i="16"/>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2" i="15"/>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2" i="14"/>
  <c r="B7" i="4"/>
  <c r="B10" i="4" s="1"/>
  <c r="C7" i="4"/>
  <c r="C10" i="4" s="1"/>
  <c r="D7" i="4"/>
  <c r="D10" i="4" s="1"/>
  <c r="E7" i="4"/>
  <c r="E10" i="4" s="1"/>
  <c r="F7" i="4"/>
  <c r="F10" i="4" s="1"/>
  <c r="G7" i="4"/>
  <c r="G10" i="4" s="1"/>
  <c r="H7" i="4"/>
  <c r="H10" i="4" s="1"/>
  <c r="I7" i="4"/>
  <c r="I10" i="4" s="1"/>
  <c r="J7" i="4"/>
  <c r="J10" i="4" s="1"/>
  <c r="K7" i="4"/>
  <c r="K10" i="4" s="1"/>
  <c r="L7" i="4"/>
  <c r="L10" i="4" s="1"/>
  <c r="M7" i="4"/>
  <c r="M10" i="4" s="1"/>
  <c r="N7" i="4"/>
  <c r="N10" i="4" s="1"/>
  <c r="O7" i="4"/>
  <c r="O10" i="4" s="1"/>
  <c r="P7" i="4"/>
  <c r="P10" i="4" s="1"/>
  <c r="Q7" i="4"/>
  <c r="Q10" i="4" s="1"/>
  <c r="R7" i="4"/>
  <c r="R10" i="4" s="1"/>
  <c r="R18" i="4" s="1"/>
  <c r="S7" i="4"/>
  <c r="S10" i="4" s="1"/>
  <c r="T7" i="4"/>
  <c r="T10" i="4" s="1"/>
  <c r="U7" i="4"/>
  <c r="U10" i="4" s="1"/>
  <c r="V7" i="4"/>
  <c r="V10" i="4" s="1"/>
  <c r="W7" i="4"/>
  <c r="W10" i="4" s="1"/>
  <c r="X7" i="4"/>
  <c r="X10" i="4" s="1"/>
  <c r="Y7" i="4"/>
  <c r="Y10" i="4" s="1"/>
  <c r="Z7" i="4"/>
  <c r="Z10" i="4" s="1"/>
  <c r="AA7" i="4"/>
  <c r="AA10" i="4" s="1"/>
  <c r="AB7" i="4"/>
  <c r="AB10" i="4" s="1"/>
  <c r="AC7" i="4"/>
  <c r="AC10" i="4" s="1"/>
  <c r="AD7" i="4"/>
  <c r="AD10" i="4" s="1"/>
  <c r="AE7" i="4"/>
  <c r="AE10" i="4" s="1"/>
  <c r="AF7" i="4"/>
  <c r="AF10" i="4" s="1"/>
  <c r="AG7" i="4"/>
  <c r="AG10" i="4" s="1"/>
  <c r="AH7" i="4"/>
  <c r="AH10" i="4" s="1"/>
  <c r="AI7" i="4"/>
  <c r="AI10" i="4" s="1"/>
  <c r="AJ7" i="4"/>
  <c r="AJ10" i="4" s="1"/>
  <c r="AK7" i="4"/>
  <c r="AK10" i="4" s="1"/>
  <c r="AL7" i="4"/>
  <c r="AL10" i="4" s="1"/>
  <c r="AM7" i="4"/>
  <c r="AM10" i="4" s="1"/>
  <c r="AN7" i="4"/>
  <c r="AN10" i="4" s="1"/>
  <c r="AO7" i="4"/>
  <c r="AO10" i="4" s="1"/>
  <c r="AP7" i="4"/>
  <c r="AP10" i="4" s="1"/>
  <c r="AP18" i="4" s="1"/>
  <c r="AQ7" i="4"/>
  <c r="AQ10" i="4" s="1"/>
  <c r="AR7" i="4"/>
  <c r="AR10" i="4" s="1"/>
  <c r="AS7" i="4"/>
  <c r="AS10" i="4" s="1"/>
  <c r="AT7" i="4"/>
  <c r="AT10" i="4" s="1"/>
  <c r="AU7" i="4"/>
  <c r="AU10" i="4" s="1"/>
  <c r="AV7" i="4"/>
  <c r="AV10" i="4" s="1"/>
  <c r="AW7" i="4"/>
  <c r="AW10" i="4" s="1"/>
  <c r="AX7" i="4"/>
  <c r="AX10" i="4" s="1"/>
  <c r="AY7" i="4"/>
  <c r="AY10" i="4" s="1"/>
  <c r="AZ7" i="4"/>
  <c r="AZ10" i="4" s="1"/>
  <c r="BA7" i="4"/>
  <c r="BA10" i="4"/>
  <c r="BB7" i="4"/>
  <c r="BB10" i="4" s="1"/>
  <c r="BC7" i="4"/>
  <c r="BC10" i="4" s="1"/>
  <c r="B16" i="4"/>
  <c r="C16" i="4"/>
  <c r="D16" i="4"/>
  <c r="E16" i="4"/>
  <c r="F16" i="4"/>
  <c r="G16" i="4"/>
  <c r="H16" i="4"/>
  <c r="I16" i="4"/>
  <c r="J16" i="4"/>
  <c r="K16" i="4"/>
  <c r="L16" i="4"/>
  <c r="M16" i="4"/>
  <c r="N16" i="4"/>
  <c r="O16" i="4"/>
  <c r="P16" i="4"/>
  <c r="Q16" i="4"/>
  <c r="Q18" i="4" s="1"/>
  <c r="R16" i="4"/>
  <c r="S16" i="4"/>
  <c r="T16" i="4"/>
  <c r="U16" i="4"/>
  <c r="V16" i="4"/>
  <c r="W16" i="4"/>
  <c r="X16" i="4"/>
  <c r="Y16" i="4"/>
  <c r="Z16" i="4"/>
  <c r="AA16" i="4"/>
  <c r="AB16" i="4"/>
  <c r="AC16" i="4"/>
  <c r="AD16" i="4"/>
  <c r="AE16" i="4"/>
  <c r="AF16" i="4"/>
  <c r="AG16" i="4"/>
  <c r="AH16" i="4"/>
  <c r="AI16" i="4"/>
  <c r="AJ16" i="4"/>
  <c r="AK16" i="4"/>
  <c r="AL16" i="4"/>
  <c r="AM16" i="4"/>
  <c r="AN16" i="4"/>
  <c r="AO16" i="4"/>
  <c r="AP16" i="4"/>
  <c r="AQ16" i="4"/>
  <c r="AR16" i="4"/>
  <c r="AS16" i="4"/>
  <c r="AT16" i="4"/>
  <c r="AU16" i="4"/>
  <c r="AV16" i="4"/>
  <c r="AW16" i="4"/>
  <c r="AX16" i="4"/>
  <c r="AY16" i="4"/>
  <c r="AZ16" i="4"/>
  <c r="BA16" i="4"/>
  <c r="BB16" i="4"/>
  <c r="BC16" i="4"/>
  <c r="K40" i="3"/>
  <c r="E3" i="3"/>
  <c r="D3" i="3"/>
  <c r="E4" i="3"/>
  <c r="D4" i="3"/>
  <c r="E5" i="3"/>
  <c r="D5" i="3"/>
  <c r="E6" i="3"/>
  <c r="D6" i="3"/>
  <c r="E7" i="3"/>
  <c r="F7" i="3" s="1"/>
  <c r="D7" i="3"/>
  <c r="E8" i="3"/>
  <c r="D8" i="3"/>
  <c r="E9" i="3"/>
  <c r="D9" i="3"/>
  <c r="E10" i="3"/>
  <c r="D10" i="3"/>
  <c r="E11" i="3"/>
  <c r="D11" i="3"/>
  <c r="E12" i="3"/>
  <c r="D12" i="3"/>
  <c r="E13" i="3"/>
  <c r="D13" i="3"/>
  <c r="E14" i="3"/>
  <c r="D14" i="3"/>
  <c r="E15" i="3"/>
  <c r="D15" i="3"/>
  <c r="E16" i="3"/>
  <c r="D16" i="3"/>
  <c r="E17" i="3"/>
  <c r="D17" i="3"/>
  <c r="E18" i="3"/>
  <c r="D18" i="3"/>
  <c r="E19" i="3"/>
  <c r="D19" i="3"/>
  <c r="E20" i="3"/>
  <c r="D20" i="3"/>
  <c r="E21" i="3"/>
  <c r="D21" i="3"/>
  <c r="E22" i="3"/>
  <c r="D22" i="3"/>
  <c r="E23" i="3"/>
  <c r="D23" i="3"/>
  <c r="E24" i="3"/>
  <c r="D24" i="3"/>
  <c r="E25" i="3"/>
  <c r="D25" i="3"/>
  <c r="E26" i="3"/>
  <c r="D26" i="3"/>
  <c r="E27" i="3"/>
  <c r="D27" i="3"/>
  <c r="E28" i="3"/>
  <c r="D28" i="3"/>
  <c r="E29" i="3"/>
  <c r="D29" i="3"/>
  <c r="E30" i="3"/>
  <c r="D30" i="3"/>
  <c r="E31" i="3"/>
  <c r="D31" i="3"/>
  <c r="E32" i="3"/>
  <c r="D32" i="3"/>
  <c r="E33" i="3"/>
  <c r="D33" i="3"/>
  <c r="E34" i="3"/>
  <c r="D34" i="3"/>
  <c r="E35" i="3"/>
  <c r="D35" i="3"/>
  <c r="E36" i="3"/>
  <c r="D36" i="3"/>
  <c r="E37" i="3"/>
  <c r="D37" i="3"/>
  <c r="E38" i="3"/>
  <c r="D38" i="3"/>
  <c r="E39" i="3"/>
  <c r="D39" i="3"/>
  <c r="E40" i="3"/>
  <c r="D40" i="3"/>
  <c r="E41" i="3"/>
  <c r="D41" i="3"/>
  <c r="E42" i="3"/>
  <c r="D42" i="3"/>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3" i="11"/>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3" i="10"/>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J11" i="8"/>
  <c r="H11" i="8"/>
  <c r="E11" i="8"/>
  <c r="C11" i="8"/>
  <c r="D2" i="1"/>
  <c r="E2" i="1" s="1"/>
  <c r="F2" i="1" s="1"/>
  <c r="D3" i="1"/>
  <c r="E3" i="1" s="1"/>
  <c r="F3" i="1" s="1"/>
  <c r="D4" i="1"/>
  <c r="E4" i="1" s="1"/>
  <c r="F4" i="1" s="1"/>
  <c r="D5" i="1"/>
  <c r="E5" i="1" s="1"/>
  <c r="F5" i="1" s="1"/>
  <c r="D6" i="1"/>
  <c r="E6" i="1"/>
  <c r="F6" i="1" s="1"/>
  <c r="D7" i="1"/>
  <c r="E7" i="1" s="1"/>
  <c r="F7" i="1" s="1"/>
  <c r="D8" i="1"/>
  <c r="E8" i="1" s="1"/>
  <c r="F8" i="1" s="1"/>
  <c r="D9" i="1"/>
  <c r="E9" i="1" s="1"/>
  <c r="F9" i="1" s="1"/>
  <c r="D10" i="1"/>
  <c r="E10" i="1" s="1"/>
  <c r="F10" i="1" s="1"/>
  <c r="D11" i="1"/>
  <c r="E11" i="1" s="1"/>
  <c r="F11" i="1" s="1"/>
  <c r="D12" i="1"/>
  <c r="E12" i="1" s="1"/>
  <c r="F12" i="1" s="1"/>
  <c r="D13" i="1"/>
  <c r="E13" i="1" s="1"/>
  <c r="F13" i="1" s="1"/>
  <c r="D14" i="1"/>
  <c r="E14" i="1" s="1"/>
  <c r="F14" i="1" s="1"/>
  <c r="D15" i="1"/>
  <c r="E15" i="1" s="1"/>
  <c r="F15" i="1" s="1"/>
  <c r="D16" i="1"/>
  <c r="E16" i="1" s="1"/>
  <c r="F16" i="1" s="1"/>
  <c r="D17" i="1"/>
  <c r="E17" i="1" s="1"/>
  <c r="F17" i="1" s="1"/>
  <c r="D18" i="1"/>
  <c r="E18" i="1" s="1"/>
  <c r="F18" i="1" s="1"/>
  <c r="D19" i="1"/>
  <c r="E19" i="1" s="1"/>
  <c r="F19" i="1" s="1"/>
  <c r="D20" i="1"/>
  <c r="E20" i="1" s="1"/>
  <c r="F20" i="1" s="1"/>
  <c r="D21" i="1"/>
  <c r="E21" i="1" s="1"/>
  <c r="F21" i="1" s="1"/>
  <c r="D22" i="1"/>
  <c r="E22" i="1" s="1"/>
  <c r="F22" i="1" s="1"/>
  <c r="D23" i="1"/>
  <c r="E23" i="1" s="1"/>
  <c r="F23" i="1" s="1"/>
  <c r="D24" i="1"/>
  <c r="E24" i="1" s="1"/>
  <c r="F24" i="1" s="1"/>
  <c r="D25" i="1"/>
  <c r="E25" i="1" s="1"/>
  <c r="F25" i="1" s="1"/>
  <c r="D26" i="1"/>
  <c r="E26" i="1" s="1"/>
  <c r="F26" i="1" s="1"/>
  <c r="D27" i="1"/>
  <c r="E27" i="1" s="1"/>
  <c r="F27" i="1" s="1"/>
  <c r="D28" i="1"/>
  <c r="E28" i="1" s="1"/>
  <c r="F28" i="1" s="1"/>
  <c r="D29" i="1"/>
  <c r="E29" i="1" s="1"/>
  <c r="F29" i="1" s="1"/>
  <c r="D30" i="1"/>
  <c r="E30" i="1" s="1"/>
  <c r="F30" i="1" s="1"/>
  <c r="D31" i="1"/>
  <c r="E31" i="1" s="1"/>
  <c r="F31" i="1" s="1"/>
  <c r="D32" i="1"/>
  <c r="E32" i="1" s="1"/>
  <c r="F32" i="1" s="1"/>
  <c r="D33" i="1"/>
  <c r="E33" i="1" s="1"/>
  <c r="F33" i="1" s="1"/>
  <c r="D34" i="1"/>
  <c r="E34" i="1" s="1"/>
  <c r="F34" i="1" s="1"/>
  <c r="D35" i="1"/>
  <c r="E35" i="1" s="1"/>
  <c r="F35" i="1" s="1"/>
  <c r="D36" i="1"/>
  <c r="E36" i="1" s="1"/>
  <c r="F36" i="1" s="1"/>
  <c r="D37" i="1"/>
  <c r="E37" i="1" s="1"/>
  <c r="F37" i="1" s="1"/>
  <c r="D38" i="1"/>
  <c r="E38" i="1" s="1"/>
  <c r="F38" i="1" s="1"/>
  <c r="D39" i="1"/>
  <c r="E39" i="1" s="1"/>
  <c r="F39" i="1" s="1"/>
  <c r="D40" i="1"/>
  <c r="E40" i="1" s="1"/>
  <c r="F40" i="1" s="1"/>
  <c r="D41" i="1"/>
  <c r="E41" i="1" s="1"/>
  <c r="F41" i="1" s="1"/>
  <c r="D42" i="1"/>
  <c r="E42" i="1"/>
  <c r="F42" i="1" s="1"/>
  <c r="D43" i="1"/>
  <c r="E43" i="1" s="1"/>
  <c r="F43" i="1" s="1"/>
  <c r="D44" i="1"/>
  <c r="E44" i="1" s="1"/>
  <c r="F44" i="1" s="1"/>
  <c r="D45" i="1"/>
  <c r="E45" i="1" s="1"/>
  <c r="F45" i="1" s="1"/>
  <c r="D46" i="1"/>
  <c r="E46" i="1" s="1"/>
  <c r="F46" i="1" s="1"/>
  <c r="D47" i="1"/>
  <c r="E47" i="1" s="1"/>
  <c r="F47" i="1" s="1"/>
  <c r="D48" i="1"/>
  <c r="E48" i="1" s="1"/>
  <c r="F48" i="1" s="1"/>
  <c r="D49" i="1"/>
  <c r="E49" i="1" s="1"/>
  <c r="F49" i="1" s="1"/>
  <c r="D50" i="1"/>
  <c r="E50" i="1" s="1"/>
  <c r="F50" i="1" s="1"/>
  <c r="D51" i="1"/>
  <c r="E51" i="1" s="1"/>
  <c r="F51" i="1" s="1"/>
  <c r="D52" i="1"/>
  <c r="E52" i="1" s="1"/>
  <c r="F52" i="1" s="1"/>
  <c r="D53" i="1"/>
  <c r="E53" i="1" s="1"/>
  <c r="F53" i="1" s="1"/>
  <c r="D54" i="1"/>
  <c r="E54" i="1" s="1"/>
  <c r="F54" i="1" s="1"/>
  <c r="D55" i="1"/>
  <c r="E55" i="1" s="1"/>
  <c r="F55" i="1" s="1"/>
  <c r="D56" i="1"/>
  <c r="E56" i="1" s="1"/>
  <c r="F56" i="1" s="1"/>
  <c r="D57" i="1"/>
  <c r="E57" i="1" s="1"/>
  <c r="F57" i="1" s="1"/>
  <c r="D58" i="1"/>
  <c r="E58" i="1" s="1"/>
  <c r="F58" i="1" s="1"/>
  <c r="D59" i="1"/>
  <c r="E59" i="1" s="1"/>
  <c r="F59" i="1" s="1"/>
  <c r="D60" i="1"/>
  <c r="E60" i="1" s="1"/>
  <c r="F60" i="1" s="1"/>
  <c r="D61" i="1"/>
  <c r="E61" i="1" s="1"/>
  <c r="F61" i="1" s="1"/>
  <c r="D62" i="1"/>
  <c r="E62" i="1" s="1"/>
  <c r="F62" i="1" s="1"/>
  <c r="D63" i="1"/>
  <c r="E63" i="1" s="1"/>
  <c r="F63" i="1" s="1"/>
  <c r="D64" i="1"/>
  <c r="E64" i="1" s="1"/>
  <c r="F64" i="1" s="1"/>
  <c r="D65" i="1"/>
  <c r="E65" i="1" s="1"/>
  <c r="F65" i="1" s="1"/>
  <c r="D66" i="1"/>
  <c r="E66" i="1" s="1"/>
  <c r="F66" i="1" s="1"/>
  <c r="D67" i="1"/>
  <c r="E67" i="1" s="1"/>
  <c r="F67" i="1" s="1"/>
  <c r="D68" i="1"/>
  <c r="E68" i="1" s="1"/>
  <c r="F68" i="1" s="1"/>
  <c r="D69" i="1"/>
  <c r="E69" i="1" s="1"/>
  <c r="F69" i="1" s="1"/>
  <c r="D70" i="1"/>
  <c r="E70" i="1" s="1"/>
  <c r="F70" i="1" s="1"/>
  <c r="D71" i="1"/>
  <c r="E71" i="1" s="1"/>
  <c r="F71" i="1" s="1"/>
  <c r="D72" i="1"/>
  <c r="E72" i="1" s="1"/>
  <c r="F72" i="1" s="1"/>
  <c r="D73" i="1"/>
  <c r="E73" i="1" s="1"/>
  <c r="F73" i="1" s="1"/>
  <c r="D74" i="1"/>
  <c r="E74" i="1" s="1"/>
  <c r="F74" i="1" s="1"/>
  <c r="D75" i="1"/>
  <c r="E75" i="1" s="1"/>
  <c r="F75" i="1" s="1"/>
  <c r="D76" i="1"/>
  <c r="E76" i="1" s="1"/>
  <c r="F76" i="1" s="1"/>
  <c r="D77" i="1"/>
  <c r="E77" i="1" s="1"/>
  <c r="F77" i="1" s="1"/>
  <c r="D78" i="1"/>
  <c r="E78" i="1" s="1"/>
  <c r="F78" i="1" s="1"/>
  <c r="D79" i="1"/>
  <c r="E79" i="1" s="1"/>
  <c r="F79" i="1" s="1"/>
  <c r="D80" i="1"/>
  <c r="E80" i="1" s="1"/>
  <c r="F80" i="1" s="1"/>
  <c r="D81" i="1"/>
  <c r="E81" i="1" s="1"/>
  <c r="F81" i="1" s="1"/>
  <c r="D82" i="1"/>
  <c r="E82" i="1" s="1"/>
  <c r="F82" i="1" s="1"/>
  <c r="D83" i="1"/>
  <c r="E83" i="1" s="1"/>
  <c r="F83" i="1" s="1"/>
  <c r="D84" i="1"/>
  <c r="E84" i="1" s="1"/>
  <c r="F84" i="1" s="1"/>
  <c r="D85" i="1"/>
  <c r="E85" i="1" s="1"/>
  <c r="F85" i="1" s="1"/>
  <c r="D86" i="1"/>
  <c r="E86" i="1" s="1"/>
  <c r="F86" i="1" s="1"/>
  <c r="D87" i="1"/>
  <c r="E87" i="1" s="1"/>
  <c r="F87" i="1" s="1"/>
  <c r="D88" i="1"/>
  <c r="E88" i="1" s="1"/>
  <c r="F88" i="1" s="1"/>
  <c r="D89" i="1"/>
  <c r="E89" i="1" s="1"/>
  <c r="F89" i="1" s="1"/>
  <c r="D90" i="1"/>
  <c r="E90" i="1" s="1"/>
  <c r="F90" i="1" s="1"/>
  <c r="D91" i="1"/>
  <c r="E91" i="1" s="1"/>
  <c r="F91" i="1" s="1"/>
  <c r="D92" i="1"/>
  <c r="E92" i="1" s="1"/>
  <c r="F92" i="1" s="1"/>
  <c r="D93" i="1"/>
  <c r="E93" i="1" s="1"/>
  <c r="F93" i="1" s="1"/>
  <c r="D94" i="1"/>
  <c r="E94" i="1" s="1"/>
  <c r="F94" i="1" s="1"/>
  <c r="D95" i="1"/>
  <c r="E95" i="1" s="1"/>
  <c r="F95" i="1" s="1"/>
  <c r="D96" i="1"/>
  <c r="E96" i="1" s="1"/>
  <c r="F96" i="1" s="1"/>
  <c r="D97" i="1"/>
  <c r="E97" i="1" s="1"/>
  <c r="F97" i="1" s="1"/>
  <c r="D98" i="1"/>
  <c r="E98" i="1"/>
  <c r="F98" i="1" s="1"/>
  <c r="D99" i="1"/>
  <c r="E99" i="1" s="1"/>
  <c r="F99" i="1" s="1"/>
  <c r="D100" i="1"/>
  <c r="E100" i="1" s="1"/>
  <c r="F100" i="1" s="1"/>
  <c r="D101" i="1"/>
  <c r="E101" i="1" s="1"/>
  <c r="F101" i="1" s="1"/>
  <c r="D102" i="1"/>
  <c r="E102" i="1" s="1"/>
  <c r="F102" i="1" s="1"/>
  <c r="D103" i="1"/>
  <c r="E103" i="1" s="1"/>
  <c r="F103" i="1" s="1"/>
  <c r="D104" i="1"/>
  <c r="E104" i="1" s="1"/>
  <c r="F104" i="1" s="1"/>
  <c r="D105" i="1"/>
  <c r="E105" i="1" s="1"/>
  <c r="F105" i="1" s="1"/>
  <c r="D106" i="1"/>
  <c r="E106" i="1" s="1"/>
  <c r="F106" i="1" s="1"/>
  <c r="D107" i="1"/>
  <c r="E107" i="1" s="1"/>
  <c r="F107" i="1" s="1"/>
  <c r="D108" i="1"/>
  <c r="E108" i="1" s="1"/>
  <c r="F108" i="1" s="1"/>
  <c r="D109" i="1"/>
  <c r="E109" i="1" s="1"/>
  <c r="F109" i="1" s="1"/>
  <c r="D110" i="1"/>
  <c r="E110" i="1" s="1"/>
  <c r="F110" i="1" s="1"/>
  <c r="D111" i="1"/>
  <c r="E111" i="1" s="1"/>
  <c r="F111" i="1" s="1"/>
  <c r="D112" i="1"/>
  <c r="E112" i="1" s="1"/>
  <c r="F112" i="1" s="1"/>
  <c r="D113" i="1"/>
  <c r="E113" i="1" s="1"/>
  <c r="F113" i="1" s="1"/>
  <c r="D114" i="1"/>
  <c r="E114" i="1" s="1"/>
  <c r="F114" i="1" s="1"/>
  <c r="D115" i="1"/>
  <c r="E115" i="1" s="1"/>
  <c r="F115" i="1" s="1"/>
  <c r="D116" i="1"/>
  <c r="E116" i="1" s="1"/>
  <c r="F116" i="1" s="1"/>
  <c r="D117" i="1"/>
  <c r="E117" i="1"/>
  <c r="F117" i="1" s="1"/>
  <c r="D118" i="1"/>
  <c r="E118" i="1" s="1"/>
  <c r="F118" i="1" s="1"/>
  <c r="D119" i="1"/>
  <c r="E119" i="1" s="1"/>
  <c r="F119" i="1" s="1"/>
  <c r="D120" i="1"/>
  <c r="E120" i="1" s="1"/>
  <c r="F120" i="1" s="1"/>
  <c r="D121" i="1"/>
  <c r="E121" i="1" s="1"/>
  <c r="F121" i="1" s="1"/>
  <c r="D122" i="1"/>
  <c r="E122" i="1" s="1"/>
  <c r="F122" i="1" s="1"/>
  <c r="D123" i="1"/>
  <c r="E123" i="1" s="1"/>
  <c r="F123" i="1" s="1"/>
  <c r="D124" i="1"/>
  <c r="E124" i="1" s="1"/>
  <c r="F124" i="1" s="1"/>
  <c r="D125" i="1"/>
  <c r="E125" i="1" s="1"/>
  <c r="F125" i="1" s="1"/>
  <c r="D126" i="1"/>
  <c r="E126" i="1" s="1"/>
  <c r="F126" i="1" s="1"/>
  <c r="D127" i="1"/>
  <c r="E127" i="1" s="1"/>
  <c r="F127" i="1" s="1"/>
  <c r="D128" i="1"/>
  <c r="E128" i="1" s="1"/>
  <c r="F128" i="1" s="1"/>
  <c r="D129" i="1"/>
  <c r="E129" i="1" s="1"/>
  <c r="F129" i="1" s="1"/>
  <c r="D130" i="1"/>
  <c r="E130" i="1" s="1"/>
  <c r="F130" i="1" s="1"/>
  <c r="D131" i="1"/>
  <c r="E131" i="1"/>
  <c r="F131" i="1" s="1"/>
  <c r="D132" i="1"/>
  <c r="E132" i="1" s="1"/>
  <c r="F132" i="1" s="1"/>
  <c r="D133" i="1"/>
  <c r="E133" i="1" s="1"/>
  <c r="F133" i="1" s="1"/>
  <c r="D134" i="1"/>
  <c r="E134" i="1" s="1"/>
  <c r="F134" i="1" s="1"/>
  <c r="D135" i="1"/>
  <c r="E135" i="1" s="1"/>
  <c r="F135" i="1" s="1"/>
  <c r="D136" i="1"/>
  <c r="E136" i="1" s="1"/>
  <c r="F136" i="1" s="1"/>
  <c r="D137" i="1"/>
  <c r="E137" i="1" s="1"/>
  <c r="F137" i="1" s="1"/>
  <c r="D138" i="1"/>
  <c r="E138" i="1" s="1"/>
  <c r="F138" i="1" s="1"/>
  <c r="D139" i="1"/>
  <c r="E139" i="1" s="1"/>
  <c r="F139" i="1" s="1"/>
  <c r="D140" i="1"/>
  <c r="E140" i="1" s="1"/>
  <c r="F140" i="1" s="1"/>
  <c r="D141" i="1"/>
  <c r="E141" i="1" s="1"/>
  <c r="F141" i="1" s="1"/>
  <c r="D142" i="1"/>
  <c r="E142" i="1" s="1"/>
  <c r="F142" i="1" s="1"/>
  <c r="D143" i="1"/>
  <c r="E143" i="1" s="1"/>
  <c r="F143" i="1" s="1"/>
  <c r="D144" i="1"/>
  <c r="E144" i="1" s="1"/>
  <c r="F144" i="1" s="1"/>
  <c r="D145" i="1"/>
  <c r="E145" i="1" s="1"/>
  <c r="F145" i="1" s="1"/>
  <c r="D146" i="1"/>
  <c r="E146" i="1" s="1"/>
  <c r="F146" i="1" s="1"/>
  <c r="D147" i="1"/>
  <c r="E147" i="1" s="1"/>
  <c r="F147" i="1" s="1"/>
  <c r="D148" i="1"/>
  <c r="E148" i="1" s="1"/>
  <c r="F148" i="1" s="1"/>
  <c r="D149" i="1"/>
  <c r="E149" i="1" s="1"/>
  <c r="F149" i="1" s="1"/>
  <c r="D150" i="1"/>
  <c r="E150" i="1" s="1"/>
  <c r="F150" i="1" s="1"/>
  <c r="D151" i="1"/>
  <c r="E151" i="1" s="1"/>
  <c r="F151" i="1" s="1"/>
  <c r="D152" i="1"/>
  <c r="E152" i="1" s="1"/>
  <c r="F152" i="1" s="1"/>
  <c r="D153" i="1"/>
  <c r="E153" i="1" s="1"/>
  <c r="F153" i="1" s="1"/>
  <c r="D154" i="1"/>
  <c r="E154" i="1"/>
  <c r="F154" i="1" s="1"/>
  <c r="D155" i="1"/>
  <c r="E155" i="1" s="1"/>
  <c r="F155" i="1" s="1"/>
  <c r="D156" i="1"/>
  <c r="E156" i="1" s="1"/>
  <c r="F156" i="1" s="1"/>
  <c r="D157" i="1"/>
  <c r="E157" i="1" s="1"/>
  <c r="F157" i="1" s="1"/>
  <c r="D158" i="1"/>
  <c r="E158" i="1" s="1"/>
  <c r="F158" i="1" s="1"/>
  <c r="D159" i="1"/>
  <c r="E159" i="1" s="1"/>
  <c r="F159" i="1" s="1"/>
  <c r="D160" i="1"/>
  <c r="E160" i="1" s="1"/>
  <c r="F160" i="1" s="1"/>
  <c r="D161" i="1"/>
  <c r="E161" i="1" s="1"/>
  <c r="F161" i="1" s="1"/>
  <c r="D162" i="1"/>
  <c r="E162" i="1" s="1"/>
  <c r="F162" i="1" s="1"/>
  <c r="D163" i="1"/>
  <c r="E163" i="1" s="1"/>
  <c r="F163" i="1" s="1"/>
  <c r="D164" i="1"/>
  <c r="E164" i="1" s="1"/>
  <c r="F164" i="1" s="1"/>
  <c r="D165" i="1"/>
  <c r="E165" i="1" s="1"/>
  <c r="F165" i="1" s="1"/>
  <c r="D166" i="1"/>
  <c r="E166" i="1" s="1"/>
  <c r="F166" i="1" s="1"/>
  <c r="D167" i="1"/>
  <c r="E167" i="1" s="1"/>
  <c r="F167" i="1" s="1"/>
  <c r="D168" i="1"/>
  <c r="E168" i="1" s="1"/>
  <c r="F168" i="1" s="1"/>
  <c r="D169" i="1"/>
  <c r="E169" i="1" s="1"/>
  <c r="F169" i="1" s="1"/>
  <c r="D170" i="1"/>
  <c r="E170" i="1" s="1"/>
  <c r="F170" i="1" s="1"/>
  <c r="D171" i="1"/>
  <c r="E171" i="1" s="1"/>
  <c r="F171" i="1" s="1"/>
  <c r="D172" i="1"/>
  <c r="E172" i="1" s="1"/>
  <c r="F172" i="1" s="1"/>
  <c r="D173" i="1"/>
  <c r="E173" i="1" s="1"/>
  <c r="F173" i="1" s="1"/>
  <c r="D174" i="1"/>
  <c r="E174" i="1" s="1"/>
  <c r="F174" i="1" s="1"/>
  <c r="D175" i="1"/>
  <c r="E175" i="1" s="1"/>
  <c r="F175" i="1" s="1"/>
  <c r="D176" i="1"/>
  <c r="E176" i="1" s="1"/>
  <c r="F176" i="1" s="1"/>
  <c r="D177" i="1"/>
  <c r="E177" i="1" s="1"/>
  <c r="F177" i="1" s="1"/>
  <c r="D178" i="1"/>
  <c r="E178" i="1" s="1"/>
  <c r="F178" i="1" s="1"/>
  <c r="D179" i="1"/>
  <c r="E179" i="1" s="1"/>
  <c r="F179" i="1" s="1"/>
  <c r="D180" i="1"/>
  <c r="E180" i="1" s="1"/>
  <c r="F180" i="1" s="1"/>
  <c r="D181" i="1"/>
  <c r="E181" i="1" s="1"/>
  <c r="F181" i="1" s="1"/>
  <c r="D182" i="1"/>
  <c r="E182" i="1" s="1"/>
  <c r="F182" i="1" s="1"/>
  <c r="D183" i="1"/>
  <c r="E183" i="1" s="1"/>
  <c r="F183" i="1" s="1"/>
  <c r="D184" i="1"/>
  <c r="E184" i="1" s="1"/>
  <c r="F184" i="1" s="1"/>
  <c r="D185" i="1"/>
  <c r="E185" i="1" s="1"/>
  <c r="F185" i="1" s="1"/>
  <c r="D186" i="1"/>
  <c r="E186" i="1" s="1"/>
  <c r="F186" i="1" s="1"/>
  <c r="D187" i="1"/>
  <c r="E187" i="1" s="1"/>
  <c r="F187" i="1" s="1"/>
  <c r="D188" i="1"/>
  <c r="E188" i="1" s="1"/>
  <c r="F188" i="1" s="1"/>
  <c r="D189" i="1"/>
  <c r="E189" i="1" s="1"/>
  <c r="F189" i="1" s="1"/>
  <c r="D190" i="1"/>
  <c r="E190" i="1" s="1"/>
  <c r="F190" i="1" s="1"/>
  <c r="D191" i="1"/>
  <c r="E191" i="1" s="1"/>
  <c r="F191" i="1" s="1"/>
  <c r="D192" i="1"/>
  <c r="E192" i="1" s="1"/>
  <c r="F192" i="1" s="1"/>
  <c r="D193" i="1"/>
  <c r="E193" i="1" s="1"/>
  <c r="F193" i="1" s="1"/>
  <c r="D194" i="1"/>
  <c r="E194" i="1" s="1"/>
  <c r="F194" i="1" s="1"/>
  <c r="D195" i="1"/>
  <c r="E195" i="1" s="1"/>
  <c r="F195" i="1" s="1"/>
  <c r="D196" i="1"/>
  <c r="E196" i="1" s="1"/>
  <c r="F196" i="1" s="1"/>
  <c r="D197" i="1"/>
  <c r="E197" i="1" s="1"/>
  <c r="F197" i="1" s="1"/>
  <c r="D198" i="1"/>
  <c r="E198" i="1" s="1"/>
  <c r="F198" i="1" s="1"/>
  <c r="D199" i="1"/>
  <c r="E199" i="1" s="1"/>
  <c r="F199" i="1" s="1"/>
  <c r="D200" i="1"/>
  <c r="E200" i="1" s="1"/>
  <c r="F200" i="1" s="1"/>
  <c r="D201" i="1"/>
  <c r="E201" i="1" s="1"/>
  <c r="F201" i="1" s="1"/>
  <c r="D202" i="1"/>
  <c r="E202" i="1" s="1"/>
  <c r="F202" i="1" s="1"/>
  <c r="D203" i="1"/>
  <c r="E203" i="1" s="1"/>
  <c r="F203" i="1" s="1"/>
  <c r="D204" i="1"/>
  <c r="E204" i="1" s="1"/>
  <c r="F204" i="1" s="1"/>
  <c r="D205" i="1"/>
  <c r="E205" i="1" s="1"/>
  <c r="F205" i="1" s="1"/>
  <c r="D206" i="1"/>
  <c r="E206" i="1" s="1"/>
  <c r="F206" i="1" s="1"/>
  <c r="D207" i="1"/>
  <c r="E207" i="1" s="1"/>
  <c r="F207" i="1" s="1"/>
  <c r="D208" i="1"/>
  <c r="E208" i="1" s="1"/>
  <c r="F208" i="1" s="1"/>
  <c r="D209" i="1"/>
  <c r="E209" i="1" s="1"/>
  <c r="F209" i="1" s="1"/>
  <c r="D210" i="1"/>
  <c r="E210" i="1" s="1"/>
  <c r="F210" i="1" s="1"/>
  <c r="D211" i="1"/>
  <c r="E211" i="1" s="1"/>
  <c r="F211" i="1" s="1"/>
  <c r="D212" i="1"/>
  <c r="E212" i="1" s="1"/>
  <c r="F212" i="1" s="1"/>
  <c r="D213" i="1"/>
  <c r="E213" i="1" s="1"/>
  <c r="F213" i="1" s="1"/>
  <c r="D214" i="1"/>
  <c r="E214" i="1" s="1"/>
  <c r="F214" i="1" s="1"/>
  <c r="D215" i="1"/>
  <c r="E215" i="1" s="1"/>
  <c r="F215" i="1" s="1"/>
  <c r="D216" i="1"/>
  <c r="E216" i="1" s="1"/>
  <c r="F216" i="1" s="1"/>
  <c r="D217" i="1"/>
  <c r="E217" i="1" s="1"/>
  <c r="F217" i="1" s="1"/>
  <c r="D218" i="1"/>
  <c r="E218" i="1" s="1"/>
  <c r="F218" i="1" s="1"/>
  <c r="D219" i="1"/>
  <c r="E219" i="1" s="1"/>
  <c r="F219" i="1" s="1"/>
  <c r="D220" i="1"/>
  <c r="E220" i="1" s="1"/>
  <c r="F220" i="1" s="1"/>
  <c r="D221" i="1"/>
  <c r="E221" i="1" s="1"/>
  <c r="F221" i="1" s="1"/>
  <c r="D222" i="1"/>
  <c r="E222" i="1" s="1"/>
  <c r="F222" i="1" s="1"/>
  <c r="D223" i="1"/>
  <c r="E223" i="1" s="1"/>
  <c r="F223" i="1" s="1"/>
  <c r="D224" i="1"/>
  <c r="E224" i="1" s="1"/>
  <c r="F224" i="1" s="1"/>
  <c r="D225" i="1"/>
  <c r="E225" i="1" s="1"/>
  <c r="F225" i="1" s="1"/>
  <c r="D226" i="1"/>
  <c r="E226" i="1" s="1"/>
  <c r="F226" i="1" s="1"/>
  <c r="D227" i="1"/>
  <c r="E227" i="1" s="1"/>
  <c r="F227" i="1" s="1"/>
  <c r="D228" i="1"/>
  <c r="E228" i="1" s="1"/>
  <c r="F228" i="1" s="1"/>
  <c r="D229" i="1"/>
  <c r="E229" i="1" s="1"/>
  <c r="F229" i="1" s="1"/>
  <c r="D230" i="1"/>
  <c r="E230" i="1" s="1"/>
  <c r="F230" i="1" s="1"/>
  <c r="D231" i="1"/>
  <c r="E231" i="1" s="1"/>
  <c r="F231" i="1" s="1"/>
  <c r="D232" i="1"/>
  <c r="E232" i="1" s="1"/>
  <c r="F232" i="1" s="1"/>
  <c r="D233" i="1"/>
  <c r="E233" i="1" s="1"/>
  <c r="F233" i="1" s="1"/>
  <c r="D234" i="1"/>
  <c r="E234" i="1" s="1"/>
  <c r="F234" i="1" s="1"/>
  <c r="D235" i="1"/>
  <c r="E235" i="1" s="1"/>
  <c r="F235" i="1" s="1"/>
  <c r="D236" i="1"/>
  <c r="E236" i="1" s="1"/>
  <c r="F236" i="1" s="1"/>
  <c r="D237" i="1"/>
  <c r="E237" i="1" s="1"/>
  <c r="F237" i="1" s="1"/>
  <c r="D238" i="1"/>
  <c r="E238" i="1" s="1"/>
  <c r="F238" i="1" s="1"/>
  <c r="D239" i="1"/>
  <c r="E239" i="1" s="1"/>
  <c r="F239" i="1" s="1"/>
  <c r="D240" i="1"/>
  <c r="E240" i="1" s="1"/>
  <c r="F240" i="1" s="1"/>
  <c r="D241" i="1"/>
  <c r="E241" i="1" s="1"/>
  <c r="F241" i="1" s="1"/>
  <c r="D242" i="1"/>
  <c r="E242" i="1" s="1"/>
  <c r="F242" i="1" s="1"/>
  <c r="D243" i="1"/>
  <c r="E243" i="1" s="1"/>
  <c r="F243" i="1" s="1"/>
  <c r="D244" i="1"/>
  <c r="E244" i="1" s="1"/>
  <c r="F244" i="1" s="1"/>
  <c r="D245" i="1"/>
  <c r="E245" i="1" s="1"/>
  <c r="F245" i="1" s="1"/>
  <c r="D246" i="1"/>
  <c r="E246" i="1" s="1"/>
  <c r="F246" i="1" s="1"/>
  <c r="D247" i="1"/>
  <c r="E247" i="1" s="1"/>
  <c r="F247" i="1" s="1"/>
  <c r="D248" i="1"/>
  <c r="E248" i="1" s="1"/>
  <c r="F248" i="1" s="1"/>
  <c r="D249" i="1"/>
  <c r="E249" i="1" s="1"/>
  <c r="F249" i="1" s="1"/>
  <c r="D250" i="1"/>
  <c r="E250" i="1" s="1"/>
  <c r="F250" i="1" s="1"/>
  <c r="D251" i="1"/>
  <c r="E251" i="1" s="1"/>
  <c r="F251" i="1" s="1"/>
  <c r="D252" i="1"/>
  <c r="E252" i="1" s="1"/>
  <c r="F252" i="1" s="1"/>
  <c r="D253" i="1"/>
  <c r="E253" i="1" s="1"/>
  <c r="F253" i="1" s="1"/>
  <c r="D254" i="1"/>
  <c r="E254" i="1" s="1"/>
  <c r="F254" i="1" s="1"/>
  <c r="D255" i="1"/>
  <c r="E255" i="1" s="1"/>
  <c r="F255" i="1" s="1"/>
  <c r="D256" i="1"/>
  <c r="E256" i="1" s="1"/>
  <c r="F256" i="1" s="1"/>
  <c r="D257" i="1"/>
  <c r="E257" i="1" s="1"/>
  <c r="F257" i="1" s="1"/>
  <c r="D258" i="1"/>
  <c r="E258" i="1" s="1"/>
  <c r="F258" i="1" s="1"/>
  <c r="D259" i="1"/>
  <c r="E259" i="1" s="1"/>
  <c r="F259" i="1" s="1"/>
  <c r="D260" i="1"/>
  <c r="E260" i="1" s="1"/>
  <c r="F260" i="1" s="1"/>
  <c r="D261" i="1"/>
  <c r="E261" i="1" s="1"/>
  <c r="F261" i="1" s="1"/>
  <c r="D262" i="1"/>
  <c r="E262" i="1" s="1"/>
  <c r="F262" i="1" s="1"/>
  <c r="D263" i="1"/>
  <c r="E263" i="1" s="1"/>
  <c r="F263" i="1" s="1"/>
  <c r="D264" i="1"/>
  <c r="E264" i="1" s="1"/>
  <c r="F264" i="1" s="1"/>
  <c r="D265" i="1"/>
  <c r="E265" i="1" s="1"/>
  <c r="F265" i="1" s="1"/>
  <c r="D266" i="1"/>
  <c r="E266" i="1" s="1"/>
  <c r="F266" i="1" s="1"/>
  <c r="D267" i="1"/>
  <c r="E267" i="1" s="1"/>
  <c r="F267" i="1" s="1"/>
  <c r="D268" i="1"/>
  <c r="E268" i="1" s="1"/>
  <c r="F268" i="1" s="1"/>
  <c r="D269" i="1"/>
  <c r="E269" i="1" s="1"/>
  <c r="F269" i="1" s="1"/>
  <c r="D270" i="1"/>
  <c r="E270" i="1" s="1"/>
  <c r="F270" i="1" s="1"/>
  <c r="D271" i="1"/>
  <c r="E271" i="1" s="1"/>
  <c r="F271" i="1" s="1"/>
  <c r="D272" i="1"/>
  <c r="E272" i="1" s="1"/>
  <c r="F272" i="1" s="1"/>
  <c r="D273" i="1"/>
  <c r="E273" i="1" s="1"/>
  <c r="F273" i="1" s="1"/>
  <c r="D274" i="1"/>
  <c r="E274" i="1" s="1"/>
  <c r="F274" i="1" s="1"/>
  <c r="D275" i="1"/>
  <c r="E275" i="1" s="1"/>
  <c r="F275" i="1" s="1"/>
  <c r="D276" i="1"/>
  <c r="E276" i="1" s="1"/>
  <c r="F276" i="1" s="1"/>
  <c r="D277" i="1"/>
  <c r="E277" i="1" s="1"/>
  <c r="F277" i="1" s="1"/>
  <c r="D278" i="1"/>
  <c r="E278" i="1" s="1"/>
  <c r="F278" i="1" s="1"/>
  <c r="D279" i="1"/>
  <c r="E279" i="1" s="1"/>
  <c r="F279" i="1" s="1"/>
  <c r="D280" i="1"/>
  <c r="E280" i="1" s="1"/>
  <c r="F280" i="1" s="1"/>
  <c r="D281" i="1"/>
  <c r="E281" i="1" s="1"/>
  <c r="F281" i="1" s="1"/>
  <c r="D282" i="1"/>
  <c r="E282" i="1" s="1"/>
  <c r="F282" i="1" s="1"/>
  <c r="D283" i="1"/>
  <c r="E283" i="1" s="1"/>
  <c r="F283" i="1" s="1"/>
  <c r="D284" i="1"/>
  <c r="E284" i="1" s="1"/>
  <c r="F284" i="1" s="1"/>
  <c r="D285" i="1"/>
  <c r="E285" i="1" s="1"/>
  <c r="F285" i="1" s="1"/>
  <c r="D286" i="1"/>
  <c r="E286" i="1" s="1"/>
  <c r="F286" i="1" s="1"/>
  <c r="D287" i="1"/>
  <c r="E287" i="1" s="1"/>
  <c r="F287" i="1" s="1"/>
  <c r="D288" i="1"/>
  <c r="E288" i="1" s="1"/>
  <c r="F288" i="1" s="1"/>
  <c r="D289" i="1"/>
  <c r="E289" i="1" s="1"/>
  <c r="F289" i="1" s="1"/>
  <c r="D290" i="1"/>
  <c r="E290" i="1" s="1"/>
  <c r="F290" i="1" s="1"/>
  <c r="D291" i="1"/>
  <c r="E291" i="1" s="1"/>
  <c r="F291" i="1" s="1"/>
  <c r="D292" i="1"/>
  <c r="E292" i="1" s="1"/>
  <c r="F292" i="1" s="1"/>
  <c r="D293" i="1"/>
  <c r="E293" i="1" s="1"/>
  <c r="F293" i="1" s="1"/>
  <c r="D294" i="1"/>
  <c r="E294" i="1" s="1"/>
  <c r="F294" i="1" s="1"/>
  <c r="D295" i="1"/>
  <c r="E295" i="1" s="1"/>
  <c r="F295" i="1" s="1"/>
  <c r="D296" i="1"/>
  <c r="E296" i="1" s="1"/>
  <c r="F296" i="1" s="1"/>
  <c r="D297" i="1"/>
  <c r="E297" i="1" s="1"/>
  <c r="F297" i="1" s="1"/>
  <c r="D298" i="1"/>
  <c r="E298" i="1" s="1"/>
  <c r="F298" i="1" s="1"/>
  <c r="D299" i="1"/>
  <c r="E299" i="1" s="1"/>
  <c r="F299" i="1" s="1"/>
  <c r="D300" i="1"/>
  <c r="E300" i="1" s="1"/>
  <c r="F300" i="1" s="1"/>
  <c r="D301" i="1"/>
  <c r="E301" i="1" s="1"/>
  <c r="F301" i="1" s="1"/>
  <c r="D302" i="1"/>
  <c r="E302" i="1" s="1"/>
  <c r="F302" i="1" s="1"/>
  <c r="D303" i="1"/>
  <c r="E303" i="1" s="1"/>
  <c r="F303" i="1" s="1"/>
  <c r="D304" i="1"/>
  <c r="E304" i="1" s="1"/>
  <c r="F304" i="1" s="1"/>
  <c r="D305" i="1"/>
  <c r="E305" i="1" s="1"/>
  <c r="F305" i="1" s="1"/>
  <c r="D306" i="1"/>
  <c r="E306" i="1" s="1"/>
  <c r="F306" i="1" s="1"/>
  <c r="D307" i="1"/>
  <c r="E307" i="1" s="1"/>
  <c r="F307" i="1" s="1"/>
  <c r="D308" i="1"/>
  <c r="E308" i="1" s="1"/>
  <c r="F308" i="1" s="1"/>
  <c r="D309" i="1"/>
  <c r="E309" i="1" s="1"/>
  <c r="F309" i="1" s="1"/>
  <c r="D310" i="1"/>
  <c r="E310" i="1" s="1"/>
  <c r="F310" i="1" s="1"/>
  <c r="D311" i="1"/>
  <c r="E311" i="1" s="1"/>
  <c r="F311" i="1" s="1"/>
  <c r="D312" i="1"/>
  <c r="E312" i="1" s="1"/>
  <c r="F312" i="1" s="1"/>
  <c r="D313" i="1"/>
  <c r="E313" i="1" s="1"/>
  <c r="F313" i="1" s="1"/>
  <c r="D314" i="1"/>
  <c r="E314" i="1" s="1"/>
  <c r="F314" i="1" s="1"/>
  <c r="D315" i="1"/>
  <c r="E315" i="1" s="1"/>
  <c r="F315" i="1" s="1"/>
  <c r="D316" i="1"/>
  <c r="E316" i="1" s="1"/>
  <c r="F316" i="1" s="1"/>
  <c r="D317" i="1"/>
  <c r="E317" i="1" s="1"/>
  <c r="F317" i="1" s="1"/>
  <c r="D318" i="1"/>
  <c r="E318" i="1" s="1"/>
  <c r="F318" i="1" s="1"/>
  <c r="D319" i="1"/>
  <c r="E319" i="1" s="1"/>
  <c r="F319" i="1" s="1"/>
  <c r="D320" i="1"/>
  <c r="E320" i="1" s="1"/>
  <c r="F320" i="1" s="1"/>
  <c r="D321" i="1"/>
  <c r="E321" i="1" s="1"/>
  <c r="F321" i="1" s="1"/>
  <c r="D322" i="1"/>
  <c r="E322" i="1" s="1"/>
  <c r="F322" i="1" s="1"/>
  <c r="D323" i="1"/>
  <c r="E323" i="1" s="1"/>
  <c r="F323" i="1" s="1"/>
  <c r="D324" i="1"/>
  <c r="E324" i="1" s="1"/>
  <c r="F324" i="1" s="1"/>
  <c r="D325" i="1"/>
  <c r="E325" i="1" s="1"/>
  <c r="F325" i="1" s="1"/>
  <c r="D326" i="1"/>
  <c r="E326" i="1" s="1"/>
  <c r="F326" i="1" s="1"/>
  <c r="D327" i="1"/>
  <c r="E327" i="1" s="1"/>
  <c r="F327" i="1" s="1"/>
  <c r="D328" i="1"/>
  <c r="E328" i="1" s="1"/>
  <c r="F328" i="1" s="1"/>
  <c r="D329" i="1"/>
  <c r="E329" i="1" s="1"/>
  <c r="F329" i="1" s="1"/>
  <c r="D330" i="1"/>
  <c r="E330" i="1" s="1"/>
  <c r="F330" i="1" s="1"/>
  <c r="D331" i="1"/>
  <c r="E331" i="1" s="1"/>
  <c r="F331" i="1" s="1"/>
  <c r="D332" i="1"/>
  <c r="E332" i="1" s="1"/>
  <c r="F332" i="1" s="1"/>
  <c r="D333" i="1"/>
  <c r="E333" i="1" s="1"/>
  <c r="F333" i="1" s="1"/>
  <c r="D334" i="1"/>
  <c r="E334" i="1" s="1"/>
  <c r="F334" i="1" s="1"/>
  <c r="D335" i="1"/>
  <c r="E335" i="1" s="1"/>
  <c r="F335" i="1" s="1"/>
  <c r="D336" i="1"/>
  <c r="E336" i="1" s="1"/>
  <c r="F336" i="1" s="1"/>
  <c r="D337" i="1"/>
  <c r="E337" i="1" s="1"/>
  <c r="F337" i="1" s="1"/>
  <c r="D338" i="1"/>
  <c r="E338" i="1" s="1"/>
  <c r="F338" i="1" s="1"/>
  <c r="D339" i="1"/>
  <c r="E339" i="1" s="1"/>
  <c r="F339" i="1" s="1"/>
  <c r="D340" i="1"/>
  <c r="E340" i="1" s="1"/>
  <c r="F340" i="1" s="1"/>
  <c r="D341" i="1"/>
  <c r="E341" i="1" s="1"/>
  <c r="F341" i="1" s="1"/>
  <c r="D342" i="1"/>
  <c r="E342" i="1" s="1"/>
  <c r="F342" i="1" s="1"/>
  <c r="D343" i="1"/>
  <c r="E343" i="1" s="1"/>
  <c r="F343" i="1" s="1"/>
  <c r="D344" i="1"/>
  <c r="E344" i="1" s="1"/>
  <c r="F344" i="1" s="1"/>
  <c r="D345" i="1"/>
  <c r="E345" i="1" s="1"/>
  <c r="F345" i="1" s="1"/>
  <c r="D346" i="1"/>
  <c r="E346" i="1" s="1"/>
  <c r="F346" i="1" s="1"/>
  <c r="D347" i="1"/>
  <c r="E347" i="1" s="1"/>
  <c r="F347" i="1" s="1"/>
  <c r="D348" i="1"/>
  <c r="E348" i="1" s="1"/>
  <c r="F348" i="1" s="1"/>
  <c r="D349" i="1"/>
  <c r="E349" i="1"/>
  <c r="F349" i="1" s="1"/>
  <c r="D350" i="1"/>
  <c r="E350" i="1" s="1"/>
  <c r="F350" i="1" s="1"/>
  <c r="D351" i="1"/>
  <c r="E351" i="1" s="1"/>
  <c r="F351" i="1" s="1"/>
  <c r="D352" i="1"/>
  <c r="E352" i="1" s="1"/>
  <c r="F352" i="1" s="1"/>
  <c r="D353" i="1"/>
  <c r="E353" i="1" s="1"/>
  <c r="F353" i="1" s="1"/>
  <c r="D354" i="1"/>
  <c r="E354" i="1" s="1"/>
  <c r="F354" i="1" s="1"/>
  <c r="D355" i="1"/>
  <c r="E355" i="1"/>
  <c r="F355" i="1" s="1"/>
  <c r="D356" i="1"/>
  <c r="E356" i="1" s="1"/>
  <c r="F356" i="1" s="1"/>
  <c r="D357" i="1"/>
  <c r="E357" i="1" s="1"/>
  <c r="F357" i="1" s="1"/>
  <c r="D358" i="1"/>
  <c r="E358" i="1" s="1"/>
  <c r="F358" i="1" s="1"/>
  <c r="D359" i="1"/>
  <c r="E359" i="1" s="1"/>
  <c r="F359" i="1" s="1"/>
  <c r="K359" i="1"/>
  <c r="D360" i="1"/>
  <c r="E360" i="1" s="1"/>
  <c r="F360" i="1" s="1"/>
  <c r="K360" i="1"/>
  <c r="D361" i="1"/>
  <c r="E361" i="1" s="1"/>
  <c r="F361" i="1" s="1"/>
  <c r="K361" i="1"/>
  <c r="D362" i="1"/>
  <c r="E362" i="1"/>
  <c r="F362" i="1" s="1"/>
  <c r="K362" i="1"/>
  <c r="D363" i="1"/>
  <c r="E363" i="1" s="1"/>
  <c r="F363" i="1" s="1"/>
  <c r="K363" i="1"/>
  <c r="D364" i="1"/>
  <c r="E364" i="1" s="1"/>
  <c r="F364" i="1" s="1"/>
  <c r="K364" i="1"/>
  <c r="D365" i="1"/>
  <c r="E365" i="1" s="1"/>
  <c r="F365" i="1" s="1"/>
  <c r="K365" i="1"/>
  <c r="D366" i="1"/>
  <c r="E366" i="1" s="1"/>
  <c r="F366" i="1" s="1"/>
  <c r="K366" i="1"/>
  <c r="D367" i="1"/>
  <c r="E367" i="1" s="1"/>
  <c r="F367" i="1" s="1"/>
  <c r="K367" i="1"/>
  <c r="D368" i="1"/>
  <c r="E368" i="1" s="1"/>
  <c r="F368" i="1" s="1"/>
  <c r="K368" i="1"/>
  <c r="D369" i="1"/>
  <c r="E369" i="1" s="1"/>
  <c r="F369" i="1" s="1"/>
  <c r="K369" i="1"/>
  <c r="D370" i="1"/>
  <c r="E370" i="1" s="1"/>
  <c r="F370" i="1" s="1"/>
  <c r="K370" i="1"/>
  <c r="D371" i="1"/>
  <c r="E371" i="1" s="1"/>
  <c r="F371" i="1" s="1"/>
  <c r="K371" i="1"/>
  <c r="D372" i="1"/>
  <c r="E372" i="1" s="1"/>
  <c r="F372" i="1" s="1"/>
  <c r="K372" i="1"/>
  <c r="D373" i="1"/>
  <c r="E373" i="1" s="1"/>
  <c r="F373" i="1" s="1"/>
  <c r="K373" i="1"/>
  <c r="D374" i="1"/>
  <c r="E374" i="1" s="1"/>
  <c r="F374" i="1" s="1"/>
  <c r="K374" i="1"/>
  <c r="D375" i="1"/>
  <c r="E375" i="1" s="1"/>
  <c r="F375" i="1" s="1"/>
  <c r="K375" i="1"/>
  <c r="D376" i="1"/>
  <c r="E376" i="1" s="1"/>
  <c r="F376" i="1" s="1"/>
  <c r="K376" i="1"/>
  <c r="D377" i="1"/>
  <c r="E377" i="1" s="1"/>
  <c r="F377" i="1" s="1"/>
  <c r="K377" i="1"/>
  <c r="D378" i="1"/>
  <c r="E378" i="1" s="1"/>
  <c r="F378" i="1" s="1"/>
  <c r="K378" i="1"/>
  <c r="D379" i="1"/>
  <c r="E379" i="1" s="1"/>
  <c r="F379" i="1" s="1"/>
  <c r="K379" i="1"/>
  <c r="D380" i="1"/>
  <c r="E380" i="1" s="1"/>
  <c r="F380" i="1" s="1"/>
  <c r="K380" i="1"/>
  <c r="D381" i="1"/>
  <c r="E381" i="1" s="1"/>
  <c r="F381" i="1" s="1"/>
  <c r="K381" i="1"/>
  <c r="D382" i="1"/>
  <c r="E382" i="1" s="1"/>
  <c r="F382" i="1" s="1"/>
  <c r="K382" i="1"/>
  <c r="D383" i="1"/>
  <c r="E383" i="1" s="1"/>
  <c r="F383" i="1" s="1"/>
  <c r="K383" i="1"/>
  <c r="D384" i="1"/>
  <c r="E384" i="1" s="1"/>
  <c r="F384" i="1" s="1"/>
  <c r="K384" i="1"/>
  <c r="D385" i="1"/>
  <c r="E385" i="1" s="1"/>
  <c r="F385" i="1" s="1"/>
  <c r="K385" i="1"/>
  <c r="D386" i="1"/>
  <c r="E386" i="1" s="1"/>
  <c r="F386" i="1" s="1"/>
  <c r="K386" i="1"/>
  <c r="D387" i="1"/>
  <c r="E387" i="1" s="1"/>
  <c r="F387" i="1" s="1"/>
  <c r="K387" i="1"/>
  <c r="D388" i="1"/>
  <c r="E388" i="1" s="1"/>
  <c r="F388" i="1" s="1"/>
  <c r="K388" i="1"/>
  <c r="D389" i="1"/>
  <c r="E389" i="1" s="1"/>
  <c r="F389" i="1" s="1"/>
  <c r="K389" i="1"/>
  <c r="D390" i="1"/>
  <c r="E390" i="1" s="1"/>
  <c r="F390" i="1" s="1"/>
  <c r="K390" i="1"/>
  <c r="D391" i="1"/>
  <c r="E391" i="1" s="1"/>
  <c r="F391" i="1" s="1"/>
  <c r="K391" i="1"/>
  <c r="D392" i="1"/>
  <c r="E392" i="1" s="1"/>
  <c r="F392" i="1" s="1"/>
  <c r="K392" i="1"/>
  <c r="D393" i="1"/>
  <c r="E393" i="1" s="1"/>
  <c r="F393" i="1" s="1"/>
  <c r="K393" i="1"/>
  <c r="D394" i="1"/>
  <c r="E394" i="1" s="1"/>
  <c r="F394" i="1" s="1"/>
  <c r="K394" i="1"/>
  <c r="D395" i="1"/>
  <c r="E395" i="1" s="1"/>
  <c r="F395" i="1" s="1"/>
  <c r="K395" i="1"/>
  <c r="D396" i="1"/>
  <c r="E396" i="1" s="1"/>
  <c r="F396" i="1" s="1"/>
  <c r="K396" i="1"/>
  <c r="D397" i="1"/>
  <c r="E397" i="1" s="1"/>
  <c r="F397" i="1" s="1"/>
  <c r="K397" i="1"/>
  <c r="D398" i="1"/>
  <c r="E398" i="1" s="1"/>
  <c r="F398" i="1" s="1"/>
  <c r="K398" i="1"/>
  <c r="D399" i="1"/>
  <c r="E399" i="1" s="1"/>
  <c r="F399" i="1" s="1"/>
  <c r="K399" i="1"/>
  <c r="D400" i="1"/>
  <c r="E400" i="1" s="1"/>
  <c r="F400" i="1" s="1"/>
  <c r="K400" i="1"/>
  <c r="D401" i="1"/>
  <c r="E401" i="1" s="1"/>
  <c r="F401" i="1" s="1"/>
  <c r="K401" i="1"/>
  <c r="D402" i="1"/>
  <c r="E402" i="1" s="1"/>
  <c r="F402" i="1" s="1"/>
  <c r="K402" i="1"/>
  <c r="D403" i="1"/>
  <c r="E403" i="1" s="1"/>
  <c r="F403" i="1" s="1"/>
  <c r="K403" i="1"/>
  <c r="D404" i="1"/>
  <c r="E404" i="1"/>
  <c r="F404" i="1" s="1"/>
  <c r="K404" i="1"/>
  <c r="D405" i="1"/>
  <c r="E405" i="1" s="1"/>
  <c r="F405" i="1" s="1"/>
  <c r="K405" i="1"/>
  <c r="D406" i="1"/>
  <c r="E406" i="1" s="1"/>
  <c r="F406" i="1" s="1"/>
  <c r="K406" i="1"/>
  <c r="D407" i="1"/>
  <c r="E407" i="1" s="1"/>
  <c r="F407" i="1" s="1"/>
  <c r="K407" i="1"/>
  <c r="D408" i="1"/>
  <c r="E408" i="1" s="1"/>
  <c r="F408" i="1" s="1"/>
  <c r="K408" i="1"/>
  <c r="D409" i="1"/>
  <c r="E409" i="1" s="1"/>
  <c r="F409" i="1" s="1"/>
  <c r="K409" i="1"/>
  <c r="D410" i="1"/>
  <c r="E410" i="1" s="1"/>
  <c r="F410" i="1" s="1"/>
  <c r="K410" i="1"/>
  <c r="D411" i="1"/>
  <c r="E411" i="1" s="1"/>
  <c r="F411" i="1" s="1"/>
  <c r="K411" i="1"/>
  <c r="D412" i="1"/>
  <c r="E412" i="1" s="1"/>
  <c r="F412" i="1" s="1"/>
  <c r="K412" i="1"/>
  <c r="D413" i="1"/>
  <c r="E413" i="1" s="1"/>
  <c r="F413" i="1" s="1"/>
  <c r="K413" i="1"/>
  <c r="D414" i="1"/>
  <c r="E414" i="1" s="1"/>
  <c r="F414" i="1" s="1"/>
  <c r="K414" i="1"/>
  <c r="D415" i="1"/>
  <c r="E415" i="1" s="1"/>
  <c r="F415" i="1" s="1"/>
  <c r="K415" i="1"/>
  <c r="D416" i="1"/>
  <c r="E416" i="1" s="1"/>
  <c r="F416" i="1" s="1"/>
  <c r="K416" i="1"/>
  <c r="D417" i="1"/>
  <c r="E417" i="1" s="1"/>
  <c r="F417" i="1" s="1"/>
  <c r="K417" i="1"/>
  <c r="D418" i="1"/>
  <c r="E418" i="1" s="1"/>
  <c r="F418" i="1" s="1"/>
  <c r="K418" i="1"/>
  <c r="D419" i="1"/>
  <c r="E419" i="1" s="1"/>
  <c r="F419" i="1" s="1"/>
  <c r="K419" i="1"/>
  <c r="D420" i="1"/>
  <c r="E420" i="1" s="1"/>
  <c r="F420" i="1" s="1"/>
  <c r="K420" i="1"/>
  <c r="D421" i="1"/>
  <c r="E421" i="1" s="1"/>
  <c r="F421" i="1" s="1"/>
  <c r="K421" i="1"/>
  <c r="D422" i="1"/>
  <c r="E422" i="1" s="1"/>
  <c r="F422" i="1" s="1"/>
  <c r="K422" i="1"/>
  <c r="D423" i="1"/>
  <c r="E423" i="1" s="1"/>
  <c r="F423" i="1" s="1"/>
  <c r="K423" i="1"/>
  <c r="D424" i="1"/>
  <c r="E424" i="1" s="1"/>
  <c r="F424" i="1" s="1"/>
  <c r="K424" i="1"/>
  <c r="D425" i="1"/>
  <c r="E425" i="1" s="1"/>
  <c r="F425" i="1" s="1"/>
  <c r="K425" i="1"/>
  <c r="D426" i="1"/>
  <c r="E426" i="1" s="1"/>
  <c r="F426" i="1" s="1"/>
  <c r="K426" i="1"/>
  <c r="D427" i="1"/>
  <c r="E427" i="1" s="1"/>
  <c r="F427" i="1" s="1"/>
  <c r="K427" i="1"/>
  <c r="D428" i="1"/>
  <c r="E428" i="1" s="1"/>
  <c r="F428" i="1" s="1"/>
  <c r="K428" i="1"/>
  <c r="D429" i="1"/>
  <c r="E429" i="1" s="1"/>
  <c r="F429" i="1" s="1"/>
  <c r="K429" i="1"/>
  <c r="D430" i="1"/>
  <c r="E430" i="1" s="1"/>
  <c r="F430" i="1" s="1"/>
  <c r="K430" i="1"/>
  <c r="D431" i="1"/>
  <c r="E431" i="1" s="1"/>
  <c r="F431" i="1" s="1"/>
  <c r="K431" i="1"/>
  <c r="D432" i="1"/>
  <c r="E432" i="1" s="1"/>
  <c r="F432" i="1" s="1"/>
  <c r="K432" i="1"/>
  <c r="D433" i="1"/>
  <c r="E433" i="1" s="1"/>
  <c r="F433" i="1" s="1"/>
  <c r="K433" i="1"/>
  <c r="D434" i="1"/>
  <c r="E434" i="1" s="1"/>
  <c r="F434" i="1" s="1"/>
  <c r="K434" i="1"/>
  <c r="D435" i="1"/>
  <c r="E435" i="1" s="1"/>
  <c r="F435" i="1" s="1"/>
  <c r="K435" i="1"/>
  <c r="D436" i="1"/>
  <c r="E436" i="1" s="1"/>
  <c r="F436" i="1" s="1"/>
  <c r="K436" i="1"/>
  <c r="D437" i="1"/>
  <c r="E437" i="1" s="1"/>
  <c r="F437" i="1" s="1"/>
  <c r="K437" i="1"/>
  <c r="D438" i="1"/>
  <c r="E438" i="1" s="1"/>
  <c r="F438" i="1" s="1"/>
  <c r="K438" i="1"/>
  <c r="D439" i="1"/>
  <c r="E439" i="1" s="1"/>
  <c r="F439" i="1" s="1"/>
  <c r="K439" i="1"/>
  <c r="D440" i="1"/>
  <c r="E440" i="1" s="1"/>
  <c r="F440" i="1" s="1"/>
  <c r="K440" i="1"/>
  <c r="D441" i="1"/>
  <c r="E441" i="1" s="1"/>
  <c r="F441" i="1" s="1"/>
  <c r="K441" i="1"/>
  <c r="D442" i="1"/>
  <c r="E442" i="1" s="1"/>
  <c r="F442" i="1" s="1"/>
  <c r="K442" i="1"/>
  <c r="D443" i="1"/>
  <c r="E443" i="1" s="1"/>
  <c r="F443" i="1" s="1"/>
  <c r="K443" i="1"/>
  <c r="D444" i="1"/>
  <c r="E444" i="1" s="1"/>
  <c r="F444" i="1" s="1"/>
  <c r="K444" i="1"/>
  <c r="D445" i="1"/>
  <c r="E445" i="1" s="1"/>
  <c r="F445" i="1" s="1"/>
  <c r="K445" i="1"/>
  <c r="D446" i="1"/>
  <c r="E446" i="1" s="1"/>
  <c r="F446" i="1" s="1"/>
  <c r="K446" i="1"/>
  <c r="D447" i="1"/>
  <c r="E447" i="1" s="1"/>
  <c r="F447" i="1" s="1"/>
  <c r="K447" i="1"/>
  <c r="D448" i="1"/>
  <c r="E448" i="1" s="1"/>
  <c r="F448" i="1" s="1"/>
  <c r="K448" i="1"/>
  <c r="D449" i="1"/>
  <c r="E449" i="1" s="1"/>
  <c r="F449" i="1" s="1"/>
  <c r="K449" i="1"/>
  <c r="D450" i="1"/>
  <c r="E450" i="1" s="1"/>
  <c r="F450" i="1" s="1"/>
  <c r="K450" i="1"/>
  <c r="D451" i="1"/>
  <c r="E451" i="1" s="1"/>
  <c r="F451" i="1" s="1"/>
  <c r="K451" i="1"/>
  <c r="D452" i="1"/>
  <c r="E452" i="1" s="1"/>
  <c r="F452" i="1" s="1"/>
  <c r="K452" i="1"/>
  <c r="D453" i="1"/>
  <c r="E453" i="1" s="1"/>
  <c r="F453" i="1" s="1"/>
  <c r="K453" i="1"/>
  <c r="D454" i="1"/>
  <c r="E454" i="1" s="1"/>
  <c r="F454" i="1" s="1"/>
  <c r="K454" i="1"/>
  <c r="D455" i="1"/>
  <c r="E455" i="1" s="1"/>
  <c r="F455" i="1" s="1"/>
  <c r="K455" i="1"/>
  <c r="D456" i="1"/>
  <c r="E456" i="1" s="1"/>
  <c r="F456" i="1" s="1"/>
  <c r="K456" i="1"/>
  <c r="D457" i="1"/>
  <c r="E457" i="1" s="1"/>
  <c r="F457" i="1" s="1"/>
  <c r="K457" i="1"/>
  <c r="D458" i="1"/>
  <c r="E458" i="1" s="1"/>
  <c r="F458" i="1" s="1"/>
  <c r="K458" i="1"/>
  <c r="D459" i="1"/>
  <c r="E459" i="1" s="1"/>
  <c r="F459" i="1" s="1"/>
  <c r="K459" i="1"/>
  <c r="D460" i="1"/>
  <c r="E460" i="1" s="1"/>
  <c r="F460" i="1" s="1"/>
  <c r="K460" i="1"/>
  <c r="D461" i="1"/>
  <c r="E461" i="1" s="1"/>
  <c r="F461" i="1" s="1"/>
  <c r="K461" i="1"/>
  <c r="D462" i="1"/>
  <c r="E462" i="1" s="1"/>
  <c r="F462" i="1" s="1"/>
  <c r="K462" i="1"/>
  <c r="D463" i="1"/>
  <c r="E463" i="1" s="1"/>
  <c r="F463" i="1" s="1"/>
  <c r="K463" i="1"/>
  <c r="D464" i="1"/>
  <c r="E464" i="1"/>
  <c r="F464" i="1" s="1"/>
  <c r="K464" i="1"/>
  <c r="D465" i="1"/>
  <c r="E465" i="1" s="1"/>
  <c r="F465" i="1" s="1"/>
  <c r="K465" i="1"/>
  <c r="D466" i="1"/>
  <c r="E466" i="1" s="1"/>
  <c r="F466" i="1" s="1"/>
  <c r="K466" i="1"/>
  <c r="D467" i="1"/>
  <c r="E467" i="1" s="1"/>
  <c r="F467" i="1" s="1"/>
  <c r="K467" i="1"/>
  <c r="K468" i="1"/>
  <c r="F8" i="3" l="1"/>
  <c r="Y18" i="4"/>
  <c r="F39" i="3"/>
  <c r="F42" i="3"/>
  <c r="F18" i="3"/>
  <c r="F12" i="3"/>
  <c r="AG18" i="4"/>
  <c r="I18" i="4"/>
  <c r="F28" i="3"/>
  <c r="F22" i="3"/>
  <c r="F16" i="3"/>
  <c r="F5" i="3"/>
  <c r="AF18" i="4"/>
  <c r="T18" i="4"/>
  <c r="W18" i="4"/>
  <c r="F26" i="3"/>
  <c r="AH18" i="4"/>
  <c r="V18" i="4"/>
  <c r="F13" i="3"/>
  <c r="U18" i="4"/>
  <c r="K18" i="4"/>
  <c r="J18" i="4"/>
  <c r="AO18" i="4"/>
  <c r="AC18" i="4"/>
  <c r="BA18" i="4"/>
  <c r="F35" i="3"/>
  <c r="F23" i="3"/>
  <c r="F17" i="3"/>
  <c r="F6" i="3"/>
  <c r="AZ18" i="4"/>
  <c r="AB18" i="4"/>
  <c r="AW18" i="4"/>
  <c r="M18" i="4"/>
  <c r="AX18" i="4"/>
  <c r="AL18" i="4"/>
  <c r="Z18" i="4"/>
  <c r="F32" i="3"/>
  <c r="F15" i="3"/>
  <c r="F41" i="3"/>
  <c r="F29" i="3"/>
  <c r="F24" i="3"/>
  <c r="F36" i="3"/>
  <c r="AT18" i="4"/>
  <c r="E18" i="4"/>
  <c r="AE18" i="4"/>
  <c r="AJ18" i="4"/>
  <c r="F40" i="3"/>
  <c r="AS18" i="4"/>
  <c r="F37" i="3"/>
  <c r="H18" i="4"/>
  <c r="F19" i="3"/>
  <c r="AM18" i="4"/>
  <c r="C18" i="4"/>
  <c r="AR18" i="4"/>
  <c r="N18" i="4"/>
  <c r="F38" i="3"/>
  <c r="F4" i="3"/>
  <c r="X18" i="4"/>
  <c r="AK18" i="4"/>
  <c r="F10" i="3"/>
  <c r="AQ18" i="4"/>
  <c r="AA18" i="4"/>
  <c r="S18" i="4"/>
  <c r="F30" i="3"/>
  <c r="F14" i="3"/>
  <c r="F9" i="3"/>
  <c r="K14" i="16"/>
  <c r="K15" i="16" s="1"/>
  <c r="K16" i="16" s="1"/>
  <c r="K17" i="16" s="1"/>
  <c r="K18" i="16" s="1"/>
  <c r="K19" i="16" s="1"/>
  <c r="K20" i="16" s="1"/>
  <c r="K21" i="16" s="1"/>
  <c r="K22" i="16" s="1"/>
  <c r="F34" i="3"/>
  <c r="F3" i="3"/>
  <c r="F33" i="3"/>
  <c r="F21" i="3"/>
  <c r="F11" i="3"/>
  <c r="AN18" i="4"/>
  <c r="P18" i="4"/>
  <c r="G18" i="4"/>
  <c r="AV18" i="4"/>
  <c r="D18" i="4"/>
  <c r="AD18" i="4"/>
  <c r="F25" i="3"/>
  <c r="BC18" i="4"/>
  <c r="L18" i="4"/>
  <c r="B18" i="4"/>
  <c r="F20" i="3"/>
  <c r="AY18" i="4"/>
  <c r="F31" i="3"/>
  <c r="H5" i="16"/>
  <c r="H4" i="16"/>
  <c r="AI18" i="4"/>
  <c r="F18" i="4"/>
  <c r="F27" i="3"/>
  <c r="BB18" i="4"/>
  <c r="AU18" i="4"/>
  <c r="O18" i="4"/>
</calcChain>
</file>

<file path=xl/sharedStrings.xml><?xml version="1.0" encoding="utf-8"?>
<sst xmlns="http://schemas.openxmlformats.org/spreadsheetml/2006/main" count="390" uniqueCount="275">
  <si>
    <t>Date</t>
  </si>
  <si>
    <t>US Fed Funds</t>
  </si>
  <si>
    <t>RBA Interbank</t>
  </si>
  <si>
    <t>IR % Diff</t>
  </si>
  <si>
    <t>Daily Rollover</t>
  </si>
  <si>
    <t>Synthetic</t>
  </si>
  <si>
    <t xml:space="preserve">Australian Exports and Imports by % </t>
  </si>
  <si>
    <t>Exports</t>
  </si>
  <si>
    <t>Imports</t>
  </si>
  <si>
    <t>Export Markets %</t>
  </si>
  <si>
    <t>Import Markets %</t>
  </si>
  <si>
    <t>Iron Ore</t>
  </si>
  <si>
    <t>Coal</t>
  </si>
  <si>
    <t>Pet Gas</t>
  </si>
  <si>
    <t>Gold</t>
  </si>
  <si>
    <t>Crude</t>
  </si>
  <si>
    <t>Total</t>
  </si>
  <si>
    <t>Cars</t>
  </si>
  <si>
    <t>Ref Pet</t>
  </si>
  <si>
    <t>Trucks</t>
  </si>
  <si>
    <t>Medicine</t>
  </si>
  <si>
    <t>China</t>
  </si>
  <si>
    <t>Japan</t>
  </si>
  <si>
    <t>South Korea</t>
  </si>
  <si>
    <t>India</t>
  </si>
  <si>
    <t>U.S.</t>
  </si>
  <si>
    <t>Singapore</t>
  </si>
  <si>
    <t>Germany</t>
  </si>
  <si>
    <t xml:space="preserve">China Coal Consumption </t>
  </si>
  <si>
    <t xml:space="preserve">http://ycharts.com/indicators/china_coal_consumption </t>
  </si>
  <si>
    <t xml:space="preserve">Iron Ore Prices </t>
  </si>
  <si>
    <t xml:space="preserve">http://ycharts.com/indicators/iron_ore_spot_price_any_origin </t>
  </si>
  <si>
    <t xml:space="preserve">Australia Coal Prices </t>
  </si>
  <si>
    <t xml:space="preserve">http://ycharts.com/indicators/australia_coal_price_imf </t>
  </si>
  <si>
    <t xml:space="preserve">Japan  Coal Consumption </t>
  </si>
  <si>
    <t xml:space="preserve">http://ycharts.com/indicators/japan_coal_consumption </t>
  </si>
  <si>
    <t>AUDUSD</t>
  </si>
  <si>
    <t>Iron Ore/100</t>
  </si>
  <si>
    <t>Jan 01, 2015</t>
  </si>
  <si>
    <t>Jan 01, 2014</t>
  </si>
  <si>
    <t>Jan 01, 2013</t>
  </si>
  <si>
    <t>Jan 01, 2012</t>
  </si>
  <si>
    <t>Jan 01, 2011</t>
  </si>
  <si>
    <t>Jan 01, 2010</t>
  </si>
  <si>
    <t>Jan 01, 2009</t>
  </si>
  <si>
    <t>Jan 01, 2008</t>
  </si>
  <si>
    <t>Jan 01, 2007</t>
  </si>
  <si>
    <t>Jan 01, 2006</t>
  </si>
  <si>
    <t>Jan 01, 2005</t>
  </si>
  <si>
    <t>Jan 01, 2004</t>
  </si>
  <si>
    <t>Jan 01, 2003</t>
  </si>
  <si>
    <t>Jan 01, 2002</t>
  </si>
  <si>
    <t>Jan 01, 2001</t>
  </si>
  <si>
    <t>Jan 01, 2000</t>
  </si>
  <si>
    <t>Jan 01, 1999</t>
  </si>
  <si>
    <t>Jan 01, 1998</t>
  </si>
  <si>
    <t>Jan 01, 1997</t>
  </si>
  <si>
    <t>Jan 01, 1996</t>
  </si>
  <si>
    <t>Jan 01, 1995</t>
  </si>
  <si>
    <t>Jan 01, 1994</t>
  </si>
  <si>
    <t>Jan 01, 1993</t>
  </si>
  <si>
    <t>Jan 01, 1992</t>
  </si>
  <si>
    <t>Jan 01, 1991</t>
  </si>
  <si>
    <t>Jan 01, 1990</t>
  </si>
  <si>
    <t>Jan 01, 1989</t>
  </si>
  <si>
    <t>Jan 01, 1988</t>
  </si>
  <si>
    <t>Jan 01, 1987</t>
  </si>
  <si>
    <t>Jan 01, 1986</t>
  </si>
  <si>
    <t>Jan 01, 1985</t>
  </si>
  <si>
    <t>Jan 01, 1984</t>
  </si>
  <si>
    <t>Jan 01, 1983</t>
  </si>
  <si>
    <t>Jan 01, 1982</t>
  </si>
  <si>
    <t>Jan 01, 1981</t>
  </si>
  <si>
    <t>Jan 01, 1980</t>
  </si>
  <si>
    <t>Jan 01, 1979</t>
  </si>
  <si>
    <t>Jan 01, 1978</t>
  </si>
  <si>
    <t>Jan 01, 1977</t>
  </si>
  <si>
    <t>Jan 01, 1976</t>
  </si>
  <si>
    <t>Jan 01, 1975</t>
  </si>
  <si>
    <t>Jan 01, 1974</t>
  </si>
  <si>
    <t>Jan 01, 1973</t>
  </si>
  <si>
    <t xml:space="preserve">Last </t>
  </si>
  <si>
    <t>%</t>
  </si>
  <si>
    <t>Coal PX</t>
  </si>
  <si>
    <t xml:space="preserve">Coal % </t>
  </si>
  <si>
    <t>GDP Aus</t>
  </si>
  <si>
    <t>GDP US</t>
  </si>
  <si>
    <t>% Aus</t>
  </si>
  <si>
    <t>% US</t>
  </si>
  <si>
    <t>Diff</t>
  </si>
  <si>
    <t>AUD_USD%</t>
  </si>
  <si>
    <t xml:space="preserve">http://www.imf.org/external/country/AUS/index.htm </t>
  </si>
  <si>
    <t xml:space="preserve">http://www.imf.org/external/country/USA/index.htm </t>
  </si>
  <si>
    <t>Score</t>
  </si>
  <si>
    <t>Score USD</t>
  </si>
  <si>
    <t>If GDP Australia minus U.S. is falling - Deflationary for Australian Economy, Inflationary for U.S. Economy - Sell AUD, Buy USD - Policy Makers will react to inflate in AUS and Deflate in US</t>
  </si>
  <si>
    <t>If GDP Australia minus U.S. is rising - Inflationary for Australian Economy, Deflationary for U.S. Economy - Buy AUD, Sell USD - Policy Makers will react to deflate in AUS and Inflate in U.S.</t>
  </si>
  <si>
    <t>Change in U.S.-owned assets abroad</t>
  </si>
  <si>
    <t>Change in Foreign-owned assets in the United States</t>
  </si>
  <si>
    <t>Capital Account</t>
  </si>
  <si>
    <t>Net Investment Income (-/+)</t>
  </si>
  <si>
    <t xml:space="preserve">Balance of Trade (Deficit -/+ Surplus) </t>
  </si>
  <si>
    <t>Imports of goods and services and income payments</t>
  </si>
  <si>
    <t>Exports of goods and services and income receipts</t>
  </si>
  <si>
    <t>Current Account</t>
  </si>
  <si>
    <t>(Credits + Debits)</t>
  </si>
  <si>
    <t>[Millions of Dollars]</t>
  </si>
  <si>
    <t xml:space="preserve">http://www.barchart.com/futures/commodities/ITI </t>
  </si>
  <si>
    <t xml:space="preserve">https://www.bea.gov/international/xls/table1.xls </t>
  </si>
  <si>
    <t>Frequency</t>
  </si>
  <si>
    <t>CAB</t>
  </si>
  <si>
    <t>CA+FA</t>
  </si>
  <si>
    <t>Error</t>
  </si>
  <si>
    <t>Change in Foreign Reserves</t>
  </si>
  <si>
    <r>
      <t xml:space="preserve">Balance  - </t>
    </r>
    <r>
      <rPr>
        <b/>
        <i/>
        <sz val="9"/>
        <color indexed="8"/>
        <rFont val="Calibri"/>
        <family val="2"/>
      </rPr>
      <t>Positive = Dollars coming in, Negative = Dollars going out</t>
    </r>
  </si>
  <si>
    <r>
      <t xml:space="preserve">Balance - </t>
    </r>
    <r>
      <rPr>
        <b/>
        <i/>
        <sz val="9"/>
        <color indexed="8"/>
        <rFont val="Calibri"/>
        <family val="2"/>
      </rPr>
      <t>Positive = Dollars coming in, Negative = Dollars going out</t>
    </r>
  </si>
  <si>
    <t>Change in US Foreign Reserves</t>
  </si>
  <si>
    <t>Change in US Foreign Reserves Negative = (CAB+CA) Surplus = US Net Exporter = US Dollars coming in / ROW reducing their USD FX reserves = USD in demand by ROW, - Long Currency Bias</t>
  </si>
  <si>
    <t>Change in US Foreign Reserves Positive = (CAB+CA) Deficit = US Net Importer = US Dollars going out / ROW increasing their USD FX reserves =  USD in Supply to ROW - Short Currency Bias</t>
  </si>
  <si>
    <t>Change in Australian Foreign Reserves Positive = (CAB+CA) Deficit = AUS Net Importer = AUD Dollars going out / ROW increasing their AUD FX reserves =  AUD in Supply to ROW - Short Currency Bias</t>
  </si>
  <si>
    <t>Change in Australian Foreign Reserves Negative = (CAB+CA) Surplus = AUS Net Exporter = AUD Dollars coming in / ROW reducing their AUD FX reserves = AUD in demand by ROW - Long Currency Bias</t>
  </si>
  <si>
    <t>Change in Aus' Foreign  Reserves</t>
  </si>
  <si>
    <t>AUD/USD FX Reserves</t>
  </si>
  <si>
    <t>Relatioship;-</t>
  </si>
  <si>
    <t xml:space="preserve">If Australian Exports are increasing at a faster pace than Imports from the U.S. then the U.S. will be reducing AUD Foreign Currency Reserves and Aussie Dollars will be in Demand  </t>
  </si>
  <si>
    <t xml:space="preserve">If Australian Exports are decreasing at a faster pace than Imports from the U.S. then the U.S. will be increasing their AUD reserves and AUD is in supply to the U.S.  </t>
  </si>
  <si>
    <t>We must now look at the make-up of Australian Exports, to understand when to buy and sell the AUD/USD exchange rate</t>
  </si>
  <si>
    <t>Period</t>
  </si>
  <si>
    <t>Iron Ore Spot</t>
  </si>
  <si>
    <t>Intervals</t>
  </si>
  <si>
    <t>Bin</t>
  </si>
  <si>
    <t>More</t>
  </si>
  <si>
    <t>Range</t>
  </si>
  <si>
    <t>Less than -20%</t>
  </si>
  <si>
    <t>-15% to -20%</t>
  </si>
  <si>
    <t>-10% to -15%</t>
  </si>
  <si>
    <t>-5% to -10%</t>
  </si>
  <si>
    <t>More than 20%</t>
  </si>
  <si>
    <t>% Returns</t>
  </si>
  <si>
    <t>Mean</t>
  </si>
  <si>
    <t>Standard Error</t>
  </si>
  <si>
    <t>Median</t>
  </si>
  <si>
    <t>Mode</t>
  </si>
  <si>
    <t>Standard Deviation</t>
  </si>
  <si>
    <t>Sample Variance</t>
  </si>
  <si>
    <t>Kurtosis</t>
  </si>
  <si>
    <t>Skewness</t>
  </si>
  <si>
    <t>Minimum</t>
  </si>
  <si>
    <t>Maximum</t>
  </si>
  <si>
    <t>Sum</t>
  </si>
  <si>
    <t>Count</t>
  </si>
  <si>
    <t>Probabilities</t>
  </si>
  <si>
    <t>Freq'</t>
  </si>
  <si>
    <t>Freq %</t>
  </si>
  <si>
    <t>Prob' Adjust % Change</t>
  </si>
  <si>
    <t>Std Dev</t>
  </si>
  <si>
    <t>Average Pos'</t>
  </si>
  <si>
    <t>Upper</t>
  </si>
  <si>
    <t>Average</t>
  </si>
  <si>
    <t>Average Neg'</t>
  </si>
  <si>
    <t>Lower</t>
  </si>
  <si>
    <t>Zero</t>
  </si>
  <si>
    <t>Actual</t>
  </si>
  <si>
    <t>Normal</t>
  </si>
  <si>
    <t xml:space="preserve">Actual % </t>
  </si>
  <si>
    <t>Normal %</t>
  </si>
  <si>
    <t xml:space="preserve">Iron Ore Monthly Distribution </t>
  </si>
  <si>
    <t xml:space="preserve">See Dalian Commodities Exchange (DCE) Iron Ore Future </t>
  </si>
  <si>
    <t xml:space="preserve">http://www.barchart.com/commodityfutures/Dce_Iron_Ore/YYJ15 </t>
  </si>
  <si>
    <t xml:space="preserve">A reduction in Australian Exports means the ROW is no longer depleting their AUD reserves and are now increasing AUD reserves. In order to maintain previous levels of exports, Australia may be forced to stimulate exports by reducing Relative Interest Rates / Relative Carry forcing the ROW to sell their AUD reserves.  </t>
  </si>
  <si>
    <t>Descriptive Statistics Iron Ore</t>
  </si>
  <si>
    <t>0% to -5%</t>
  </si>
  <si>
    <t>0% to 5%</t>
  </si>
  <si>
    <t>5% to 10%</t>
  </si>
  <si>
    <t>10% to 15%</t>
  </si>
  <si>
    <t>15% to 20%</t>
  </si>
  <si>
    <t>Cumulative</t>
  </si>
  <si>
    <t xml:space="preserve">When Iron Ore and Coal prices are falling this is most likely due to a fall in both Chinese and Japanese demand. This means we are forecasting that AUD will have to fall in order to maintain previous levels of exports. Lower Iron Ore prices are deflationary for Australia requiring an easing policy response relative to U.S.    </t>
  </si>
  <si>
    <t xml:space="preserve">When Iron Ore and Coal prices are rising this is most likely due to a rise in both Chinese and Japanese demand. This means we are forecasting that AUD will rise due to demand for Iron Ore. Higher Iron Ore prices are inflationary for Australia. This may require no policy response if AUD adjusts upwards or a tightening bias to control inflation.  </t>
  </si>
  <si>
    <t>PA%</t>
  </si>
  <si>
    <t>Av Pos</t>
  </si>
  <si>
    <t>1 Std</t>
  </si>
  <si>
    <t>2 Std Dev</t>
  </si>
  <si>
    <t>1 Std Dev</t>
  </si>
  <si>
    <t>3 Std Dev</t>
  </si>
  <si>
    <t>Av Neg</t>
  </si>
  <si>
    <t>2 Std</t>
  </si>
  <si>
    <t>3 Std</t>
  </si>
  <si>
    <t>Short AUD / Long USD</t>
  </si>
  <si>
    <t xml:space="preserve">Rule of thumb - on either side of the equation, whichever country experiences relative deflation will act with an easing bias i.e. try to inflate and vice versa. </t>
  </si>
  <si>
    <t>Latest Month</t>
  </si>
  <si>
    <t>Long AUD / Short USD</t>
  </si>
  <si>
    <t>Latest = -7.5329</t>
  </si>
  <si>
    <t>AUD/USD</t>
  </si>
  <si>
    <t>ASX200</t>
  </si>
  <si>
    <t>ASX(USD)</t>
  </si>
  <si>
    <t xml:space="preserve">Source = </t>
  </si>
  <si>
    <t xml:space="preserve">http://www.eoddata.com/stockquote/FOREX/AUDUSD.htm   </t>
  </si>
  <si>
    <t xml:space="preserve">https://sg.finance.yahoo.com/q/hp?s=%5EAXJO&amp;a=10&amp;b=23&amp;c=1992&amp;d=03&amp;e=2&amp;f=2015&amp;g=d </t>
  </si>
  <si>
    <t xml:space="preserve">Buy AUD/USD during inflationary normaility, Sell during Inflationary extremes.  </t>
  </si>
  <si>
    <t xml:space="preserve">High = </t>
  </si>
  <si>
    <t>Perf'</t>
  </si>
  <si>
    <t xml:space="preserve">Current = </t>
  </si>
  <si>
    <t>Sell AUD/USD</t>
  </si>
  <si>
    <t>Buy AUD/USD</t>
  </si>
  <si>
    <t xml:space="preserve">Inflationary = Stock market higher due to higher earnings - In Australias case driven by Commodity Exports - Inflationary conditions preferred however if out of control deflationary measures required </t>
  </si>
  <si>
    <t xml:space="preserve">With a stock index we are talking about peoples pensions. The wealth effect from pension deflation can be devastating as evidenced by Japan in the 90's and naughties. </t>
  </si>
  <si>
    <t>Difference</t>
  </si>
  <si>
    <t xml:space="preserve">If ASX priced in Dollars falls too far from its highs we must be prepared to reduce our conviction score because it means authorities are more than likely to use extreme measures to prevent extreme deflation and cause inflation. </t>
  </si>
  <si>
    <t xml:space="preserve">If ASX priced in Dollars rises too far above previous highs we must be prepared to reduce our conviction score because it means authorities are more than likely to use extreme measures to prevent hyperinflation and cause slowdown / deflation. </t>
  </si>
  <si>
    <t>Diff'</t>
  </si>
  <si>
    <t>As the gap between Interest Rates in Australia and the U.S. widens this creates hot money flows out of USD into AUD to obtain Carry. This is inflationary for Australia. Here we buy the AUD/USD however our conviction lowers if the gap</t>
  </si>
  <si>
    <t xml:space="preserve">widens by too much as authorities will more than likely intervene in order to avoid hyperinflation. </t>
  </si>
  <si>
    <t xml:space="preserve">narrows by too much as authorities will have already intervened and inflationary conditions may begin to appear. </t>
  </si>
  <si>
    <t xml:space="preserve">Note: The scorecard measures the change / direction and magnitude of the IR differential. Not the absolute level. </t>
  </si>
  <si>
    <t>US Projected</t>
  </si>
  <si>
    <t>Aus Projected</t>
  </si>
  <si>
    <t xml:space="preserve">This does not look intuitive at first because we are looking at AUD/USD on the chart. Therefore we have to look at the relative change in Foreign Currency Reserves </t>
  </si>
  <si>
    <t xml:space="preserve">The ROW is decreasing its AUD reserves and Aussie Dollars are more in demand than USD - Long Currency Bias </t>
  </si>
  <si>
    <r>
      <rPr>
        <b/>
        <i/>
        <sz val="10"/>
        <rFont val="Calibri"/>
        <family val="2"/>
      </rPr>
      <t>Decrease in AUD Foreign Currency Reserves ROW = Long AUD/USD Bias</t>
    </r>
    <r>
      <rPr>
        <sz val="10"/>
        <color indexed="8"/>
        <rFont val="Calibri"/>
        <family val="2"/>
      </rPr>
      <t xml:space="preserve"> - When Australian Foreign Currency Reserves are decreasing relative to the United States' Foreign Currency Reserves, AUD/USD rises because Australia is a net net exporter relative to the U.S. meaning AUD are coming into Australia from ROW and USD are going out</t>
    </r>
  </si>
  <si>
    <t xml:space="preserve">The ROW is increasing its AUD reserves and Aussie Dollars are more in Supply than USD - Short Currency Bias   </t>
  </si>
  <si>
    <r>
      <rPr>
        <b/>
        <i/>
        <sz val="10"/>
        <color indexed="8"/>
        <rFont val="Calibri"/>
        <family val="2"/>
      </rPr>
      <t>Increase in AUD Foreign Currency Reserves ROW = Short AUD/USD -</t>
    </r>
    <r>
      <rPr>
        <sz val="10"/>
        <color indexed="8"/>
        <rFont val="Calibri"/>
        <family val="2"/>
      </rPr>
      <t xml:space="preserve"> When Australian Foreign Currency Reserves are increasing relative to the United States' Foreign Currency Reserves AUD/USD falls because Australia is a net importer relative to the U.S. meaning AUD are going out of Australia to ROW and USD are coming in</t>
    </r>
  </si>
  <si>
    <t xml:space="preserve">We want to capture the monthly 7-10% average moves thus creating opportunities in which the AUD complex can move 10%+ in a 1-3 month time horizon.  </t>
  </si>
  <si>
    <t>As the gap between Interest Rates in Australia and the U.S. narrows, this creates hot money flows out of AUD into USD because Carry is depleting. This is deflationary for Australia. Here we sell the AUD/USD however our conviction lowers if the gap</t>
  </si>
  <si>
    <t>Deflationary = Stock market lower due to lower earnings - In Australias case driven by Commodity Exports - Deflationary pressures require policy intervention i.e. IR Diff closed = Sell AUD/USD</t>
  </si>
  <si>
    <t xml:space="preserve">On the flipside, extreme pension inflation can cause a spending effect as consumers feel wealthier causing domestic Price inflation in goods and services i.e. hubris. </t>
  </si>
  <si>
    <t>ASX</t>
  </si>
  <si>
    <t>ASXUSD</t>
  </si>
  <si>
    <t>Driver</t>
  </si>
  <si>
    <t>Code</t>
  </si>
  <si>
    <t>Source</t>
  </si>
  <si>
    <t>Rate</t>
  </si>
  <si>
    <t>Score I/D</t>
  </si>
  <si>
    <t>State</t>
  </si>
  <si>
    <t>Comment</t>
  </si>
  <si>
    <t>High Scale</t>
  </si>
  <si>
    <t>Low Scale</t>
  </si>
  <si>
    <t>SCORE</t>
  </si>
  <si>
    <t>Full Scale</t>
  </si>
  <si>
    <t>Half Scale</t>
  </si>
  <si>
    <t>Exogenous Driver Analysis</t>
  </si>
  <si>
    <t>Relative GDP Growth</t>
  </si>
  <si>
    <t>Relative Balance of Payments</t>
  </si>
  <si>
    <t xml:space="preserve">Interest Rates Differentials and Carry </t>
  </si>
  <si>
    <t xml:space="preserve">Stock Market Returns / Relative Wealth </t>
  </si>
  <si>
    <t xml:space="preserve">http://www.abs.gov.au/Ausstats/abs@.nsf/mf/5302.0 </t>
  </si>
  <si>
    <t>AUD_USD</t>
  </si>
  <si>
    <t>Change in U.S. owned assets abroad</t>
  </si>
  <si>
    <t xml:space="preserve">If ASX priced in USD falls this is deflationary for Australia because it means Australian pensions are becoming worth less relative to the rest of the world. Here we must look to sell AUD and buy USD to protect against deflation in Aus assets. </t>
  </si>
  <si>
    <t xml:space="preserve">If ASX priced in USD rises this is inflationary for Australia because it means Australian pensions are becoming worth more relative to the rest of the world. Here we must look to buy AUD and sell USD to protect against inflation is Aus assets. </t>
  </si>
  <si>
    <t>Change in US Foreign Reserves(ROW) (inverse/Balancing Item)</t>
  </si>
  <si>
    <t xml:space="preserve"> </t>
  </si>
  <si>
    <t>USD-positive</t>
  </si>
  <si>
    <t>AUD-positive</t>
  </si>
  <si>
    <t>Endo cross-check</t>
  </si>
  <si>
    <t>US +2.3% vs AU +1.9% (2026 IMF July WEO projections)</t>
  </si>
  <si>
    <t>https://www.imf.org/en/countries/usa</t>
  </si>
  <si>
    <t>https://www.imf.org/en/countries/aus</t>
  </si>
  <si>
    <t>https://www.imf.org/en/publications/weo/issues/2026/07/08/world-economic-outlook-update-july-2026</t>
  </si>
  <si>
    <t>AU CA -2.3% vs US -3.7% of GDP (2026 IMF WEO)</t>
  </si>
  <si>
    <t>https://www.imf.org/external/datamapper/ranking/BCA_NGDPD@WEO/</t>
  </si>
  <si>
    <t>https://data.imf.org/Datasets/WEO</t>
  </si>
  <si>
    <t>https://www.rba.gov.au/</t>
  </si>
  <si>
    <t>ASX200 +1.8% vs S&amp;P500 +18.4% YoY (17 Jul 2026 closes)</t>
  </si>
  <si>
    <t>https://finance.yahoo.com/quote/%5ESPX/history/</t>
  </si>
  <si>
    <t>https://au.finance.yahoo.com/quote/%5EAXJO/history/</t>
  </si>
  <si>
    <t>REFRESHED 2026-07-18 09:00 GMT+07 from latest public macro/market data: IMF July 2026 WEO/update, IMF WEO current-account data, RBA cash-rate target, Fed daily effective funds rate, Yahoo Finance/Investing.com market closes, RBA AUD/USD reference</t>
  </si>
  <si>
    <t>US growth is projected 0.4pp faster than Australia; mild USD-positive drag on AUD/USD. Score held at -2.</t>
  </si>
  <si>
    <t>Australia's current-account deficit is smaller than the US deficit by 1.4pp of GDP; still AUD-positive. Score held at +2.</t>
  </si>
  <si>
    <t>RBA 4.35% vs Fed effective 3.62% = +0.73% AUD carry</t>
  </si>
  <si>
    <t>Positive AUD carry persists: RBA cash-rate target 4.35% against latest daily Fed effective funds around 3.62%; score held at +2.</t>
  </si>
  <si>
    <t>https://www.federalreserve.gov/monetarypolicy/2026-07-mpr-summary.htm</t>
  </si>
  <si>
    <t>https://fred.stlouisfed.org/series/EFFR</t>
  </si>
  <si>
    <t>US equities continue to dominate relative wealth momentum: S&amp;P 500 +18.4% YoY versus ASX 200 +1.8% YoY; strongest AUD-negative driver. Score held at -6.</t>
  </si>
  <si>
    <t>Endo cross-check left as 2026-07-04 workbook refresh; July 18 exogenous refresh keeps the same net score. Updated inputs: GDP US +2.3% vs AU +1.9%; current account AU -2.3% vs US -3.7% of GDP; carry RBA 4.35% vs Fed daily effective 3.62%; equities S&amp;P 500 7,457.69 vs 6,296.79 (+18.4% YoY) and ASX 200 8,796.70 vs 8,639.00 (+1.8% YoY); AUD/USD 0.6980 RBA 4pm reference on 17-Jul-2026. Net: EXO -4 = LOW-conviction short AUD/USD, with AUD carry and external balance offset by US growth/wealth momentum.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</si>
</sst>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yyyy"/>
    <numFmt numFmtId="165" formatCode="0.000000%"/>
    <numFmt numFmtId="166" formatCode="0.0000%"/>
    <numFmt numFmtId="167" formatCode="dd/mm/yy;@"/>
    <numFmt numFmtId="168" formatCode="0.0000"/>
    <numFmt numFmtId="169" formatCode="0;\-0;0;@"/>
    <numFmt numFmtId="170" formatCode="[$-14809]dd/mm/yy;@"/>
  </numFmts>
  <fonts count="34">
    <font>
      <sz val="11"/>
      <color theme="1"/>
      <name val="Calibri"/>
      <family val="2"/>
      <scheme val="minor"/>
    </font>
    <font>
      <sz val="10"/>
      <name val="Arial"/>
      <family val="2"/>
    </font>
    <font>
      <b/>
      <sz val="9"/>
      <name val="Arial"/>
      <family val="2"/>
    </font>
    <font>
      <sz val="9"/>
      <name val="Arial"/>
      <family val="2"/>
    </font>
    <font>
      <u/>
      <sz val="10"/>
      <color indexed="12"/>
      <name val="Geneva"/>
    </font>
    <font>
      <sz val="9"/>
      <name val="Inherit"/>
    </font>
    <font>
      <b/>
      <sz val="9"/>
      <name val="Inherit"/>
    </font>
    <font>
      <b/>
      <i/>
      <sz val="9"/>
      <color indexed="8"/>
      <name val="Calibri"/>
      <family val="2"/>
    </font>
    <font>
      <sz val="8"/>
      <name val="Arial"/>
      <family val="2"/>
    </font>
    <font>
      <b/>
      <sz val="8"/>
      <name val="Arial"/>
      <family val="2"/>
    </font>
    <font>
      <sz val="10"/>
      <color indexed="8"/>
      <name val="Calibri"/>
      <family val="2"/>
    </font>
    <font>
      <b/>
      <i/>
      <sz val="10"/>
      <name val="Calibri"/>
      <family val="2"/>
    </font>
    <font>
      <b/>
      <i/>
      <sz val="10"/>
      <color indexed="8"/>
      <name val="Calibri"/>
      <family val="2"/>
    </font>
    <font>
      <b/>
      <sz val="11"/>
      <color theme="1"/>
      <name val="Calibri"/>
      <family val="2"/>
      <scheme val="minor"/>
    </font>
    <font>
      <sz val="9"/>
      <color theme="1"/>
      <name val="Arial"/>
      <family val="2"/>
    </font>
    <font>
      <b/>
      <sz val="9"/>
      <color theme="1"/>
      <name val="Arial"/>
      <family val="2"/>
    </font>
    <font>
      <b/>
      <i/>
      <sz val="9"/>
      <color rgb="FF0070C0"/>
      <name val="Arial"/>
      <family val="2"/>
    </font>
    <font>
      <b/>
      <sz val="9"/>
      <color rgb="FF333333"/>
      <name val="Inherit"/>
    </font>
    <font>
      <b/>
      <sz val="9"/>
      <color rgb="FFFF0000"/>
      <name val="Inherit"/>
    </font>
    <font>
      <b/>
      <sz val="9"/>
      <color rgb="FF0EA600"/>
      <name val="Inherit"/>
    </font>
    <font>
      <b/>
      <sz val="11"/>
      <name val="Calibri"/>
      <family val="2"/>
      <scheme val="minor"/>
    </font>
    <font>
      <sz val="11"/>
      <name val="Calibri"/>
      <family val="2"/>
      <scheme val="minor"/>
    </font>
    <font>
      <b/>
      <sz val="9"/>
      <color theme="1"/>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b/>
      <i/>
      <sz val="11"/>
      <color theme="1"/>
      <name val="Calibri"/>
      <family val="2"/>
      <scheme val="minor"/>
    </font>
    <font>
      <i/>
      <sz val="11"/>
      <color theme="1"/>
      <name val="Calibri"/>
      <family val="2"/>
      <scheme val="minor"/>
    </font>
    <font>
      <b/>
      <sz val="9"/>
      <color rgb="FFFF0000"/>
      <name val="Calibri"/>
      <family val="2"/>
      <scheme val="minor"/>
    </font>
    <font>
      <sz val="8"/>
      <color theme="1"/>
      <name val="Calibri"/>
      <family val="2"/>
      <scheme val="minor"/>
    </font>
    <font>
      <b/>
      <sz val="8"/>
      <color theme="1"/>
      <name val="Calibri"/>
      <family val="2"/>
      <scheme val="minor"/>
    </font>
    <font>
      <u/>
      <sz val="8"/>
      <color theme="10"/>
      <name val="Calibri"/>
      <family val="2"/>
      <scheme val="minor"/>
    </font>
    <font>
      <i/>
      <sz val="8"/>
      <color rgb="FFFF0000"/>
      <name val="Calibri"/>
      <family val="2"/>
      <scheme val="minor"/>
    </font>
    <font>
      <u/>
      <sz val="8"/>
      <color indexed="12"/>
      <name val="Calibri"/>
      <family val="2"/>
      <scheme val="minor"/>
    </font>
  </fonts>
  <fills count="12">
    <fill>
      <patternFill patternType="none"/>
    </fill>
    <fill>
      <patternFill patternType="gray125"/>
    </fill>
    <fill>
      <patternFill patternType="solid">
        <fgColor rgb="FFFFFFFF"/>
        <bgColor indexed="64"/>
      </patternFill>
    </fill>
    <fill>
      <patternFill patternType="solid">
        <fgColor theme="5" tint="0.39997558519241921"/>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00B0F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rgb="FFDADADA"/>
      </top>
      <bottom/>
      <diagonal/>
    </border>
  </borders>
  <cellStyleXfs count="4">
    <xf numFmtId="0" fontId="0" fillId="0" borderId="0"/>
    <xf numFmtId="0" fontId="4" fillId="0" borderId="0" applyNumberFormat="0" applyFill="0" applyBorder="0" applyAlignment="0" applyProtection="0">
      <alignment vertical="top"/>
      <protection locked="0"/>
    </xf>
    <xf numFmtId="0" fontId="1" fillId="0" borderId="0"/>
    <xf numFmtId="0" fontId="1" fillId="0" borderId="0"/>
  </cellStyleXfs>
  <cellXfs count="173">
    <xf numFmtId="0" fontId="0" fillId="0" borderId="0" xfId="0"/>
    <xf numFmtId="0" fontId="14" fillId="0" borderId="0" xfId="0" applyFont="1"/>
    <xf numFmtId="0" fontId="14" fillId="0" borderId="0" xfId="0" applyFont="1" applyAlignment="1">
      <alignment horizontal="right"/>
    </xf>
    <xf numFmtId="2" fontId="3" fillId="0" borderId="0" xfId="2" applyNumberFormat="1" applyFont="1" applyAlignment="1">
      <alignment horizontal="center"/>
    </xf>
    <xf numFmtId="0" fontId="14" fillId="0" borderId="0" xfId="0" applyFont="1" applyAlignment="1">
      <alignment horizontal="center"/>
    </xf>
    <xf numFmtId="10" fontId="0" fillId="0" borderId="0" xfId="0" applyNumberFormat="1" applyAlignment="1">
      <alignment horizontal="center"/>
    </xf>
    <xf numFmtId="0" fontId="15" fillId="0" borderId="0" xfId="0" applyFont="1"/>
    <xf numFmtId="0" fontId="15" fillId="0" borderId="0" xfId="0" applyFont="1" applyAlignment="1">
      <alignment horizontal="center"/>
    </xf>
    <xf numFmtId="164" fontId="2" fillId="0" borderId="0" xfId="2" applyNumberFormat="1" applyFont="1" applyAlignment="1">
      <alignment horizontal="center"/>
    </xf>
    <xf numFmtId="10" fontId="14" fillId="0" borderId="0" xfId="0" applyNumberFormat="1" applyFont="1" applyAlignment="1">
      <alignment horizontal="center"/>
    </xf>
    <xf numFmtId="10" fontId="3" fillId="0" borderId="0" xfId="2" applyNumberFormat="1" applyFont="1" applyAlignment="1">
      <alignment horizontal="center"/>
    </xf>
    <xf numFmtId="165" fontId="14" fillId="0" borderId="0" xfId="0" applyNumberFormat="1" applyFont="1" applyAlignment="1">
      <alignment horizontal="center"/>
    </xf>
    <xf numFmtId="165" fontId="3" fillId="0" borderId="0" xfId="2" applyNumberFormat="1" applyFont="1" applyAlignment="1">
      <alignment horizontal="center"/>
    </xf>
    <xf numFmtId="0" fontId="3" fillId="0" borderId="0" xfId="0" applyFont="1" applyAlignment="1">
      <alignment horizontal="center"/>
    </xf>
    <xf numFmtId="0" fontId="5" fillId="2" borderId="0" xfId="0" applyFont="1" applyFill="1" applyAlignment="1">
      <alignment horizontal="center" vertical="center" wrapText="1"/>
    </xf>
    <xf numFmtId="0" fontId="5" fillId="2" borderId="4" xfId="0" applyFont="1" applyFill="1" applyBorder="1" applyAlignment="1">
      <alignment horizontal="center" vertical="center" wrapText="1"/>
    </xf>
    <xf numFmtId="10" fontId="15" fillId="0" borderId="0" xfId="0" applyNumberFormat="1" applyFont="1" applyAlignment="1">
      <alignment horizontal="center"/>
    </xf>
    <xf numFmtId="165" fontId="15" fillId="0" borderId="0" xfId="0" applyNumberFormat="1" applyFont="1" applyAlignment="1">
      <alignment horizontal="center"/>
    </xf>
    <xf numFmtId="2" fontId="15" fillId="0" borderId="0" xfId="0" applyNumberFormat="1" applyFont="1" applyAlignment="1">
      <alignment horizontal="center"/>
    </xf>
    <xf numFmtId="2" fontId="14" fillId="0" borderId="0" xfId="0" applyNumberFormat="1" applyFont="1" applyAlignment="1">
      <alignment horizontal="center"/>
    </xf>
    <xf numFmtId="3" fontId="16" fillId="0" borderId="0" xfId="0" applyNumberFormat="1" applyFont="1" applyAlignment="1">
      <alignment horizontal="center"/>
    </xf>
    <xf numFmtId="167" fontId="13" fillId="0" borderId="0" xfId="0" applyNumberFormat="1" applyFont="1" applyAlignment="1">
      <alignment horizontal="center"/>
    </xf>
    <xf numFmtId="0" fontId="13" fillId="0" borderId="0" xfId="0" applyFont="1" applyAlignment="1">
      <alignment horizontal="center"/>
    </xf>
    <xf numFmtId="167" fontId="0" fillId="0" borderId="0" xfId="0" applyNumberFormat="1" applyAlignment="1">
      <alignment horizontal="center"/>
    </xf>
    <xf numFmtId="0" fontId="0" fillId="0" borderId="0" xfId="0" applyAlignment="1">
      <alignment horizontal="center"/>
    </xf>
    <xf numFmtId="0" fontId="14" fillId="0" borderId="0" xfId="0" applyFont="1" applyAlignment="1">
      <alignment horizontal="left"/>
    </xf>
    <xf numFmtId="0" fontId="15" fillId="0" borderId="0" xfId="0" applyFont="1" applyAlignment="1">
      <alignment horizontal="left"/>
    </xf>
    <xf numFmtId="0" fontId="15" fillId="3" borderId="0" xfId="0" applyFont="1" applyFill="1" applyAlignment="1">
      <alignment horizontal="left"/>
    </xf>
    <xf numFmtId="10" fontId="14" fillId="3" borderId="0" xfId="0" applyNumberFormat="1" applyFont="1" applyFill="1" applyAlignment="1">
      <alignment horizontal="center"/>
    </xf>
    <xf numFmtId="0" fontId="4" fillId="0" borderId="0" xfId="1" applyAlignment="1" applyProtection="1">
      <alignment horizontal="left"/>
    </xf>
    <xf numFmtId="0" fontId="0" fillId="4" borderId="0" xfId="0" applyFill="1"/>
    <xf numFmtId="0" fontId="15" fillId="5" borderId="0" xfId="0" applyFont="1" applyFill="1" applyAlignment="1">
      <alignment horizontal="left"/>
    </xf>
    <xf numFmtId="0" fontId="14" fillId="5" borderId="0" xfId="0" applyFont="1" applyFill="1" applyAlignment="1">
      <alignment horizontal="right"/>
    </xf>
    <xf numFmtId="0" fontId="14" fillId="5" borderId="0" xfId="0" applyFont="1" applyFill="1" applyAlignment="1">
      <alignment horizontal="left"/>
    </xf>
    <xf numFmtId="0" fontId="14" fillId="5" borderId="0" xfId="0" applyFont="1" applyFill="1" applyAlignment="1">
      <alignment horizontal="center"/>
    </xf>
    <xf numFmtId="0" fontId="0" fillId="5" borderId="0" xfId="0" applyFill="1"/>
    <xf numFmtId="0" fontId="15" fillId="5" borderId="0" xfId="0" applyFont="1" applyFill="1" applyAlignment="1">
      <alignment horizontal="center"/>
    </xf>
    <xf numFmtId="10" fontId="14" fillId="5" borderId="0" xfId="0" applyNumberFormat="1" applyFont="1" applyFill="1" applyAlignment="1">
      <alignment horizontal="center"/>
    </xf>
    <xf numFmtId="0" fontId="4" fillId="5" borderId="0" xfId="1" applyFill="1" applyAlignment="1" applyProtection="1">
      <alignment horizontal="left"/>
    </xf>
    <xf numFmtId="0" fontId="0" fillId="5" borderId="0" xfId="0" applyFill="1" applyAlignment="1">
      <alignment horizontal="center"/>
    </xf>
    <xf numFmtId="0" fontId="15" fillId="6" borderId="0" xfId="0" applyFont="1" applyFill="1" applyAlignment="1">
      <alignment horizontal="left"/>
    </xf>
    <xf numFmtId="3" fontId="2" fillId="0" borderId="0" xfId="0" applyNumberFormat="1" applyFont="1" applyAlignment="1">
      <alignment horizontal="center"/>
    </xf>
    <xf numFmtId="0" fontId="13" fillId="0" borderId="0" xfId="0" applyFont="1"/>
    <xf numFmtId="0" fontId="17" fillId="0" borderId="0" xfId="0" applyFont="1" applyAlignment="1">
      <alignment horizontal="center" vertical="center"/>
    </xf>
    <xf numFmtId="10" fontId="18" fillId="0" borderId="0" xfId="0" applyNumberFormat="1" applyFont="1" applyAlignment="1">
      <alignment horizontal="center" vertical="center" wrapText="1"/>
    </xf>
    <xf numFmtId="10" fontId="19" fillId="0" borderId="0" xfId="0" applyNumberFormat="1" applyFont="1" applyAlignment="1">
      <alignment horizontal="center" vertical="center" wrapText="1"/>
    </xf>
    <xf numFmtId="10" fontId="13" fillId="0" borderId="0" xfId="0" applyNumberFormat="1" applyFont="1" applyAlignment="1">
      <alignment horizontal="center"/>
    </xf>
    <xf numFmtId="2" fontId="0" fillId="0" borderId="0" xfId="0" applyNumberFormat="1" applyAlignment="1">
      <alignment horizontal="center"/>
    </xf>
    <xf numFmtId="0" fontId="4" fillId="0" borderId="0" xfId="1" applyFill="1" applyAlignment="1" applyProtection="1"/>
    <xf numFmtId="0" fontId="13" fillId="0" borderId="1" xfId="0" applyFont="1" applyBorder="1" applyAlignment="1">
      <alignment horizontal="center"/>
    </xf>
    <xf numFmtId="0" fontId="0" fillId="0" borderId="1" xfId="0" applyBorder="1" applyAlignment="1">
      <alignment horizontal="center"/>
    </xf>
    <xf numFmtId="0" fontId="0" fillId="4"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20" fillId="0" borderId="0" xfId="0" applyFont="1"/>
    <xf numFmtId="0" fontId="5" fillId="0" borderId="0" xfId="0" applyFont="1" applyAlignment="1">
      <alignment horizontal="center" vertical="center" wrapText="1"/>
    </xf>
    <xf numFmtId="10" fontId="6" fillId="0" borderId="0" xfId="0" applyNumberFormat="1" applyFont="1" applyAlignment="1">
      <alignment horizontal="center" vertical="center" wrapText="1"/>
    </xf>
    <xf numFmtId="0" fontId="21" fillId="0" borderId="0" xfId="0" applyFont="1"/>
    <xf numFmtId="10" fontId="5" fillId="0" borderId="0" xfId="0" applyNumberFormat="1" applyFont="1" applyAlignment="1">
      <alignment horizontal="center" vertical="center" wrapText="1"/>
    </xf>
    <xf numFmtId="0" fontId="4" fillId="0" borderId="0" xfId="1" applyAlignment="1" applyProtection="1"/>
    <xf numFmtId="0" fontId="8" fillId="0" borderId="0" xfId="0" applyFont="1"/>
    <xf numFmtId="164" fontId="8" fillId="0" borderId="0" xfId="0" applyNumberFormat="1" applyFont="1"/>
    <xf numFmtId="164" fontId="8" fillId="0" borderId="0" xfId="0" applyNumberFormat="1" applyFont="1" applyAlignment="1">
      <alignment horizontal="left"/>
    </xf>
    <xf numFmtId="0" fontId="9" fillId="0" borderId="0" xfId="0" applyFont="1" applyAlignment="1">
      <alignment horizontal="center" wrapText="1"/>
    </xf>
    <xf numFmtId="169" fontId="8" fillId="0" borderId="0" xfId="0" applyNumberFormat="1" applyFont="1" applyAlignment="1">
      <alignment horizontal="center"/>
    </xf>
    <xf numFmtId="0" fontId="8" fillId="0" borderId="0" xfId="0" applyFont="1" applyAlignment="1">
      <alignment horizontal="center"/>
    </xf>
    <xf numFmtId="0" fontId="9" fillId="0" borderId="0" xfId="0" applyFont="1" applyAlignment="1">
      <alignment horizontal="left" wrapText="1"/>
    </xf>
    <xf numFmtId="164" fontId="8" fillId="0" borderId="0" xfId="0" applyNumberFormat="1" applyFont="1" applyAlignment="1">
      <alignment horizontal="center"/>
    </xf>
    <xf numFmtId="169" fontId="8" fillId="0" borderId="0" xfId="0" applyNumberFormat="1" applyFont="1" applyAlignment="1">
      <alignment horizontal="left"/>
    </xf>
    <xf numFmtId="0" fontId="20" fillId="0" borderId="0" xfId="0" applyFont="1" applyAlignment="1">
      <alignment horizontal="center"/>
    </xf>
    <xf numFmtId="0" fontId="22" fillId="0" borderId="0" xfId="0" applyFont="1" applyAlignment="1">
      <alignment horizontal="left"/>
    </xf>
    <xf numFmtId="0" fontId="23" fillId="0" borderId="0" xfId="0" applyFont="1" applyAlignment="1">
      <alignment horizontal="center"/>
    </xf>
    <xf numFmtId="0" fontId="23" fillId="0" borderId="0" xfId="0" applyFont="1"/>
    <xf numFmtId="0" fontId="22" fillId="0" borderId="0" xfId="0" applyFont="1" applyAlignment="1">
      <alignment horizontal="center"/>
    </xf>
    <xf numFmtId="0" fontId="22" fillId="0" borderId="0" xfId="0" applyFont="1"/>
    <xf numFmtId="3" fontId="22" fillId="0" borderId="0" xfId="0" applyNumberFormat="1" applyFont="1" applyAlignment="1">
      <alignment horizontal="left"/>
    </xf>
    <xf numFmtId="3" fontId="22" fillId="0" borderId="0" xfId="0" applyNumberFormat="1" applyFont="1" applyAlignment="1">
      <alignment horizontal="center"/>
    </xf>
    <xf numFmtId="3" fontId="22" fillId="0" borderId="0" xfId="0" applyNumberFormat="1" applyFont="1"/>
    <xf numFmtId="3" fontId="23" fillId="0" borderId="0" xfId="0" applyNumberFormat="1" applyFont="1"/>
    <xf numFmtId="3" fontId="23" fillId="0" borderId="0" xfId="0" applyNumberFormat="1" applyFont="1" applyAlignment="1">
      <alignment horizontal="left"/>
    </xf>
    <xf numFmtId="3" fontId="23" fillId="0" borderId="0" xfId="0" applyNumberFormat="1" applyFont="1" applyAlignment="1">
      <alignment horizontal="center"/>
    </xf>
    <xf numFmtId="0" fontId="23" fillId="0" borderId="0" xfId="0" applyFont="1" applyAlignment="1">
      <alignment horizontal="left"/>
    </xf>
    <xf numFmtId="169" fontId="8" fillId="3" borderId="0" xfId="0" applyNumberFormat="1" applyFont="1" applyFill="1" applyAlignment="1">
      <alignment horizontal="center"/>
    </xf>
    <xf numFmtId="169" fontId="8" fillId="8" borderId="0" xfId="0" applyNumberFormat="1" applyFont="1" applyFill="1" applyAlignment="1">
      <alignment horizontal="center"/>
    </xf>
    <xf numFmtId="0" fontId="24" fillId="0" borderId="0" xfId="0" applyFont="1" applyAlignment="1">
      <alignment horizontal="center"/>
    </xf>
    <xf numFmtId="0" fontId="25" fillId="0" borderId="0" xfId="0" applyFont="1" applyAlignment="1">
      <alignment horizontal="center"/>
    </xf>
    <xf numFmtId="0" fontId="25" fillId="0" borderId="0" xfId="0" applyFont="1"/>
    <xf numFmtId="169" fontId="1" fillId="0" borderId="0" xfId="0" applyNumberFormat="1" applyFont="1" applyAlignment="1">
      <alignment horizontal="center"/>
    </xf>
    <xf numFmtId="169" fontId="1" fillId="3" borderId="0" xfId="0" applyNumberFormat="1" applyFont="1" applyFill="1" applyAlignment="1">
      <alignment horizontal="center"/>
    </xf>
    <xf numFmtId="169" fontId="1" fillId="8" borderId="0" xfId="0" applyNumberFormat="1" applyFont="1" applyFill="1" applyAlignment="1">
      <alignment horizontal="center"/>
    </xf>
    <xf numFmtId="168" fontId="24" fillId="0" borderId="0" xfId="0" applyNumberFormat="1" applyFont="1" applyAlignment="1">
      <alignment horizontal="center"/>
    </xf>
    <xf numFmtId="168" fontId="1" fillId="0" borderId="0" xfId="0" applyNumberFormat="1" applyFont="1" applyAlignment="1">
      <alignment horizontal="center"/>
    </xf>
    <xf numFmtId="168" fontId="25" fillId="0" borderId="0" xfId="0" applyNumberFormat="1" applyFont="1" applyAlignment="1">
      <alignment horizontal="center"/>
    </xf>
    <xf numFmtId="164" fontId="9" fillId="0" borderId="0" xfId="0" applyNumberFormat="1" applyFont="1" applyAlignment="1">
      <alignment horizontal="left"/>
    </xf>
    <xf numFmtId="0" fontId="21" fillId="0" borderId="0" xfId="0" applyFont="1" applyAlignment="1">
      <alignment horizontal="center"/>
    </xf>
    <xf numFmtId="0" fontId="25" fillId="0" borderId="0" xfId="0" applyFont="1" applyAlignment="1">
      <alignment horizontal="left"/>
    </xf>
    <xf numFmtId="0" fontId="24" fillId="0" borderId="0" xfId="0" applyFont="1" applyAlignment="1">
      <alignment horizontal="left"/>
    </xf>
    <xf numFmtId="0" fontId="13" fillId="5" borderId="0" xfId="0" applyFont="1" applyFill="1"/>
    <xf numFmtId="0" fontId="13" fillId="5" borderId="0" xfId="0" applyFont="1" applyFill="1" applyAlignment="1">
      <alignment horizontal="center"/>
    </xf>
    <xf numFmtId="170" fontId="13" fillId="0" borderId="0" xfId="0" applyNumberFormat="1" applyFont="1" applyAlignment="1">
      <alignment horizontal="center"/>
    </xf>
    <xf numFmtId="170" fontId="0" fillId="0" borderId="0" xfId="0" applyNumberFormat="1" applyAlignment="1">
      <alignment horizontal="center"/>
    </xf>
    <xf numFmtId="0" fontId="0" fillId="0" borderId="1" xfId="0" applyBorder="1"/>
    <xf numFmtId="0" fontId="26" fillId="0" borderId="1" xfId="0" applyFont="1" applyBorder="1" applyAlignment="1">
      <alignment horizontal="center"/>
    </xf>
    <xf numFmtId="49" fontId="0" fillId="0" borderId="1" xfId="0" applyNumberFormat="1" applyBorder="1"/>
    <xf numFmtId="168" fontId="0" fillId="0" borderId="0" xfId="0" applyNumberFormat="1"/>
    <xf numFmtId="0" fontId="27" fillId="0" borderId="0" xfId="0" applyFont="1"/>
    <xf numFmtId="166" fontId="0" fillId="0" borderId="0" xfId="0" applyNumberFormat="1" applyAlignment="1">
      <alignment horizontal="center"/>
    </xf>
    <xf numFmtId="166" fontId="0" fillId="0" borderId="1" xfId="0" applyNumberFormat="1" applyBorder="1" applyAlignment="1">
      <alignment horizontal="center"/>
    </xf>
    <xf numFmtId="0" fontId="13" fillId="0" borderId="1" xfId="0" applyFont="1" applyBorder="1"/>
    <xf numFmtId="2" fontId="0" fillId="0" borderId="1" xfId="0" applyNumberFormat="1" applyBorder="1" applyAlignment="1">
      <alignment horizontal="center"/>
    </xf>
    <xf numFmtId="0" fontId="0" fillId="0" borderId="2" xfId="0" applyBorder="1" applyAlignment="1">
      <alignment horizontal="center"/>
    </xf>
    <xf numFmtId="1" fontId="0" fillId="0" borderId="1" xfId="0" applyNumberFormat="1" applyBorder="1" applyAlignment="1">
      <alignment horizontal="center"/>
    </xf>
    <xf numFmtId="10" fontId="0" fillId="0" borderId="1" xfId="0" applyNumberFormat="1" applyBorder="1" applyAlignment="1">
      <alignment horizontal="center"/>
    </xf>
    <xf numFmtId="170" fontId="26" fillId="0" borderId="0" xfId="0" applyNumberFormat="1" applyFont="1" applyAlignment="1">
      <alignment horizontal="left"/>
    </xf>
    <xf numFmtId="168" fontId="13" fillId="0" borderId="1" xfId="0" applyNumberFormat="1" applyFont="1" applyBorder="1" applyAlignment="1">
      <alignment horizontal="center"/>
    </xf>
    <xf numFmtId="0" fontId="26" fillId="0" borderId="1" xfId="0" applyFont="1" applyBorder="1" applyAlignment="1">
      <alignment horizontal="left"/>
    </xf>
    <xf numFmtId="0" fontId="27" fillId="0" borderId="1" xfId="0" applyFont="1" applyBorder="1" applyAlignment="1">
      <alignment horizontal="centerContinuous"/>
    </xf>
    <xf numFmtId="166" fontId="13" fillId="0" borderId="0" xfId="0" applyNumberFormat="1" applyFont="1" applyAlignment="1">
      <alignment horizontal="center"/>
    </xf>
    <xf numFmtId="0" fontId="0" fillId="8" borderId="0" xfId="0" applyFill="1"/>
    <xf numFmtId="0" fontId="24" fillId="8" borderId="0" xfId="0" applyFont="1" applyFill="1"/>
    <xf numFmtId="0" fontId="24" fillId="4" borderId="0" xfId="0" applyFont="1" applyFill="1"/>
    <xf numFmtId="2" fontId="13" fillId="0" borderId="0" xfId="0" applyNumberFormat="1" applyFont="1" applyAlignment="1">
      <alignment horizontal="center"/>
    </xf>
    <xf numFmtId="15" fontId="0" fillId="0" borderId="0" xfId="0" applyNumberFormat="1" applyAlignment="1">
      <alignment horizontal="center"/>
    </xf>
    <xf numFmtId="2" fontId="0" fillId="7" borderId="1" xfId="0" applyNumberFormat="1" applyFill="1" applyBorder="1" applyAlignment="1">
      <alignment horizontal="center"/>
    </xf>
    <xf numFmtId="0" fontId="28" fillId="0" borderId="0" xfId="0" applyFont="1" applyAlignment="1">
      <alignment horizontal="left"/>
    </xf>
    <xf numFmtId="3" fontId="28" fillId="0" borderId="0" xfId="0" applyNumberFormat="1" applyFont="1" applyAlignment="1">
      <alignment horizontal="left"/>
    </xf>
    <xf numFmtId="15" fontId="0" fillId="0" borderId="1" xfId="0" applyNumberFormat="1" applyBorder="1" applyAlignment="1">
      <alignment horizontal="center"/>
    </xf>
    <xf numFmtId="0" fontId="25" fillId="5" borderId="0" xfId="0" applyFont="1" applyFill="1"/>
    <xf numFmtId="0" fontId="29" fillId="5" borderId="0" xfId="0" applyFont="1" applyFill="1"/>
    <xf numFmtId="0" fontId="24" fillId="9" borderId="0" xfId="0" applyFont="1" applyFill="1"/>
    <xf numFmtId="0" fontId="30" fillId="9" borderId="0" xfId="0" applyFont="1" applyFill="1" applyAlignment="1">
      <alignment horizontal="center"/>
    </xf>
    <xf numFmtId="0" fontId="24" fillId="5" borderId="0" xfId="0" applyFont="1" applyFill="1"/>
    <xf numFmtId="0" fontId="24" fillId="10" borderId="2" xfId="0" applyFont="1" applyFill="1" applyBorder="1"/>
    <xf numFmtId="0" fontId="25" fillId="0" borderId="1" xfId="0" applyFont="1" applyBorder="1"/>
    <xf numFmtId="0" fontId="23" fillId="5" borderId="0" xfId="0" applyFont="1" applyFill="1"/>
    <xf numFmtId="0" fontId="24" fillId="10" borderId="1" xfId="0" applyFont="1" applyFill="1" applyBorder="1"/>
    <xf numFmtId="0" fontId="25" fillId="0" borderId="2" xfId="0" applyFont="1" applyBorder="1"/>
    <xf numFmtId="0" fontId="25" fillId="5" borderId="1" xfId="0" applyFont="1" applyFill="1" applyBorder="1"/>
    <xf numFmtId="0" fontId="29" fillId="0" borderId="0" xfId="0" applyFont="1"/>
    <xf numFmtId="0" fontId="25" fillId="5" borderId="0" xfId="0" applyFont="1" applyFill="1" applyAlignment="1">
      <alignment horizontal="center"/>
    </xf>
    <xf numFmtId="0" fontId="24" fillId="9" borderId="0" xfId="0" applyFont="1" applyFill="1" applyAlignment="1">
      <alignment horizontal="center"/>
    </xf>
    <xf numFmtId="0" fontId="25" fillId="0" borderId="1" xfId="0" applyFont="1" applyBorder="1" applyAlignment="1">
      <alignment horizontal="center"/>
    </xf>
    <xf numFmtId="0" fontId="29" fillId="0" borderId="1" xfId="0" applyFont="1" applyBorder="1"/>
    <xf numFmtId="0" fontId="24" fillId="5" borderId="0" xfId="0" applyFont="1" applyFill="1" applyAlignment="1">
      <alignment horizontal="center"/>
    </xf>
    <xf numFmtId="0" fontId="25" fillId="5" borderId="1" xfId="0" applyFont="1" applyFill="1" applyBorder="1" applyAlignment="1">
      <alignment horizontal="center"/>
    </xf>
    <xf numFmtId="0" fontId="25" fillId="5" borderId="1" xfId="0" applyFont="1" applyFill="1" applyBorder="1" applyAlignment="1">
      <alignment horizontal="left"/>
    </xf>
    <xf numFmtId="0" fontId="24" fillId="5" borderId="3" xfId="0" applyFont="1" applyFill="1" applyBorder="1" applyAlignment="1">
      <alignment horizontal="center"/>
    </xf>
    <xf numFmtId="0" fontId="32" fillId="6" borderId="0" xfId="0" applyFont="1" applyFill="1"/>
    <xf numFmtId="0" fontId="29" fillId="6" borderId="0" xfId="0" applyFont="1" applyFill="1"/>
    <xf numFmtId="0" fontId="25" fillId="11" borderId="3" xfId="0" applyFont="1" applyFill="1" applyBorder="1" applyAlignment="1">
      <alignment horizontal="center"/>
    </xf>
    <xf numFmtId="0" fontId="29" fillId="5" borderId="0" xfId="0" applyFont="1" applyFill="1" applyAlignment="1">
      <alignment horizontal="left"/>
    </xf>
    <xf numFmtId="0" fontId="29" fillId="5" borderId="0" xfId="0" applyFont="1" applyFill="1" applyAlignment="1">
      <alignment horizontal="center"/>
    </xf>
    <xf numFmtId="164" fontId="4" fillId="0" borderId="0" xfId="1" applyNumberFormat="1" applyAlignment="1" applyProtection="1">
      <alignment horizontal="left"/>
    </xf>
    <xf numFmtId="9" fontId="0" fillId="0" borderId="0" xfId="0" applyNumberFormat="1" applyAlignment="1">
      <alignment horizontal="center"/>
    </xf>
    <xf numFmtId="0" fontId="29" fillId="0" borderId="2" xfId="0" applyFont="1" applyBorder="1" applyAlignment="1">
      <alignment wrapText="1"/>
    </xf>
    <xf numFmtId="0" fontId="29" fillId="5" borderId="0" xfId="0" applyFont="1" applyFill="1" applyAlignment="1">
      <alignment wrapText="1"/>
    </xf>
    <xf numFmtId="0" fontId="29" fillId="5" borderId="2" xfId="0" applyFont="1" applyFill="1" applyBorder="1" applyAlignment="1">
      <alignment wrapText="1"/>
    </xf>
    <xf numFmtId="0" fontId="29" fillId="5" borderId="1" xfId="0" applyFont="1" applyFill="1" applyBorder="1" applyAlignment="1">
      <alignment wrapText="1"/>
    </xf>
    <xf numFmtId="10" fontId="29" fillId="5" borderId="2" xfId="0" applyNumberFormat="1" applyFont="1" applyFill="1" applyBorder="1" applyAlignment="1">
      <alignment wrapText="1"/>
    </xf>
    <xf numFmtId="0" fontId="25" fillId="5" borderId="0" xfId="0" applyFont="1" applyFill="1" applyAlignment="1">
      <alignment horizontal="center" wrapText="1"/>
    </xf>
    <xf numFmtId="0" fontId="25" fillId="5" borderId="0" xfId="0" applyFont="1" applyFill="1" applyAlignment="1">
      <alignment wrapText="1"/>
    </xf>
    <xf numFmtId="0" fontId="25" fillId="0" borderId="1" xfId="0" applyFont="1" applyBorder="1" applyAlignment="1">
      <alignment horizontal="center" wrapText="1"/>
    </xf>
    <xf numFmtId="166" fontId="25" fillId="0" borderId="1" xfId="0" applyNumberFormat="1" applyFont="1" applyBorder="1" applyAlignment="1">
      <alignment horizontal="center" wrapText="1"/>
    </xf>
    <xf numFmtId="166" fontId="25" fillId="5" borderId="0" xfId="0" applyNumberFormat="1" applyFont="1" applyFill="1" applyAlignment="1">
      <alignment horizontal="center" wrapText="1"/>
    </xf>
    <xf numFmtId="10" fontId="25" fillId="0" borderId="1" xfId="0" applyNumberFormat="1" applyFont="1" applyBorder="1" applyAlignment="1">
      <alignment horizontal="center" wrapText="1"/>
    </xf>
    <xf numFmtId="0" fontId="33" fillId="5" borderId="1" xfId="1" applyFont="1" applyFill="1" applyBorder="1" applyAlignment="1" applyProtection="1">
      <alignment wrapText="1"/>
    </xf>
    <xf numFmtId="0" fontId="33" fillId="0" borderId="1" xfId="1" applyFont="1" applyBorder="1" applyAlignment="1" applyProtection="1">
      <alignment wrapText="1"/>
    </xf>
    <xf numFmtId="164" fontId="33" fillId="5" borderId="1" xfId="1" applyNumberFormat="1" applyFont="1" applyFill="1" applyBorder="1" applyAlignment="1" applyProtection="1">
      <alignment horizontal="left" wrapText="1"/>
    </xf>
    <xf numFmtId="0" fontId="32" fillId="5" borderId="0" xfId="0" applyFont="1" applyFill="1" applyAlignment="1">
      <alignment wrapText="1"/>
    </xf>
    <xf numFmtId="0" fontId="31" fillId="0" borderId="1" xfId="1" applyFont="1" applyBorder="1" applyAlignment="1" applyProtection="1">
      <alignment wrapText="1"/>
    </xf>
    <xf numFmtId="1" fontId="25" fillId="5" borderId="1" xfId="0" applyNumberFormat="1" applyFont="1" applyFill="1" applyBorder="1" applyAlignment="1">
      <alignment horizontal="center"/>
    </xf>
    <xf numFmtId="1" fontId="25" fillId="5" borderId="0" xfId="0" applyNumberFormat="1" applyFont="1" applyFill="1" applyAlignment="1">
      <alignment horizontal="center"/>
    </xf>
    <xf numFmtId="1" fontId="25" fillId="0" borderId="1" xfId="0" applyNumberFormat="1" applyFont="1" applyBorder="1" applyAlignment="1">
      <alignment horizontal="center"/>
    </xf>
  </cellXfs>
  <cellStyles count="4">
    <cellStyle name="Hyperlink" xfId="1" builtinId="8"/>
    <cellStyle name="Normal" xfId="0" builtinId="0"/>
    <cellStyle name="Normal 2" xfId="2" xr:uid="{2BF0A9AA-317B-4D10-B960-0F3EB825F8D3}"/>
    <cellStyle name="Normal 3" xfId="3" xr:uid="{2A0D54C7-4DFC-4DA5-A42B-78BE6BC74E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AUD-USD Vs GDP Differentials 1974-2014</a:t>
            </a:r>
          </a:p>
        </c:rich>
      </c:tx>
      <c:layout>
        <c:manualLayout>
          <c:xMode val="edge"/>
          <c:yMode val="edge"/>
          <c:x val="0.32636712598425199"/>
          <c:y val="1.3168841908460072E-2"/>
        </c:manualLayout>
      </c:layout>
      <c:overlay val="0"/>
      <c:spPr>
        <a:noFill/>
        <a:ln w="25400">
          <a:noFill/>
        </a:ln>
      </c:spPr>
    </c:title>
    <c:autoTitleDeleted val="0"/>
    <c:plotArea>
      <c:layout/>
      <c:lineChart>
        <c:grouping val="standard"/>
        <c:varyColors val="0"/>
        <c:ser>
          <c:idx val="0"/>
          <c:order val="0"/>
          <c:tx>
            <c:v>Aus_US_GDP_Diff</c:v>
          </c:tx>
          <c:spPr>
            <a:ln w="25400">
              <a:solidFill>
                <a:srgbClr val="FF0000"/>
              </a:solidFill>
              <a:prstDash val="solid"/>
            </a:ln>
          </c:spPr>
          <c:marker>
            <c:symbol val="none"/>
          </c:marker>
          <c:cat>
            <c:numRef>
              <c:f>Relative_GDP!$A$2:$A$100</c:f>
              <c:numCache>
                <c:formatCode>General</c:formatCode>
                <c:ptCount val="99"/>
                <c:pt idx="0">
                  <c:v>1974</c:v>
                </c:pt>
                <c:pt idx="1">
                  <c:v>1975</c:v>
                </c:pt>
                <c:pt idx="2">
                  <c:v>1976</c:v>
                </c:pt>
                <c:pt idx="3">
                  <c:v>1977</c:v>
                </c:pt>
                <c:pt idx="4">
                  <c:v>1978</c:v>
                </c:pt>
                <c:pt idx="5">
                  <c:v>1979</c:v>
                </c:pt>
                <c:pt idx="6">
                  <c:v>1980</c:v>
                </c:pt>
                <c:pt idx="7">
                  <c:v>1981</c:v>
                </c:pt>
                <c:pt idx="8">
                  <c:v>1982</c:v>
                </c:pt>
                <c:pt idx="9">
                  <c:v>1983</c:v>
                </c:pt>
                <c:pt idx="10">
                  <c:v>1984</c:v>
                </c:pt>
                <c:pt idx="11">
                  <c:v>1985</c:v>
                </c:pt>
                <c:pt idx="12">
                  <c:v>1986</c:v>
                </c:pt>
                <c:pt idx="13">
                  <c:v>1987</c:v>
                </c:pt>
                <c:pt idx="14">
                  <c:v>1988</c:v>
                </c:pt>
                <c:pt idx="15">
                  <c:v>1989</c:v>
                </c:pt>
                <c:pt idx="16">
                  <c:v>1990</c:v>
                </c:pt>
                <c:pt idx="17">
                  <c:v>1991</c:v>
                </c:pt>
                <c:pt idx="18">
                  <c:v>1992</c:v>
                </c:pt>
                <c:pt idx="19">
                  <c:v>1993</c:v>
                </c:pt>
                <c:pt idx="20">
                  <c:v>1994</c:v>
                </c:pt>
                <c:pt idx="21">
                  <c:v>1995</c:v>
                </c:pt>
                <c:pt idx="22">
                  <c:v>1996</c:v>
                </c:pt>
                <c:pt idx="23">
                  <c:v>1997</c:v>
                </c:pt>
                <c:pt idx="24">
                  <c:v>1998</c:v>
                </c:pt>
                <c:pt idx="25">
                  <c:v>1999</c:v>
                </c:pt>
                <c:pt idx="26">
                  <c:v>2000</c:v>
                </c:pt>
                <c:pt idx="27">
                  <c:v>2001</c:v>
                </c:pt>
                <c:pt idx="28">
                  <c:v>2002</c:v>
                </c:pt>
                <c:pt idx="29">
                  <c:v>2003</c:v>
                </c:pt>
                <c:pt idx="30">
                  <c:v>2004</c:v>
                </c:pt>
                <c:pt idx="31">
                  <c:v>2005</c:v>
                </c:pt>
                <c:pt idx="32">
                  <c:v>2006</c:v>
                </c:pt>
                <c:pt idx="33">
                  <c:v>2007</c:v>
                </c:pt>
                <c:pt idx="34">
                  <c:v>2008</c:v>
                </c:pt>
                <c:pt idx="35">
                  <c:v>2009</c:v>
                </c:pt>
                <c:pt idx="36">
                  <c:v>2010</c:v>
                </c:pt>
                <c:pt idx="37">
                  <c:v>2011</c:v>
                </c:pt>
                <c:pt idx="38">
                  <c:v>2012</c:v>
                </c:pt>
                <c:pt idx="39">
                  <c:v>2013</c:v>
                </c:pt>
                <c:pt idx="40">
                  <c:v>2014</c:v>
                </c:pt>
                <c:pt idx="41">
                  <c:v>2015</c:v>
                </c:pt>
                <c:pt idx="42">
                  <c:v>2016</c:v>
                </c:pt>
                <c:pt idx="43">
                  <c:v>2017</c:v>
                </c:pt>
              </c:numCache>
            </c:numRef>
          </c:cat>
          <c:val>
            <c:numRef>
              <c:f>Relative_GDP!$F$2:$F$100</c:f>
              <c:numCache>
                <c:formatCode>0.00%</c:formatCode>
                <c:ptCount val="99"/>
                <c:pt idx="1">
                  <c:v>1.5299392341743132E-2</c:v>
                </c:pt>
                <c:pt idx="2">
                  <c:v>-2.7978435837296971E-2</c:v>
                </c:pt>
                <c:pt idx="3">
                  <c:v>-1.0012408367191694E-2</c:v>
                </c:pt>
                <c:pt idx="4">
                  <c:v>-4.6642015248932953E-2</c:v>
                </c:pt>
                <c:pt idx="5">
                  <c:v>8.7848497184753183E-3</c:v>
                </c:pt>
                <c:pt idx="6">
                  <c:v>3.2956171416012189E-2</c:v>
                </c:pt>
                <c:pt idx="7">
                  <c:v>7.6316352438073227E-3</c:v>
                </c:pt>
                <c:pt idx="8">
                  <c:v>5.23354834724351E-2</c:v>
                </c:pt>
                <c:pt idx="9">
                  <c:v>-6.8659275469122205E-2</c:v>
                </c:pt>
                <c:pt idx="10">
                  <c:v>-2.6278746642505138E-2</c:v>
                </c:pt>
                <c:pt idx="11">
                  <c:v>1.0104918222533565E-2</c:v>
                </c:pt>
                <c:pt idx="12">
                  <c:v>4.2065169003831851E-3</c:v>
                </c:pt>
                <c:pt idx="13">
                  <c:v>-1.0092393626948363E-2</c:v>
                </c:pt>
                <c:pt idx="14">
                  <c:v>1.3707412513268562E-2</c:v>
                </c:pt>
                <c:pt idx="15">
                  <c:v>2.8049325482652765E-3</c:v>
                </c:pt>
                <c:pt idx="16">
                  <c:v>2.23060922617704E-2</c:v>
                </c:pt>
                <c:pt idx="17">
                  <c:v>-4.9678796793838249E-4</c:v>
                </c:pt>
                <c:pt idx="18">
                  <c:v>-3.2383169731510029E-2</c:v>
                </c:pt>
                <c:pt idx="19">
                  <c:v>1.3901469356979938E-2</c:v>
                </c:pt>
                <c:pt idx="20">
                  <c:v>5.3296225566920596E-6</c:v>
                </c:pt>
                <c:pt idx="21">
                  <c:v>1.0129621084790048E-2</c:v>
                </c:pt>
                <c:pt idx="22">
                  <c:v>1.4927673082901077E-3</c:v>
                </c:pt>
                <c:pt idx="23">
                  <c:v>-5.4233239220102536E-3</c:v>
                </c:pt>
                <c:pt idx="24">
                  <c:v>-1.790851233862481E-4</c:v>
                </c:pt>
                <c:pt idx="25">
                  <c:v>3.1792086883132148E-3</c:v>
                </c:pt>
                <c:pt idx="26">
                  <c:v>-2.1594251007313395E-3</c:v>
                </c:pt>
                <c:pt idx="27">
                  <c:v>9.4901545293376629E-3</c:v>
                </c:pt>
                <c:pt idx="28">
                  <c:v>2.0818357996605252E-2</c:v>
                </c:pt>
                <c:pt idx="29">
                  <c:v>2.7218797287077365E-3</c:v>
                </c:pt>
                <c:pt idx="30">
                  <c:v>3.724366023482896E-3</c:v>
                </c:pt>
                <c:pt idx="31">
                  <c:v>-1.2695753724933159E-3</c:v>
                </c:pt>
                <c:pt idx="32">
                  <c:v>3.1707691897267971E-3</c:v>
                </c:pt>
                <c:pt idx="33">
                  <c:v>1.9905781262211004E-2</c:v>
                </c:pt>
                <c:pt idx="34">
                  <c:v>3.9887358994209379E-2</c:v>
                </c:pt>
                <c:pt idx="35">
                  <c:v>4.5187805879976416E-2</c:v>
                </c:pt>
                <c:pt idx="36">
                  <c:v>-5.6930069444154283E-3</c:v>
                </c:pt>
                <c:pt idx="37">
                  <c:v>6.3753178382445E-3</c:v>
                </c:pt>
                <c:pt idx="38">
                  <c:v>1.2940073437231688E-2</c:v>
                </c:pt>
                <c:pt idx="39">
                  <c:v>4.4076926437943004E-3</c:v>
                </c:pt>
                <c:pt idx="40">
                  <c:v>9.7999999999995972E-3</c:v>
                </c:pt>
              </c:numCache>
            </c:numRef>
          </c:val>
          <c:smooth val="0"/>
          <c:extLst>
            <c:ext xmlns:c16="http://schemas.microsoft.com/office/drawing/2014/chart" uri="{C3380CC4-5D6E-409C-BE32-E72D297353CC}">
              <c16:uniqueId val="{00000000-6967-40BD-A44B-026E729DAC0D}"/>
            </c:ext>
          </c:extLst>
        </c:ser>
        <c:dLbls>
          <c:showLegendKey val="0"/>
          <c:showVal val="0"/>
          <c:showCatName val="0"/>
          <c:showSerName val="0"/>
          <c:showPercent val="0"/>
          <c:showBubbleSize val="0"/>
        </c:dLbls>
        <c:marker val="1"/>
        <c:smooth val="0"/>
        <c:axId val="657848639"/>
        <c:axId val="1"/>
      </c:lineChart>
      <c:lineChart>
        <c:grouping val="standard"/>
        <c:varyColors val="0"/>
        <c:ser>
          <c:idx val="1"/>
          <c:order val="1"/>
          <c:tx>
            <c:v>AUD_USD%</c:v>
          </c:tx>
          <c:spPr>
            <a:ln w="28575" cap="rnd">
              <a:solidFill>
                <a:srgbClr val="00B050"/>
              </a:solidFill>
              <a:round/>
            </a:ln>
            <a:effectLst/>
          </c:spPr>
          <c:marker>
            <c:symbol val="none"/>
          </c:marker>
          <c:cat>
            <c:numRef>
              <c:f>Relative_GDP!$A$2:$A$100</c:f>
              <c:numCache>
                <c:formatCode>General</c:formatCode>
                <c:ptCount val="99"/>
                <c:pt idx="0">
                  <c:v>1974</c:v>
                </c:pt>
                <c:pt idx="1">
                  <c:v>1975</c:v>
                </c:pt>
                <c:pt idx="2">
                  <c:v>1976</c:v>
                </c:pt>
                <c:pt idx="3">
                  <c:v>1977</c:v>
                </c:pt>
                <c:pt idx="4">
                  <c:v>1978</c:v>
                </c:pt>
                <c:pt idx="5">
                  <c:v>1979</c:v>
                </c:pt>
                <c:pt idx="6">
                  <c:v>1980</c:v>
                </c:pt>
                <c:pt idx="7">
                  <c:v>1981</c:v>
                </c:pt>
                <c:pt idx="8">
                  <c:v>1982</c:v>
                </c:pt>
                <c:pt idx="9">
                  <c:v>1983</c:v>
                </c:pt>
                <c:pt idx="10">
                  <c:v>1984</c:v>
                </c:pt>
                <c:pt idx="11">
                  <c:v>1985</c:v>
                </c:pt>
                <c:pt idx="12">
                  <c:v>1986</c:v>
                </c:pt>
                <c:pt idx="13">
                  <c:v>1987</c:v>
                </c:pt>
                <c:pt idx="14">
                  <c:v>1988</c:v>
                </c:pt>
                <c:pt idx="15">
                  <c:v>1989</c:v>
                </c:pt>
                <c:pt idx="16">
                  <c:v>1990</c:v>
                </c:pt>
                <c:pt idx="17">
                  <c:v>1991</c:v>
                </c:pt>
                <c:pt idx="18">
                  <c:v>1992</c:v>
                </c:pt>
                <c:pt idx="19">
                  <c:v>1993</c:v>
                </c:pt>
                <c:pt idx="20">
                  <c:v>1994</c:v>
                </c:pt>
                <c:pt idx="21">
                  <c:v>1995</c:v>
                </c:pt>
                <c:pt idx="22">
                  <c:v>1996</c:v>
                </c:pt>
                <c:pt idx="23">
                  <c:v>1997</c:v>
                </c:pt>
                <c:pt idx="24">
                  <c:v>1998</c:v>
                </c:pt>
                <c:pt idx="25">
                  <c:v>1999</c:v>
                </c:pt>
                <c:pt idx="26">
                  <c:v>2000</c:v>
                </c:pt>
                <c:pt idx="27">
                  <c:v>2001</c:v>
                </c:pt>
                <c:pt idx="28">
                  <c:v>2002</c:v>
                </c:pt>
                <c:pt idx="29">
                  <c:v>2003</c:v>
                </c:pt>
                <c:pt idx="30">
                  <c:v>2004</c:v>
                </c:pt>
                <c:pt idx="31">
                  <c:v>2005</c:v>
                </c:pt>
                <c:pt idx="32">
                  <c:v>2006</c:v>
                </c:pt>
                <c:pt idx="33">
                  <c:v>2007</c:v>
                </c:pt>
                <c:pt idx="34">
                  <c:v>2008</c:v>
                </c:pt>
                <c:pt idx="35">
                  <c:v>2009</c:v>
                </c:pt>
                <c:pt idx="36">
                  <c:v>2010</c:v>
                </c:pt>
                <c:pt idx="37">
                  <c:v>2011</c:v>
                </c:pt>
                <c:pt idx="38">
                  <c:v>2012</c:v>
                </c:pt>
                <c:pt idx="39">
                  <c:v>2013</c:v>
                </c:pt>
                <c:pt idx="40">
                  <c:v>2014</c:v>
                </c:pt>
                <c:pt idx="41">
                  <c:v>2015</c:v>
                </c:pt>
                <c:pt idx="42">
                  <c:v>2016</c:v>
                </c:pt>
                <c:pt idx="43">
                  <c:v>2017</c:v>
                </c:pt>
              </c:numCache>
            </c:numRef>
          </c:cat>
          <c:val>
            <c:numRef>
              <c:f>Relative_GDP!$H$2:$H$100</c:f>
              <c:numCache>
                <c:formatCode>0.00%</c:formatCode>
                <c:ptCount val="99"/>
                <c:pt idx="0">
                  <c:v>-1.6999999999999999E-3</c:v>
                </c:pt>
                <c:pt idx="1">
                  <c:v>1.6999999999999999E-3</c:v>
                </c:pt>
                <c:pt idx="2">
                  <c:v>1.04E-2</c:v>
                </c:pt>
                <c:pt idx="3">
                  <c:v>1.2999999999999999E-3</c:v>
                </c:pt>
                <c:pt idx="4">
                  <c:v>-2.9999999999999997E-4</c:v>
                </c:pt>
                <c:pt idx="5">
                  <c:v>-2.8E-3</c:v>
                </c:pt>
                <c:pt idx="6">
                  <c:v>-1.5100000000000001E-2</c:v>
                </c:pt>
                <c:pt idx="7">
                  <c:v>5.0000000000000001E-4</c:v>
                </c:pt>
                <c:pt idx="8">
                  <c:v>-1.0800000000000001E-2</c:v>
                </c:pt>
                <c:pt idx="9">
                  <c:v>-2.5399999999999999E-2</c:v>
                </c:pt>
                <c:pt idx="10">
                  <c:v>-1.26E-2</c:v>
                </c:pt>
                <c:pt idx="11">
                  <c:v>2.3099999999999999E-2</c:v>
                </c:pt>
                <c:pt idx="12">
                  <c:v>-1.3599999999999999E-2</c:v>
                </c:pt>
                <c:pt idx="13">
                  <c:v>4.6899999999999997E-2</c:v>
                </c:pt>
                <c:pt idx="14">
                  <c:v>-9.4999999999999998E-3</c:v>
                </c:pt>
                <c:pt idx="15">
                  <c:v>-2.1299999999999999E-2</c:v>
                </c:pt>
                <c:pt idx="16">
                  <c:v>3.8899999999999997E-2</c:v>
                </c:pt>
                <c:pt idx="17">
                  <c:v>-2.1899999999999999E-2</c:v>
                </c:pt>
                <c:pt idx="18">
                  <c:v>1.23E-2</c:v>
                </c:pt>
                <c:pt idx="19">
                  <c:v>-1.17E-2</c:v>
                </c:pt>
                <c:pt idx="20">
                  <c:v>-1.6E-2</c:v>
                </c:pt>
                <c:pt idx="21">
                  <c:v>4.3700000000000003E-2</c:v>
                </c:pt>
                <c:pt idx="22">
                  <c:v>-2.4500000000000001E-2</c:v>
                </c:pt>
                <c:pt idx="23">
                  <c:v>3.2000000000000002E-3</c:v>
                </c:pt>
                <c:pt idx="24">
                  <c:v>-4.1000000000000002E-2</c:v>
                </c:pt>
                <c:pt idx="25">
                  <c:v>4.8000000000000001E-2</c:v>
                </c:pt>
                <c:pt idx="26">
                  <c:v>3.09E-2</c:v>
                </c:pt>
                <c:pt idx="27">
                  <c:v>-3.0700000000000002E-2</c:v>
                </c:pt>
                <c:pt idx="28">
                  <c:v>-1.61E-2</c:v>
                </c:pt>
                <c:pt idx="29">
                  <c:v>-2E-3</c:v>
                </c:pt>
                <c:pt idx="30">
                  <c:v>4.5999999999999999E-2</c:v>
                </c:pt>
                <c:pt idx="31">
                  <c:v>1.54E-2</c:v>
                </c:pt>
                <c:pt idx="32">
                  <c:v>-8.8999999999999999E-3</c:v>
                </c:pt>
                <c:pt idx="33">
                  <c:v>3.4200000000000001E-2</c:v>
                </c:pt>
                <c:pt idx="34">
                  <c:v>-1.5800000000000002E-2</c:v>
                </c:pt>
                <c:pt idx="35">
                  <c:v>2.3099999999999999E-2</c:v>
                </c:pt>
                <c:pt idx="36">
                  <c:v>-0.10249999999999999</c:v>
                </c:pt>
                <c:pt idx="37">
                  <c:v>-1.4E-2</c:v>
                </c:pt>
                <c:pt idx="38">
                  <c:v>-2.4500000000000001E-2</c:v>
                </c:pt>
                <c:pt idx="39">
                  <c:v>3.7900000000000003E-2</c:v>
                </c:pt>
                <c:pt idx="40">
                  <c:v>3.0000000000000001E-3</c:v>
                </c:pt>
              </c:numCache>
            </c:numRef>
          </c:val>
          <c:smooth val="0"/>
          <c:extLst>
            <c:ext xmlns:c16="http://schemas.microsoft.com/office/drawing/2014/chart" uri="{C3380CC4-5D6E-409C-BE32-E72D297353CC}">
              <c16:uniqueId val="{00000001-6967-40BD-A44B-026E729DAC0D}"/>
            </c:ext>
          </c:extLst>
        </c:ser>
        <c:dLbls>
          <c:showLegendKey val="0"/>
          <c:showVal val="0"/>
          <c:showCatName val="0"/>
          <c:showSerName val="0"/>
          <c:showPercent val="0"/>
          <c:showBubbleSize val="0"/>
        </c:dLbls>
        <c:marker val="1"/>
        <c:smooth val="0"/>
        <c:axId val="3"/>
        <c:axId val="4"/>
      </c:lineChart>
      <c:catAx>
        <c:axId val="6578486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Algn val="ctr"/>
        <c:lblOffset val="100"/>
        <c:noMultiLvlLbl val="0"/>
      </c:catAx>
      <c:valAx>
        <c:axId val="1"/>
        <c:scaling>
          <c:orientation val="minMax"/>
          <c:max val="0.1"/>
          <c:min val="-0.1"/>
        </c:scaling>
        <c:delete val="0"/>
        <c:axPos val="l"/>
        <c:majorGridlines>
          <c:spPr>
            <a:ln w="9525" cap="flat" cmpd="sng" algn="ctr">
              <a:solidFill>
                <a:schemeClr val="bg1">
                  <a:lumMod val="50000"/>
                </a:schemeClr>
              </a:solidFill>
              <a:prstDash val="lgDashDot"/>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48639"/>
        <c:crosses val="autoZero"/>
        <c:crossBetween val="between"/>
        <c:majorUnit val="1.0000000000000002E-2"/>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max val="0.12000000000000001"/>
          <c:min val="-0.12000000000000001"/>
        </c:scaling>
        <c:delete val="0"/>
        <c:axPos val="r"/>
        <c:numFmt formatCode="0.00%" sourceLinked="1"/>
        <c:majorTickMark val="out"/>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3"/>
        <c:crosses val="max"/>
        <c:crossBetween val="between"/>
        <c:majorUnit val="1.0000000000000002E-2"/>
      </c:valAx>
      <c:spPr>
        <a:noFill/>
        <a:ln w="25400">
          <a:noFill/>
        </a:ln>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United States CAB Vs CA Vs Reserves 1960-2013 </a:t>
            </a:r>
          </a:p>
        </c:rich>
      </c:tx>
      <c:overlay val="0"/>
      <c:spPr>
        <a:noFill/>
        <a:ln w="25400">
          <a:noFill/>
        </a:ln>
      </c:spPr>
    </c:title>
    <c:autoTitleDeleted val="0"/>
    <c:plotArea>
      <c:layout/>
      <c:lineChart>
        <c:grouping val="standard"/>
        <c:varyColors val="0"/>
        <c:ser>
          <c:idx val="0"/>
          <c:order val="0"/>
          <c:tx>
            <c:v>Current Account Balance</c:v>
          </c:tx>
          <c:spPr>
            <a:ln w="28575" cap="rnd">
              <a:solidFill>
                <a:schemeClr val="accent1"/>
              </a:solidFill>
              <a:round/>
            </a:ln>
            <a:effectLst/>
          </c:spPr>
          <c:marker>
            <c:symbol val="none"/>
          </c:marker>
          <c:cat>
            <c:numRef>
              <c:f>BOPs_US!$B$2:$BC$2</c:f>
              <c:numCache>
                <c:formatCode>General</c:formatCode>
                <c:ptCount val="54"/>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numCache>
            </c:numRef>
          </c:cat>
          <c:val>
            <c:numRef>
              <c:f>BOPs_US!$B$10:$BC$10</c:f>
              <c:numCache>
                <c:formatCode>#,##0</c:formatCode>
                <c:ptCount val="54"/>
                <c:pt idx="0">
                  <c:v>2824</c:v>
                </c:pt>
                <c:pt idx="1">
                  <c:v>3822</c:v>
                </c:pt>
                <c:pt idx="2">
                  <c:v>3387</c:v>
                </c:pt>
                <c:pt idx="3">
                  <c:v>4414</c:v>
                </c:pt>
                <c:pt idx="4">
                  <c:v>6823</c:v>
                </c:pt>
                <c:pt idx="5">
                  <c:v>5431</c:v>
                </c:pt>
                <c:pt idx="6">
                  <c:v>3031</c:v>
                </c:pt>
                <c:pt idx="7">
                  <c:v>2583</c:v>
                </c:pt>
                <c:pt idx="8">
                  <c:v>611</c:v>
                </c:pt>
                <c:pt idx="9">
                  <c:v>399</c:v>
                </c:pt>
                <c:pt idx="10">
                  <c:v>2330</c:v>
                </c:pt>
                <c:pt idx="11">
                  <c:v>-1432</c:v>
                </c:pt>
                <c:pt idx="12">
                  <c:v>-5795</c:v>
                </c:pt>
                <c:pt idx="13">
                  <c:v>7140</c:v>
                </c:pt>
                <c:pt idx="14">
                  <c:v>1961</c:v>
                </c:pt>
                <c:pt idx="15">
                  <c:v>18116</c:v>
                </c:pt>
                <c:pt idx="16">
                  <c:v>4295</c:v>
                </c:pt>
                <c:pt idx="17">
                  <c:v>-14335</c:v>
                </c:pt>
                <c:pt idx="18">
                  <c:v>-15142</c:v>
                </c:pt>
                <c:pt idx="19">
                  <c:v>-285</c:v>
                </c:pt>
                <c:pt idx="20">
                  <c:v>2317</c:v>
                </c:pt>
                <c:pt idx="21">
                  <c:v>5030</c:v>
                </c:pt>
                <c:pt idx="22">
                  <c:v>-5536</c:v>
                </c:pt>
                <c:pt idx="23">
                  <c:v>-38692</c:v>
                </c:pt>
                <c:pt idx="24">
                  <c:v>-94345</c:v>
                </c:pt>
                <c:pt idx="25">
                  <c:v>-118155</c:v>
                </c:pt>
                <c:pt idx="26">
                  <c:v>-147176</c:v>
                </c:pt>
                <c:pt idx="27">
                  <c:v>-160655</c:v>
                </c:pt>
                <c:pt idx="28">
                  <c:v>-121153</c:v>
                </c:pt>
                <c:pt idx="29">
                  <c:v>-99486</c:v>
                </c:pt>
                <c:pt idx="30">
                  <c:v>-78969</c:v>
                </c:pt>
                <c:pt idx="31">
                  <c:v>2898</c:v>
                </c:pt>
                <c:pt idx="32">
                  <c:v>-51614</c:v>
                </c:pt>
                <c:pt idx="33">
                  <c:v>-84806</c:v>
                </c:pt>
                <c:pt idx="34">
                  <c:v>-121612</c:v>
                </c:pt>
                <c:pt idx="35">
                  <c:v>-113567</c:v>
                </c:pt>
                <c:pt idx="36">
                  <c:v>-124764</c:v>
                </c:pt>
                <c:pt idx="37">
                  <c:v>-140726</c:v>
                </c:pt>
                <c:pt idx="38">
                  <c:v>-215062</c:v>
                </c:pt>
                <c:pt idx="39">
                  <c:v>-300778</c:v>
                </c:pt>
                <c:pt idx="40">
                  <c:v>-416318</c:v>
                </c:pt>
                <c:pt idx="41">
                  <c:v>-396696</c:v>
                </c:pt>
                <c:pt idx="42">
                  <c:v>-457800</c:v>
                </c:pt>
                <c:pt idx="43">
                  <c:v>-518658</c:v>
                </c:pt>
                <c:pt idx="44">
                  <c:v>-629327</c:v>
                </c:pt>
                <c:pt idx="45">
                  <c:v>-739796</c:v>
                </c:pt>
                <c:pt idx="46">
                  <c:v>-798478</c:v>
                </c:pt>
                <c:pt idx="47">
                  <c:v>-713389</c:v>
                </c:pt>
                <c:pt idx="48">
                  <c:v>-681342</c:v>
                </c:pt>
                <c:pt idx="49">
                  <c:v>-381636</c:v>
                </c:pt>
                <c:pt idx="50">
                  <c:v>-449471</c:v>
                </c:pt>
                <c:pt idx="51">
                  <c:v>-457725</c:v>
                </c:pt>
                <c:pt idx="52">
                  <c:v>-440416</c:v>
                </c:pt>
                <c:pt idx="53">
                  <c:v>-379277</c:v>
                </c:pt>
              </c:numCache>
            </c:numRef>
          </c:val>
          <c:smooth val="0"/>
          <c:extLst>
            <c:ext xmlns:c16="http://schemas.microsoft.com/office/drawing/2014/chart" uri="{C3380CC4-5D6E-409C-BE32-E72D297353CC}">
              <c16:uniqueId val="{00000000-D413-45DE-9793-B636F94C2931}"/>
            </c:ext>
          </c:extLst>
        </c:ser>
        <c:ser>
          <c:idx val="1"/>
          <c:order val="1"/>
          <c:tx>
            <c:v>Capital Account Balance</c:v>
          </c:tx>
          <c:spPr>
            <a:ln w="28575" cap="rnd">
              <a:solidFill>
                <a:schemeClr val="accent2"/>
              </a:solidFill>
              <a:round/>
            </a:ln>
            <a:effectLst/>
          </c:spPr>
          <c:marker>
            <c:symbol val="none"/>
          </c:marker>
          <c:cat>
            <c:numRef>
              <c:f>BOPs_US!$B$2:$BC$2</c:f>
              <c:numCache>
                <c:formatCode>General</c:formatCode>
                <c:ptCount val="54"/>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numCache>
            </c:numRef>
          </c:cat>
          <c:val>
            <c:numRef>
              <c:f>BOPs_US!$B$16:$BC$16</c:f>
              <c:numCache>
                <c:formatCode>#,##0</c:formatCode>
                <c:ptCount val="54"/>
                <c:pt idx="0">
                  <c:v>-1805</c:v>
                </c:pt>
                <c:pt idx="1">
                  <c:v>-2833</c:v>
                </c:pt>
                <c:pt idx="2">
                  <c:v>-2263</c:v>
                </c:pt>
                <c:pt idx="3">
                  <c:v>-4053</c:v>
                </c:pt>
                <c:pt idx="4">
                  <c:v>-5917</c:v>
                </c:pt>
                <c:pt idx="5">
                  <c:v>-4974</c:v>
                </c:pt>
                <c:pt idx="6">
                  <c:v>-3660</c:v>
                </c:pt>
                <c:pt idx="7">
                  <c:v>-2378</c:v>
                </c:pt>
                <c:pt idx="8">
                  <c:v>-1049</c:v>
                </c:pt>
                <c:pt idx="9">
                  <c:v>1117</c:v>
                </c:pt>
                <c:pt idx="10">
                  <c:v>-2111</c:v>
                </c:pt>
                <c:pt idx="11">
                  <c:v>11212</c:v>
                </c:pt>
                <c:pt idx="12">
                  <c:v>7674</c:v>
                </c:pt>
                <c:pt idx="13">
                  <c:v>-4486</c:v>
                </c:pt>
                <c:pt idx="14">
                  <c:v>482</c:v>
                </c:pt>
                <c:pt idx="15">
                  <c:v>-22833</c:v>
                </c:pt>
                <c:pt idx="16">
                  <c:v>-13430</c:v>
                </c:pt>
                <c:pt idx="17">
                  <c:v>17985</c:v>
                </c:pt>
                <c:pt idx="18">
                  <c:v>5145</c:v>
                </c:pt>
                <c:pt idx="19">
                  <c:v>-25361</c:v>
                </c:pt>
                <c:pt idx="20">
                  <c:v>-24930</c:v>
                </c:pt>
                <c:pt idx="21">
                  <c:v>-28463</c:v>
                </c:pt>
                <c:pt idx="22">
                  <c:v>-32826</c:v>
                </c:pt>
                <c:pt idx="23">
                  <c:v>21026</c:v>
                </c:pt>
                <c:pt idx="24">
                  <c:v>75672</c:v>
                </c:pt>
                <c:pt idx="25">
                  <c:v>99479</c:v>
                </c:pt>
                <c:pt idx="26">
                  <c:v>116607</c:v>
                </c:pt>
                <c:pt idx="27">
                  <c:v>167804</c:v>
                </c:pt>
                <c:pt idx="28">
                  <c:v>138260</c:v>
                </c:pt>
                <c:pt idx="29">
                  <c:v>47394</c:v>
                </c:pt>
                <c:pt idx="30">
                  <c:v>58123</c:v>
                </c:pt>
                <c:pt idx="31">
                  <c:v>43833</c:v>
                </c:pt>
                <c:pt idx="32">
                  <c:v>93939</c:v>
                </c:pt>
                <c:pt idx="33">
                  <c:v>79206</c:v>
                </c:pt>
                <c:pt idx="34">
                  <c:v>124237</c:v>
                </c:pt>
                <c:pt idx="35">
                  <c:v>82838</c:v>
                </c:pt>
                <c:pt idx="36">
                  <c:v>134476</c:v>
                </c:pt>
                <c:pt idx="37">
                  <c:v>218977</c:v>
                </c:pt>
                <c:pt idx="38">
                  <c:v>66965</c:v>
                </c:pt>
                <c:pt idx="39">
                  <c:v>238148</c:v>
                </c:pt>
                <c:pt idx="40">
                  <c:v>477701</c:v>
                </c:pt>
                <c:pt idx="41">
                  <c:v>400254</c:v>
                </c:pt>
                <c:pt idx="42">
                  <c:v>500515</c:v>
                </c:pt>
                <c:pt idx="43">
                  <c:v>532879</c:v>
                </c:pt>
                <c:pt idx="44">
                  <c:v>532331</c:v>
                </c:pt>
                <c:pt idx="45">
                  <c:v>700716</c:v>
                </c:pt>
                <c:pt idx="46">
                  <c:v>779440</c:v>
                </c:pt>
                <c:pt idx="47">
                  <c:v>611038</c:v>
                </c:pt>
                <c:pt idx="48">
                  <c:v>763515</c:v>
                </c:pt>
                <c:pt idx="49">
                  <c:v>186203</c:v>
                </c:pt>
                <c:pt idx="50">
                  <c:v>423968</c:v>
                </c:pt>
                <c:pt idx="51">
                  <c:v>516702</c:v>
                </c:pt>
                <c:pt idx="52">
                  <c:v>446415</c:v>
                </c:pt>
                <c:pt idx="53">
                  <c:v>353083</c:v>
                </c:pt>
              </c:numCache>
            </c:numRef>
          </c:val>
          <c:smooth val="0"/>
          <c:extLst>
            <c:ext xmlns:c16="http://schemas.microsoft.com/office/drawing/2014/chart" uri="{C3380CC4-5D6E-409C-BE32-E72D297353CC}">
              <c16:uniqueId val="{00000001-D413-45DE-9793-B636F94C2931}"/>
            </c:ext>
          </c:extLst>
        </c:ser>
        <c:ser>
          <c:idx val="2"/>
          <c:order val="2"/>
          <c:tx>
            <c:v>Change in US Foreign Reserves</c:v>
          </c:tx>
          <c:spPr>
            <a:ln w="28575" cap="rnd">
              <a:solidFill>
                <a:schemeClr val="accent3"/>
              </a:solidFill>
              <a:round/>
            </a:ln>
            <a:effectLst/>
          </c:spPr>
          <c:marker>
            <c:symbol val="none"/>
          </c:marker>
          <c:cat>
            <c:numRef>
              <c:f>BOPs_US!$B$2:$BC$2</c:f>
              <c:numCache>
                <c:formatCode>General</c:formatCode>
                <c:ptCount val="54"/>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numCache>
            </c:numRef>
          </c:cat>
          <c:val>
            <c:numRef>
              <c:f>BOPs_US!$B$20:$BC$20</c:f>
              <c:numCache>
                <c:formatCode>#,##0</c:formatCode>
                <c:ptCount val="54"/>
                <c:pt idx="0">
                  <c:v>0</c:v>
                </c:pt>
                <c:pt idx="1">
                  <c:v>-989</c:v>
                </c:pt>
                <c:pt idx="2">
                  <c:v>-1124</c:v>
                </c:pt>
                <c:pt idx="3">
                  <c:v>-360</c:v>
                </c:pt>
                <c:pt idx="4">
                  <c:v>-907</c:v>
                </c:pt>
                <c:pt idx="5">
                  <c:v>-457</c:v>
                </c:pt>
                <c:pt idx="6">
                  <c:v>629</c:v>
                </c:pt>
                <c:pt idx="7">
                  <c:v>-205</c:v>
                </c:pt>
                <c:pt idx="8">
                  <c:v>438</c:v>
                </c:pt>
                <c:pt idx="9">
                  <c:v>-1516</c:v>
                </c:pt>
                <c:pt idx="10">
                  <c:v>-219</c:v>
                </c:pt>
                <c:pt idx="11">
                  <c:v>-9779</c:v>
                </c:pt>
                <c:pt idx="12">
                  <c:v>-1879</c:v>
                </c:pt>
                <c:pt idx="13">
                  <c:v>-2654</c:v>
                </c:pt>
                <c:pt idx="14">
                  <c:v>-2444</c:v>
                </c:pt>
                <c:pt idx="15">
                  <c:v>4717</c:v>
                </c:pt>
                <c:pt idx="16">
                  <c:v>9134</c:v>
                </c:pt>
                <c:pt idx="17">
                  <c:v>-3650</c:v>
                </c:pt>
                <c:pt idx="18">
                  <c:v>9997</c:v>
                </c:pt>
                <c:pt idx="19">
                  <c:v>25647</c:v>
                </c:pt>
                <c:pt idx="20">
                  <c:v>22613</c:v>
                </c:pt>
                <c:pt idx="21">
                  <c:v>23433</c:v>
                </c:pt>
                <c:pt idx="22">
                  <c:v>38362</c:v>
                </c:pt>
                <c:pt idx="23">
                  <c:v>17666</c:v>
                </c:pt>
                <c:pt idx="24">
                  <c:v>18672</c:v>
                </c:pt>
                <c:pt idx="25">
                  <c:v>18677</c:v>
                </c:pt>
                <c:pt idx="26">
                  <c:v>30570</c:v>
                </c:pt>
                <c:pt idx="27">
                  <c:v>-7149</c:v>
                </c:pt>
                <c:pt idx="28">
                  <c:v>-17107</c:v>
                </c:pt>
                <c:pt idx="29">
                  <c:v>52299</c:v>
                </c:pt>
                <c:pt idx="30">
                  <c:v>28066</c:v>
                </c:pt>
                <c:pt idx="31">
                  <c:v>-41601</c:v>
                </c:pt>
                <c:pt idx="32">
                  <c:v>-43775</c:v>
                </c:pt>
                <c:pt idx="33">
                  <c:v>6314</c:v>
                </c:pt>
                <c:pt idx="34">
                  <c:v>-1514</c:v>
                </c:pt>
                <c:pt idx="35">
                  <c:v>30951</c:v>
                </c:pt>
                <c:pt idx="36">
                  <c:v>-9705</c:v>
                </c:pt>
                <c:pt idx="37">
                  <c:v>-77995</c:v>
                </c:pt>
                <c:pt idx="38">
                  <c:v>148105</c:v>
                </c:pt>
                <c:pt idx="39">
                  <c:v>66806</c:v>
                </c:pt>
                <c:pt idx="40">
                  <c:v>-61382</c:v>
                </c:pt>
                <c:pt idx="41">
                  <c:v>-16755</c:v>
                </c:pt>
                <c:pt idx="42">
                  <c:v>-42574</c:v>
                </c:pt>
                <c:pt idx="43">
                  <c:v>-12401</c:v>
                </c:pt>
                <c:pt idx="44">
                  <c:v>93947</c:v>
                </c:pt>
                <c:pt idx="45">
                  <c:v>25964</c:v>
                </c:pt>
                <c:pt idx="46">
                  <c:v>-8884</c:v>
                </c:pt>
                <c:pt idx="47">
                  <c:v>95745</c:v>
                </c:pt>
                <c:pt idx="48">
                  <c:v>-55235</c:v>
                </c:pt>
                <c:pt idx="49">
                  <c:v>150757</c:v>
                </c:pt>
                <c:pt idx="50">
                  <c:v>11585</c:v>
                </c:pt>
                <c:pt idx="51">
                  <c:v>-92771</c:v>
                </c:pt>
                <c:pt idx="52">
                  <c:v>-5891</c:v>
                </c:pt>
                <c:pt idx="53">
                  <c:v>28456</c:v>
                </c:pt>
              </c:numCache>
            </c:numRef>
          </c:val>
          <c:smooth val="0"/>
          <c:extLst>
            <c:ext xmlns:c16="http://schemas.microsoft.com/office/drawing/2014/chart" uri="{C3380CC4-5D6E-409C-BE32-E72D297353CC}">
              <c16:uniqueId val="{00000002-D413-45DE-9793-B636F94C2931}"/>
            </c:ext>
          </c:extLst>
        </c:ser>
        <c:dLbls>
          <c:showLegendKey val="0"/>
          <c:showVal val="0"/>
          <c:showCatName val="0"/>
          <c:showSerName val="0"/>
          <c:showPercent val="0"/>
          <c:showBubbleSize val="0"/>
        </c:dLbls>
        <c:smooth val="0"/>
        <c:axId val="650511471"/>
        <c:axId val="1"/>
      </c:lineChart>
      <c:catAx>
        <c:axId val="65051147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11471"/>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United States CAB Vs CA Vs Reserves 1980-2013  </a:t>
            </a:r>
          </a:p>
        </c:rich>
      </c:tx>
      <c:overlay val="0"/>
      <c:spPr>
        <a:noFill/>
        <a:ln w="25400">
          <a:noFill/>
        </a:ln>
      </c:spPr>
    </c:title>
    <c:autoTitleDeleted val="0"/>
    <c:plotArea>
      <c:layout/>
      <c:lineChart>
        <c:grouping val="standard"/>
        <c:varyColors val="0"/>
        <c:ser>
          <c:idx val="0"/>
          <c:order val="0"/>
          <c:tx>
            <c:v>Current Account Balance</c:v>
          </c:tx>
          <c:spPr>
            <a:ln w="28575" cap="rnd">
              <a:solidFill>
                <a:schemeClr val="accent1"/>
              </a:solidFill>
              <a:round/>
            </a:ln>
            <a:effectLst/>
          </c:spPr>
          <c:marker>
            <c:symbol val="none"/>
          </c:marker>
          <c:cat>
            <c:numRef>
              <c:f>BOPs_US!$V$2:$BC$2</c:f>
              <c:numCache>
                <c:formatCode>General</c:formatCode>
                <c:ptCount val="34"/>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numCache>
            </c:numRef>
          </c:cat>
          <c:val>
            <c:numRef>
              <c:f>BOPs_US!$V$10:$BC$10</c:f>
              <c:numCache>
                <c:formatCode>#,##0</c:formatCode>
                <c:ptCount val="34"/>
                <c:pt idx="0">
                  <c:v>2317</c:v>
                </c:pt>
                <c:pt idx="1">
                  <c:v>5030</c:v>
                </c:pt>
                <c:pt idx="2">
                  <c:v>-5536</c:v>
                </c:pt>
                <c:pt idx="3">
                  <c:v>-38692</c:v>
                </c:pt>
                <c:pt idx="4">
                  <c:v>-94345</c:v>
                </c:pt>
                <c:pt idx="5">
                  <c:v>-118155</c:v>
                </c:pt>
                <c:pt idx="6">
                  <c:v>-147176</c:v>
                </c:pt>
                <c:pt idx="7">
                  <c:v>-160655</c:v>
                </c:pt>
                <c:pt idx="8">
                  <c:v>-121153</c:v>
                </c:pt>
                <c:pt idx="9">
                  <c:v>-99486</c:v>
                </c:pt>
                <c:pt idx="10">
                  <c:v>-78969</c:v>
                </c:pt>
                <c:pt idx="11">
                  <c:v>2898</c:v>
                </c:pt>
                <c:pt idx="12">
                  <c:v>-51614</c:v>
                </c:pt>
                <c:pt idx="13">
                  <c:v>-84806</c:v>
                </c:pt>
                <c:pt idx="14">
                  <c:v>-121612</c:v>
                </c:pt>
                <c:pt idx="15">
                  <c:v>-113567</c:v>
                </c:pt>
                <c:pt idx="16">
                  <c:v>-124764</c:v>
                </c:pt>
                <c:pt idx="17">
                  <c:v>-140726</c:v>
                </c:pt>
                <c:pt idx="18">
                  <c:v>-215062</c:v>
                </c:pt>
                <c:pt idx="19">
                  <c:v>-300778</c:v>
                </c:pt>
                <c:pt idx="20">
                  <c:v>-416318</c:v>
                </c:pt>
                <c:pt idx="21">
                  <c:v>-396696</c:v>
                </c:pt>
                <c:pt idx="22">
                  <c:v>-457800</c:v>
                </c:pt>
                <c:pt idx="23">
                  <c:v>-518658</c:v>
                </c:pt>
                <c:pt idx="24">
                  <c:v>-629327</c:v>
                </c:pt>
                <c:pt idx="25">
                  <c:v>-739796</c:v>
                </c:pt>
                <c:pt idx="26">
                  <c:v>-798478</c:v>
                </c:pt>
                <c:pt idx="27">
                  <c:v>-713389</c:v>
                </c:pt>
                <c:pt idx="28">
                  <c:v>-681342</c:v>
                </c:pt>
                <c:pt idx="29">
                  <c:v>-381636</c:v>
                </c:pt>
                <c:pt idx="30">
                  <c:v>-449471</c:v>
                </c:pt>
                <c:pt idx="31">
                  <c:v>-457725</c:v>
                </c:pt>
                <c:pt idx="32">
                  <c:v>-440416</c:v>
                </c:pt>
                <c:pt idx="33">
                  <c:v>-379277</c:v>
                </c:pt>
              </c:numCache>
            </c:numRef>
          </c:val>
          <c:smooth val="0"/>
          <c:extLst>
            <c:ext xmlns:c16="http://schemas.microsoft.com/office/drawing/2014/chart" uri="{C3380CC4-5D6E-409C-BE32-E72D297353CC}">
              <c16:uniqueId val="{00000000-3709-4F4F-8B54-C484C35FE279}"/>
            </c:ext>
          </c:extLst>
        </c:ser>
        <c:ser>
          <c:idx val="1"/>
          <c:order val="1"/>
          <c:tx>
            <c:v>Capital Account Balance</c:v>
          </c:tx>
          <c:spPr>
            <a:ln w="28575" cap="rnd">
              <a:solidFill>
                <a:schemeClr val="accent2"/>
              </a:solidFill>
              <a:round/>
            </a:ln>
            <a:effectLst/>
          </c:spPr>
          <c:marker>
            <c:symbol val="none"/>
          </c:marker>
          <c:cat>
            <c:numRef>
              <c:f>BOPs_US!$V$2:$BC$2</c:f>
              <c:numCache>
                <c:formatCode>General</c:formatCode>
                <c:ptCount val="34"/>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numCache>
            </c:numRef>
          </c:cat>
          <c:val>
            <c:numRef>
              <c:f>BOPs_US!$V$16:$BC$16</c:f>
              <c:numCache>
                <c:formatCode>#,##0</c:formatCode>
                <c:ptCount val="34"/>
                <c:pt idx="0">
                  <c:v>-24930</c:v>
                </c:pt>
                <c:pt idx="1">
                  <c:v>-28463</c:v>
                </c:pt>
                <c:pt idx="2">
                  <c:v>-32826</c:v>
                </c:pt>
                <c:pt idx="3">
                  <c:v>21026</c:v>
                </c:pt>
                <c:pt idx="4">
                  <c:v>75672</c:v>
                </c:pt>
                <c:pt idx="5">
                  <c:v>99479</c:v>
                </c:pt>
                <c:pt idx="6">
                  <c:v>116607</c:v>
                </c:pt>
                <c:pt idx="7">
                  <c:v>167804</c:v>
                </c:pt>
                <c:pt idx="8">
                  <c:v>138260</c:v>
                </c:pt>
                <c:pt idx="9">
                  <c:v>47394</c:v>
                </c:pt>
                <c:pt idx="10">
                  <c:v>58123</c:v>
                </c:pt>
                <c:pt idx="11">
                  <c:v>43833</c:v>
                </c:pt>
                <c:pt idx="12">
                  <c:v>93939</c:v>
                </c:pt>
                <c:pt idx="13">
                  <c:v>79206</c:v>
                </c:pt>
                <c:pt idx="14">
                  <c:v>124237</c:v>
                </c:pt>
                <c:pt idx="15">
                  <c:v>82838</c:v>
                </c:pt>
                <c:pt idx="16">
                  <c:v>134476</c:v>
                </c:pt>
                <c:pt idx="17">
                  <c:v>218977</c:v>
                </c:pt>
                <c:pt idx="18">
                  <c:v>66965</c:v>
                </c:pt>
                <c:pt idx="19">
                  <c:v>238148</c:v>
                </c:pt>
                <c:pt idx="20">
                  <c:v>477701</c:v>
                </c:pt>
                <c:pt idx="21">
                  <c:v>400254</c:v>
                </c:pt>
                <c:pt idx="22">
                  <c:v>500515</c:v>
                </c:pt>
                <c:pt idx="23">
                  <c:v>532879</c:v>
                </c:pt>
                <c:pt idx="24">
                  <c:v>532331</c:v>
                </c:pt>
                <c:pt idx="25">
                  <c:v>700716</c:v>
                </c:pt>
                <c:pt idx="26">
                  <c:v>779440</c:v>
                </c:pt>
                <c:pt idx="27">
                  <c:v>611038</c:v>
                </c:pt>
                <c:pt idx="28">
                  <c:v>763515</c:v>
                </c:pt>
                <c:pt idx="29">
                  <c:v>186203</c:v>
                </c:pt>
                <c:pt idx="30">
                  <c:v>423968</c:v>
                </c:pt>
                <c:pt idx="31">
                  <c:v>516702</c:v>
                </c:pt>
                <c:pt idx="32">
                  <c:v>446415</c:v>
                </c:pt>
                <c:pt idx="33">
                  <c:v>353083</c:v>
                </c:pt>
              </c:numCache>
            </c:numRef>
          </c:val>
          <c:smooth val="0"/>
          <c:extLst>
            <c:ext xmlns:c16="http://schemas.microsoft.com/office/drawing/2014/chart" uri="{C3380CC4-5D6E-409C-BE32-E72D297353CC}">
              <c16:uniqueId val="{00000001-3709-4F4F-8B54-C484C35FE279}"/>
            </c:ext>
          </c:extLst>
        </c:ser>
        <c:ser>
          <c:idx val="2"/>
          <c:order val="2"/>
          <c:tx>
            <c:v>Change in US Foreign Reserves</c:v>
          </c:tx>
          <c:spPr>
            <a:ln w="28575" cap="rnd">
              <a:solidFill>
                <a:schemeClr val="accent3"/>
              </a:solidFill>
              <a:round/>
            </a:ln>
            <a:effectLst/>
          </c:spPr>
          <c:marker>
            <c:symbol val="none"/>
          </c:marker>
          <c:cat>
            <c:numRef>
              <c:f>BOPs_US!$V$2:$BC$2</c:f>
              <c:numCache>
                <c:formatCode>General</c:formatCode>
                <c:ptCount val="34"/>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numCache>
            </c:numRef>
          </c:cat>
          <c:val>
            <c:numRef>
              <c:f>BOPs_US!$V$20:$BC$20</c:f>
              <c:numCache>
                <c:formatCode>#,##0</c:formatCode>
                <c:ptCount val="34"/>
                <c:pt idx="0">
                  <c:v>22613</c:v>
                </c:pt>
                <c:pt idx="1">
                  <c:v>23433</c:v>
                </c:pt>
                <c:pt idx="2">
                  <c:v>38362</c:v>
                </c:pt>
                <c:pt idx="3">
                  <c:v>17666</c:v>
                </c:pt>
                <c:pt idx="4">
                  <c:v>18672</c:v>
                </c:pt>
                <c:pt idx="5">
                  <c:v>18677</c:v>
                </c:pt>
                <c:pt idx="6">
                  <c:v>30570</c:v>
                </c:pt>
                <c:pt idx="7">
                  <c:v>-7149</c:v>
                </c:pt>
                <c:pt idx="8">
                  <c:v>-17107</c:v>
                </c:pt>
                <c:pt idx="9">
                  <c:v>52299</c:v>
                </c:pt>
                <c:pt idx="10">
                  <c:v>28066</c:v>
                </c:pt>
                <c:pt idx="11">
                  <c:v>-41601</c:v>
                </c:pt>
                <c:pt idx="12">
                  <c:v>-43775</c:v>
                </c:pt>
                <c:pt idx="13">
                  <c:v>6314</c:v>
                </c:pt>
                <c:pt idx="14">
                  <c:v>-1514</c:v>
                </c:pt>
                <c:pt idx="15">
                  <c:v>30951</c:v>
                </c:pt>
                <c:pt idx="16">
                  <c:v>-9705</c:v>
                </c:pt>
                <c:pt idx="17">
                  <c:v>-77995</c:v>
                </c:pt>
                <c:pt idx="18">
                  <c:v>148105</c:v>
                </c:pt>
                <c:pt idx="19">
                  <c:v>66806</c:v>
                </c:pt>
                <c:pt idx="20">
                  <c:v>-61382</c:v>
                </c:pt>
                <c:pt idx="21">
                  <c:v>-16755</c:v>
                </c:pt>
                <c:pt idx="22">
                  <c:v>-42574</c:v>
                </c:pt>
                <c:pt idx="23">
                  <c:v>-12401</c:v>
                </c:pt>
                <c:pt idx="24">
                  <c:v>93947</c:v>
                </c:pt>
                <c:pt idx="25">
                  <c:v>25964</c:v>
                </c:pt>
                <c:pt idx="26">
                  <c:v>-8884</c:v>
                </c:pt>
                <c:pt idx="27">
                  <c:v>95745</c:v>
                </c:pt>
                <c:pt idx="28">
                  <c:v>-55235</c:v>
                </c:pt>
                <c:pt idx="29">
                  <c:v>150757</c:v>
                </c:pt>
                <c:pt idx="30">
                  <c:v>11585</c:v>
                </c:pt>
                <c:pt idx="31">
                  <c:v>-92771</c:v>
                </c:pt>
                <c:pt idx="32">
                  <c:v>-5891</c:v>
                </c:pt>
                <c:pt idx="33">
                  <c:v>28456</c:v>
                </c:pt>
              </c:numCache>
            </c:numRef>
          </c:val>
          <c:smooth val="0"/>
          <c:extLst>
            <c:ext xmlns:c16="http://schemas.microsoft.com/office/drawing/2014/chart" uri="{C3380CC4-5D6E-409C-BE32-E72D297353CC}">
              <c16:uniqueId val="{00000002-3709-4F4F-8B54-C484C35FE279}"/>
            </c:ext>
          </c:extLst>
        </c:ser>
        <c:dLbls>
          <c:showLegendKey val="0"/>
          <c:showVal val="0"/>
          <c:showCatName val="0"/>
          <c:showSerName val="0"/>
          <c:showPercent val="0"/>
          <c:showBubbleSize val="0"/>
        </c:dLbls>
        <c:smooth val="0"/>
        <c:axId val="650515311"/>
        <c:axId val="1"/>
      </c:lineChart>
      <c:catAx>
        <c:axId val="65051531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15311"/>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Australia CAB Vs CA Vs Reserves 1980-2013</a:t>
            </a:r>
          </a:p>
        </c:rich>
      </c:tx>
      <c:overlay val="0"/>
      <c:spPr>
        <a:noFill/>
        <a:ln w="25400">
          <a:noFill/>
        </a:ln>
      </c:spPr>
    </c:title>
    <c:autoTitleDeleted val="0"/>
    <c:plotArea>
      <c:layout/>
      <c:lineChart>
        <c:grouping val="standard"/>
        <c:varyColors val="0"/>
        <c:ser>
          <c:idx val="0"/>
          <c:order val="0"/>
          <c:tx>
            <c:strRef>
              <c:f>BOPs_AUS!$B$1</c:f>
              <c:strCache>
                <c:ptCount val="1"/>
                <c:pt idx="0">
                  <c:v>CAB</c:v>
                </c:pt>
              </c:strCache>
            </c:strRef>
          </c:tx>
          <c:spPr>
            <a:ln w="28575" cap="rnd">
              <a:solidFill>
                <a:schemeClr val="accent1"/>
              </a:solidFill>
              <a:round/>
            </a:ln>
            <a:effectLst/>
          </c:spPr>
          <c:marker>
            <c:symbol val="none"/>
          </c:marker>
          <c:cat>
            <c:numRef>
              <c:f>BOPs_AUS!$A$17:$A$56</c:f>
              <c:numCache>
                <c:formatCode>mmm\-yyyy</c:formatCode>
                <c:ptCount val="40"/>
                <c:pt idx="0">
                  <c:v>27364</c:v>
                </c:pt>
                <c:pt idx="1">
                  <c:v>27729</c:v>
                </c:pt>
                <c:pt idx="2">
                  <c:v>28095</c:v>
                </c:pt>
                <c:pt idx="3">
                  <c:v>28460</c:v>
                </c:pt>
                <c:pt idx="4">
                  <c:v>28825</c:v>
                </c:pt>
                <c:pt idx="5">
                  <c:v>29190</c:v>
                </c:pt>
                <c:pt idx="6">
                  <c:v>29556</c:v>
                </c:pt>
                <c:pt idx="7">
                  <c:v>29921</c:v>
                </c:pt>
                <c:pt idx="8">
                  <c:v>30286</c:v>
                </c:pt>
                <c:pt idx="9">
                  <c:v>30651</c:v>
                </c:pt>
                <c:pt idx="10">
                  <c:v>31017</c:v>
                </c:pt>
                <c:pt idx="11">
                  <c:v>31382</c:v>
                </c:pt>
                <c:pt idx="12">
                  <c:v>31747</c:v>
                </c:pt>
                <c:pt idx="13">
                  <c:v>32112</c:v>
                </c:pt>
                <c:pt idx="14">
                  <c:v>32478</c:v>
                </c:pt>
                <c:pt idx="15">
                  <c:v>32843</c:v>
                </c:pt>
                <c:pt idx="16">
                  <c:v>33208</c:v>
                </c:pt>
                <c:pt idx="17">
                  <c:v>33573</c:v>
                </c:pt>
                <c:pt idx="18">
                  <c:v>33939</c:v>
                </c:pt>
                <c:pt idx="19">
                  <c:v>34304</c:v>
                </c:pt>
                <c:pt idx="20">
                  <c:v>34669</c:v>
                </c:pt>
                <c:pt idx="21">
                  <c:v>35034</c:v>
                </c:pt>
                <c:pt idx="22">
                  <c:v>35400</c:v>
                </c:pt>
                <c:pt idx="23">
                  <c:v>35765</c:v>
                </c:pt>
                <c:pt idx="24">
                  <c:v>36130</c:v>
                </c:pt>
                <c:pt idx="25">
                  <c:v>36495</c:v>
                </c:pt>
                <c:pt idx="26">
                  <c:v>36861</c:v>
                </c:pt>
                <c:pt idx="27">
                  <c:v>37226</c:v>
                </c:pt>
                <c:pt idx="28">
                  <c:v>37591</c:v>
                </c:pt>
                <c:pt idx="29">
                  <c:v>37956</c:v>
                </c:pt>
                <c:pt idx="30">
                  <c:v>38322</c:v>
                </c:pt>
                <c:pt idx="31">
                  <c:v>38687</c:v>
                </c:pt>
                <c:pt idx="32">
                  <c:v>39052</c:v>
                </c:pt>
                <c:pt idx="33">
                  <c:v>39417</c:v>
                </c:pt>
                <c:pt idx="34">
                  <c:v>39783</c:v>
                </c:pt>
                <c:pt idx="35">
                  <c:v>40148</c:v>
                </c:pt>
                <c:pt idx="36">
                  <c:v>40513</c:v>
                </c:pt>
                <c:pt idx="37">
                  <c:v>40878</c:v>
                </c:pt>
                <c:pt idx="38">
                  <c:v>41244</c:v>
                </c:pt>
                <c:pt idx="39">
                  <c:v>41334</c:v>
                </c:pt>
              </c:numCache>
            </c:numRef>
          </c:cat>
          <c:val>
            <c:numRef>
              <c:f>BOPs_AUS!$B$17:$B$56</c:f>
              <c:numCache>
                <c:formatCode>0;\-0;0;@</c:formatCode>
                <c:ptCount val="40"/>
                <c:pt idx="0">
                  <c:v>-417</c:v>
                </c:pt>
                <c:pt idx="1">
                  <c:v>-340</c:v>
                </c:pt>
                <c:pt idx="2">
                  <c:v>-417</c:v>
                </c:pt>
                <c:pt idx="3">
                  <c:v>-242</c:v>
                </c:pt>
                <c:pt idx="4">
                  <c:v>-941</c:v>
                </c:pt>
                <c:pt idx="5">
                  <c:v>-195</c:v>
                </c:pt>
                <c:pt idx="6">
                  <c:v>-1141</c:v>
                </c:pt>
                <c:pt idx="7">
                  <c:v>-2078</c:v>
                </c:pt>
                <c:pt idx="8">
                  <c:v>-1316</c:v>
                </c:pt>
                <c:pt idx="9">
                  <c:v>-1170</c:v>
                </c:pt>
                <c:pt idx="10">
                  <c:v>-2687</c:v>
                </c:pt>
                <c:pt idx="11">
                  <c:v>-3334</c:v>
                </c:pt>
                <c:pt idx="12">
                  <c:v>-2759</c:v>
                </c:pt>
                <c:pt idx="13">
                  <c:v>-2207</c:v>
                </c:pt>
                <c:pt idx="14">
                  <c:v>-4005</c:v>
                </c:pt>
                <c:pt idx="15">
                  <c:v>-6006</c:v>
                </c:pt>
                <c:pt idx="16">
                  <c:v>-4795</c:v>
                </c:pt>
                <c:pt idx="17">
                  <c:v>-2723</c:v>
                </c:pt>
                <c:pt idx="18">
                  <c:v>-3097</c:v>
                </c:pt>
                <c:pt idx="19">
                  <c:v>-2981</c:v>
                </c:pt>
                <c:pt idx="20">
                  <c:v>-6063</c:v>
                </c:pt>
                <c:pt idx="21">
                  <c:v>-5916</c:v>
                </c:pt>
                <c:pt idx="22">
                  <c:v>-4425</c:v>
                </c:pt>
                <c:pt idx="23">
                  <c:v>-5115</c:v>
                </c:pt>
                <c:pt idx="24">
                  <c:v>-6777</c:v>
                </c:pt>
                <c:pt idx="25">
                  <c:v>-6784</c:v>
                </c:pt>
                <c:pt idx="26">
                  <c:v>-4598</c:v>
                </c:pt>
                <c:pt idx="27">
                  <c:v>-4491</c:v>
                </c:pt>
                <c:pt idx="28">
                  <c:v>-9336</c:v>
                </c:pt>
                <c:pt idx="29">
                  <c:v>-11367</c:v>
                </c:pt>
                <c:pt idx="30">
                  <c:v>-15983</c:v>
                </c:pt>
                <c:pt idx="31">
                  <c:v>-13932</c:v>
                </c:pt>
                <c:pt idx="32">
                  <c:v>-15192</c:v>
                </c:pt>
                <c:pt idx="33">
                  <c:v>-20391</c:v>
                </c:pt>
                <c:pt idx="34">
                  <c:v>-8642</c:v>
                </c:pt>
                <c:pt idx="35">
                  <c:v>-20001</c:v>
                </c:pt>
                <c:pt idx="36">
                  <c:v>-9839</c:v>
                </c:pt>
                <c:pt idx="37">
                  <c:v>-9283</c:v>
                </c:pt>
                <c:pt idx="38">
                  <c:v>-16280</c:v>
                </c:pt>
                <c:pt idx="39">
                  <c:v>-9376</c:v>
                </c:pt>
              </c:numCache>
            </c:numRef>
          </c:val>
          <c:smooth val="0"/>
          <c:extLst>
            <c:ext xmlns:c16="http://schemas.microsoft.com/office/drawing/2014/chart" uri="{C3380CC4-5D6E-409C-BE32-E72D297353CC}">
              <c16:uniqueId val="{00000000-DF2E-4B9A-A2E0-5D10221CA281}"/>
            </c:ext>
          </c:extLst>
        </c:ser>
        <c:ser>
          <c:idx val="1"/>
          <c:order val="1"/>
          <c:spPr>
            <a:ln w="28575" cap="rnd">
              <a:solidFill>
                <a:schemeClr val="accent2"/>
              </a:solidFill>
              <a:round/>
            </a:ln>
            <a:effectLst/>
          </c:spPr>
          <c:marker>
            <c:symbol val="none"/>
          </c:marker>
          <c:cat>
            <c:numRef>
              <c:f>BOPs_AUS!$A$17:$A$56</c:f>
              <c:numCache>
                <c:formatCode>mmm\-yyyy</c:formatCode>
                <c:ptCount val="40"/>
                <c:pt idx="0">
                  <c:v>27364</c:v>
                </c:pt>
                <c:pt idx="1">
                  <c:v>27729</c:v>
                </c:pt>
                <c:pt idx="2">
                  <c:v>28095</c:v>
                </c:pt>
                <c:pt idx="3">
                  <c:v>28460</c:v>
                </c:pt>
                <c:pt idx="4">
                  <c:v>28825</c:v>
                </c:pt>
                <c:pt idx="5">
                  <c:v>29190</c:v>
                </c:pt>
                <c:pt idx="6">
                  <c:v>29556</c:v>
                </c:pt>
                <c:pt idx="7">
                  <c:v>29921</c:v>
                </c:pt>
                <c:pt idx="8">
                  <c:v>30286</c:v>
                </c:pt>
                <c:pt idx="9">
                  <c:v>30651</c:v>
                </c:pt>
                <c:pt idx="10">
                  <c:v>31017</c:v>
                </c:pt>
                <c:pt idx="11">
                  <c:v>31382</c:v>
                </c:pt>
                <c:pt idx="12">
                  <c:v>31747</c:v>
                </c:pt>
                <c:pt idx="13">
                  <c:v>32112</c:v>
                </c:pt>
                <c:pt idx="14">
                  <c:v>32478</c:v>
                </c:pt>
                <c:pt idx="15">
                  <c:v>32843</c:v>
                </c:pt>
                <c:pt idx="16">
                  <c:v>33208</c:v>
                </c:pt>
                <c:pt idx="17">
                  <c:v>33573</c:v>
                </c:pt>
                <c:pt idx="18">
                  <c:v>33939</c:v>
                </c:pt>
                <c:pt idx="19">
                  <c:v>34304</c:v>
                </c:pt>
                <c:pt idx="20">
                  <c:v>34669</c:v>
                </c:pt>
                <c:pt idx="21">
                  <c:v>35034</c:v>
                </c:pt>
                <c:pt idx="22">
                  <c:v>35400</c:v>
                </c:pt>
                <c:pt idx="23">
                  <c:v>35765</c:v>
                </c:pt>
                <c:pt idx="24">
                  <c:v>36130</c:v>
                </c:pt>
                <c:pt idx="25">
                  <c:v>36495</c:v>
                </c:pt>
                <c:pt idx="26">
                  <c:v>36861</c:v>
                </c:pt>
                <c:pt idx="27">
                  <c:v>37226</c:v>
                </c:pt>
                <c:pt idx="28">
                  <c:v>37591</c:v>
                </c:pt>
                <c:pt idx="29">
                  <c:v>37956</c:v>
                </c:pt>
                <c:pt idx="30">
                  <c:v>38322</c:v>
                </c:pt>
                <c:pt idx="31">
                  <c:v>38687</c:v>
                </c:pt>
                <c:pt idx="32">
                  <c:v>39052</c:v>
                </c:pt>
                <c:pt idx="33">
                  <c:v>39417</c:v>
                </c:pt>
                <c:pt idx="34">
                  <c:v>39783</c:v>
                </c:pt>
                <c:pt idx="35">
                  <c:v>40148</c:v>
                </c:pt>
                <c:pt idx="36">
                  <c:v>40513</c:v>
                </c:pt>
                <c:pt idx="37">
                  <c:v>40878</c:v>
                </c:pt>
                <c:pt idx="38">
                  <c:v>41244</c:v>
                </c:pt>
                <c:pt idx="39">
                  <c:v>41334</c:v>
                </c:pt>
              </c:numCache>
            </c:numRef>
          </c:cat>
          <c:val>
            <c:numRef>
              <c:f>BOPs_AUS!$C$17:$C$56</c:f>
              <c:numCache>
                <c:formatCode>0;\-0;0;@</c:formatCode>
                <c:ptCount val="40"/>
                <c:pt idx="0">
                  <c:v>316</c:v>
                </c:pt>
                <c:pt idx="1">
                  <c:v>545</c:v>
                </c:pt>
                <c:pt idx="2">
                  <c:v>728</c:v>
                </c:pt>
                <c:pt idx="3">
                  <c:v>630</c:v>
                </c:pt>
                <c:pt idx="4">
                  <c:v>1006</c:v>
                </c:pt>
                <c:pt idx="5">
                  <c:v>327</c:v>
                </c:pt>
                <c:pt idx="6">
                  <c:v>905</c:v>
                </c:pt>
                <c:pt idx="7">
                  <c:v>2725</c:v>
                </c:pt>
                <c:pt idx="8">
                  <c:v>1191</c:v>
                </c:pt>
                <c:pt idx="9">
                  <c:v>632</c:v>
                </c:pt>
                <c:pt idx="10">
                  <c:v>2073</c:v>
                </c:pt>
                <c:pt idx="11">
                  <c:v>3303</c:v>
                </c:pt>
                <c:pt idx="12">
                  <c:v>2818</c:v>
                </c:pt>
                <c:pt idx="13">
                  <c:v>3026</c:v>
                </c:pt>
                <c:pt idx="14">
                  <c:v>3543</c:v>
                </c:pt>
                <c:pt idx="15">
                  <c:v>5494</c:v>
                </c:pt>
                <c:pt idx="16">
                  <c:v>4920</c:v>
                </c:pt>
                <c:pt idx="17">
                  <c:v>3180</c:v>
                </c:pt>
                <c:pt idx="18">
                  <c:v>2675</c:v>
                </c:pt>
                <c:pt idx="19">
                  <c:v>3451</c:v>
                </c:pt>
                <c:pt idx="20">
                  <c:v>6258</c:v>
                </c:pt>
                <c:pt idx="21">
                  <c:v>5188</c:v>
                </c:pt>
                <c:pt idx="22">
                  <c:v>4805</c:v>
                </c:pt>
                <c:pt idx="23">
                  <c:v>5451</c:v>
                </c:pt>
                <c:pt idx="24">
                  <c:v>7058</c:v>
                </c:pt>
                <c:pt idx="25">
                  <c:v>6777</c:v>
                </c:pt>
                <c:pt idx="26">
                  <c:v>4446</c:v>
                </c:pt>
                <c:pt idx="27">
                  <c:v>4929</c:v>
                </c:pt>
                <c:pt idx="28">
                  <c:v>9186</c:v>
                </c:pt>
                <c:pt idx="29">
                  <c:v>11793</c:v>
                </c:pt>
                <c:pt idx="30">
                  <c:v>16299</c:v>
                </c:pt>
                <c:pt idx="31">
                  <c:v>14213</c:v>
                </c:pt>
                <c:pt idx="32">
                  <c:v>14668</c:v>
                </c:pt>
                <c:pt idx="33">
                  <c:v>20183</c:v>
                </c:pt>
                <c:pt idx="34">
                  <c:v>8130</c:v>
                </c:pt>
                <c:pt idx="35">
                  <c:v>20304</c:v>
                </c:pt>
                <c:pt idx="36">
                  <c:v>10016</c:v>
                </c:pt>
                <c:pt idx="37">
                  <c:v>8999</c:v>
                </c:pt>
                <c:pt idx="38">
                  <c:v>16094</c:v>
                </c:pt>
                <c:pt idx="39">
                  <c:v>9348</c:v>
                </c:pt>
              </c:numCache>
            </c:numRef>
          </c:val>
          <c:smooth val="0"/>
          <c:extLst>
            <c:ext xmlns:c16="http://schemas.microsoft.com/office/drawing/2014/chart" uri="{C3380CC4-5D6E-409C-BE32-E72D297353CC}">
              <c16:uniqueId val="{00000001-DF2E-4B9A-A2E0-5D10221CA281}"/>
            </c:ext>
          </c:extLst>
        </c:ser>
        <c:dLbls>
          <c:showLegendKey val="0"/>
          <c:showVal val="0"/>
          <c:showCatName val="0"/>
          <c:showSerName val="0"/>
          <c:showPercent val="0"/>
          <c:showBubbleSize val="0"/>
        </c:dLbls>
        <c:marker val="1"/>
        <c:smooth val="0"/>
        <c:axId val="650500431"/>
        <c:axId val="1"/>
      </c:lineChart>
      <c:lineChart>
        <c:grouping val="standard"/>
        <c:varyColors val="0"/>
        <c:ser>
          <c:idx val="3"/>
          <c:order val="2"/>
          <c:spPr>
            <a:ln w="28575" cap="rnd">
              <a:solidFill>
                <a:schemeClr val="accent4"/>
              </a:solidFill>
              <a:round/>
            </a:ln>
            <a:effectLst/>
          </c:spPr>
          <c:marker>
            <c:symbol val="none"/>
          </c:marker>
          <c:cat>
            <c:numRef>
              <c:f>BOPs_AUS!$A$17:$A$56</c:f>
              <c:numCache>
                <c:formatCode>mmm\-yyyy</c:formatCode>
                <c:ptCount val="40"/>
                <c:pt idx="0">
                  <c:v>27364</c:v>
                </c:pt>
                <c:pt idx="1">
                  <c:v>27729</c:v>
                </c:pt>
                <c:pt idx="2">
                  <c:v>28095</c:v>
                </c:pt>
                <c:pt idx="3">
                  <c:v>28460</c:v>
                </c:pt>
                <c:pt idx="4">
                  <c:v>28825</c:v>
                </c:pt>
                <c:pt idx="5">
                  <c:v>29190</c:v>
                </c:pt>
                <c:pt idx="6">
                  <c:v>29556</c:v>
                </c:pt>
                <c:pt idx="7">
                  <c:v>29921</c:v>
                </c:pt>
                <c:pt idx="8">
                  <c:v>30286</c:v>
                </c:pt>
                <c:pt idx="9">
                  <c:v>30651</c:v>
                </c:pt>
                <c:pt idx="10">
                  <c:v>31017</c:v>
                </c:pt>
                <c:pt idx="11">
                  <c:v>31382</c:v>
                </c:pt>
                <c:pt idx="12">
                  <c:v>31747</c:v>
                </c:pt>
                <c:pt idx="13">
                  <c:v>32112</c:v>
                </c:pt>
                <c:pt idx="14">
                  <c:v>32478</c:v>
                </c:pt>
                <c:pt idx="15">
                  <c:v>32843</c:v>
                </c:pt>
                <c:pt idx="16">
                  <c:v>33208</c:v>
                </c:pt>
                <c:pt idx="17">
                  <c:v>33573</c:v>
                </c:pt>
                <c:pt idx="18">
                  <c:v>33939</c:v>
                </c:pt>
                <c:pt idx="19">
                  <c:v>34304</c:v>
                </c:pt>
                <c:pt idx="20">
                  <c:v>34669</c:v>
                </c:pt>
                <c:pt idx="21">
                  <c:v>35034</c:v>
                </c:pt>
                <c:pt idx="22">
                  <c:v>35400</c:v>
                </c:pt>
                <c:pt idx="23">
                  <c:v>35765</c:v>
                </c:pt>
                <c:pt idx="24">
                  <c:v>36130</c:v>
                </c:pt>
                <c:pt idx="25">
                  <c:v>36495</c:v>
                </c:pt>
                <c:pt idx="26">
                  <c:v>36861</c:v>
                </c:pt>
                <c:pt idx="27">
                  <c:v>37226</c:v>
                </c:pt>
                <c:pt idx="28">
                  <c:v>37591</c:v>
                </c:pt>
                <c:pt idx="29">
                  <c:v>37956</c:v>
                </c:pt>
                <c:pt idx="30">
                  <c:v>38322</c:v>
                </c:pt>
                <c:pt idx="31">
                  <c:v>38687</c:v>
                </c:pt>
                <c:pt idx="32">
                  <c:v>39052</c:v>
                </c:pt>
                <c:pt idx="33">
                  <c:v>39417</c:v>
                </c:pt>
                <c:pt idx="34">
                  <c:v>39783</c:v>
                </c:pt>
                <c:pt idx="35">
                  <c:v>40148</c:v>
                </c:pt>
                <c:pt idx="36">
                  <c:v>40513</c:v>
                </c:pt>
                <c:pt idx="37">
                  <c:v>40878</c:v>
                </c:pt>
                <c:pt idx="38">
                  <c:v>41244</c:v>
                </c:pt>
                <c:pt idx="39">
                  <c:v>41334</c:v>
                </c:pt>
              </c:numCache>
            </c:numRef>
          </c:cat>
          <c:val>
            <c:numRef>
              <c:f>BOPs_AUS!$F$17:$F$57</c:f>
              <c:numCache>
                <c:formatCode>General</c:formatCode>
                <c:ptCount val="41"/>
                <c:pt idx="0">
                  <c:v>1.2709999999999999</c:v>
                </c:pt>
                <c:pt idx="1">
                  <c:v>1.4850000000000001</c:v>
                </c:pt>
                <c:pt idx="2">
                  <c:v>1.3383</c:v>
                </c:pt>
                <c:pt idx="3">
                  <c:v>1.2587999999999999</c:v>
                </c:pt>
                <c:pt idx="4">
                  <c:v>1.087</c:v>
                </c:pt>
                <c:pt idx="5">
                  <c:v>1.1382000000000001</c:v>
                </c:pt>
                <c:pt idx="6">
                  <c:v>1.1326000000000001</c:v>
                </c:pt>
                <c:pt idx="7">
                  <c:v>1.1071</c:v>
                </c:pt>
                <c:pt idx="8">
                  <c:v>1.1684000000000001</c:v>
                </c:pt>
                <c:pt idx="9">
                  <c:v>1.099</c:v>
                </c:pt>
                <c:pt idx="10">
                  <c:v>0.9677</c:v>
                </c:pt>
                <c:pt idx="11">
                  <c:v>0.91720000000000002</c:v>
                </c:pt>
                <c:pt idx="12">
                  <c:v>0.81379999999999997</c:v>
                </c:pt>
                <c:pt idx="13">
                  <c:v>0.71379999999999999</c:v>
                </c:pt>
                <c:pt idx="14">
                  <c:v>0.65900000000000003</c:v>
                </c:pt>
                <c:pt idx="15">
                  <c:v>0.70669999999999999</c:v>
                </c:pt>
                <c:pt idx="16">
                  <c:v>0.88660000000000005</c:v>
                </c:pt>
                <c:pt idx="17">
                  <c:v>0.7712</c:v>
                </c:pt>
                <c:pt idx="18">
                  <c:v>0.78249999999999997</c:v>
                </c:pt>
                <c:pt idx="19">
                  <c:v>0.75070000000000003</c:v>
                </c:pt>
                <c:pt idx="20">
                  <c:v>0.67849999999999999</c:v>
                </c:pt>
                <c:pt idx="21">
                  <c:v>0.70899999999999996</c:v>
                </c:pt>
                <c:pt idx="22">
                  <c:v>0.75680000000000003</c:v>
                </c:pt>
                <c:pt idx="23">
                  <c:v>0.74650000000000005</c:v>
                </c:pt>
                <c:pt idx="24">
                  <c:v>0.76229999999999998</c:v>
                </c:pt>
                <c:pt idx="25">
                  <c:v>0.68300000000000005</c:v>
                </c:pt>
                <c:pt idx="26">
                  <c:v>0.63049999999999995</c:v>
                </c:pt>
                <c:pt idx="27">
                  <c:v>0.63729999999999998</c:v>
                </c:pt>
                <c:pt idx="28">
                  <c:v>0.55000000000000004</c:v>
                </c:pt>
                <c:pt idx="29">
                  <c:v>0.50800000000000001</c:v>
                </c:pt>
                <c:pt idx="30">
                  <c:v>0.58720000000000006</c:v>
                </c:pt>
                <c:pt idx="31">
                  <c:v>0.76419999999999999</c:v>
                </c:pt>
                <c:pt idx="32">
                  <c:v>0.7752</c:v>
                </c:pt>
                <c:pt idx="33">
                  <c:v>0.75870000000000004</c:v>
                </c:pt>
                <c:pt idx="34">
                  <c:v>0.77680000000000005</c:v>
                </c:pt>
                <c:pt idx="35">
                  <c:v>0.89610000000000001</c:v>
                </c:pt>
                <c:pt idx="36">
                  <c:v>0.6351</c:v>
                </c:pt>
                <c:pt idx="37">
                  <c:v>0.88470000000000004</c:v>
                </c:pt>
                <c:pt idx="38">
                  <c:v>0.99670000000000003</c:v>
                </c:pt>
                <c:pt idx="39">
                  <c:v>1.0616000000000001</c:v>
                </c:pt>
                <c:pt idx="40">
                  <c:v>1.0424</c:v>
                </c:pt>
              </c:numCache>
            </c:numRef>
          </c:val>
          <c:smooth val="0"/>
          <c:extLst>
            <c:ext xmlns:c16="http://schemas.microsoft.com/office/drawing/2014/chart" uri="{C3380CC4-5D6E-409C-BE32-E72D297353CC}">
              <c16:uniqueId val="{00000002-DF2E-4B9A-A2E0-5D10221CA281}"/>
            </c:ext>
          </c:extLst>
        </c:ser>
        <c:dLbls>
          <c:showLegendKey val="0"/>
          <c:showVal val="0"/>
          <c:showCatName val="0"/>
          <c:showSerName val="0"/>
          <c:showPercent val="0"/>
          <c:showBubbleSize val="0"/>
        </c:dLbls>
        <c:marker val="1"/>
        <c:smooth val="0"/>
        <c:axId val="3"/>
        <c:axId val="4"/>
      </c:lineChart>
      <c:dateAx>
        <c:axId val="650500431"/>
        <c:scaling>
          <c:orientation val="minMax"/>
          <c:min val="29556"/>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00431"/>
        <c:crosses val="autoZero"/>
        <c:crossBetween val="between"/>
        <c:majorUnit val="1000"/>
      </c:valAx>
      <c:dateAx>
        <c:axId val="3"/>
        <c:scaling>
          <c:orientation val="minMax"/>
        </c:scaling>
        <c:delete val="1"/>
        <c:axPos val="b"/>
        <c:numFmt formatCode="mmm\-yyyy" sourceLinked="1"/>
        <c:majorTickMark val="out"/>
        <c:minorTickMark val="none"/>
        <c:tickLblPos val="nextTo"/>
        <c:crossAx val="4"/>
        <c:crosses val="autoZero"/>
        <c:auto val="1"/>
        <c:lblOffset val="100"/>
        <c:baseTimeUnit val="months"/>
      </c:dateAx>
      <c:valAx>
        <c:axId val="4"/>
        <c:scaling>
          <c:orientation val="minMax"/>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5.000000000000001E-2"/>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AUD/USD Vs Change in Foreign AUS Reserves 1980-2013</a:t>
            </a:r>
          </a:p>
        </c:rich>
      </c:tx>
      <c:overlay val="0"/>
      <c:spPr>
        <a:noFill/>
        <a:ln w="25400">
          <a:noFill/>
        </a:ln>
      </c:spPr>
    </c:title>
    <c:autoTitleDeleted val="0"/>
    <c:plotArea>
      <c:layout/>
      <c:lineChart>
        <c:grouping val="standard"/>
        <c:varyColors val="0"/>
        <c:ser>
          <c:idx val="2"/>
          <c:order val="0"/>
          <c:spPr>
            <a:ln w="28575" cap="rnd">
              <a:solidFill>
                <a:schemeClr val="accent3"/>
              </a:solidFill>
              <a:round/>
            </a:ln>
            <a:effectLst/>
          </c:spPr>
          <c:marker>
            <c:symbol val="none"/>
          </c:marker>
          <c:dLbls>
            <c:spPr>
              <a:noFill/>
              <a:ln w="15875">
                <a:solidFill>
                  <a:schemeClr val="bg1">
                    <a:lumMod val="50000"/>
                  </a:schemeClr>
                </a:solidFill>
              </a:ln>
              <a:effectLst/>
            </c:spPr>
            <c:txPr>
              <a:bodyPr wrap="square" lIns="38100" tIns="19050" rIns="38100" bIns="19050" anchor="ctr">
                <a:spAutoFit/>
              </a:bodyPr>
              <a:lstStyle/>
              <a:p>
                <a:pPr>
                  <a:defRPr sz="900" b="0" i="0" u="none" strike="noStrike" baseline="0">
                    <a:solidFill>
                      <a:srgbClr val="333333"/>
                    </a:solidFill>
                    <a:latin typeface="Calibri"/>
                    <a:ea typeface="Calibri"/>
                    <a:cs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BOPs_AUS!$A$17:$A$56</c:f>
              <c:numCache>
                <c:formatCode>mmm\-yyyy</c:formatCode>
                <c:ptCount val="40"/>
                <c:pt idx="0">
                  <c:v>27364</c:v>
                </c:pt>
                <c:pt idx="1">
                  <c:v>27729</c:v>
                </c:pt>
                <c:pt idx="2">
                  <c:v>28095</c:v>
                </c:pt>
                <c:pt idx="3">
                  <c:v>28460</c:v>
                </c:pt>
                <c:pt idx="4">
                  <c:v>28825</c:v>
                </c:pt>
                <c:pt idx="5">
                  <c:v>29190</c:v>
                </c:pt>
                <c:pt idx="6">
                  <c:v>29556</c:v>
                </c:pt>
                <c:pt idx="7">
                  <c:v>29921</c:v>
                </c:pt>
                <c:pt idx="8">
                  <c:v>30286</c:v>
                </c:pt>
                <c:pt idx="9">
                  <c:v>30651</c:v>
                </c:pt>
                <c:pt idx="10">
                  <c:v>31017</c:v>
                </c:pt>
                <c:pt idx="11">
                  <c:v>31382</c:v>
                </c:pt>
                <c:pt idx="12">
                  <c:v>31747</c:v>
                </c:pt>
                <c:pt idx="13">
                  <c:v>32112</c:v>
                </c:pt>
                <c:pt idx="14">
                  <c:v>32478</c:v>
                </c:pt>
                <c:pt idx="15">
                  <c:v>32843</c:v>
                </c:pt>
                <c:pt idx="16">
                  <c:v>33208</c:v>
                </c:pt>
                <c:pt idx="17">
                  <c:v>33573</c:v>
                </c:pt>
                <c:pt idx="18">
                  <c:v>33939</c:v>
                </c:pt>
                <c:pt idx="19">
                  <c:v>34304</c:v>
                </c:pt>
                <c:pt idx="20">
                  <c:v>34669</c:v>
                </c:pt>
                <c:pt idx="21">
                  <c:v>35034</c:v>
                </c:pt>
                <c:pt idx="22">
                  <c:v>35400</c:v>
                </c:pt>
                <c:pt idx="23">
                  <c:v>35765</c:v>
                </c:pt>
                <c:pt idx="24">
                  <c:v>36130</c:v>
                </c:pt>
                <c:pt idx="25">
                  <c:v>36495</c:v>
                </c:pt>
                <c:pt idx="26">
                  <c:v>36861</c:v>
                </c:pt>
                <c:pt idx="27">
                  <c:v>37226</c:v>
                </c:pt>
                <c:pt idx="28">
                  <c:v>37591</c:v>
                </c:pt>
                <c:pt idx="29">
                  <c:v>37956</c:v>
                </c:pt>
                <c:pt idx="30">
                  <c:v>38322</c:v>
                </c:pt>
                <c:pt idx="31">
                  <c:v>38687</c:v>
                </c:pt>
                <c:pt idx="32">
                  <c:v>39052</c:v>
                </c:pt>
                <c:pt idx="33">
                  <c:v>39417</c:v>
                </c:pt>
                <c:pt idx="34">
                  <c:v>39783</c:v>
                </c:pt>
                <c:pt idx="35">
                  <c:v>40148</c:v>
                </c:pt>
                <c:pt idx="36">
                  <c:v>40513</c:v>
                </c:pt>
                <c:pt idx="37">
                  <c:v>40878</c:v>
                </c:pt>
                <c:pt idx="38">
                  <c:v>41244</c:v>
                </c:pt>
                <c:pt idx="39">
                  <c:v>41334</c:v>
                </c:pt>
              </c:numCache>
            </c:numRef>
          </c:cat>
          <c:val>
            <c:numRef>
              <c:f>BOPs_AUS!$E$17:$E$56</c:f>
              <c:numCache>
                <c:formatCode>0;\-0;0;@</c:formatCode>
                <c:ptCount val="40"/>
                <c:pt idx="0">
                  <c:v>101</c:v>
                </c:pt>
                <c:pt idx="1">
                  <c:v>-205</c:v>
                </c:pt>
                <c:pt idx="2">
                  <c:v>-311</c:v>
                </c:pt>
                <c:pt idx="3">
                  <c:v>-388</c:v>
                </c:pt>
                <c:pt idx="4">
                  <c:v>-65</c:v>
                </c:pt>
                <c:pt idx="5">
                  <c:v>-132</c:v>
                </c:pt>
                <c:pt idx="6">
                  <c:v>236</c:v>
                </c:pt>
                <c:pt idx="7">
                  <c:v>-647</c:v>
                </c:pt>
                <c:pt idx="8">
                  <c:v>125</c:v>
                </c:pt>
                <c:pt idx="9">
                  <c:v>538</c:v>
                </c:pt>
                <c:pt idx="10">
                  <c:v>614</c:v>
                </c:pt>
                <c:pt idx="11">
                  <c:v>31</c:v>
                </c:pt>
                <c:pt idx="12">
                  <c:v>-59</c:v>
                </c:pt>
                <c:pt idx="13">
                  <c:v>-819</c:v>
                </c:pt>
                <c:pt idx="14">
                  <c:v>461</c:v>
                </c:pt>
                <c:pt idx="15">
                  <c:v>511</c:v>
                </c:pt>
                <c:pt idx="16">
                  <c:v>-125</c:v>
                </c:pt>
                <c:pt idx="17">
                  <c:v>-457</c:v>
                </c:pt>
                <c:pt idx="18">
                  <c:v>422</c:v>
                </c:pt>
                <c:pt idx="19">
                  <c:v>-469</c:v>
                </c:pt>
                <c:pt idx="20">
                  <c:v>-195</c:v>
                </c:pt>
                <c:pt idx="21">
                  <c:v>728</c:v>
                </c:pt>
                <c:pt idx="22">
                  <c:v>-380</c:v>
                </c:pt>
                <c:pt idx="23">
                  <c:v>-336</c:v>
                </c:pt>
                <c:pt idx="24">
                  <c:v>-281</c:v>
                </c:pt>
                <c:pt idx="25">
                  <c:v>7</c:v>
                </c:pt>
                <c:pt idx="26">
                  <c:v>152</c:v>
                </c:pt>
                <c:pt idx="27">
                  <c:v>-438</c:v>
                </c:pt>
                <c:pt idx="28">
                  <c:v>150</c:v>
                </c:pt>
                <c:pt idx="29">
                  <c:v>-427</c:v>
                </c:pt>
                <c:pt idx="30">
                  <c:v>-317</c:v>
                </c:pt>
                <c:pt idx="31">
                  <c:v>-281</c:v>
                </c:pt>
                <c:pt idx="32">
                  <c:v>524</c:v>
                </c:pt>
                <c:pt idx="33">
                  <c:v>208</c:v>
                </c:pt>
                <c:pt idx="34">
                  <c:v>512</c:v>
                </c:pt>
                <c:pt idx="35">
                  <c:v>-302</c:v>
                </c:pt>
                <c:pt idx="36">
                  <c:v>-177</c:v>
                </c:pt>
                <c:pt idx="37">
                  <c:v>284</c:v>
                </c:pt>
                <c:pt idx="38">
                  <c:v>186</c:v>
                </c:pt>
                <c:pt idx="39">
                  <c:v>29</c:v>
                </c:pt>
              </c:numCache>
            </c:numRef>
          </c:val>
          <c:smooth val="0"/>
          <c:extLst>
            <c:ext xmlns:c16="http://schemas.microsoft.com/office/drawing/2014/chart" uri="{C3380CC4-5D6E-409C-BE32-E72D297353CC}">
              <c16:uniqueId val="{00000000-D514-4A25-A556-46A12909F1B2}"/>
            </c:ext>
          </c:extLst>
        </c:ser>
        <c:dLbls>
          <c:showLegendKey val="0"/>
          <c:showVal val="0"/>
          <c:showCatName val="0"/>
          <c:showSerName val="0"/>
          <c:showPercent val="0"/>
          <c:showBubbleSize val="0"/>
        </c:dLbls>
        <c:marker val="1"/>
        <c:smooth val="0"/>
        <c:axId val="650500911"/>
        <c:axId val="1"/>
      </c:lineChart>
      <c:lineChart>
        <c:grouping val="standard"/>
        <c:varyColors val="0"/>
        <c:ser>
          <c:idx val="3"/>
          <c:order val="1"/>
          <c:spPr>
            <a:ln w="28575" cap="rnd">
              <a:solidFill>
                <a:schemeClr val="accent4"/>
              </a:solidFill>
              <a:round/>
            </a:ln>
            <a:effectLst/>
          </c:spPr>
          <c:marker>
            <c:symbol val="none"/>
          </c:marker>
          <c:cat>
            <c:numRef>
              <c:f>BOPs_AUS!$A$17:$A$56</c:f>
              <c:numCache>
                <c:formatCode>mmm\-yyyy</c:formatCode>
                <c:ptCount val="40"/>
                <c:pt idx="0">
                  <c:v>27364</c:v>
                </c:pt>
                <c:pt idx="1">
                  <c:v>27729</c:v>
                </c:pt>
                <c:pt idx="2">
                  <c:v>28095</c:v>
                </c:pt>
                <c:pt idx="3">
                  <c:v>28460</c:v>
                </c:pt>
                <c:pt idx="4">
                  <c:v>28825</c:v>
                </c:pt>
                <c:pt idx="5">
                  <c:v>29190</c:v>
                </c:pt>
                <c:pt idx="6">
                  <c:v>29556</c:v>
                </c:pt>
                <c:pt idx="7">
                  <c:v>29921</c:v>
                </c:pt>
                <c:pt idx="8">
                  <c:v>30286</c:v>
                </c:pt>
                <c:pt idx="9">
                  <c:v>30651</c:v>
                </c:pt>
                <c:pt idx="10">
                  <c:v>31017</c:v>
                </c:pt>
                <c:pt idx="11">
                  <c:v>31382</c:v>
                </c:pt>
                <c:pt idx="12">
                  <c:v>31747</c:v>
                </c:pt>
                <c:pt idx="13">
                  <c:v>32112</c:v>
                </c:pt>
                <c:pt idx="14">
                  <c:v>32478</c:v>
                </c:pt>
                <c:pt idx="15">
                  <c:v>32843</c:v>
                </c:pt>
                <c:pt idx="16">
                  <c:v>33208</c:v>
                </c:pt>
                <c:pt idx="17">
                  <c:v>33573</c:v>
                </c:pt>
                <c:pt idx="18">
                  <c:v>33939</c:v>
                </c:pt>
                <c:pt idx="19">
                  <c:v>34304</c:v>
                </c:pt>
                <c:pt idx="20">
                  <c:v>34669</c:v>
                </c:pt>
                <c:pt idx="21">
                  <c:v>35034</c:v>
                </c:pt>
                <c:pt idx="22">
                  <c:v>35400</c:v>
                </c:pt>
                <c:pt idx="23">
                  <c:v>35765</c:v>
                </c:pt>
                <c:pt idx="24">
                  <c:v>36130</c:v>
                </c:pt>
                <c:pt idx="25">
                  <c:v>36495</c:v>
                </c:pt>
                <c:pt idx="26">
                  <c:v>36861</c:v>
                </c:pt>
                <c:pt idx="27">
                  <c:v>37226</c:v>
                </c:pt>
                <c:pt idx="28">
                  <c:v>37591</c:v>
                </c:pt>
                <c:pt idx="29">
                  <c:v>37956</c:v>
                </c:pt>
                <c:pt idx="30">
                  <c:v>38322</c:v>
                </c:pt>
                <c:pt idx="31">
                  <c:v>38687</c:v>
                </c:pt>
                <c:pt idx="32">
                  <c:v>39052</c:v>
                </c:pt>
                <c:pt idx="33">
                  <c:v>39417</c:v>
                </c:pt>
                <c:pt idx="34">
                  <c:v>39783</c:v>
                </c:pt>
                <c:pt idx="35">
                  <c:v>40148</c:v>
                </c:pt>
                <c:pt idx="36">
                  <c:v>40513</c:v>
                </c:pt>
                <c:pt idx="37">
                  <c:v>40878</c:v>
                </c:pt>
                <c:pt idx="38">
                  <c:v>41244</c:v>
                </c:pt>
                <c:pt idx="39">
                  <c:v>41334</c:v>
                </c:pt>
              </c:numCache>
            </c:numRef>
          </c:cat>
          <c:val>
            <c:numRef>
              <c:f>BOPs_AUS!$F$17:$F$57</c:f>
              <c:numCache>
                <c:formatCode>General</c:formatCode>
                <c:ptCount val="41"/>
                <c:pt idx="0">
                  <c:v>1.2709999999999999</c:v>
                </c:pt>
                <c:pt idx="1">
                  <c:v>1.4850000000000001</c:v>
                </c:pt>
                <c:pt idx="2">
                  <c:v>1.3383</c:v>
                </c:pt>
                <c:pt idx="3">
                  <c:v>1.2587999999999999</c:v>
                </c:pt>
                <c:pt idx="4">
                  <c:v>1.087</c:v>
                </c:pt>
                <c:pt idx="5">
                  <c:v>1.1382000000000001</c:v>
                </c:pt>
                <c:pt idx="6">
                  <c:v>1.1326000000000001</c:v>
                </c:pt>
                <c:pt idx="7">
                  <c:v>1.1071</c:v>
                </c:pt>
                <c:pt idx="8">
                  <c:v>1.1684000000000001</c:v>
                </c:pt>
                <c:pt idx="9">
                  <c:v>1.099</c:v>
                </c:pt>
                <c:pt idx="10">
                  <c:v>0.9677</c:v>
                </c:pt>
                <c:pt idx="11">
                  <c:v>0.91720000000000002</c:v>
                </c:pt>
                <c:pt idx="12">
                  <c:v>0.81379999999999997</c:v>
                </c:pt>
                <c:pt idx="13">
                  <c:v>0.71379999999999999</c:v>
                </c:pt>
                <c:pt idx="14">
                  <c:v>0.65900000000000003</c:v>
                </c:pt>
                <c:pt idx="15">
                  <c:v>0.70669999999999999</c:v>
                </c:pt>
                <c:pt idx="16">
                  <c:v>0.88660000000000005</c:v>
                </c:pt>
                <c:pt idx="17">
                  <c:v>0.7712</c:v>
                </c:pt>
                <c:pt idx="18">
                  <c:v>0.78249999999999997</c:v>
                </c:pt>
                <c:pt idx="19">
                  <c:v>0.75070000000000003</c:v>
                </c:pt>
                <c:pt idx="20">
                  <c:v>0.67849999999999999</c:v>
                </c:pt>
                <c:pt idx="21">
                  <c:v>0.70899999999999996</c:v>
                </c:pt>
                <c:pt idx="22">
                  <c:v>0.75680000000000003</c:v>
                </c:pt>
                <c:pt idx="23">
                  <c:v>0.74650000000000005</c:v>
                </c:pt>
                <c:pt idx="24">
                  <c:v>0.76229999999999998</c:v>
                </c:pt>
                <c:pt idx="25">
                  <c:v>0.68300000000000005</c:v>
                </c:pt>
                <c:pt idx="26">
                  <c:v>0.63049999999999995</c:v>
                </c:pt>
                <c:pt idx="27">
                  <c:v>0.63729999999999998</c:v>
                </c:pt>
                <c:pt idx="28">
                  <c:v>0.55000000000000004</c:v>
                </c:pt>
                <c:pt idx="29">
                  <c:v>0.50800000000000001</c:v>
                </c:pt>
                <c:pt idx="30">
                  <c:v>0.58720000000000006</c:v>
                </c:pt>
                <c:pt idx="31">
                  <c:v>0.76419999999999999</c:v>
                </c:pt>
                <c:pt idx="32">
                  <c:v>0.7752</c:v>
                </c:pt>
                <c:pt idx="33">
                  <c:v>0.75870000000000004</c:v>
                </c:pt>
                <c:pt idx="34">
                  <c:v>0.77680000000000005</c:v>
                </c:pt>
                <c:pt idx="35">
                  <c:v>0.89610000000000001</c:v>
                </c:pt>
                <c:pt idx="36">
                  <c:v>0.6351</c:v>
                </c:pt>
                <c:pt idx="37">
                  <c:v>0.88470000000000004</c:v>
                </c:pt>
                <c:pt idx="38">
                  <c:v>0.99670000000000003</c:v>
                </c:pt>
                <c:pt idx="39">
                  <c:v>1.0616000000000001</c:v>
                </c:pt>
                <c:pt idx="40">
                  <c:v>1.0424</c:v>
                </c:pt>
              </c:numCache>
            </c:numRef>
          </c:val>
          <c:smooth val="0"/>
          <c:extLst>
            <c:ext xmlns:c16="http://schemas.microsoft.com/office/drawing/2014/chart" uri="{C3380CC4-5D6E-409C-BE32-E72D297353CC}">
              <c16:uniqueId val="{00000001-D514-4A25-A556-46A12909F1B2}"/>
            </c:ext>
          </c:extLst>
        </c:ser>
        <c:dLbls>
          <c:showLegendKey val="0"/>
          <c:showVal val="0"/>
          <c:showCatName val="0"/>
          <c:showSerName val="0"/>
          <c:showPercent val="0"/>
          <c:showBubbleSize val="0"/>
        </c:dLbls>
        <c:marker val="1"/>
        <c:smooth val="0"/>
        <c:axId val="3"/>
        <c:axId val="4"/>
      </c:lineChart>
      <c:dateAx>
        <c:axId val="650500911"/>
        <c:scaling>
          <c:orientation val="minMax"/>
          <c:min val="29556"/>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Offset val="100"/>
        <c:baseTimeUnit val="months"/>
      </c:dateAx>
      <c:valAx>
        <c:axId val="1"/>
        <c:scaling>
          <c:orientation val="minMax"/>
          <c:max val="2000"/>
          <c:min val="-20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00911"/>
        <c:crosses val="autoZero"/>
        <c:crossBetween val="between"/>
        <c:majorUnit val="200"/>
      </c:valAx>
      <c:dateAx>
        <c:axId val="3"/>
        <c:scaling>
          <c:orientation val="minMax"/>
        </c:scaling>
        <c:delete val="1"/>
        <c:axPos val="b"/>
        <c:numFmt formatCode="mmm\-yyyy" sourceLinked="1"/>
        <c:majorTickMark val="out"/>
        <c:minorTickMark val="none"/>
        <c:tickLblPos val="nextTo"/>
        <c:crossAx val="4"/>
        <c:crosses val="autoZero"/>
        <c:auto val="1"/>
        <c:lblOffset val="100"/>
        <c:baseTimeUnit val="months"/>
      </c:dateAx>
      <c:valAx>
        <c:axId val="4"/>
        <c:scaling>
          <c:orientation val="minMax"/>
          <c:max val="1.4"/>
          <c:min val="0.4"/>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5.000000000000001E-2"/>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AUD/USD FX Reserves (Ratio) inverted with 3 Year Moving Average Vs AUD/USD</a:t>
            </a:r>
          </a:p>
        </c:rich>
      </c:tx>
      <c:overlay val="0"/>
      <c:spPr>
        <a:noFill/>
        <a:ln w="25400">
          <a:noFill/>
        </a:ln>
      </c:sp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cmpd="sng">
                <a:solidFill>
                  <a:srgbClr val="00B050"/>
                </a:solidFill>
                <a:prstDash val="solid"/>
              </a:ln>
              <a:effectLst/>
            </c:spPr>
            <c:trendlineType val="movingAvg"/>
            <c:period val="3"/>
            <c:dispRSqr val="0"/>
            <c:dispEq val="0"/>
          </c:trendline>
          <c:cat>
            <c:numRef>
              <c:f>BOPs_Relative!$A$22:$A$55</c:f>
              <c:numCache>
                <c:formatCode>General</c:formatCode>
                <c:ptCount val="34"/>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numCache>
            </c:numRef>
          </c:cat>
          <c:val>
            <c:numRef>
              <c:f>BOPs_Relative!$D$22:$D$55</c:f>
              <c:numCache>
                <c:formatCode>0.0000</c:formatCode>
                <c:ptCount val="34"/>
                <c:pt idx="0">
                  <c:v>1.0436474594259939E-2</c:v>
                </c:pt>
                <c:pt idx="1">
                  <c:v>-2.7610634575171766E-2</c:v>
                </c:pt>
                <c:pt idx="2">
                  <c:v>3.2584328241488975E-3</c:v>
                </c:pt>
                <c:pt idx="3">
                  <c:v>3.0453979395448885E-2</c:v>
                </c:pt>
                <c:pt idx="4">
                  <c:v>3.2883461868037707E-2</c:v>
                </c:pt>
                <c:pt idx="5">
                  <c:v>1.6597954703646196E-3</c:v>
                </c:pt>
                <c:pt idx="6">
                  <c:v>-1.9299967288191036E-3</c:v>
                </c:pt>
                <c:pt idx="7">
                  <c:v>0.11456147712966848</c:v>
                </c:pt>
                <c:pt idx="8">
                  <c:v>-2.6948032968960076E-2</c:v>
                </c:pt>
                <c:pt idx="9">
                  <c:v>9.7707413143654758E-3</c:v>
                </c:pt>
                <c:pt idx="10">
                  <c:v>-4.4537875008907575E-3</c:v>
                </c:pt>
                <c:pt idx="11">
                  <c:v>1.0985312853056418E-2</c:v>
                </c:pt>
                <c:pt idx="12">
                  <c:v>-9.6402055968018274E-3</c:v>
                </c:pt>
                <c:pt idx="13">
                  <c:v>-7.4279379157427938E-2</c:v>
                </c:pt>
                <c:pt idx="14">
                  <c:v>0.12879788639365919</c:v>
                </c:pt>
                <c:pt idx="15">
                  <c:v>2.3521049400665569E-2</c:v>
                </c:pt>
                <c:pt idx="16">
                  <c:v>3.915507470376095E-2</c:v>
                </c:pt>
                <c:pt idx="17">
                  <c:v>4.3079684595166354E-3</c:v>
                </c:pt>
                <c:pt idx="18">
                  <c:v>-1.8973025893791566E-3</c:v>
                </c:pt>
                <c:pt idx="19">
                  <c:v>1.0478100769391971E-4</c:v>
                </c:pt>
                <c:pt idx="20">
                  <c:v>-2.4762959825355966E-3</c:v>
                </c:pt>
                <c:pt idx="21">
                  <c:v>2.6141450313339303E-2</c:v>
                </c:pt>
                <c:pt idx="22">
                  <c:v>-3.5232771174895476E-3</c:v>
                </c:pt>
                <c:pt idx="23">
                  <c:v>3.4432707039754859E-2</c:v>
                </c:pt>
                <c:pt idx="24">
                  <c:v>-3.3742429242019437E-3</c:v>
                </c:pt>
                <c:pt idx="25">
                  <c:v>-1.0822677553535665E-2</c:v>
                </c:pt>
                <c:pt idx="26">
                  <c:v>-5.8982440342188205E-2</c:v>
                </c:pt>
                <c:pt idx="27">
                  <c:v>2.1724372029871012E-3</c:v>
                </c:pt>
                <c:pt idx="28">
                  <c:v>-9.2694849280347599E-3</c:v>
                </c:pt>
                <c:pt idx="29">
                  <c:v>-2.0032237309047011E-3</c:v>
                </c:pt>
                <c:pt idx="30">
                  <c:v>-1.5278377211911956E-2</c:v>
                </c:pt>
                <c:pt idx="31">
                  <c:v>-3.0613014843000508E-3</c:v>
                </c:pt>
                <c:pt idx="32">
                  <c:v>-3.1573586827363775E-2</c:v>
                </c:pt>
                <c:pt idx="33">
                  <c:v>1.0191172336238403E-3</c:v>
                </c:pt>
              </c:numCache>
            </c:numRef>
          </c:val>
          <c:smooth val="0"/>
          <c:extLst>
            <c:ext xmlns:c16="http://schemas.microsoft.com/office/drawing/2014/chart" uri="{C3380CC4-5D6E-409C-BE32-E72D297353CC}">
              <c16:uniqueId val="{00000001-DB5C-4C93-B44B-5D36876AD43F}"/>
            </c:ext>
          </c:extLst>
        </c:ser>
        <c:dLbls>
          <c:showLegendKey val="0"/>
          <c:showVal val="0"/>
          <c:showCatName val="0"/>
          <c:showSerName val="0"/>
          <c:showPercent val="0"/>
          <c:showBubbleSize val="0"/>
        </c:dLbls>
        <c:marker val="1"/>
        <c:smooth val="0"/>
        <c:axId val="650503791"/>
        <c:axId val="1"/>
      </c:lineChart>
      <c:lineChart>
        <c:grouping val="standard"/>
        <c:varyColors val="0"/>
        <c:ser>
          <c:idx val="1"/>
          <c:order val="1"/>
          <c:spPr>
            <a:ln w="28575" cap="rnd">
              <a:solidFill>
                <a:schemeClr val="accent2"/>
              </a:solidFill>
              <a:round/>
            </a:ln>
            <a:effectLst/>
          </c:spPr>
          <c:marker>
            <c:symbol val="none"/>
          </c:marker>
          <c:cat>
            <c:numRef>
              <c:f>BOPs_Relative!$A$22:$A$55</c:f>
              <c:numCache>
                <c:formatCode>General</c:formatCode>
                <c:ptCount val="34"/>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numCache>
            </c:numRef>
          </c:cat>
          <c:val>
            <c:numRef>
              <c:f>BOPs_Relative!$E$22:$E$56</c:f>
              <c:numCache>
                <c:formatCode>General</c:formatCode>
                <c:ptCount val="35"/>
                <c:pt idx="0">
                  <c:v>1.1326000000000001</c:v>
                </c:pt>
                <c:pt idx="1">
                  <c:v>1.1071</c:v>
                </c:pt>
                <c:pt idx="2">
                  <c:v>1.1684000000000001</c:v>
                </c:pt>
                <c:pt idx="3">
                  <c:v>1.099</c:v>
                </c:pt>
                <c:pt idx="4">
                  <c:v>0.9677</c:v>
                </c:pt>
                <c:pt idx="5">
                  <c:v>0.91720000000000002</c:v>
                </c:pt>
                <c:pt idx="6">
                  <c:v>0.81379999999999997</c:v>
                </c:pt>
                <c:pt idx="7">
                  <c:v>0.71379999999999999</c:v>
                </c:pt>
                <c:pt idx="8">
                  <c:v>0.65900000000000003</c:v>
                </c:pt>
                <c:pt idx="9">
                  <c:v>0.70669999999999999</c:v>
                </c:pt>
                <c:pt idx="10">
                  <c:v>0.88660000000000005</c:v>
                </c:pt>
                <c:pt idx="11">
                  <c:v>0.7712</c:v>
                </c:pt>
                <c:pt idx="12">
                  <c:v>0.78249999999999997</c:v>
                </c:pt>
                <c:pt idx="13">
                  <c:v>0.75070000000000003</c:v>
                </c:pt>
                <c:pt idx="14">
                  <c:v>0.67849999999999999</c:v>
                </c:pt>
                <c:pt idx="15">
                  <c:v>0.70899999999999996</c:v>
                </c:pt>
                <c:pt idx="16">
                  <c:v>0.75680000000000003</c:v>
                </c:pt>
                <c:pt idx="17">
                  <c:v>0.74650000000000005</c:v>
                </c:pt>
                <c:pt idx="18">
                  <c:v>0.76229999999999998</c:v>
                </c:pt>
                <c:pt idx="19">
                  <c:v>0.68300000000000005</c:v>
                </c:pt>
                <c:pt idx="20">
                  <c:v>0.63049999999999995</c:v>
                </c:pt>
                <c:pt idx="21">
                  <c:v>0.63729999999999998</c:v>
                </c:pt>
                <c:pt idx="22">
                  <c:v>0.55000000000000004</c:v>
                </c:pt>
                <c:pt idx="23">
                  <c:v>0.50800000000000001</c:v>
                </c:pt>
                <c:pt idx="24">
                  <c:v>0.58720000000000006</c:v>
                </c:pt>
                <c:pt idx="25">
                  <c:v>0.76419999999999999</c:v>
                </c:pt>
                <c:pt idx="26">
                  <c:v>0.7752</c:v>
                </c:pt>
                <c:pt idx="27">
                  <c:v>0.75870000000000004</c:v>
                </c:pt>
                <c:pt idx="28">
                  <c:v>0.77680000000000005</c:v>
                </c:pt>
                <c:pt idx="29">
                  <c:v>0.89610000000000001</c:v>
                </c:pt>
                <c:pt idx="30">
                  <c:v>0.6351</c:v>
                </c:pt>
                <c:pt idx="31">
                  <c:v>0.88470000000000004</c:v>
                </c:pt>
                <c:pt idx="32">
                  <c:v>0.99670000000000003</c:v>
                </c:pt>
                <c:pt idx="33">
                  <c:v>1.0616000000000001</c:v>
                </c:pt>
                <c:pt idx="34">
                  <c:v>1.0424</c:v>
                </c:pt>
              </c:numCache>
            </c:numRef>
          </c:val>
          <c:smooth val="0"/>
          <c:extLst>
            <c:ext xmlns:c16="http://schemas.microsoft.com/office/drawing/2014/chart" uri="{C3380CC4-5D6E-409C-BE32-E72D297353CC}">
              <c16:uniqueId val="{00000002-DB5C-4C93-B44B-5D36876AD43F}"/>
            </c:ext>
          </c:extLst>
        </c:ser>
        <c:dLbls>
          <c:showLegendKey val="0"/>
          <c:showVal val="0"/>
          <c:showCatName val="0"/>
          <c:showSerName val="0"/>
          <c:showPercent val="0"/>
          <c:showBubbleSize val="0"/>
        </c:dLbls>
        <c:marker val="1"/>
        <c:smooth val="0"/>
        <c:axId val="3"/>
        <c:axId val="4"/>
      </c:lineChart>
      <c:catAx>
        <c:axId val="650503791"/>
        <c:scaling>
          <c:orientation val="minMax"/>
        </c:scaling>
        <c:delete val="0"/>
        <c:axPos val="t"/>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54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axMin"/>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0503791"/>
        <c:crosses val="autoZero"/>
        <c:crossBetween val="between"/>
        <c:majorUnit val="5.000000000000001E-3"/>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0.1"/>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AUD_USD Vs Iron Ore 2006-2015</a:t>
            </a:r>
          </a:p>
        </c:rich>
      </c:tx>
      <c:overlay val="0"/>
      <c:spPr>
        <a:noFill/>
        <a:ln w="25400">
          <a:noFill/>
        </a:ln>
      </c:spPr>
    </c:title>
    <c:autoTitleDeleted val="0"/>
    <c:plotArea>
      <c:layout/>
      <c:lineChart>
        <c:grouping val="standard"/>
        <c:varyColors val="0"/>
        <c:ser>
          <c:idx val="1"/>
          <c:order val="1"/>
          <c:tx>
            <c:v>AUD_USD</c:v>
          </c:tx>
          <c:spPr>
            <a:ln w="28575" cap="rnd">
              <a:solidFill>
                <a:srgbClr val="00B050"/>
              </a:solidFill>
              <a:round/>
            </a:ln>
            <a:effectLst/>
          </c:spPr>
          <c:marker>
            <c:symbol val="none"/>
          </c:marker>
          <c:cat>
            <c:numRef>
              <c:f>TA1_IronOre!$A$2:$A$110</c:f>
              <c:numCache>
                <c:formatCode>mmm\-yyyy</c:formatCode>
                <c:ptCount val="109"/>
                <c:pt idx="0">
                  <c:v>38776</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numCache>
            </c:numRef>
          </c:cat>
          <c:val>
            <c:numRef>
              <c:f>TA1_IronOre!$B$2:$B$110</c:f>
              <c:numCache>
                <c:formatCode>General</c:formatCode>
                <c:ptCount val="109"/>
                <c:pt idx="0">
                  <c:v>0.74250000000000005</c:v>
                </c:pt>
                <c:pt idx="1">
                  <c:v>0.71630000000000005</c:v>
                </c:pt>
                <c:pt idx="2">
                  <c:v>0.75770000000000004</c:v>
                </c:pt>
                <c:pt idx="3">
                  <c:v>0.75239999999999996</c:v>
                </c:pt>
                <c:pt idx="4">
                  <c:v>0.74229999999999996</c:v>
                </c:pt>
                <c:pt idx="5">
                  <c:v>0.76619999999999999</c:v>
                </c:pt>
                <c:pt idx="6">
                  <c:v>0.76400000000000001</c:v>
                </c:pt>
                <c:pt idx="7">
                  <c:v>0.74639999999999995</c:v>
                </c:pt>
                <c:pt idx="8">
                  <c:v>0.7742</c:v>
                </c:pt>
                <c:pt idx="9">
                  <c:v>0.78849999999999998</c:v>
                </c:pt>
                <c:pt idx="10">
                  <c:v>0.7893</c:v>
                </c:pt>
                <c:pt idx="11">
                  <c:v>0.77680000000000005</c:v>
                </c:pt>
                <c:pt idx="12">
                  <c:v>0.78810000000000002</c:v>
                </c:pt>
                <c:pt idx="13">
                  <c:v>0.8085</c:v>
                </c:pt>
                <c:pt idx="14">
                  <c:v>0.83069999999999999</c:v>
                </c:pt>
                <c:pt idx="15">
                  <c:v>0.82769999999999999</c:v>
                </c:pt>
                <c:pt idx="16">
                  <c:v>0.8488</c:v>
                </c:pt>
                <c:pt idx="17">
                  <c:v>0.85099999999999998</c:v>
                </c:pt>
                <c:pt idx="18">
                  <c:v>0.81769999999999998</c:v>
                </c:pt>
                <c:pt idx="19">
                  <c:v>0.88729999999999998</c:v>
                </c:pt>
                <c:pt idx="20">
                  <c:v>0.93230000000000002</c:v>
                </c:pt>
                <c:pt idx="21">
                  <c:v>0.88419999999999999</c:v>
                </c:pt>
                <c:pt idx="22">
                  <c:v>0.87590000000000001</c:v>
                </c:pt>
                <c:pt idx="23">
                  <c:v>0.89610000000000001</c:v>
                </c:pt>
                <c:pt idx="24">
                  <c:v>0.93149999999999999</c:v>
                </c:pt>
                <c:pt idx="25">
                  <c:v>0.91269999999999996</c:v>
                </c:pt>
                <c:pt idx="26">
                  <c:v>0.9425</c:v>
                </c:pt>
                <c:pt idx="27">
                  <c:v>0.95589999999999997</c:v>
                </c:pt>
                <c:pt idx="28">
                  <c:v>0.95789999999999997</c:v>
                </c:pt>
                <c:pt idx="29">
                  <c:v>0.94179999999999997</c:v>
                </c:pt>
                <c:pt idx="30">
                  <c:v>0.85819999999999996</c:v>
                </c:pt>
                <c:pt idx="31">
                  <c:v>0.7944</c:v>
                </c:pt>
                <c:pt idx="32">
                  <c:v>0.66790000000000005</c:v>
                </c:pt>
                <c:pt idx="33">
                  <c:v>0.65510000000000002</c:v>
                </c:pt>
                <c:pt idx="34">
                  <c:v>0.70760000000000001</c:v>
                </c:pt>
                <c:pt idx="35">
                  <c:v>0.6351</c:v>
                </c:pt>
                <c:pt idx="36">
                  <c:v>0.63990000000000002</c:v>
                </c:pt>
                <c:pt idx="37">
                  <c:v>0.69220000000000004</c:v>
                </c:pt>
                <c:pt idx="38">
                  <c:v>0.72519999999999996</c:v>
                </c:pt>
                <c:pt idx="39">
                  <c:v>0.80120000000000002</c:v>
                </c:pt>
                <c:pt idx="40">
                  <c:v>0.80689999999999995</c:v>
                </c:pt>
                <c:pt idx="41">
                  <c:v>0.83540000000000003</c:v>
                </c:pt>
                <c:pt idx="42">
                  <c:v>0.84450000000000003</c:v>
                </c:pt>
                <c:pt idx="43">
                  <c:v>0.88370000000000004</c:v>
                </c:pt>
                <c:pt idx="44">
                  <c:v>0.89929999999999999</c:v>
                </c:pt>
                <c:pt idx="45">
                  <c:v>0.91510000000000002</c:v>
                </c:pt>
                <c:pt idx="46">
                  <c:v>0.89729999999999999</c:v>
                </c:pt>
                <c:pt idx="47">
                  <c:v>0.88470000000000004</c:v>
                </c:pt>
                <c:pt idx="48">
                  <c:v>0.89510000000000001</c:v>
                </c:pt>
                <c:pt idx="49">
                  <c:v>0.91669999999999996</c:v>
                </c:pt>
                <c:pt idx="50">
                  <c:v>0.92459999999999998</c:v>
                </c:pt>
                <c:pt idx="51">
                  <c:v>0.84660000000000002</c:v>
                </c:pt>
                <c:pt idx="52">
                  <c:v>0.84</c:v>
                </c:pt>
                <c:pt idx="53">
                  <c:v>0.9042</c:v>
                </c:pt>
                <c:pt idx="54">
                  <c:v>0.89090000000000003</c:v>
                </c:pt>
                <c:pt idx="55">
                  <c:v>0.96679999999999999</c:v>
                </c:pt>
                <c:pt idx="56">
                  <c:v>0.98370000000000002</c:v>
                </c:pt>
                <c:pt idx="57">
                  <c:v>0.9577</c:v>
                </c:pt>
                <c:pt idx="58">
                  <c:v>1.0217000000000001</c:v>
                </c:pt>
                <c:pt idx="59">
                  <c:v>0.99670000000000003</c:v>
                </c:pt>
                <c:pt idx="60">
                  <c:v>1.0185999999999999</c:v>
                </c:pt>
                <c:pt idx="61">
                  <c:v>1.0327999999999999</c:v>
                </c:pt>
                <c:pt idx="62">
                  <c:v>1.0967</c:v>
                </c:pt>
                <c:pt idx="63">
                  <c:v>1.0670999999999999</c:v>
                </c:pt>
                <c:pt idx="64">
                  <c:v>1.0722</c:v>
                </c:pt>
                <c:pt idx="65">
                  <c:v>1.0994999999999999</c:v>
                </c:pt>
                <c:pt idx="66">
                  <c:v>1.0702</c:v>
                </c:pt>
                <c:pt idx="67">
                  <c:v>0.96640000000000004</c:v>
                </c:pt>
                <c:pt idx="68">
                  <c:v>1.0536000000000001</c:v>
                </c:pt>
                <c:pt idx="69">
                  <c:v>1.0276000000000001</c:v>
                </c:pt>
                <c:pt idx="70">
                  <c:v>1.0227999999999999</c:v>
                </c:pt>
                <c:pt idx="71">
                  <c:v>1.0616000000000001</c:v>
                </c:pt>
                <c:pt idx="72">
                  <c:v>1.0731999999999999</c:v>
                </c:pt>
                <c:pt idx="73">
                  <c:v>1.0346</c:v>
                </c:pt>
                <c:pt idx="74">
                  <c:v>1.0426</c:v>
                </c:pt>
                <c:pt idx="75">
                  <c:v>0.97289999999999999</c:v>
                </c:pt>
                <c:pt idx="76">
                  <c:v>1.024</c:v>
                </c:pt>
                <c:pt idx="77">
                  <c:v>1.0502</c:v>
                </c:pt>
                <c:pt idx="78">
                  <c:v>1.0322</c:v>
                </c:pt>
                <c:pt idx="79">
                  <c:v>1.0378000000000001</c:v>
                </c:pt>
                <c:pt idx="80">
                  <c:v>1.0375000000000001</c:v>
                </c:pt>
                <c:pt idx="81">
                  <c:v>1.0427999999999999</c:v>
                </c:pt>
                <c:pt idx="82">
                  <c:v>1.0394000000000001</c:v>
                </c:pt>
                <c:pt idx="83">
                  <c:v>1.0424</c:v>
                </c:pt>
                <c:pt idx="84">
                  <c:v>1.0214000000000001</c:v>
                </c:pt>
                <c:pt idx="85">
                  <c:v>1.0419</c:v>
                </c:pt>
                <c:pt idx="86">
                  <c:v>1.0370999999999999</c:v>
                </c:pt>
                <c:pt idx="87">
                  <c:v>0.95730000000000004</c:v>
                </c:pt>
                <c:pt idx="88">
                  <c:v>0.91369999999999996</c:v>
                </c:pt>
                <c:pt idx="89">
                  <c:v>0.8982</c:v>
                </c:pt>
                <c:pt idx="90">
                  <c:v>0.89</c:v>
                </c:pt>
                <c:pt idx="91">
                  <c:v>0.93169999999999997</c:v>
                </c:pt>
                <c:pt idx="92">
                  <c:v>0.94589999999999996</c:v>
                </c:pt>
                <c:pt idx="93">
                  <c:v>0.91120000000000001</c:v>
                </c:pt>
                <c:pt idx="94">
                  <c:v>0.89180000000000004</c:v>
                </c:pt>
                <c:pt idx="95">
                  <c:v>0.87560000000000004</c:v>
                </c:pt>
                <c:pt idx="96">
                  <c:v>0.89290000000000003</c:v>
                </c:pt>
                <c:pt idx="97">
                  <c:v>0.9264</c:v>
                </c:pt>
                <c:pt idx="98">
                  <c:v>0.92879999999999996</c:v>
                </c:pt>
                <c:pt idx="99">
                  <c:v>0.93120000000000003</c:v>
                </c:pt>
                <c:pt idx="100">
                  <c:v>0.94320000000000004</c:v>
                </c:pt>
                <c:pt idx="101">
                  <c:v>0.92959999999999998</c:v>
                </c:pt>
                <c:pt idx="102">
                  <c:v>0.93379999999999996</c:v>
                </c:pt>
                <c:pt idx="103">
                  <c:v>0.87460000000000004</c:v>
                </c:pt>
                <c:pt idx="104">
                  <c:v>0.87980000000000003</c:v>
                </c:pt>
                <c:pt idx="105">
                  <c:v>0.85099999999999998</c:v>
                </c:pt>
                <c:pt idx="106">
                  <c:v>0.81699999999999995</c:v>
                </c:pt>
                <c:pt idx="107">
                  <c:v>0.77690000000000003</c:v>
                </c:pt>
                <c:pt idx="108">
                  <c:v>0.78120000000000001</c:v>
                </c:pt>
              </c:numCache>
            </c:numRef>
          </c:val>
          <c:smooth val="0"/>
          <c:extLst>
            <c:ext xmlns:c16="http://schemas.microsoft.com/office/drawing/2014/chart" uri="{C3380CC4-5D6E-409C-BE32-E72D297353CC}">
              <c16:uniqueId val="{00000000-5C79-4F69-9C02-5188D3D5E36E}"/>
            </c:ext>
          </c:extLst>
        </c:ser>
        <c:dLbls>
          <c:showLegendKey val="0"/>
          <c:showVal val="0"/>
          <c:showCatName val="0"/>
          <c:showSerName val="0"/>
          <c:showPercent val="0"/>
          <c:showBubbleSize val="0"/>
        </c:dLbls>
        <c:marker val="1"/>
        <c:smooth val="0"/>
        <c:axId val="657857759"/>
        <c:axId val="1"/>
      </c:lineChart>
      <c:lineChart>
        <c:grouping val="standard"/>
        <c:varyColors val="0"/>
        <c:ser>
          <c:idx val="0"/>
          <c:order val="0"/>
          <c:tx>
            <c:v>Iron Ore</c:v>
          </c:tx>
          <c:spPr>
            <a:ln w="25400">
              <a:solidFill>
                <a:srgbClr val="FF0000"/>
              </a:solidFill>
              <a:prstDash val="solid"/>
            </a:ln>
          </c:spPr>
          <c:marker>
            <c:symbol val="none"/>
          </c:marker>
          <c:cat>
            <c:numRef>
              <c:f>TA1_IronOre!$A$2:$A$110</c:f>
              <c:numCache>
                <c:formatCode>mmm\-yyyy</c:formatCode>
                <c:ptCount val="109"/>
                <c:pt idx="0">
                  <c:v>38776</c:v>
                </c:pt>
                <c:pt idx="1">
                  <c:v>38807</c:v>
                </c:pt>
                <c:pt idx="2">
                  <c:v>38837</c:v>
                </c:pt>
                <c:pt idx="3">
                  <c:v>38868</c:v>
                </c:pt>
                <c:pt idx="4">
                  <c:v>38898</c:v>
                </c:pt>
                <c:pt idx="5">
                  <c:v>38929</c:v>
                </c:pt>
                <c:pt idx="6">
                  <c:v>38960</c:v>
                </c:pt>
                <c:pt idx="7">
                  <c:v>38990</c:v>
                </c:pt>
                <c:pt idx="8">
                  <c:v>39021</c:v>
                </c:pt>
                <c:pt idx="9">
                  <c:v>39051</c:v>
                </c:pt>
                <c:pt idx="10">
                  <c:v>39082</c:v>
                </c:pt>
                <c:pt idx="11">
                  <c:v>39113</c:v>
                </c:pt>
                <c:pt idx="12">
                  <c:v>39141</c:v>
                </c:pt>
                <c:pt idx="13">
                  <c:v>39172</c:v>
                </c:pt>
                <c:pt idx="14">
                  <c:v>39202</c:v>
                </c:pt>
                <c:pt idx="15">
                  <c:v>39233</c:v>
                </c:pt>
                <c:pt idx="16">
                  <c:v>39263</c:v>
                </c:pt>
                <c:pt idx="17">
                  <c:v>39294</c:v>
                </c:pt>
                <c:pt idx="18">
                  <c:v>39325</c:v>
                </c:pt>
                <c:pt idx="19">
                  <c:v>39355</c:v>
                </c:pt>
                <c:pt idx="20">
                  <c:v>39386</c:v>
                </c:pt>
                <c:pt idx="21">
                  <c:v>39416</c:v>
                </c:pt>
                <c:pt idx="22">
                  <c:v>39447</c:v>
                </c:pt>
                <c:pt idx="23">
                  <c:v>39478</c:v>
                </c:pt>
                <c:pt idx="24">
                  <c:v>39507</c:v>
                </c:pt>
                <c:pt idx="25">
                  <c:v>39538</c:v>
                </c:pt>
                <c:pt idx="26">
                  <c:v>39568</c:v>
                </c:pt>
                <c:pt idx="27">
                  <c:v>39599</c:v>
                </c:pt>
                <c:pt idx="28">
                  <c:v>39629</c:v>
                </c:pt>
                <c:pt idx="29">
                  <c:v>39660</c:v>
                </c:pt>
                <c:pt idx="30">
                  <c:v>39691</c:v>
                </c:pt>
                <c:pt idx="31">
                  <c:v>39721</c:v>
                </c:pt>
                <c:pt idx="32">
                  <c:v>39752</c:v>
                </c:pt>
                <c:pt idx="33">
                  <c:v>39782</c:v>
                </c:pt>
                <c:pt idx="34">
                  <c:v>39813</c:v>
                </c:pt>
                <c:pt idx="35">
                  <c:v>39844</c:v>
                </c:pt>
                <c:pt idx="36">
                  <c:v>39872</c:v>
                </c:pt>
                <c:pt idx="37">
                  <c:v>39903</c:v>
                </c:pt>
                <c:pt idx="38">
                  <c:v>39933</c:v>
                </c:pt>
                <c:pt idx="39">
                  <c:v>39964</c:v>
                </c:pt>
                <c:pt idx="40">
                  <c:v>39994</c:v>
                </c:pt>
                <c:pt idx="41">
                  <c:v>40025</c:v>
                </c:pt>
                <c:pt idx="42">
                  <c:v>40056</c:v>
                </c:pt>
                <c:pt idx="43">
                  <c:v>40086</c:v>
                </c:pt>
                <c:pt idx="44">
                  <c:v>40117</c:v>
                </c:pt>
                <c:pt idx="45">
                  <c:v>40147</c:v>
                </c:pt>
                <c:pt idx="46">
                  <c:v>40178</c:v>
                </c:pt>
                <c:pt idx="47">
                  <c:v>40209</c:v>
                </c:pt>
                <c:pt idx="48">
                  <c:v>40237</c:v>
                </c:pt>
                <c:pt idx="49">
                  <c:v>40268</c:v>
                </c:pt>
                <c:pt idx="50">
                  <c:v>40298</c:v>
                </c:pt>
                <c:pt idx="51">
                  <c:v>40329</c:v>
                </c:pt>
                <c:pt idx="52">
                  <c:v>40359</c:v>
                </c:pt>
                <c:pt idx="53">
                  <c:v>40390</c:v>
                </c:pt>
                <c:pt idx="54">
                  <c:v>40421</c:v>
                </c:pt>
                <c:pt idx="55">
                  <c:v>40451</c:v>
                </c:pt>
                <c:pt idx="56">
                  <c:v>40482</c:v>
                </c:pt>
                <c:pt idx="57">
                  <c:v>40512</c:v>
                </c:pt>
                <c:pt idx="58">
                  <c:v>40543</c:v>
                </c:pt>
                <c:pt idx="59">
                  <c:v>40574</c:v>
                </c:pt>
                <c:pt idx="60">
                  <c:v>40602</c:v>
                </c:pt>
                <c:pt idx="61">
                  <c:v>40633</c:v>
                </c:pt>
                <c:pt idx="62">
                  <c:v>40663</c:v>
                </c:pt>
                <c:pt idx="63">
                  <c:v>40694</c:v>
                </c:pt>
                <c:pt idx="64">
                  <c:v>40724</c:v>
                </c:pt>
                <c:pt idx="65">
                  <c:v>40755</c:v>
                </c:pt>
                <c:pt idx="66">
                  <c:v>40786</c:v>
                </c:pt>
                <c:pt idx="67">
                  <c:v>40816</c:v>
                </c:pt>
                <c:pt idx="68">
                  <c:v>40847</c:v>
                </c:pt>
                <c:pt idx="69">
                  <c:v>40877</c:v>
                </c:pt>
                <c:pt idx="70">
                  <c:v>40908</c:v>
                </c:pt>
                <c:pt idx="71">
                  <c:v>40939</c:v>
                </c:pt>
                <c:pt idx="72">
                  <c:v>40968</c:v>
                </c:pt>
                <c:pt idx="73">
                  <c:v>40999</c:v>
                </c:pt>
                <c:pt idx="74">
                  <c:v>41029</c:v>
                </c:pt>
                <c:pt idx="75">
                  <c:v>41060</c:v>
                </c:pt>
                <c:pt idx="76">
                  <c:v>41090</c:v>
                </c:pt>
                <c:pt idx="77">
                  <c:v>41121</c:v>
                </c:pt>
                <c:pt idx="78">
                  <c:v>41152</c:v>
                </c:pt>
                <c:pt idx="79">
                  <c:v>41182</c:v>
                </c:pt>
                <c:pt idx="80">
                  <c:v>41213</c:v>
                </c:pt>
                <c:pt idx="81">
                  <c:v>41243</c:v>
                </c:pt>
                <c:pt idx="82">
                  <c:v>41274</c:v>
                </c:pt>
                <c:pt idx="83">
                  <c:v>41305</c:v>
                </c:pt>
                <c:pt idx="84">
                  <c:v>41333</c:v>
                </c:pt>
                <c:pt idx="85">
                  <c:v>41364</c:v>
                </c:pt>
                <c:pt idx="86">
                  <c:v>41394</c:v>
                </c:pt>
                <c:pt idx="87">
                  <c:v>41425</c:v>
                </c:pt>
                <c:pt idx="88">
                  <c:v>41455</c:v>
                </c:pt>
                <c:pt idx="89">
                  <c:v>41486</c:v>
                </c:pt>
                <c:pt idx="90">
                  <c:v>41517</c:v>
                </c:pt>
                <c:pt idx="91">
                  <c:v>41547</c:v>
                </c:pt>
                <c:pt idx="92">
                  <c:v>41578</c:v>
                </c:pt>
                <c:pt idx="93">
                  <c:v>41608</c:v>
                </c:pt>
                <c:pt idx="94">
                  <c:v>41639</c:v>
                </c:pt>
                <c:pt idx="95">
                  <c:v>41670</c:v>
                </c:pt>
                <c:pt idx="96">
                  <c:v>41698</c:v>
                </c:pt>
                <c:pt idx="97">
                  <c:v>41729</c:v>
                </c:pt>
                <c:pt idx="98">
                  <c:v>41759</c:v>
                </c:pt>
                <c:pt idx="99">
                  <c:v>41790</c:v>
                </c:pt>
                <c:pt idx="100">
                  <c:v>41820</c:v>
                </c:pt>
                <c:pt idx="101">
                  <c:v>41851</c:v>
                </c:pt>
                <c:pt idx="102">
                  <c:v>41882</c:v>
                </c:pt>
                <c:pt idx="103">
                  <c:v>41912</c:v>
                </c:pt>
                <c:pt idx="104">
                  <c:v>41943</c:v>
                </c:pt>
                <c:pt idx="105">
                  <c:v>41973</c:v>
                </c:pt>
                <c:pt idx="106">
                  <c:v>42004</c:v>
                </c:pt>
                <c:pt idx="107">
                  <c:v>42035</c:v>
                </c:pt>
                <c:pt idx="108">
                  <c:v>42063</c:v>
                </c:pt>
              </c:numCache>
            </c:numRef>
          </c:cat>
          <c:val>
            <c:numRef>
              <c:f>TA1_IronOre!$E$2:$E$468</c:f>
              <c:numCache>
                <c:formatCode>General</c:formatCode>
                <c:ptCount val="467"/>
                <c:pt idx="0">
                  <c:v>0.67200000000000004</c:v>
                </c:pt>
                <c:pt idx="1">
                  <c:v>0.65200000000000002</c:v>
                </c:pt>
                <c:pt idx="2">
                  <c:v>0.66700000000000004</c:v>
                </c:pt>
                <c:pt idx="3">
                  <c:v>0.67299999999999993</c:v>
                </c:pt>
                <c:pt idx="4">
                  <c:v>0.67299999999999993</c:v>
                </c:pt>
                <c:pt idx="5">
                  <c:v>0.69299999999999995</c:v>
                </c:pt>
                <c:pt idx="6">
                  <c:v>0.70499999999999996</c:v>
                </c:pt>
                <c:pt idx="7">
                  <c:v>0.69799999999999995</c:v>
                </c:pt>
                <c:pt idx="8">
                  <c:v>0.7</c:v>
                </c:pt>
                <c:pt idx="9">
                  <c:v>0.71700000000000008</c:v>
                </c:pt>
                <c:pt idx="10">
                  <c:v>0.73499999999999999</c:v>
                </c:pt>
                <c:pt idx="11">
                  <c:v>0.73499999999999999</c:v>
                </c:pt>
                <c:pt idx="12">
                  <c:v>0.78200000000000003</c:v>
                </c:pt>
                <c:pt idx="13">
                  <c:v>0.8266</c:v>
                </c:pt>
                <c:pt idx="14">
                  <c:v>0.88549999999999995</c:v>
                </c:pt>
                <c:pt idx="15">
                  <c:v>0.91260000000000008</c:v>
                </c:pt>
                <c:pt idx="16">
                  <c:v>1.0202</c:v>
                </c:pt>
                <c:pt idx="17">
                  <c:v>1.0321</c:v>
                </c:pt>
                <c:pt idx="18">
                  <c:v>1.0609</c:v>
                </c:pt>
                <c:pt idx="19">
                  <c:v>1.2189000000000001</c:v>
                </c:pt>
                <c:pt idx="20">
                  <c:v>1.4865000000000002</c:v>
                </c:pt>
                <c:pt idx="21">
                  <c:v>1.6811</c:v>
                </c:pt>
                <c:pt idx="22">
                  <c:v>1.9509000000000001</c:v>
                </c:pt>
                <c:pt idx="23">
                  <c:v>1.9012</c:v>
                </c:pt>
                <c:pt idx="24">
                  <c:v>1.9337</c:v>
                </c:pt>
                <c:pt idx="25">
                  <c:v>1.8612</c:v>
                </c:pt>
                <c:pt idx="26">
                  <c:v>1.9712000000000001</c:v>
                </c:pt>
                <c:pt idx="27">
                  <c:v>1.9594999999999998</c:v>
                </c:pt>
                <c:pt idx="28">
                  <c:v>1.9295</c:v>
                </c:pt>
                <c:pt idx="29">
                  <c:v>1.8393000000000002</c:v>
                </c:pt>
                <c:pt idx="30">
                  <c:v>1.8049999999999999</c:v>
                </c:pt>
                <c:pt idx="31">
                  <c:v>1.7874000000000001</c:v>
                </c:pt>
                <c:pt idx="32">
                  <c:v>1.3963999999999999</c:v>
                </c:pt>
                <c:pt idx="33">
                  <c:v>0.88670000000000004</c:v>
                </c:pt>
                <c:pt idx="34">
                  <c:v>0.64950000000000008</c:v>
                </c:pt>
                <c:pt idx="35">
                  <c:v>0.69980000000000009</c:v>
                </c:pt>
                <c:pt idx="36">
                  <c:v>0.72510000000000008</c:v>
                </c:pt>
                <c:pt idx="37">
                  <c:v>0.75590000000000002</c:v>
                </c:pt>
                <c:pt idx="38">
                  <c:v>0.64069999999999994</c:v>
                </c:pt>
                <c:pt idx="39">
                  <c:v>0.5978</c:v>
                </c:pt>
                <c:pt idx="40">
                  <c:v>0.62690000000000001</c:v>
                </c:pt>
                <c:pt idx="41">
                  <c:v>0.71660000000000001</c:v>
                </c:pt>
                <c:pt idx="42">
                  <c:v>0.83950000000000002</c:v>
                </c:pt>
                <c:pt idx="43">
                  <c:v>0.97670000000000001</c:v>
                </c:pt>
                <c:pt idx="44">
                  <c:v>0.80709999999999993</c:v>
                </c:pt>
                <c:pt idx="45">
                  <c:v>0.86790000000000012</c:v>
                </c:pt>
                <c:pt idx="46">
                  <c:v>0.99260000000000004</c:v>
                </c:pt>
                <c:pt idx="47">
                  <c:v>1.0507</c:v>
                </c:pt>
                <c:pt idx="48">
                  <c:v>1.2572000000000001</c:v>
                </c:pt>
                <c:pt idx="49">
                  <c:v>1.2748999999999999</c:v>
                </c:pt>
                <c:pt idx="50">
                  <c:v>1.3969</c:v>
                </c:pt>
                <c:pt idx="51">
                  <c:v>1.7246999999999999</c:v>
                </c:pt>
                <c:pt idx="52">
                  <c:v>1.6134999999999999</c:v>
                </c:pt>
                <c:pt idx="53">
                  <c:v>1.4362999999999999</c:v>
                </c:pt>
                <c:pt idx="54">
                  <c:v>1.2636000000000001</c:v>
                </c:pt>
                <c:pt idx="55">
                  <c:v>1.4534</c:v>
                </c:pt>
                <c:pt idx="56">
                  <c:v>1.4062727000000002</c:v>
                </c:pt>
                <c:pt idx="57">
                  <c:v>1.4848095000000001</c:v>
                </c:pt>
                <c:pt idx="58">
                  <c:v>1.5609999999999999</c:v>
                </c:pt>
                <c:pt idx="59">
                  <c:v>1.631</c:v>
                </c:pt>
                <c:pt idx="60">
                  <c:v>1.7918000000000001</c:v>
                </c:pt>
                <c:pt idx="61">
                  <c:v>1.8718000000000001</c:v>
                </c:pt>
                <c:pt idx="62">
                  <c:v>1.6936000000000002</c:v>
                </c:pt>
                <c:pt idx="63">
                  <c:v>1.7933000000000001</c:v>
                </c:pt>
                <c:pt idx="64">
                  <c:v>1.7705000000000002</c:v>
                </c:pt>
                <c:pt idx="65">
                  <c:v>1.7087999999999999</c:v>
                </c:pt>
                <c:pt idx="66">
                  <c:v>1.7298</c:v>
                </c:pt>
                <c:pt idx="67">
                  <c:v>1.7749999999999999</c:v>
                </c:pt>
                <c:pt idx="68">
                  <c:v>1.7723</c:v>
                </c:pt>
                <c:pt idx="69">
                  <c:v>1.5043</c:v>
                </c:pt>
                <c:pt idx="70">
                  <c:v>1.3553999999999999</c:v>
                </c:pt>
                <c:pt idx="71">
                  <c:v>1.3638999999999999</c:v>
                </c:pt>
                <c:pt idx="72">
                  <c:v>1.4025999999999998</c:v>
                </c:pt>
                <c:pt idx="73">
                  <c:v>1.4040000000000001</c:v>
                </c:pt>
                <c:pt idx="74">
                  <c:v>1.4465999999999999</c:v>
                </c:pt>
                <c:pt idx="75">
                  <c:v>1.4763999999999999</c:v>
                </c:pt>
                <c:pt idx="76">
                  <c:v>1.3661000000000001</c:v>
                </c:pt>
                <c:pt idx="77">
                  <c:v>1.3466</c:v>
                </c:pt>
                <c:pt idx="78">
                  <c:v>1.2793999999999999</c:v>
                </c:pt>
                <c:pt idx="79">
                  <c:v>1.075</c:v>
                </c:pt>
                <c:pt idx="80">
                  <c:v>0.99470000000000003</c:v>
                </c:pt>
                <c:pt idx="81">
                  <c:v>1.1395</c:v>
                </c:pt>
                <c:pt idx="82">
                  <c:v>1.2035</c:v>
                </c:pt>
                <c:pt idx="83">
                  <c:v>1.2851111</c:v>
                </c:pt>
                <c:pt idx="84">
                  <c:v>1.5049091000000001</c:v>
                </c:pt>
                <c:pt idx="85">
                  <c:v>1.5463889</c:v>
                </c:pt>
                <c:pt idx="86">
                  <c:v>1.3987000000000001</c:v>
                </c:pt>
                <c:pt idx="87">
                  <c:v>1.3739090999999999</c:v>
                </c:pt>
                <c:pt idx="88">
                  <c:v>1.2400951999999998</c:v>
                </c:pt>
                <c:pt idx="89">
                  <c:v>1.14815</c:v>
                </c:pt>
                <c:pt idx="90">
                  <c:v>1.2719130000000001</c:v>
                </c:pt>
                <c:pt idx="91">
                  <c:v>1.3705500000000002</c:v>
                </c:pt>
                <c:pt idx="92">
                  <c:v>1.3418570999999999</c:v>
                </c:pt>
                <c:pt idx="93">
                  <c:v>1.3257273000000001</c:v>
                </c:pt>
                <c:pt idx="94">
                  <c:v>1.3632381</c:v>
                </c:pt>
                <c:pt idx="95">
                  <c:v>1.3579048</c:v>
                </c:pt>
                <c:pt idx="96">
                  <c:v>1.2811900000000001</c:v>
                </c:pt>
                <c:pt idx="97">
                  <c:v>1.2137</c:v>
                </c:pt>
                <c:pt idx="98">
                  <c:v>1.11833</c:v>
                </c:pt>
                <c:pt idx="99">
                  <c:v>1.14581</c:v>
                </c:pt>
                <c:pt idx="100">
                  <c:v>1.0056</c:v>
                </c:pt>
                <c:pt idx="101">
                  <c:v>0.92742999999999998</c:v>
                </c:pt>
                <c:pt idx="102">
                  <c:v>0.96050000000000002</c:v>
                </c:pt>
                <c:pt idx="103">
                  <c:v>0.92614000000000007</c:v>
                </c:pt>
                <c:pt idx="104">
                  <c:v>0.8237954999999999</c:v>
                </c:pt>
                <c:pt idx="105">
                  <c:v>0.81</c:v>
                </c:pt>
                <c:pt idx="106">
                  <c:v>0.74</c:v>
                </c:pt>
                <c:pt idx="107">
                  <c:v>0.68</c:v>
                </c:pt>
                <c:pt idx="108">
                  <c:v>0.68</c:v>
                </c:pt>
              </c:numCache>
            </c:numRef>
          </c:val>
          <c:smooth val="0"/>
          <c:extLst>
            <c:ext xmlns:c16="http://schemas.microsoft.com/office/drawing/2014/chart" uri="{C3380CC4-5D6E-409C-BE32-E72D297353CC}">
              <c16:uniqueId val="{00000001-5C79-4F69-9C02-5188D3D5E36E}"/>
            </c:ext>
          </c:extLst>
        </c:ser>
        <c:dLbls>
          <c:showLegendKey val="0"/>
          <c:showVal val="0"/>
          <c:showCatName val="0"/>
          <c:showSerName val="0"/>
          <c:showPercent val="0"/>
          <c:showBubbleSize val="0"/>
        </c:dLbls>
        <c:marker val="1"/>
        <c:smooth val="0"/>
        <c:axId val="3"/>
        <c:axId val="4"/>
      </c:lineChart>
      <c:dateAx>
        <c:axId val="657857759"/>
        <c:scaling>
          <c:orientation val="minMax"/>
        </c:scaling>
        <c:delete val="0"/>
        <c:axPos val="b"/>
        <c:numFmt formatCode="mmm\-yy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Offset val="100"/>
        <c:baseTimeUnit val="months"/>
      </c:dateAx>
      <c:valAx>
        <c:axId val="1"/>
        <c:scaling>
          <c:orientation val="minMax"/>
          <c:max val="1.3"/>
          <c:min val="0.54"/>
        </c:scaling>
        <c:delete val="0"/>
        <c:axPos val="l"/>
        <c:majorGridlines>
          <c:spPr>
            <a:ln w="9525" cap="flat" cmpd="sng" algn="ctr">
              <a:solidFill>
                <a:schemeClr val="bg1">
                  <a:lumMod val="50000"/>
                </a:schemeClr>
              </a:solidFill>
              <a:prstDash val="dashDot"/>
              <a:round/>
            </a:ln>
            <a:effectLst/>
          </c:spPr>
        </c:majorGridlines>
        <c:numFmt formatCode="#,##0.00" sourceLinked="0"/>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57759"/>
        <c:crosses val="autoZero"/>
        <c:crossBetween val="between"/>
        <c:majorUnit val="2.0000000000000004E-2"/>
      </c:valAx>
      <c:dateAx>
        <c:axId val="3"/>
        <c:scaling>
          <c:orientation val="minMax"/>
        </c:scaling>
        <c:delete val="1"/>
        <c:axPos val="b"/>
        <c:numFmt formatCode="mmm\-yyyy" sourceLinked="1"/>
        <c:majorTickMark val="out"/>
        <c:minorTickMark val="none"/>
        <c:tickLblPos val="nextTo"/>
        <c:crossAx val="4"/>
        <c:crosses val="autoZero"/>
        <c:auto val="1"/>
        <c:lblOffset val="100"/>
        <c:baseTimeUnit val="months"/>
      </c:dateAx>
      <c:valAx>
        <c:axId val="4"/>
        <c:scaling>
          <c:orientation val="minMax"/>
          <c:max val="2.2999999999999998"/>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3"/>
        <c:crosses val="max"/>
        <c:crossBetween val="between"/>
        <c:majorUnit val="5.000000000000001E-2"/>
      </c:valAx>
      <c:spPr>
        <a:noFill/>
        <a:ln w="25400">
          <a:noFill/>
        </a:ln>
      </c:spPr>
    </c:plotArea>
    <c:plotVisOnly val="1"/>
    <c:dispBlanksAs val="gap"/>
    <c:showDLblsOverMax val="0"/>
  </c:chart>
  <c:spPr>
    <a:solidFill>
      <a:schemeClr val="tx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Iron Ore Monthly % Distribution</a:t>
            </a:r>
          </a:p>
        </c:rich>
      </c:tx>
      <c:overlay val="0"/>
      <c:spPr>
        <a:noFill/>
        <a:ln w="25400">
          <a:noFill/>
        </a:ln>
      </c:spPr>
    </c:title>
    <c:autoTitleDeleted val="0"/>
    <c:plotArea>
      <c:layout/>
      <c:barChart>
        <c:barDir val="col"/>
        <c:grouping val="clustered"/>
        <c:varyColors val="0"/>
        <c:ser>
          <c:idx val="0"/>
          <c:order val="0"/>
          <c:spPr>
            <a:solidFill>
              <a:srgbClr val="4F81BD"/>
            </a:solidFill>
            <a:ln w="25400">
              <a:noFill/>
            </a:ln>
          </c:spPr>
          <c:invertIfNegative val="0"/>
          <c:cat>
            <c:strRef>
              <c:f>TA1_IronOre_SD!$I$13:$I$22</c:f>
              <c:strCache>
                <c:ptCount val="10"/>
                <c:pt idx="0">
                  <c:v>Less than -20%</c:v>
                </c:pt>
                <c:pt idx="1">
                  <c:v>-15% to -20%</c:v>
                </c:pt>
                <c:pt idx="2">
                  <c:v>-10% to -15%</c:v>
                </c:pt>
                <c:pt idx="3">
                  <c:v>-5% to -10%</c:v>
                </c:pt>
                <c:pt idx="4">
                  <c:v>0% to -5%</c:v>
                </c:pt>
                <c:pt idx="5">
                  <c:v>0% to 5%</c:v>
                </c:pt>
                <c:pt idx="6">
                  <c:v>5% to 10%</c:v>
                </c:pt>
                <c:pt idx="7">
                  <c:v>10% to 15%</c:v>
                </c:pt>
                <c:pt idx="8">
                  <c:v>15% to 20%</c:v>
                </c:pt>
                <c:pt idx="9">
                  <c:v>More than 20%</c:v>
                </c:pt>
              </c:strCache>
            </c:strRef>
          </c:cat>
          <c:val>
            <c:numRef>
              <c:f>TA1_IronOre_SD!$H$13:$H$22</c:f>
              <c:numCache>
                <c:formatCode>General</c:formatCode>
                <c:ptCount val="10"/>
                <c:pt idx="0">
                  <c:v>3</c:v>
                </c:pt>
                <c:pt idx="1">
                  <c:v>4</c:v>
                </c:pt>
                <c:pt idx="2">
                  <c:v>4</c:v>
                </c:pt>
                <c:pt idx="3">
                  <c:v>16</c:v>
                </c:pt>
                <c:pt idx="4">
                  <c:v>24</c:v>
                </c:pt>
                <c:pt idx="5">
                  <c:v>28</c:v>
                </c:pt>
                <c:pt idx="6">
                  <c:v>15</c:v>
                </c:pt>
                <c:pt idx="7">
                  <c:v>7</c:v>
                </c:pt>
                <c:pt idx="8">
                  <c:v>6</c:v>
                </c:pt>
                <c:pt idx="9">
                  <c:v>2</c:v>
                </c:pt>
              </c:numCache>
            </c:numRef>
          </c:val>
          <c:extLst>
            <c:ext xmlns:c16="http://schemas.microsoft.com/office/drawing/2014/chart" uri="{C3380CC4-5D6E-409C-BE32-E72D297353CC}">
              <c16:uniqueId val="{00000000-A1E1-4214-966E-093879675664}"/>
            </c:ext>
          </c:extLst>
        </c:ser>
        <c:dLbls>
          <c:showLegendKey val="0"/>
          <c:showVal val="0"/>
          <c:showCatName val="0"/>
          <c:showSerName val="0"/>
          <c:showPercent val="0"/>
          <c:showBubbleSize val="0"/>
        </c:dLbls>
        <c:gapWidth val="219"/>
        <c:overlap val="-27"/>
        <c:axId val="657861119"/>
        <c:axId val="1"/>
      </c:barChart>
      <c:catAx>
        <c:axId val="65786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7861119"/>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AUD_USD Vs China Coal Consumption 1972-2015</a:t>
            </a:r>
          </a:p>
        </c:rich>
      </c:tx>
      <c:layout>
        <c:manualLayout>
          <c:xMode val="edge"/>
          <c:yMode val="edge"/>
          <c:x val="0.27954939155332859"/>
          <c:y val="1.2130491264349532E-2"/>
        </c:manualLayout>
      </c:layout>
      <c:overlay val="0"/>
      <c:spPr>
        <a:noFill/>
        <a:ln w="25400">
          <a:noFill/>
        </a:ln>
      </c:spPr>
    </c:title>
    <c:autoTitleDeleted val="0"/>
    <c:plotArea>
      <c:layout/>
      <c:lineChart>
        <c:grouping val="standard"/>
        <c:varyColors val="0"/>
        <c:ser>
          <c:idx val="1"/>
          <c:order val="0"/>
          <c:tx>
            <c:strRef>
              <c:f>TA2_Coal_China!$C$1</c:f>
              <c:strCache>
                <c:ptCount val="1"/>
                <c:pt idx="0">
                  <c:v>%</c:v>
                </c:pt>
              </c:strCache>
            </c:strRef>
          </c:tx>
          <c:spPr>
            <a:ln w="28575" cap="rnd">
              <a:solidFill>
                <a:srgbClr val="00B050"/>
              </a:solidFill>
              <a:round/>
            </a:ln>
            <a:effectLst/>
          </c:spPr>
          <c:marker>
            <c:symbol val="none"/>
          </c:marker>
          <c:cat>
            <c:strRef>
              <c:f>TA2_Coal_China!$A$2:$A$44</c:f>
              <c:strCache>
                <c:ptCount val="43"/>
                <c:pt idx="0">
                  <c:v>Jan 01, 1973</c:v>
                </c:pt>
                <c:pt idx="1">
                  <c:v>Jan 01, 1974</c:v>
                </c:pt>
                <c:pt idx="2">
                  <c:v>Jan 01, 1975</c:v>
                </c:pt>
                <c:pt idx="3">
                  <c:v>Jan 01, 1976</c:v>
                </c:pt>
                <c:pt idx="4">
                  <c:v>Jan 01, 1977</c:v>
                </c:pt>
                <c:pt idx="5">
                  <c:v>Jan 01, 1978</c:v>
                </c:pt>
                <c:pt idx="6">
                  <c:v>Jan 01, 1979</c:v>
                </c:pt>
                <c:pt idx="7">
                  <c:v>Jan 01, 1980</c:v>
                </c:pt>
                <c:pt idx="8">
                  <c:v>Jan 01, 1981</c:v>
                </c:pt>
                <c:pt idx="9">
                  <c:v>Jan 01, 1982</c:v>
                </c:pt>
                <c:pt idx="10">
                  <c:v>Jan 01, 1983</c:v>
                </c:pt>
                <c:pt idx="11">
                  <c:v>Jan 01, 1984</c:v>
                </c:pt>
                <c:pt idx="12">
                  <c:v>Jan 01, 1985</c:v>
                </c:pt>
                <c:pt idx="13">
                  <c:v>Jan 01, 1986</c:v>
                </c:pt>
                <c:pt idx="14">
                  <c:v>Jan 01, 1987</c:v>
                </c:pt>
                <c:pt idx="15">
                  <c:v>Jan 01, 1988</c:v>
                </c:pt>
                <c:pt idx="16">
                  <c:v>Jan 01, 1989</c:v>
                </c:pt>
                <c:pt idx="17">
                  <c:v>Jan 01, 1990</c:v>
                </c:pt>
                <c:pt idx="18">
                  <c:v>Jan 01, 1991</c:v>
                </c:pt>
                <c:pt idx="19">
                  <c:v>Jan 01, 1992</c:v>
                </c:pt>
                <c:pt idx="20">
                  <c:v>Jan 01, 1993</c:v>
                </c:pt>
                <c:pt idx="21">
                  <c:v>Jan 01, 1994</c:v>
                </c:pt>
                <c:pt idx="22">
                  <c:v>Jan 01, 1995</c:v>
                </c:pt>
                <c:pt idx="23">
                  <c:v>Jan 01, 1996</c:v>
                </c:pt>
                <c:pt idx="24">
                  <c:v>Jan 01, 1997</c:v>
                </c:pt>
                <c:pt idx="25">
                  <c:v>Jan 01, 1998</c:v>
                </c:pt>
                <c:pt idx="26">
                  <c:v>Jan 01, 1999</c:v>
                </c:pt>
                <c:pt idx="27">
                  <c:v>Jan 01, 2000</c:v>
                </c:pt>
                <c:pt idx="28">
                  <c:v>Jan 01, 2001</c:v>
                </c:pt>
                <c:pt idx="29">
                  <c:v>Jan 01, 2002</c:v>
                </c:pt>
                <c:pt idx="30">
                  <c:v>Jan 01, 2003</c:v>
                </c:pt>
                <c:pt idx="31">
                  <c:v>Jan 01, 2004</c:v>
                </c:pt>
                <c:pt idx="32">
                  <c:v>Jan 01, 2005</c:v>
                </c:pt>
                <c:pt idx="33">
                  <c:v>Jan 01, 2006</c:v>
                </c:pt>
                <c:pt idx="34">
                  <c:v>Jan 01, 2007</c:v>
                </c:pt>
                <c:pt idx="35">
                  <c:v>Jan 01, 2008</c:v>
                </c:pt>
                <c:pt idx="36">
                  <c:v>Jan 01, 2009</c:v>
                </c:pt>
                <c:pt idx="37">
                  <c:v>Jan 01, 2010</c:v>
                </c:pt>
                <c:pt idx="38">
                  <c:v>Jan 01, 2011</c:v>
                </c:pt>
                <c:pt idx="39">
                  <c:v>Jan 01, 2012</c:v>
                </c:pt>
                <c:pt idx="40">
                  <c:v>Jan 01, 2013</c:v>
                </c:pt>
                <c:pt idx="41">
                  <c:v>Jan 01, 2014</c:v>
                </c:pt>
                <c:pt idx="42">
                  <c:v>Jan 01, 2015</c:v>
                </c:pt>
              </c:strCache>
            </c:strRef>
          </c:cat>
          <c:val>
            <c:numRef>
              <c:f>TA2_Coal_China!$C$2:$C$44</c:f>
              <c:numCache>
                <c:formatCode>0.00%</c:formatCode>
                <c:ptCount val="43"/>
                <c:pt idx="0">
                  <c:v>-1.6999999999999999E-3</c:v>
                </c:pt>
                <c:pt idx="1">
                  <c:v>1.6999999999999999E-3</c:v>
                </c:pt>
                <c:pt idx="2">
                  <c:v>1.04E-2</c:v>
                </c:pt>
                <c:pt idx="3">
                  <c:v>1.2999999999999999E-3</c:v>
                </c:pt>
                <c:pt idx="4">
                  <c:v>-2.9999999999999997E-4</c:v>
                </c:pt>
                <c:pt idx="5">
                  <c:v>-2.8E-3</c:v>
                </c:pt>
                <c:pt idx="6">
                  <c:v>-1.5100000000000001E-2</c:v>
                </c:pt>
                <c:pt idx="7">
                  <c:v>5.0000000000000001E-4</c:v>
                </c:pt>
                <c:pt idx="8">
                  <c:v>-1.0800000000000001E-2</c:v>
                </c:pt>
                <c:pt idx="9">
                  <c:v>-2.5399999999999999E-2</c:v>
                </c:pt>
                <c:pt idx="10">
                  <c:v>-1.26E-2</c:v>
                </c:pt>
                <c:pt idx="11">
                  <c:v>2.3099999999999999E-2</c:v>
                </c:pt>
                <c:pt idx="12">
                  <c:v>-1.3599999999999999E-2</c:v>
                </c:pt>
                <c:pt idx="13">
                  <c:v>4.6899999999999997E-2</c:v>
                </c:pt>
                <c:pt idx="14">
                  <c:v>-9.4999999999999998E-3</c:v>
                </c:pt>
                <c:pt idx="15">
                  <c:v>-2.1299999999999999E-2</c:v>
                </c:pt>
                <c:pt idx="16">
                  <c:v>3.8899999999999997E-2</c:v>
                </c:pt>
                <c:pt idx="17">
                  <c:v>-2.1899999999999999E-2</c:v>
                </c:pt>
                <c:pt idx="18">
                  <c:v>1.23E-2</c:v>
                </c:pt>
                <c:pt idx="19">
                  <c:v>-1.17E-2</c:v>
                </c:pt>
                <c:pt idx="20">
                  <c:v>-1.6E-2</c:v>
                </c:pt>
                <c:pt idx="21">
                  <c:v>4.3700000000000003E-2</c:v>
                </c:pt>
                <c:pt idx="22">
                  <c:v>-2.4500000000000001E-2</c:v>
                </c:pt>
                <c:pt idx="23">
                  <c:v>3.2000000000000002E-3</c:v>
                </c:pt>
                <c:pt idx="24">
                  <c:v>-4.1000000000000002E-2</c:v>
                </c:pt>
                <c:pt idx="25">
                  <c:v>4.8000000000000001E-2</c:v>
                </c:pt>
                <c:pt idx="26">
                  <c:v>3.09E-2</c:v>
                </c:pt>
                <c:pt idx="27">
                  <c:v>-3.0700000000000002E-2</c:v>
                </c:pt>
                <c:pt idx="28">
                  <c:v>-1.61E-2</c:v>
                </c:pt>
                <c:pt idx="29">
                  <c:v>-2E-3</c:v>
                </c:pt>
                <c:pt idx="30">
                  <c:v>4.5999999999999999E-2</c:v>
                </c:pt>
                <c:pt idx="31">
                  <c:v>1.54E-2</c:v>
                </c:pt>
                <c:pt idx="32">
                  <c:v>-8.8999999999999999E-3</c:v>
                </c:pt>
                <c:pt idx="33">
                  <c:v>3.4200000000000001E-2</c:v>
                </c:pt>
                <c:pt idx="34">
                  <c:v>-1.5800000000000002E-2</c:v>
                </c:pt>
                <c:pt idx="35">
                  <c:v>2.3099999999999999E-2</c:v>
                </c:pt>
                <c:pt idx="36">
                  <c:v>-0.10249999999999999</c:v>
                </c:pt>
                <c:pt idx="37">
                  <c:v>-1.4E-2</c:v>
                </c:pt>
                <c:pt idx="38">
                  <c:v>-2.4500000000000001E-2</c:v>
                </c:pt>
                <c:pt idx="39">
                  <c:v>3.7900000000000003E-2</c:v>
                </c:pt>
                <c:pt idx="40">
                  <c:v>3.0000000000000001E-3</c:v>
                </c:pt>
                <c:pt idx="41">
                  <c:v>-1.8200000000000001E-2</c:v>
                </c:pt>
                <c:pt idx="42">
                  <c:v>-4.9099999999999998E-2</c:v>
                </c:pt>
              </c:numCache>
            </c:numRef>
          </c:val>
          <c:smooth val="0"/>
          <c:extLst>
            <c:ext xmlns:c16="http://schemas.microsoft.com/office/drawing/2014/chart" uri="{C3380CC4-5D6E-409C-BE32-E72D297353CC}">
              <c16:uniqueId val="{00000000-5BF2-4047-9604-F9A5332B1968}"/>
            </c:ext>
          </c:extLst>
        </c:ser>
        <c:ser>
          <c:idx val="4"/>
          <c:order val="1"/>
          <c:tx>
            <c:strRef>
              <c:f>TA2_Coal_China!$E$1</c:f>
              <c:strCache>
                <c:ptCount val="1"/>
                <c:pt idx="0">
                  <c:v>Coal % </c:v>
                </c:pt>
              </c:strCache>
            </c:strRef>
          </c:tx>
          <c:spPr>
            <a:ln w="25400">
              <a:solidFill>
                <a:srgbClr val="FF0000"/>
              </a:solidFill>
              <a:prstDash val="solid"/>
            </a:ln>
          </c:spPr>
          <c:marker>
            <c:symbol val="none"/>
          </c:marker>
          <c:cat>
            <c:strRef>
              <c:f>TA2_Coal_China!$A$2:$A$44</c:f>
              <c:strCache>
                <c:ptCount val="43"/>
                <c:pt idx="0">
                  <c:v>Jan 01, 1973</c:v>
                </c:pt>
                <c:pt idx="1">
                  <c:v>Jan 01, 1974</c:v>
                </c:pt>
                <c:pt idx="2">
                  <c:v>Jan 01, 1975</c:v>
                </c:pt>
                <c:pt idx="3">
                  <c:v>Jan 01, 1976</c:v>
                </c:pt>
                <c:pt idx="4">
                  <c:v>Jan 01, 1977</c:v>
                </c:pt>
                <c:pt idx="5">
                  <c:v>Jan 01, 1978</c:v>
                </c:pt>
                <c:pt idx="6">
                  <c:v>Jan 01, 1979</c:v>
                </c:pt>
                <c:pt idx="7">
                  <c:v>Jan 01, 1980</c:v>
                </c:pt>
                <c:pt idx="8">
                  <c:v>Jan 01, 1981</c:v>
                </c:pt>
                <c:pt idx="9">
                  <c:v>Jan 01, 1982</c:v>
                </c:pt>
                <c:pt idx="10">
                  <c:v>Jan 01, 1983</c:v>
                </c:pt>
                <c:pt idx="11">
                  <c:v>Jan 01, 1984</c:v>
                </c:pt>
                <c:pt idx="12">
                  <c:v>Jan 01, 1985</c:v>
                </c:pt>
                <c:pt idx="13">
                  <c:v>Jan 01, 1986</c:v>
                </c:pt>
                <c:pt idx="14">
                  <c:v>Jan 01, 1987</c:v>
                </c:pt>
                <c:pt idx="15">
                  <c:v>Jan 01, 1988</c:v>
                </c:pt>
                <c:pt idx="16">
                  <c:v>Jan 01, 1989</c:v>
                </c:pt>
                <c:pt idx="17">
                  <c:v>Jan 01, 1990</c:v>
                </c:pt>
                <c:pt idx="18">
                  <c:v>Jan 01, 1991</c:v>
                </c:pt>
                <c:pt idx="19">
                  <c:v>Jan 01, 1992</c:v>
                </c:pt>
                <c:pt idx="20">
                  <c:v>Jan 01, 1993</c:v>
                </c:pt>
                <c:pt idx="21">
                  <c:v>Jan 01, 1994</c:v>
                </c:pt>
                <c:pt idx="22">
                  <c:v>Jan 01, 1995</c:v>
                </c:pt>
                <c:pt idx="23">
                  <c:v>Jan 01, 1996</c:v>
                </c:pt>
                <c:pt idx="24">
                  <c:v>Jan 01, 1997</c:v>
                </c:pt>
                <c:pt idx="25">
                  <c:v>Jan 01, 1998</c:v>
                </c:pt>
                <c:pt idx="26">
                  <c:v>Jan 01, 1999</c:v>
                </c:pt>
                <c:pt idx="27">
                  <c:v>Jan 01, 2000</c:v>
                </c:pt>
                <c:pt idx="28">
                  <c:v>Jan 01, 2001</c:v>
                </c:pt>
                <c:pt idx="29">
                  <c:v>Jan 01, 2002</c:v>
                </c:pt>
                <c:pt idx="30">
                  <c:v>Jan 01, 2003</c:v>
                </c:pt>
                <c:pt idx="31">
                  <c:v>Jan 01, 2004</c:v>
                </c:pt>
                <c:pt idx="32">
                  <c:v>Jan 01, 2005</c:v>
                </c:pt>
                <c:pt idx="33">
                  <c:v>Jan 01, 2006</c:v>
                </c:pt>
                <c:pt idx="34">
                  <c:v>Jan 01, 2007</c:v>
                </c:pt>
                <c:pt idx="35">
                  <c:v>Jan 01, 2008</c:v>
                </c:pt>
                <c:pt idx="36">
                  <c:v>Jan 01, 2009</c:v>
                </c:pt>
                <c:pt idx="37">
                  <c:v>Jan 01, 2010</c:v>
                </c:pt>
                <c:pt idx="38">
                  <c:v>Jan 01, 2011</c:v>
                </c:pt>
                <c:pt idx="39">
                  <c:v>Jan 01, 2012</c:v>
                </c:pt>
                <c:pt idx="40">
                  <c:v>Jan 01, 2013</c:v>
                </c:pt>
                <c:pt idx="41">
                  <c:v>Jan 01, 2014</c:v>
                </c:pt>
                <c:pt idx="42">
                  <c:v>Jan 01, 2015</c:v>
                </c:pt>
              </c:strCache>
            </c:strRef>
          </c:cat>
          <c:val>
            <c:numRef>
              <c:f>TA2_Coal_China!$E$2:$E$44</c:f>
              <c:numCache>
                <c:formatCode>0.00%</c:formatCode>
                <c:ptCount val="43"/>
                <c:pt idx="1">
                  <c:v>1.4509999286160142E-2</c:v>
                </c:pt>
                <c:pt idx="2">
                  <c:v>-9.3669514568090004E-3</c:v>
                </c:pt>
                <c:pt idx="3">
                  <c:v>0.12666906562337063</c:v>
                </c:pt>
                <c:pt idx="4">
                  <c:v>2.5996436308278158E-2</c:v>
                </c:pt>
                <c:pt idx="5">
                  <c:v>9.9415061452537201E-2</c:v>
                </c:pt>
                <c:pt idx="6">
                  <c:v>0.10603285826750014</c:v>
                </c:pt>
                <c:pt idx="7">
                  <c:v>3.4921865947975424E-2</c:v>
                </c:pt>
                <c:pt idx="8">
                  <c:v>4.8335230961059628E-2</c:v>
                </c:pt>
                <c:pt idx="9">
                  <c:v>-8.6416769166972728E-3</c:v>
                </c:pt>
                <c:pt idx="10">
                  <c:v>5.921530994732694E-2</c:v>
                </c:pt>
                <c:pt idx="11">
                  <c:v>7.2700782740104788E-2</c:v>
                </c:pt>
                <c:pt idx="12">
                  <c:v>9.1775212205223639E-2</c:v>
                </c:pt>
                <c:pt idx="13">
                  <c:v>6.6296206810662311E-2</c:v>
                </c:pt>
                <c:pt idx="14">
                  <c:v>5.5839444476002038E-2</c:v>
                </c:pt>
                <c:pt idx="15">
                  <c:v>7.9443757269654011E-2</c:v>
                </c:pt>
                <c:pt idx="16">
                  <c:v>9.0225707468194208E-2</c:v>
                </c:pt>
                <c:pt idx="17">
                  <c:v>4.0994826579704914E-2</c:v>
                </c:pt>
                <c:pt idx="18">
                  <c:v>-1.5144981484525305E-2</c:v>
                </c:pt>
                <c:pt idx="19">
                  <c:v>3.5219702220485642E-2</c:v>
                </c:pt>
                <c:pt idx="20">
                  <c:v>3.3981645947153229E-2</c:v>
                </c:pt>
                <c:pt idx="21">
                  <c:v>5.3524030692075807E-2</c:v>
                </c:pt>
                <c:pt idx="22">
                  <c:v>6.5620124804992172E-2</c:v>
                </c:pt>
                <c:pt idx="23">
                  <c:v>8.4091473536985498E-2</c:v>
                </c:pt>
                <c:pt idx="24">
                  <c:v>2.0929478967279019E-2</c:v>
                </c:pt>
                <c:pt idx="25">
                  <c:v>-7.0169248564129665E-3</c:v>
                </c:pt>
                <c:pt idx="26">
                  <c:v>-3.0659578599257747E-2</c:v>
                </c:pt>
                <c:pt idx="27">
                  <c:v>3.1887141899541539E-2</c:v>
                </c:pt>
                <c:pt idx="28">
                  <c:v>9.4847363559139915E-3</c:v>
                </c:pt>
                <c:pt idx="29">
                  <c:v>2.0010004818361873E-2</c:v>
                </c:pt>
                <c:pt idx="30">
                  <c:v>5.1381063942502615E-2</c:v>
                </c:pt>
                <c:pt idx="31">
                  <c:v>0.19197588163731055</c:v>
                </c:pt>
                <c:pt idx="32">
                  <c:v>0.17473650346778027</c:v>
                </c:pt>
                <c:pt idx="33">
                  <c:v>0.10631713361420125</c:v>
                </c:pt>
                <c:pt idx="34">
                  <c:v>0.10819230932748161</c:v>
                </c:pt>
                <c:pt idx="35">
                  <c:v>5.5872352555477477E-2</c:v>
                </c:pt>
                <c:pt idx="36">
                  <c:v>3.7046435870188847E-2</c:v>
                </c:pt>
                <c:pt idx="37">
                  <c:v>7.4120292149111297E-2</c:v>
                </c:pt>
                <c:pt idx="38">
                  <c:v>9.4575839820221247E-2</c:v>
                </c:pt>
                <c:pt idx="39">
                  <c:v>9.3835743426387175E-2</c:v>
                </c:pt>
                <c:pt idx="40">
                  <c:v>5.4296800319915128E-2</c:v>
                </c:pt>
                <c:pt idx="41">
                  <c:v>3.7114834478269583E-2</c:v>
                </c:pt>
              </c:numCache>
            </c:numRef>
          </c:val>
          <c:smooth val="0"/>
          <c:extLst>
            <c:ext xmlns:c16="http://schemas.microsoft.com/office/drawing/2014/chart" uri="{C3380CC4-5D6E-409C-BE32-E72D297353CC}">
              <c16:uniqueId val="{00000001-5BF2-4047-9604-F9A5332B1968}"/>
            </c:ext>
          </c:extLst>
        </c:ser>
        <c:dLbls>
          <c:showLegendKey val="0"/>
          <c:showVal val="0"/>
          <c:showCatName val="0"/>
          <c:showSerName val="0"/>
          <c:showPercent val="0"/>
          <c:showBubbleSize val="0"/>
        </c:dLbls>
        <c:smooth val="0"/>
        <c:axId val="657870239"/>
        <c:axId val="1"/>
      </c:lineChart>
      <c:catAx>
        <c:axId val="65787023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bg1">
                  <a:lumMod val="50000"/>
                </a:schemeClr>
              </a:solidFill>
              <a:prstDash val="lgDashDot"/>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70239"/>
        <c:crosses val="autoZero"/>
        <c:crossBetween val="between"/>
      </c:valAx>
      <c:spPr>
        <a:noFill/>
        <a:ln w="25400">
          <a:noFill/>
        </a:ln>
      </c:spPr>
    </c:plotArea>
    <c:legend>
      <c:legendPos val="r"/>
      <c:layout>
        <c:manualLayout>
          <c:xMode val="edge"/>
          <c:yMode val="edge"/>
          <c:x val="0.38029354306392632"/>
          <c:y val="0.91549877484606723"/>
          <c:w val="0.28061546340044707"/>
          <c:h val="7.017760643419331E-2"/>
        </c:manualLayout>
      </c:layout>
      <c:overlay val="0"/>
      <c:spPr>
        <a:noFill/>
        <a:ln w="25400">
          <a:noFill/>
        </a:ln>
      </c:spPr>
      <c:txPr>
        <a:bodyPr/>
        <a:lstStyle/>
        <a:p>
          <a:pPr>
            <a:defRPr sz="82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AUD_USD Vs Japan Coal Consumption 1972-2015</a:t>
            </a:r>
          </a:p>
        </c:rich>
      </c:tx>
      <c:layout>
        <c:manualLayout>
          <c:xMode val="edge"/>
          <c:yMode val="edge"/>
          <c:x val="0.27954939155332859"/>
          <c:y val="1.2130491264349532E-2"/>
        </c:manualLayout>
      </c:layout>
      <c:overlay val="0"/>
      <c:spPr>
        <a:noFill/>
        <a:ln w="25400">
          <a:noFill/>
        </a:ln>
      </c:spPr>
    </c:title>
    <c:autoTitleDeleted val="0"/>
    <c:plotArea>
      <c:layout/>
      <c:lineChart>
        <c:grouping val="standard"/>
        <c:varyColors val="0"/>
        <c:ser>
          <c:idx val="1"/>
          <c:order val="0"/>
          <c:tx>
            <c:strRef>
              <c:f>TA3_Japan_Coal!$C$1</c:f>
              <c:strCache>
                <c:ptCount val="1"/>
                <c:pt idx="0">
                  <c:v>%</c:v>
                </c:pt>
              </c:strCache>
            </c:strRef>
          </c:tx>
          <c:spPr>
            <a:ln w="28575" cap="rnd">
              <a:solidFill>
                <a:srgbClr val="00B050"/>
              </a:solidFill>
              <a:round/>
            </a:ln>
            <a:effectLst/>
          </c:spPr>
          <c:marker>
            <c:symbol val="none"/>
          </c:marker>
          <c:cat>
            <c:strRef>
              <c:f>TA3_Japan_Coal!$A$2:$A$44</c:f>
              <c:strCache>
                <c:ptCount val="43"/>
                <c:pt idx="0">
                  <c:v>Jan 01, 1973</c:v>
                </c:pt>
                <c:pt idx="1">
                  <c:v>Jan 01, 1974</c:v>
                </c:pt>
                <c:pt idx="2">
                  <c:v>Jan 01, 1975</c:v>
                </c:pt>
                <c:pt idx="3">
                  <c:v>Jan 01, 1976</c:v>
                </c:pt>
                <c:pt idx="4">
                  <c:v>Jan 01, 1977</c:v>
                </c:pt>
                <c:pt idx="5">
                  <c:v>Jan 01, 1978</c:v>
                </c:pt>
                <c:pt idx="6">
                  <c:v>Jan 01, 1979</c:v>
                </c:pt>
                <c:pt idx="7">
                  <c:v>Jan 01, 1980</c:v>
                </c:pt>
                <c:pt idx="8">
                  <c:v>Jan 01, 1981</c:v>
                </c:pt>
                <c:pt idx="9">
                  <c:v>Jan 01, 1982</c:v>
                </c:pt>
                <c:pt idx="10">
                  <c:v>Jan 01, 1983</c:v>
                </c:pt>
                <c:pt idx="11">
                  <c:v>Jan 01, 1984</c:v>
                </c:pt>
                <c:pt idx="12">
                  <c:v>Jan 01, 1985</c:v>
                </c:pt>
                <c:pt idx="13">
                  <c:v>Jan 01, 1986</c:v>
                </c:pt>
                <c:pt idx="14">
                  <c:v>Jan 01, 1987</c:v>
                </c:pt>
                <c:pt idx="15">
                  <c:v>Jan 01, 1988</c:v>
                </c:pt>
                <c:pt idx="16">
                  <c:v>Jan 01, 1989</c:v>
                </c:pt>
                <c:pt idx="17">
                  <c:v>Jan 01, 1990</c:v>
                </c:pt>
                <c:pt idx="18">
                  <c:v>Jan 01, 1991</c:v>
                </c:pt>
                <c:pt idx="19">
                  <c:v>Jan 01, 1992</c:v>
                </c:pt>
                <c:pt idx="20">
                  <c:v>Jan 01, 1993</c:v>
                </c:pt>
                <c:pt idx="21">
                  <c:v>Jan 01, 1994</c:v>
                </c:pt>
                <c:pt idx="22">
                  <c:v>Jan 01, 1995</c:v>
                </c:pt>
                <c:pt idx="23">
                  <c:v>Jan 01, 1996</c:v>
                </c:pt>
                <c:pt idx="24">
                  <c:v>Jan 01, 1997</c:v>
                </c:pt>
                <c:pt idx="25">
                  <c:v>Jan 01, 1998</c:v>
                </c:pt>
                <c:pt idx="26">
                  <c:v>Jan 01, 1999</c:v>
                </c:pt>
                <c:pt idx="27">
                  <c:v>Jan 01, 2000</c:v>
                </c:pt>
                <c:pt idx="28">
                  <c:v>Jan 01, 2001</c:v>
                </c:pt>
                <c:pt idx="29">
                  <c:v>Jan 01, 2002</c:v>
                </c:pt>
                <c:pt idx="30">
                  <c:v>Jan 01, 2003</c:v>
                </c:pt>
                <c:pt idx="31">
                  <c:v>Jan 01, 2004</c:v>
                </c:pt>
                <c:pt idx="32">
                  <c:v>Jan 01, 2005</c:v>
                </c:pt>
                <c:pt idx="33">
                  <c:v>Jan 01, 2006</c:v>
                </c:pt>
                <c:pt idx="34">
                  <c:v>Jan 01, 2007</c:v>
                </c:pt>
                <c:pt idx="35">
                  <c:v>Jan 01, 2008</c:v>
                </c:pt>
                <c:pt idx="36">
                  <c:v>Jan 01, 2009</c:v>
                </c:pt>
                <c:pt idx="37">
                  <c:v>Jan 01, 2010</c:v>
                </c:pt>
                <c:pt idx="38">
                  <c:v>Jan 01, 2011</c:v>
                </c:pt>
                <c:pt idx="39">
                  <c:v>Jan 01, 2012</c:v>
                </c:pt>
                <c:pt idx="40">
                  <c:v>Jan 01, 2013</c:v>
                </c:pt>
                <c:pt idx="41">
                  <c:v>Jan 01, 2014</c:v>
                </c:pt>
                <c:pt idx="42">
                  <c:v>Jan 01, 2015</c:v>
                </c:pt>
              </c:strCache>
            </c:strRef>
          </c:cat>
          <c:val>
            <c:numRef>
              <c:f>TA3_Japan_Coal!$C$2:$C$44</c:f>
              <c:numCache>
                <c:formatCode>0.00%</c:formatCode>
                <c:ptCount val="43"/>
                <c:pt idx="0">
                  <c:v>-1.6999999999999999E-3</c:v>
                </c:pt>
                <c:pt idx="1">
                  <c:v>1.6999999999999999E-3</c:v>
                </c:pt>
                <c:pt idx="2">
                  <c:v>1.04E-2</c:v>
                </c:pt>
                <c:pt idx="3">
                  <c:v>1.2999999999999999E-3</c:v>
                </c:pt>
                <c:pt idx="4">
                  <c:v>-2.9999999999999997E-4</c:v>
                </c:pt>
                <c:pt idx="5">
                  <c:v>-2.8E-3</c:v>
                </c:pt>
                <c:pt idx="6">
                  <c:v>-1.5100000000000001E-2</c:v>
                </c:pt>
                <c:pt idx="7">
                  <c:v>5.0000000000000001E-4</c:v>
                </c:pt>
                <c:pt idx="8">
                  <c:v>-1.0800000000000001E-2</c:v>
                </c:pt>
                <c:pt idx="9">
                  <c:v>-2.5399999999999999E-2</c:v>
                </c:pt>
                <c:pt idx="10">
                  <c:v>-1.26E-2</c:v>
                </c:pt>
                <c:pt idx="11">
                  <c:v>2.3099999999999999E-2</c:v>
                </c:pt>
                <c:pt idx="12">
                  <c:v>-1.3599999999999999E-2</c:v>
                </c:pt>
                <c:pt idx="13">
                  <c:v>4.6899999999999997E-2</c:v>
                </c:pt>
                <c:pt idx="14">
                  <c:v>-9.4999999999999998E-3</c:v>
                </c:pt>
                <c:pt idx="15">
                  <c:v>-2.1299999999999999E-2</c:v>
                </c:pt>
                <c:pt idx="16">
                  <c:v>3.8899999999999997E-2</c:v>
                </c:pt>
                <c:pt idx="17">
                  <c:v>-2.1899999999999999E-2</c:v>
                </c:pt>
                <c:pt idx="18">
                  <c:v>1.23E-2</c:v>
                </c:pt>
                <c:pt idx="19">
                  <c:v>-1.17E-2</c:v>
                </c:pt>
                <c:pt idx="20">
                  <c:v>-1.6E-2</c:v>
                </c:pt>
                <c:pt idx="21">
                  <c:v>4.3700000000000003E-2</c:v>
                </c:pt>
                <c:pt idx="22">
                  <c:v>-2.4500000000000001E-2</c:v>
                </c:pt>
                <c:pt idx="23">
                  <c:v>3.2000000000000002E-3</c:v>
                </c:pt>
                <c:pt idx="24">
                  <c:v>-4.1000000000000002E-2</c:v>
                </c:pt>
                <c:pt idx="25">
                  <c:v>4.8000000000000001E-2</c:v>
                </c:pt>
                <c:pt idx="26">
                  <c:v>3.09E-2</c:v>
                </c:pt>
                <c:pt idx="27">
                  <c:v>-3.0700000000000002E-2</c:v>
                </c:pt>
                <c:pt idx="28">
                  <c:v>-1.61E-2</c:v>
                </c:pt>
                <c:pt idx="29">
                  <c:v>-2E-3</c:v>
                </c:pt>
                <c:pt idx="30">
                  <c:v>4.5999999999999999E-2</c:v>
                </c:pt>
                <c:pt idx="31">
                  <c:v>1.54E-2</c:v>
                </c:pt>
                <c:pt idx="32">
                  <c:v>-8.8999999999999999E-3</c:v>
                </c:pt>
                <c:pt idx="33">
                  <c:v>3.4200000000000001E-2</c:v>
                </c:pt>
                <c:pt idx="34">
                  <c:v>-1.5800000000000002E-2</c:v>
                </c:pt>
                <c:pt idx="35">
                  <c:v>2.3099999999999999E-2</c:v>
                </c:pt>
                <c:pt idx="36">
                  <c:v>-0.10249999999999999</c:v>
                </c:pt>
                <c:pt idx="37">
                  <c:v>-1.4E-2</c:v>
                </c:pt>
                <c:pt idx="38">
                  <c:v>-2.4500000000000001E-2</c:v>
                </c:pt>
                <c:pt idx="39">
                  <c:v>3.7900000000000003E-2</c:v>
                </c:pt>
                <c:pt idx="40">
                  <c:v>3.0000000000000001E-3</c:v>
                </c:pt>
                <c:pt idx="41">
                  <c:v>-1.8200000000000001E-2</c:v>
                </c:pt>
                <c:pt idx="42">
                  <c:v>-4.9099999999999998E-2</c:v>
                </c:pt>
              </c:numCache>
            </c:numRef>
          </c:val>
          <c:smooth val="0"/>
          <c:extLst>
            <c:ext xmlns:c16="http://schemas.microsoft.com/office/drawing/2014/chart" uri="{C3380CC4-5D6E-409C-BE32-E72D297353CC}">
              <c16:uniqueId val="{00000000-B44C-43BC-8025-698E3D4548D0}"/>
            </c:ext>
          </c:extLst>
        </c:ser>
        <c:ser>
          <c:idx val="4"/>
          <c:order val="1"/>
          <c:tx>
            <c:strRef>
              <c:f>TA3_Japan_Coal!$E$1</c:f>
              <c:strCache>
                <c:ptCount val="1"/>
                <c:pt idx="0">
                  <c:v>Coal % </c:v>
                </c:pt>
              </c:strCache>
            </c:strRef>
          </c:tx>
          <c:spPr>
            <a:ln w="25400">
              <a:solidFill>
                <a:srgbClr val="FF0000"/>
              </a:solidFill>
              <a:prstDash val="solid"/>
            </a:ln>
          </c:spPr>
          <c:marker>
            <c:symbol val="none"/>
          </c:marker>
          <c:cat>
            <c:strRef>
              <c:f>TA3_Japan_Coal!$A$2:$A$44</c:f>
              <c:strCache>
                <c:ptCount val="43"/>
                <c:pt idx="0">
                  <c:v>Jan 01, 1973</c:v>
                </c:pt>
                <c:pt idx="1">
                  <c:v>Jan 01, 1974</c:v>
                </c:pt>
                <c:pt idx="2">
                  <c:v>Jan 01, 1975</c:v>
                </c:pt>
                <c:pt idx="3">
                  <c:v>Jan 01, 1976</c:v>
                </c:pt>
                <c:pt idx="4">
                  <c:v>Jan 01, 1977</c:v>
                </c:pt>
                <c:pt idx="5">
                  <c:v>Jan 01, 1978</c:v>
                </c:pt>
                <c:pt idx="6">
                  <c:v>Jan 01, 1979</c:v>
                </c:pt>
                <c:pt idx="7">
                  <c:v>Jan 01, 1980</c:v>
                </c:pt>
                <c:pt idx="8">
                  <c:v>Jan 01, 1981</c:v>
                </c:pt>
                <c:pt idx="9">
                  <c:v>Jan 01, 1982</c:v>
                </c:pt>
                <c:pt idx="10">
                  <c:v>Jan 01, 1983</c:v>
                </c:pt>
                <c:pt idx="11">
                  <c:v>Jan 01, 1984</c:v>
                </c:pt>
                <c:pt idx="12">
                  <c:v>Jan 01, 1985</c:v>
                </c:pt>
                <c:pt idx="13">
                  <c:v>Jan 01, 1986</c:v>
                </c:pt>
                <c:pt idx="14">
                  <c:v>Jan 01, 1987</c:v>
                </c:pt>
                <c:pt idx="15">
                  <c:v>Jan 01, 1988</c:v>
                </c:pt>
                <c:pt idx="16">
                  <c:v>Jan 01, 1989</c:v>
                </c:pt>
                <c:pt idx="17">
                  <c:v>Jan 01, 1990</c:v>
                </c:pt>
                <c:pt idx="18">
                  <c:v>Jan 01, 1991</c:v>
                </c:pt>
                <c:pt idx="19">
                  <c:v>Jan 01, 1992</c:v>
                </c:pt>
                <c:pt idx="20">
                  <c:v>Jan 01, 1993</c:v>
                </c:pt>
                <c:pt idx="21">
                  <c:v>Jan 01, 1994</c:v>
                </c:pt>
                <c:pt idx="22">
                  <c:v>Jan 01, 1995</c:v>
                </c:pt>
                <c:pt idx="23">
                  <c:v>Jan 01, 1996</c:v>
                </c:pt>
                <c:pt idx="24">
                  <c:v>Jan 01, 1997</c:v>
                </c:pt>
                <c:pt idx="25">
                  <c:v>Jan 01, 1998</c:v>
                </c:pt>
                <c:pt idx="26">
                  <c:v>Jan 01, 1999</c:v>
                </c:pt>
                <c:pt idx="27">
                  <c:v>Jan 01, 2000</c:v>
                </c:pt>
                <c:pt idx="28">
                  <c:v>Jan 01, 2001</c:v>
                </c:pt>
                <c:pt idx="29">
                  <c:v>Jan 01, 2002</c:v>
                </c:pt>
                <c:pt idx="30">
                  <c:v>Jan 01, 2003</c:v>
                </c:pt>
                <c:pt idx="31">
                  <c:v>Jan 01, 2004</c:v>
                </c:pt>
                <c:pt idx="32">
                  <c:v>Jan 01, 2005</c:v>
                </c:pt>
                <c:pt idx="33">
                  <c:v>Jan 01, 2006</c:v>
                </c:pt>
                <c:pt idx="34">
                  <c:v>Jan 01, 2007</c:v>
                </c:pt>
                <c:pt idx="35">
                  <c:v>Jan 01, 2008</c:v>
                </c:pt>
                <c:pt idx="36">
                  <c:v>Jan 01, 2009</c:v>
                </c:pt>
                <c:pt idx="37">
                  <c:v>Jan 01, 2010</c:v>
                </c:pt>
                <c:pt idx="38">
                  <c:v>Jan 01, 2011</c:v>
                </c:pt>
                <c:pt idx="39">
                  <c:v>Jan 01, 2012</c:v>
                </c:pt>
                <c:pt idx="40">
                  <c:v>Jan 01, 2013</c:v>
                </c:pt>
                <c:pt idx="41">
                  <c:v>Jan 01, 2014</c:v>
                </c:pt>
                <c:pt idx="42">
                  <c:v>Jan 01, 2015</c:v>
                </c:pt>
              </c:strCache>
            </c:strRef>
          </c:cat>
          <c:val>
            <c:numRef>
              <c:f>TA3_Japan_Coal!$E$2:$E$43</c:f>
              <c:numCache>
                <c:formatCode>0.00%</c:formatCode>
                <c:ptCount val="42"/>
                <c:pt idx="1">
                  <c:v>6.8383394201386338E-2</c:v>
                </c:pt>
                <c:pt idx="2">
                  <c:v>-5.0542397711814208E-2</c:v>
                </c:pt>
                <c:pt idx="3">
                  <c:v>-3.5139603232916913E-2</c:v>
                </c:pt>
                <c:pt idx="4">
                  <c:v>-8.5670226740536682E-4</c:v>
                </c:pt>
                <c:pt idx="5">
                  <c:v>-0.11462977782858881</c:v>
                </c:pt>
                <c:pt idx="6">
                  <c:v>8.5417294365772847E-2</c:v>
                </c:pt>
                <c:pt idx="7">
                  <c:v>0.14214335283037566</c:v>
                </c:pt>
                <c:pt idx="8">
                  <c:v>0.10382959516700233</c:v>
                </c:pt>
                <c:pt idx="9">
                  <c:v>-2.4927262719194793E-2</c:v>
                </c:pt>
                <c:pt idx="10">
                  <c:v>1.6129032258064516E-2</c:v>
                </c:pt>
                <c:pt idx="11">
                  <c:v>0.10936507936507937</c:v>
                </c:pt>
                <c:pt idx="12">
                  <c:v>5.5186721991701236E-2</c:v>
                </c:pt>
                <c:pt idx="13">
                  <c:v>-5.6924349465062897E-2</c:v>
                </c:pt>
                <c:pt idx="14">
                  <c:v>-2.5593466476874068E-3</c:v>
                </c:pt>
                <c:pt idx="15">
                  <c:v>9.8542618673509094E-2</c:v>
                </c:pt>
                <c:pt idx="16">
                  <c:v>-7.7289487842324023E-3</c:v>
                </c:pt>
                <c:pt idx="17">
                  <c:v>4.5359570472639256E-3</c:v>
                </c:pt>
                <c:pt idx="18">
                  <c:v>4.0060030805281741E-2</c:v>
                </c:pt>
                <c:pt idx="19">
                  <c:v>-1.2860108348944424E-2</c:v>
                </c:pt>
                <c:pt idx="20">
                  <c:v>1.5181822844540154E-2</c:v>
                </c:pt>
                <c:pt idx="21">
                  <c:v>3.6048097812357897E-2</c:v>
                </c:pt>
                <c:pt idx="22">
                  <c:v>5.0874113086094679E-2</c:v>
                </c:pt>
                <c:pt idx="23">
                  <c:v>2.408380607663671E-2</c:v>
                </c:pt>
                <c:pt idx="24">
                  <c:v>1.7139620504106383E-2</c:v>
                </c:pt>
                <c:pt idx="25">
                  <c:v>-1.4935180647747962E-2</c:v>
                </c:pt>
                <c:pt idx="26">
                  <c:v>3.4257804108675266E-2</c:v>
                </c:pt>
                <c:pt idx="27">
                  <c:v>8.0829060856827298E-2</c:v>
                </c:pt>
                <c:pt idx="28">
                  <c:v>4.2236854082592493E-2</c:v>
                </c:pt>
                <c:pt idx="29">
                  <c:v>3.4518229545741283E-2</c:v>
                </c:pt>
                <c:pt idx="30">
                  <c:v>5.2371393193501169E-2</c:v>
                </c:pt>
                <c:pt idx="31">
                  <c:v>7.6613154821859916E-2</c:v>
                </c:pt>
                <c:pt idx="32">
                  <c:v>4.1396896888609234E-3</c:v>
                </c:pt>
                <c:pt idx="33">
                  <c:v>-1.7947593212513012E-2</c:v>
                </c:pt>
                <c:pt idx="34">
                  <c:v>5.2306917040117903E-2</c:v>
                </c:pt>
                <c:pt idx="35">
                  <c:v>2.6554926939583019E-2</c:v>
                </c:pt>
                <c:pt idx="36">
                  <c:v>-0.15452368106032802</c:v>
                </c:pt>
                <c:pt idx="37">
                  <c:v>0.13725468025457521</c:v>
                </c:pt>
                <c:pt idx="38">
                  <c:v>-4.8340491711249059E-2</c:v>
                </c:pt>
                <c:pt idx="39">
                  <c:v>5.6442693696074242E-2</c:v>
                </c:pt>
                <c:pt idx="40">
                  <c:v>3.3646800691281654E-2</c:v>
                </c:pt>
              </c:numCache>
            </c:numRef>
          </c:val>
          <c:smooth val="0"/>
          <c:extLst>
            <c:ext xmlns:c16="http://schemas.microsoft.com/office/drawing/2014/chart" uri="{C3380CC4-5D6E-409C-BE32-E72D297353CC}">
              <c16:uniqueId val="{00000001-B44C-43BC-8025-698E3D4548D0}"/>
            </c:ext>
          </c:extLst>
        </c:ser>
        <c:dLbls>
          <c:showLegendKey val="0"/>
          <c:showVal val="0"/>
          <c:showCatName val="0"/>
          <c:showSerName val="0"/>
          <c:showPercent val="0"/>
          <c:showBubbleSize val="0"/>
        </c:dLbls>
        <c:smooth val="0"/>
        <c:axId val="657869759"/>
        <c:axId val="1"/>
      </c:lineChart>
      <c:catAx>
        <c:axId val="65786975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bg1">
                  <a:lumMod val="50000"/>
                </a:schemeClr>
              </a:solidFill>
              <a:prstDash val="lgDashDot"/>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69759"/>
        <c:crosses val="autoZero"/>
        <c:crossBetween val="between"/>
      </c:valAx>
      <c:spPr>
        <a:noFill/>
        <a:ln w="25400">
          <a:noFill/>
        </a:ln>
      </c:spPr>
    </c:plotArea>
    <c:legend>
      <c:legendPos val="r"/>
      <c:layout>
        <c:manualLayout>
          <c:xMode val="edge"/>
          <c:yMode val="edge"/>
          <c:x val="0.35537402314805649"/>
          <c:y val="0.91549877484606723"/>
          <c:w val="0.28061546340044707"/>
          <c:h val="7.017760643419331E-2"/>
        </c:manualLayout>
      </c:layout>
      <c:overlay val="0"/>
      <c:spPr>
        <a:noFill/>
        <a:ln w="25400">
          <a:noFill/>
        </a:ln>
      </c:spPr>
      <c:txPr>
        <a:bodyPr/>
        <a:lstStyle/>
        <a:p>
          <a:pPr>
            <a:defRPr sz="825" b="0" i="0" u="none" strike="noStrike" baseline="0">
              <a:solidFill>
                <a:srgbClr val="333333"/>
              </a:solidFill>
              <a:latin typeface="Calibri"/>
              <a:ea typeface="Calibri"/>
              <a:cs typeface="Calibri"/>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AUD/USD IR% Differential 1976-2015</a:t>
            </a:r>
          </a:p>
        </c:rich>
      </c:tx>
      <c:layout>
        <c:manualLayout>
          <c:xMode val="edge"/>
          <c:yMode val="edge"/>
          <c:x val="0.30787001298040362"/>
          <c:y val="2.4045814518142007E-2"/>
        </c:manualLayout>
      </c:layout>
      <c:overlay val="0"/>
      <c:spPr>
        <a:noFill/>
        <a:ln w="25400">
          <a:noFill/>
        </a:ln>
      </c:spPr>
    </c:title>
    <c:autoTitleDeleted val="0"/>
    <c:plotArea>
      <c:layout/>
      <c:lineChart>
        <c:grouping val="standard"/>
        <c:varyColors val="0"/>
        <c:ser>
          <c:idx val="0"/>
          <c:order val="0"/>
          <c:tx>
            <c:v>IR% Differential</c:v>
          </c:tx>
          <c:spPr>
            <a:ln w="25400">
              <a:solidFill>
                <a:srgbClr val="FFFF00"/>
              </a:solidFill>
              <a:prstDash val="solid"/>
            </a:ln>
          </c:spPr>
          <c:marker>
            <c:symbol val="none"/>
          </c:marker>
          <c:cat>
            <c:numRef>
              <c:f>'IR Diffs &amp; Carry'!$A$2:$A$467</c:f>
              <c:numCache>
                <c:formatCode>mmm\-yyyy</c:formatCode>
                <c:ptCount val="466"/>
                <c:pt idx="0">
                  <c:v>27911</c:v>
                </c:pt>
                <c:pt idx="1">
                  <c:v>27941</c:v>
                </c:pt>
                <c:pt idx="2">
                  <c:v>27972</c:v>
                </c:pt>
                <c:pt idx="3">
                  <c:v>28003</c:v>
                </c:pt>
                <c:pt idx="4">
                  <c:v>28033</c:v>
                </c:pt>
                <c:pt idx="5">
                  <c:v>28064</c:v>
                </c:pt>
                <c:pt idx="6">
                  <c:v>28094</c:v>
                </c:pt>
                <c:pt idx="7">
                  <c:v>28125</c:v>
                </c:pt>
                <c:pt idx="8">
                  <c:v>28156</c:v>
                </c:pt>
                <c:pt idx="9">
                  <c:v>28184</c:v>
                </c:pt>
                <c:pt idx="10">
                  <c:v>28215</c:v>
                </c:pt>
                <c:pt idx="11">
                  <c:v>28245</c:v>
                </c:pt>
                <c:pt idx="12">
                  <c:v>28276</c:v>
                </c:pt>
                <c:pt idx="13">
                  <c:v>28306</c:v>
                </c:pt>
                <c:pt idx="14">
                  <c:v>28337</c:v>
                </c:pt>
                <c:pt idx="15">
                  <c:v>28368</c:v>
                </c:pt>
                <c:pt idx="16">
                  <c:v>28398</c:v>
                </c:pt>
                <c:pt idx="17">
                  <c:v>28429</c:v>
                </c:pt>
                <c:pt idx="18">
                  <c:v>28459</c:v>
                </c:pt>
                <c:pt idx="19">
                  <c:v>28490</c:v>
                </c:pt>
                <c:pt idx="20">
                  <c:v>28521</c:v>
                </c:pt>
                <c:pt idx="21">
                  <c:v>28549</c:v>
                </c:pt>
                <c:pt idx="22">
                  <c:v>28580</c:v>
                </c:pt>
                <c:pt idx="23">
                  <c:v>28610</c:v>
                </c:pt>
                <c:pt idx="24">
                  <c:v>28641</c:v>
                </c:pt>
                <c:pt idx="25">
                  <c:v>28671</c:v>
                </c:pt>
                <c:pt idx="26">
                  <c:v>28702</c:v>
                </c:pt>
                <c:pt idx="27">
                  <c:v>28733</c:v>
                </c:pt>
                <c:pt idx="28">
                  <c:v>28763</c:v>
                </c:pt>
                <c:pt idx="29">
                  <c:v>28794</c:v>
                </c:pt>
                <c:pt idx="30">
                  <c:v>28824</c:v>
                </c:pt>
                <c:pt idx="31">
                  <c:v>28855</c:v>
                </c:pt>
                <c:pt idx="32">
                  <c:v>28886</c:v>
                </c:pt>
                <c:pt idx="33">
                  <c:v>28914</c:v>
                </c:pt>
                <c:pt idx="34">
                  <c:v>28945</c:v>
                </c:pt>
                <c:pt idx="35">
                  <c:v>28975</c:v>
                </c:pt>
                <c:pt idx="36">
                  <c:v>29006</c:v>
                </c:pt>
                <c:pt idx="37">
                  <c:v>29036</c:v>
                </c:pt>
                <c:pt idx="38">
                  <c:v>29067</c:v>
                </c:pt>
                <c:pt idx="39">
                  <c:v>29098</c:v>
                </c:pt>
                <c:pt idx="40">
                  <c:v>29128</c:v>
                </c:pt>
                <c:pt idx="41">
                  <c:v>29159</c:v>
                </c:pt>
                <c:pt idx="42">
                  <c:v>29189</c:v>
                </c:pt>
                <c:pt idx="43">
                  <c:v>29220</c:v>
                </c:pt>
                <c:pt idx="44">
                  <c:v>29251</c:v>
                </c:pt>
                <c:pt idx="45">
                  <c:v>29280</c:v>
                </c:pt>
                <c:pt idx="46">
                  <c:v>29311</c:v>
                </c:pt>
                <c:pt idx="47">
                  <c:v>29341</c:v>
                </c:pt>
                <c:pt idx="48">
                  <c:v>29372</c:v>
                </c:pt>
                <c:pt idx="49">
                  <c:v>29402</c:v>
                </c:pt>
                <c:pt idx="50">
                  <c:v>29433</c:v>
                </c:pt>
                <c:pt idx="51">
                  <c:v>29464</c:v>
                </c:pt>
                <c:pt idx="52">
                  <c:v>29494</c:v>
                </c:pt>
                <c:pt idx="53">
                  <c:v>29525</c:v>
                </c:pt>
                <c:pt idx="54">
                  <c:v>29555</c:v>
                </c:pt>
                <c:pt idx="55">
                  <c:v>29586</c:v>
                </c:pt>
                <c:pt idx="56">
                  <c:v>29617</c:v>
                </c:pt>
                <c:pt idx="57">
                  <c:v>29645</c:v>
                </c:pt>
                <c:pt idx="58">
                  <c:v>29676</c:v>
                </c:pt>
                <c:pt idx="59">
                  <c:v>29706</c:v>
                </c:pt>
                <c:pt idx="60">
                  <c:v>29737</c:v>
                </c:pt>
                <c:pt idx="61">
                  <c:v>29767</c:v>
                </c:pt>
                <c:pt idx="62">
                  <c:v>29798</c:v>
                </c:pt>
                <c:pt idx="63">
                  <c:v>29829</c:v>
                </c:pt>
                <c:pt idx="64">
                  <c:v>29859</c:v>
                </c:pt>
                <c:pt idx="65">
                  <c:v>29890</c:v>
                </c:pt>
                <c:pt idx="66">
                  <c:v>29920</c:v>
                </c:pt>
                <c:pt idx="67">
                  <c:v>29951</c:v>
                </c:pt>
                <c:pt idx="68">
                  <c:v>29982</c:v>
                </c:pt>
                <c:pt idx="69">
                  <c:v>30010</c:v>
                </c:pt>
                <c:pt idx="70">
                  <c:v>30041</c:v>
                </c:pt>
                <c:pt idx="71">
                  <c:v>30071</c:v>
                </c:pt>
                <c:pt idx="72">
                  <c:v>30102</c:v>
                </c:pt>
                <c:pt idx="73">
                  <c:v>30132</c:v>
                </c:pt>
                <c:pt idx="74">
                  <c:v>30163</c:v>
                </c:pt>
                <c:pt idx="75">
                  <c:v>30194</c:v>
                </c:pt>
                <c:pt idx="76">
                  <c:v>30224</c:v>
                </c:pt>
                <c:pt idx="77">
                  <c:v>30255</c:v>
                </c:pt>
                <c:pt idx="78">
                  <c:v>30285</c:v>
                </c:pt>
                <c:pt idx="79">
                  <c:v>30316</c:v>
                </c:pt>
                <c:pt idx="80">
                  <c:v>30347</c:v>
                </c:pt>
                <c:pt idx="81">
                  <c:v>30375</c:v>
                </c:pt>
                <c:pt idx="82">
                  <c:v>30406</c:v>
                </c:pt>
                <c:pt idx="83">
                  <c:v>30436</c:v>
                </c:pt>
                <c:pt idx="84">
                  <c:v>30467</c:v>
                </c:pt>
                <c:pt idx="85">
                  <c:v>30497</c:v>
                </c:pt>
                <c:pt idx="86">
                  <c:v>30528</c:v>
                </c:pt>
                <c:pt idx="87">
                  <c:v>30559</c:v>
                </c:pt>
                <c:pt idx="88">
                  <c:v>30589</c:v>
                </c:pt>
                <c:pt idx="89">
                  <c:v>30620</c:v>
                </c:pt>
                <c:pt idx="90">
                  <c:v>30650</c:v>
                </c:pt>
                <c:pt idx="91">
                  <c:v>30681</c:v>
                </c:pt>
                <c:pt idx="92">
                  <c:v>30712</c:v>
                </c:pt>
                <c:pt idx="93">
                  <c:v>30741</c:v>
                </c:pt>
                <c:pt idx="94">
                  <c:v>30772</c:v>
                </c:pt>
                <c:pt idx="95">
                  <c:v>30802</c:v>
                </c:pt>
                <c:pt idx="96">
                  <c:v>30833</c:v>
                </c:pt>
                <c:pt idx="97">
                  <c:v>30863</c:v>
                </c:pt>
                <c:pt idx="98">
                  <c:v>30894</c:v>
                </c:pt>
                <c:pt idx="99">
                  <c:v>30925</c:v>
                </c:pt>
                <c:pt idx="100">
                  <c:v>30955</c:v>
                </c:pt>
                <c:pt idx="101">
                  <c:v>30986</c:v>
                </c:pt>
                <c:pt idx="102">
                  <c:v>31016</c:v>
                </c:pt>
                <c:pt idx="103">
                  <c:v>31047</c:v>
                </c:pt>
                <c:pt idx="104">
                  <c:v>31078</c:v>
                </c:pt>
                <c:pt idx="105">
                  <c:v>31106</c:v>
                </c:pt>
                <c:pt idx="106">
                  <c:v>31137</c:v>
                </c:pt>
                <c:pt idx="107">
                  <c:v>31167</c:v>
                </c:pt>
                <c:pt idx="108">
                  <c:v>31198</c:v>
                </c:pt>
                <c:pt idx="109">
                  <c:v>31228</c:v>
                </c:pt>
                <c:pt idx="110">
                  <c:v>31259</c:v>
                </c:pt>
                <c:pt idx="111">
                  <c:v>31290</c:v>
                </c:pt>
                <c:pt idx="112">
                  <c:v>31320</c:v>
                </c:pt>
                <c:pt idx="113">
                  <c:v>31351</c:v>
                </c:pt>
                <c:pt idx="114">
                  <c:v>31381</c:v>
                </c:pt>
                <c:pt idx="115">
                  <c:v>31412</c:v>
                </c:pt>
                <c:pt idx="116">
                  <c:v>31443</c:v>
                </c:pt>
                <c:pt idx="117">
                  <c:v>31471</c:v>
                </c:pt>
                <c:pt idx="118">
                  <c:v>31502</c:v>
                </c:pt>
                <c:pt idx="119">
                  <c:v>31532</c:v>
                </c:pt>
                <c:pt idx="120">
                  <c:v>31563</c:v>
                </c:pt>
                <c:pt idx="121">
                  <c:v>31593</c:v>
                </c:pt>
                <c:pt idx="122">
                  <c:v>31624</c:v>
                </c:pt>
                <c:pt idx="123">
                  <c:v>31655</c:v>
                </c:pt>
                <c:pt idx="124">
                  <c:v>31685</c:v>
                </c:pt>
                <c:pt idx="125">
                  <c:v>31716</c:v>
                </c:pt>
                <c:pt idx="126">
                  <c:v>31746</c:v>
                </c:pt>
                <c:pt idx="127">
                  <c:v>31777</c:v>
                </c:pt>
                <c:pt idx="128">
                  <c:v>31808</c:v>
                </c:pt>
                <c:pt idx="129">
                  <c:v>31836</c:v>
                </c:pt>
                <c:pt idx="130">
                  <c:v>31867</c:v>
                </c:pt>
                <c:pt idx="131">
                  <c:v>31897</c:v>
                </c:pt>
                <c:pt idx="132">
                  <c:v>31928</c:v>
                </c:pt>
                <c:pt idx="133">
                  <c:v>31958</c:v>
                </c:pt>
                <c:pt idx="134">
                  <c:v>31989</c:v>
                </c:pt>
                <c:pt idx="135">
                  <c:v>32020</c:v>
                </c:pt>
                <c:pt idx="136">
                  <c:v>32050</c:v>
                </c:pt>
                <c:pt idx="137">
                  <c:v>32081</c:v>
                </c:pt>
                <c:pt idx="138">
                  <c:v>32111</c:v>
                </c:pt>
                <c:pt idx="139">
                  <c:v>32142</c:v>
                </c:pt>
                <c:pt idx="140">
                  <c:v>32173</c:v>
                </c:pt>
                <c:pt idx="141">
                  <c:v>32202</c:v>
                </c:pt>
                <c:pt idx="142">
                  <c:v>32233</c:v>
                </c:pt>
                <c:pt idx="143">
                  <c:v>32263</c:v>
                </c:pt>
                <c:pt idx="144">
                  <c:v>32294</c:v>
                </c:pt>
                <c:pt idx="145">
                  <c:v>32324</c:v>
                </c:pt>
                <c:pt idx="146">
                  <c:v>32355</c:v>
                </c:pt>
                <c:pt idx="147">
                  <c:v>32386</c:v>
                </c:pt>
                <c:pt idx="148">
                  <c:v>32416</c:v>
                </c:pt>
                <c:pt idx="149">
                  <c:v>32447</c:v>
                </c:pt>
                <c:pt idx="150">
                  <c:v>32477</c:v>
                </c:pt>
                <c:pt idx="151">
                  <c:v>32508</c:v>
                </c:pt>
                <c:pt idx="152">
                  <c:v>32539</c:v>
                </c:pt>
                <c:pt idx="153">
                  <c:v>32567</c:v>
                </c:pt>
                <c:pt idx="154">
                  <c:v>32598</c:v>
                </c:pt>
                <c:pt idx="155">
                  <c:v>32628</c:v>
                </c:pt>
                <c:pt idx="156">
                  <c:v>32659</c:v>
                </c:pt>
                <c:pt idx="157">
                  <c:v>32689</c:v>
                </c:pt>
                <c:pt idx="158">
                  <c:v>32720</c:v>
                </c:pt>
                <c:pt idx="159">
                  <c:v>32751</c:v>
                </c:pt>
                <c:pt idx="160">
                  <c:v>32781</c:v>
                </c:pt>
                <c:pt idx="161">
                  <c:v>32812</c:v>
                </c:pt>
                <c:pt idx="162">
                  <c:v>32842</c:v>
                </c:pt>
                <c:pt idx="163">
                  <c:v>32873</c:v>
                </c:pt>
                <c:pt idx="164">
                  <c:v>32904</c:v>
                </c:pt>
                <c:pt idx="165">
                  <c:v>32932</c:v>
                </c:pt>
                <c:pt idx="166">
                  <c:v>32963</c:v>
                </c:pt>
                <c:pt idx="167">
                  <c:v>32993</c:v>
                </c:pt>
                <c:pt idx="168">
                  <c:v>33024</c:v>
                </c:pt>
                <c:pt idx="169">
                  <c:v>33054</c:v>
                </c:pt>
                <c:pt idx="170">
                  <c:v>33085</c:v>
                </c:pt>
                <c:pt idx="171">
                  <c:v>33116</c:v>
                </c:pt>
                <c:pt idx="172">
                  <c:v>33146</c:v>
                </c:pt>
                <c:pt idx="173">
                  <c:v>33177</c:v>
                </c:pt>
                <c:pt idx="174">
                  <c:v>33207</c:v>
                </c:pt>
                <c:pt idx="175">
                  <c:v>33238</c:v>
                </c:pt>
                <c:pt idx="176">
                  <c:v>33269</c:v>
                </c:pt>
                <c:pt idx="177">
                  <c:v>33297</c:v>
                </c:pt>
                <c:pt idx="178">
                  <c:v>33328</c:v>
                </c:pt>
                <c:pt idx="179">
                  <c:v>33358</c:v>
                </c:pt>
                <c:pt idx="180">
                  <c:v>33389</c:v>
                </c:pt>
                <c:pt idx="181">
                  <c:v>33419</c:v>
                </c:pt>
                <c:pt idx="182">
                  <c:v>33450</c:v>
                </c:pt>
                <c:pt idx="183">
                  <c:v>33481</c:v>
                </c:pt>
                <c:pt idx="184">
                  <c:v>33511</c:v>
                </c:pt>
                <c:pt idx="185">
                  <c:v>33542</c:v>
                </c:pt>
                <c:pt idx="186">
                  <c:v>33572</c:v>
                </c:pt>
                <c:pt idx="187">
                  <c:v>33603</c:v>
                </c:pt>
                <c:pt idx="188">
                  <c:v>33634</c:v>
                </c:pt>
                <c:pt idx="189">
                  <c:v>33663</c:v>
                </c:pt>
                <c:pt idx="190">
                  <c:v>33694</c:v>
                </c:pt>
                <c:pt idx="191">
                  <c:v>33724</c:v>
                </c:pt>
                <c:pt idx="192">
                  <c:v>33755</c:v>
                </c:pt>
                <c:pt idx="193">
                  <c:v>33785</c:v>
                </c:pt>
                <c:pt idx="194">
                  <c:v>33816</c:v>
                </c:pt>
                <c:pt idx="195">
                  <c:v>33847</c:v>
                </c:pt>
                <c:pt idx="196">
                  <c:v>33877</c:v>
                </c:pt>
                <c:pt idx="197">
                  <c:v>33908</c:v>
                </c:pt>
                <c:pt idx="198">
                  <c:v>33938</c:v>
                </c:pt>
                <c:pt idx="199">
                  <c:v>33969</c:v>
                </c:pt>
                <c:pt idx="200">
                  <c:v>34000</c:v>
                </c:pt>
                <c:pt idx="201">
                  <c:v>34028</c:v>
                </c:pt>
                <c:pt idx="202">
                  <c:v>34059</c:v>
                </c:pt>
                <c:pt idx="203">
                  <c:v>34089</c:v>
                </c:pt>
                <c:pt idx="204">
                  <c:v>34120</c:v>
                </c:pt>
                <c:pt idx="205">
                  <c:v>34150</c:v>
                </c:pt>
                <c:pt idx="206">
                  <c:v>34181</c:v>
                </c:pt>
                <c:pt idx="207">
                  <c:v>34212</c:v>
                </c:pt>
                <c:pt idx="208">
                  <c:v>34242</c:v>
                </c:pt>
                <c:pt idx="209">
                  <c:v>34273</c:v>
                </c:pt>
                <c:pt idx="210">
                  <c:v>34303</c:v>
                </c:pt>
                <c:pt idx="211">
                  <c:v>34334</c:v>
                </c:pt>
                <c:pt idx="212">
                  <c:v>34365</c:v>
                </c:pt>
                <c:pt idx="213">
                  <c:v>34393</c:v>
                </c:pt>
                <c:pt idx="214">
                  <c:v>34424</c:v>
                </c:pt>
                <c:pt idx="215">
                  <c:v>34454</c:v>
                </c:pt>
                <c:pt idx="216">
                  <c:v>34485</c:v>
                </c:pt>
                <c:pt idx="217">
                  <c:v>34515</c:v>
                </c:pt>
                <c:pt idx="218">
                  <c:v>34546</c:v>
                </c:pt>
                <c:pt idx="219">
                  <c:v>34577</c:v>
                </c:pt>
                <c:pt idx="220">
                  <c:v>34607</c:v>
                </c:pt>
                <c:pt idx="221">
                  <c:v>34638</c:v>
                </c:pt>
                <c:pt idx="222">
                  <c:v>34668</c:v>
                </c:pt>
                <c:pt idx="223">
                  <c:v>34699</c:v>
                </c:pt>
                <c:pt idx="224">
                  <c:v>34730</c:v>
                </c:pt>
                <c:pt idx="225">
                  <c:v>34758</c:v>
                </c:pt>
                <c:pt idx="226">
                  <c:v>34789</c:v>
                </c:pt>
                <c:pt idx="227">
                  <c:v>34819</c:v>
                </c:pt>
                <c:pt idx="228">
                  <c:v>34850</c:v>
                </c:pt>
                <c:pt idx="229">
                  <c:v>34880</c:v>
                </c:pt>
                <c:pt idx="230">
                  <c:v>34911</c:v>
                </c:pt>
                <c:pt idx="231">
                  <c:v>34942</c:v>
                </c:pt>
                <c:pt idx="232">
                  <c:v>34972</c:v>
                </c:pt>
                <c:pt idx="233">
                  <c:v>35003</c:v>
                </c:pt>
                <c:pt idx="234">
                  <c:v>35033</c:v>
                </c:pt>
                <c:pt idx="235">
                  <c:v>35064</c:v>
                </c:pt>
                <c:pt idx="236">
                  <c:v>35095</c:v>
                </c:pt>
                <c:pt idx="237">
                  <c:v>35124</c:v>
                </c:pt>
                <c:pt idx="238">
                  <c:v>35155</c:v>
                </c:pt>
                <c:pt idx="239">
                  <c:v>35185</c:v>
                </c:pt>
                <c:pt idx="240">
                  <c:v>35216</c:v>
                </c:pt>
                <c:pt idx="241">
                  <c:v>35246</c:v>
                </c:pt>
                <c:pt idx="242">
                  <c:v>35277</c:v>
                </c:pt>
                <c:pt idx="243">
                  <c:v>35308</c:v>
                </c:pt>
                <c:pt idx="244">
                  <c:v>35338</c:v>
                </c:pt>
                <c:pt idx="245">
                  <c:v>35369</c:v>
                </c:pt>
                <c:pt idx="246">
                  <c:v>35399</c:v>
                </c:pt>
                <c:pt idx="247">
                  <c:v>35430</c:v>
                </c:pt>
                <c:pt idx="248">
                  <c:v>35461</c:v>
                </c:pt>
                <c:pt idx="249">
                  <c:v>35489</c:v>
                </c:pt>
                <c:pt idx="250">
                  <c:v>35520</c:v>
                </c:pt>
                <c:pt idx="251">
                  <c:v>35550</c:v>
                </c:pt>
                <c:pt idx="252">
                  <c:v>35581</c:v>
                </c:pt>
                <c:pt idx="253">
                  <c:v>35611</c:v>
                </c:pt>
                <c:pt idx="254">
                  <c:v>35642</c:v>
                </c:pt>
                <c:pt idx="255">
                  <c:v>35673</c:v>
                </c:pt>
                <c:pt idx="256">
                  <c:v>35703</c:v>
                </c:pt>
                <c:pt idx="257">
                  <c:v>35734</c:v>
                </c:pt>
                <c:pt idx="258">
                  <c:v>35764</c:v>
                </c:pt>
                <c:pt idx="259">
                  <c:v>35795</c:v>
                </c:pt>
                <c:pt idx="260">
                  <c:v>35826</c:v>
                </c:pt>
                <c:pt idx="261">
                  <c:v>35854</c:v>
                </c:pt>
                <c:pt idx="262">
                  <c:v>35885</c:v>
                </c:pt>
                <c:pt idx="263">
                  <c:v>35915</c:v>
                </c:pt>
                <c:pt idx="264">
                  <c:v>35946</c:v>
                </c:pt>
                <c:pt idx="265">
                  <c:v>35976</c:v>
                </c:pt>
                <c:pt idx="266">
                  <c:v>36007</c:v>
                </c:pt>
                <c:pt idx="267">
                  <c:v>36038</c:v>
                </c:pt>
                <c:pt idx="268">
                  <c:v>36068</c:v>
                </c:pt>
                <c:pt idx="269">
                  <c:v>36099</c:v>
                </c:pt>
                <c:pt idx="270">
                  <c:v>36129</c:v>
                </c:pt>
                <c:pt idx="271">
                  <c:v>36160</c:v>
                </c:pt>
                <c:pt idx="272">
                  <c:v>36191</c:v>
                </c:pt>
                <c:pt idx="273">
                  <c:v>36219</c:v>
                </c:pt>
                <c:pt idx="274">
                  <c:v>36250</c:v>
                </c:pt>
                <c:pt idx="275">
                  <c:v>36280</c:v>
                </c:pt>
                <c:pt idx="276">
                  <c:v>36311</c:v>
                </c:pt>
                <c:pt idx="277">
                  <c:v>36341</c:v>
                </c:pt>
                <c:pt idx="278">
                  <c:v>36372</c:v>
                </c:pt>
                <c:pt idx="279">
                  <c:v>36403</c:v>
                </c:pt>
                <c:pt idx="280">
                  <c:v>36433</c:v>
                </c:pt>
                <c:pt idx="281">
                  <c:v>36464</c:v>
                </c:pt>
                <c:pt idx="282">
                  <c:v>36494</c:v>
                </c:pt>
                <c:pt idx="283">
                  <c:v>36525</c:v>
                </c:pt>
                <c:pt idx="284">
                  <c:v>36556</c:v>
                </c:pt>
                <c:pt idx="285">
                  <c:v>36585</c:v>
                </c:pt>
                <c:pt idx="286">
                  <c:v>36616</c:v>
                </c:pt>
                <c:pt idx="287">
                  <c:v>36646</c:v>
                </c:pt>
                <c:pt idx="288">
                  <c:v>36677</c:v>
                </c:pt>
                <c:pt idx="289">
                  <c:v>36707</c:v>
                </c:pt>
                <c:pt idx="290">
                  <c:v>36738</c:v>
                </c:pt>
                <c:pt idx="291">
                  <c:v>36769</c:v>
                </c:pt>
                <c:pt idx="292">
                  <c:v>36799</c:v>
                </c:pt>
                <c:pt idx="293">
                  <c:v>36830</c:v>
                </c:pt>
                <c:pt idx="294">
                  <c:v>36860</c:v>
                </c:pt>
                <c:pt idx="295">
                  <c:v>36891</c:v>
                </c:pt>
                <c:pt idx="296">
                  <c:v>36922</c:v>
                </c:pt>
                <c:pt idx="297">
                  <c:v>36950</c:v>
                </c:pt>
                <c:pt idx="298">
                  <c:v>36981</c:v>
                </c:pt>
                <c:pt idx="299">
                  <c:v>37011</c:v>
                </c:pt>
                <c:pt idx="300">
                  <c:v>37042</c:v>
                </c:pt>
                <c:pt idx="301">
                  <c:v>37072</c:v>
                </c:pt>
                <c:pt idx="302">
                  <c:v>37103</c:v>
                </c:pt>
                <c:pt idx="303">
                  <c:v>37134</c:v>
                </c:pt>
                <c:pt idx="304">
                  <c:v>37164</c:v>
                </c:pt>
                <c:pt idx="305">
                  <c:v>37195</c:v>
                </c:pt>
                <c:pt idx="306">
                  <c:v>37225</c:v>
                </c:pt>
                <c:pt idx="307">
                  <c:v>37256</c:v>
                </c:pt>
                <c:pt idx="308">
                  <c:v>37287</c:v>
                </c:pt>
                <c:pt idx="309">
                  <c:v>37315</c:v>
                </c:pt>
                <c:pt idx="310">
                  <c:v>37346</c:v>
                </c:pt>
                <c:pt idx="311">
                  <c:v>37376</c:v>
                </c:pt>
                <c:pt idx="312">
                  <c:v>37407</c:v>
                </c:pt>
                <c:pt idx="313">
                  <c:v>37437</c:v>
                </c:pt>
                <c:pt idx="314">
                  <c:v>37468</c:v>
                </c:pt>
                <c:pt idx="315">
                  <c:v>37499</c:v>
                </c:pt>
                <c:pt idx="316">
                  <c:v>37529</c:v>
                </c:pt>
                <c:pt idx="317">
                  <c:v>37560</c:v>
                </c:pt>
                <c:pt idx="318">
                  <c:v>37590</c:v>
                </c:pt>
                <c:pt idx="319">
                  <c:v>37621</c:v>
                </c:pt>
                <c:pt idx="320">
                  <c:v>37652</c:v>
                </c:pt>
                <c:pt idx="321">
                  <c:v>37680</c:v>
                </c:pt>
                <c:pt idx="322">
                  <c:v>37711</c:v>
                </c:pt>
                <c:pt idx="323">
                  <c:v>37741</c:v>
                </c:pt>
                <c:pt idx="324">
                  <c:v>37772</c:v>
                </c:pt>
                <c:pt idx="325">
                  <c:v>37802</c:v>
                </c:pt>
                <c:pt idx="326">
                  <c:v>37833</c:v>
                </c:pt>
                <c:pt idx="327">
                  <c:v>37864</c:v>
                </c:pt>
                <c:pt idx="328">
                  <c:v>37894</c:v>
                </c:pt>
                <c:pt idx="329">
                  <c:v>37925</c:v>
                </c:pt>
                <c:pt idx="330">
                  <c:v>37955</c:v>
                </c:pt>
                <c:pt idx="331">
                  <c:v>37986</c:v>
                </c:pt>
                <c:pt idx="332">
                  <c:v>38017</c:v>
                </c:pt>
                <c:pt idx="333">
                  <c:v>38046</c:v>
                </c:pt>
                <c:pt idx="334">
                  <c:v>38077</c:v>
                </c:pt>
                <c:pt idx="335">
                  <c:v>38107</c:v>
                </c:pt>
                <c:pt idx="336">
                  <c:v>38138</c:v>
                </c:pt>
                <c:pt idx="337">
                  <c:v>38168</c:v>
                </c:pt>
                <c:pt idx="338">
                  <c:v>38199</c:v>
                </c:pt>
                <c:pt idx="339">
                  <c:v>38230</c:v>
                </c:pt>
                <c:pt idx="340">
                  <c:v>38260</c:v>
                </c:pt>
                <c:pt idx="341">
                  <c:v>38291</c:v>
                </c:pt>
                <c:pt idx="342">
                  <c:v>38321</c:v>
                </c:pt>
                <c:pt idx="343">
                  <c:v>38352</c:v>
                </c:pt>
                <c:pt idx="344">
                  <c:v>38383</c:v>
                </c:pt>
                <c:pt idx="345">
                  <c:v>38411</c:v>
                </c:pt>
                <c:pt idx="346">
                  <c:v>38442</c:v>
                </c:pt>
                <c:pt idx="347">
                  <c:v>38472</c:v>
                </c:pt>
                <c:pt idx="348">
                  <c:v>38503</c:v>
                </c:pt>
                <c:pt idx="349">
                  <c:v>38533</c:v>
                </c:pt>
                <c:pt idx="350">
                  <c:v>38564</c:v>
                </c:pt>
                <c:pt idx="351">
                  <c:v>38595</c:v>
                </c:pt>
                <c:pt idx="352">
                  <c:v>38625</c:v>
                </c:pt>
                <c:pt idx="353">
                  <c:v>38656</c:v>
                </c:pt>
                <c:pt idx="354">
                  <c:v>38686</c:v>
                </c:pt>
                <c:pt idx="355">
                  <c:v>38717</c:v>
                </c:pt>
                <c:pt idx="356">
                  <c:v>38748</c:v>
                </c:pt>
                <c:pt idx="357">
                  <c:v>38776</c:v>
                </c:pt>
                <c:pt idx="358">
                  <c:v>38807</c:v>
                </c:pt>
                <c:pt idx="359">
                  <c:v>38837</c:v>
                </c:pt>
                <c:pt idx="360">
                  <c:v>38868</c:v>
                </c:pt>
                <c:pt idx="361">
                  <c:v>38898</c:v>
                </c:pt>
                <c:pt idx="362">
                  <c:v>38929</c:v>
                </c:pt>
                <c:pt idx="363">
                  <c:v>38960</c:v>
                </c:pt>
                <c:pt idx="364">
                  <c:v>38990</c:v>
                </c:pt>
                <c:pt idx="365">
                  <c:v>39021</c:v>
                </c:pt>
                <c:pt idx="366">
                  <c:v>39051</c:v>
                </c:pt>
                <c:pt idx="367">
                  <c:v>39082</c:v>
                </c:pt>
                <c:pt idx="368">
                  <c:v>39113</c:v>
                </c:pt>
                <c:pt idx="369">
                  <c:v>39141</c:v>
                </c:pt>
                <c:pt idx="370">
                  <c:v>39172</c:v>
                </c:pt>
                <c:pt idx="371">
                  <c:v>39202</c:v>
                </c:pt>
                <c:pt idx="372">
                  <c:v>39233</c:v>
                </c:pt>
                <c:pt idx="373">
                  <c:v>39263</c:v>
                </c:pt>
                <c:pt idx="374">
                  <c:v>39294</c:v>
                </c:pt>
                <c:pt idx="375">
                  <c:v>39325</c:v>
                </c:pt>
                <c:pt idx="376">
                  <c:v>39355</c:v>
                </c:pt>
                <c:pt idx="377">
                  <c:v>39386</c:v>
                </c:pt>
                <c:pt idx="378">
                  <c:v>39416</c:v>
                </c:pt>
                <c:pt idx="379">
                  <c:v>39447</c:v>
                </c:pt>
                <c:pt idx="380">
                  <c:v>39478</c:v>
                </c:pt>
                <c:pt idx="381">
                  <c:v>39507</c:v>
                </c:pt>
                <c:pt idx="382">
                  <c:v>39538</c:v>
                </c:pt>
                <c:pt idx="383">
                  <c:v>39568</c:v>
                </c:pt>
                <c:pt idx="384">
                  <c:v>39599</c:v>
                </c:pt>
                <c:pt idx="385">
                  <c:v>39629</c:v>
                </c:pt>
                <c:pt idx="386">
                  <c:v>39660</c:v>
                </c:pt>
                <c:pt idx="387">
                  <c:v>39691</c:v>
                </c:pt>
                <c:pt idx="388">
                  <c:v>39721</c:v>
                </c:pt>
                <c:pt idx="389">
                  <c:v>39752</c:v>
                </c:pt>
                <c:pt idx="390">
                  <c:v>39782</c:v>
                </c:pt>
                <c:pt idx="391">
                  <c:v>39813</c:v>
                </c:pt>
                <c:pt idx="392">
                  <c:v>39844</c:v>
                </c:pt>
                <c:pt idx="393">
                  <c:v>39872</c:v>
                </c:pt>
                <c:pt idx="394">
                  <c:v>39903</c:v>
                </c:pt>
                <c:pt idx="395">
                  <c:v>39933</c:v>
                </c:pt>
                <c:pt idx="396">
                  <c:v>39964</c:v>
                </c:pt>
                <c:pt idx="397">
                  <c:v>39994</c:v>
                </c:pt>
                <c:pt idx="398">
                  <c:v>40025</c:v>
                </c:pt>
                <c:pt idx="399">
                  <c:v>40056</c:v>
                </c:pt>
                <c:pt idx="400">
                  <c:v>40086</c:v>
                </c:pt>
                <c:pt idx="401">
                  <c:v>40117</c:v>
                </c:pt>
                <c:pt idx="402">
                  <c:v>40147</c:v>
                </c:pt>
                <c:pt idx="403">
                  <c:v>40178</c:v>
                </c:pt>
                <c:pt idx="404">
                  <c:v>40209</c:v>
                </c:pt>
                <c:pt idx="405">
                  <c:v>40237</c:v>
                </c:pt>
                <c:pt idx="406">
                  <c:v>40268</c:v>
                </c:pt>
                <c:pt idx="407">
                  <c:v>40298</c:v>
                </c:pt>
                <c:pt idx="408">
                  <c:v>40329</c:v>
                </c:pt>
                <c:pt idx="409">
                  <c:v>40359</c:v>
                </c:pt>
                <c:pt idx="410">
                  <c:v>40390</c:v>
                </c:pt>
                <c:pt idx="411">
                  <c:v>40421</c:v>
                </c:pt>
                <c:pt idx="412">
                  <c:v>40451</c:v>
                </c:pt>
                <c:pt idx="413">
                  <c:v>40482</c:v>
                </c:pt>
                <c:pt idx="414">
                  <c:v>40512</c:v>
                </c:pt>
                <c:pt idx="415">
                  <c:v>40543</c:v>
                </c:pt>
                <c:pt idx="416">
                  <c:v>40574</c:v>
                </c:pt>
                <c:pt idx="417">
                  <c:v>40602</c:v>
                </c:pt>
                <c:pt idx="418">
                  <c:v>40633</c:v>
                </c:pt>
                <c:pt idx="419">
                  <c:v>40663</c:v>
                </c:pt>
                <c:pt idx="420">
                  <c:v>40694</c:v>
                </c:pt>
                <c:pt idx="421">
                  <c:v>40724</c:v>
                </c:pt>
                <c:pt idx="422">
                  <c:v>40755</c:v>
                </c:pt>
                <c:pt idx="423">
                  <c:v>40786</c:v>
                </c:pt>
                <c:pt idx="424">
                  <c:v>40816</c:v>
                </c:pt>
                <c:pt idx="425">
                  <c:v>40847</c:v>
                </c:pt>
                <c:pt idx="426">
                  <c:v>40877</c:v>
                </c:pt>
                <c:pt idx="427">
                  <c:v>40908</c:v>
                </c:pt>
                <c:pt idx="428">
                  <c:v>40939</c:v>
                </c:pt>
                <c:pt idx="429">
                  <c:v>40968</c:v>
                </c:pt>
                <c:pt idx="430">
                  <c:v>40999</c:v>
                </c:pt>
                <c:pt idx="431">
                  <c:v>41029</c:v>
                </c:pt>
                <c:pt idx="432">
                  <c:v>41060</c:v>
                </c:pt>
                <c:pt idx="433">
                  <c:v>41090</c:v>
                </c:pt>
                <c:pt idx="434">
                  <c:v>41121</c:v>
                </c:pt>
                <c:pt idx="435">
                  <c:v>41152</c:v>
                </c:pt>
                <c:pt idx="436">
                  <c:v>41182</c:v>
                </c:pt>
                <c:pt idx="437">
                  <c:v>41213</c:v>
                </c:pt>
                <c:pt idx="438">
                  <c:v>41243</c:v>
                </c:pt>
                <c:pt idx="439">
                  <c:v>41274</c:v>
                </c:pt>
                <c:pt idx="440">
                  <c:v>41305</c:v>
                </c:pt>
                <c:pt idx="441">
                  <c:v>41333</c:v>
                </c:pt>
                <c:pt idx="442">
                  <c:v>41364</c:v>
                </c:pt>
                <c:pt idx="443">
                  <c:v>41394</c:v>
                </c:pt>
                <c:pt idx="444">
                  <c:v>41425</c:v>
                </c:pt>
                <c:pt idx="445">
                  <c:v>41455</c:v>
                </c:pt>
                <c:pt idx="446">
                  <c:v>41486</c:v>
                </c:pt>
                <c:pt idx="447">
                  <c:v>41517</c:v>
                </c:pt>
                <c:pt idx="448">
                  <c:v>41547</c:v>
                </c:pt>
                <c:pt idx="449">
                  <c:v>41578</c:v>
                </c:pt>
                <c:pt idx="450">
                  <c:v>41608</c:v>
                </c:pt>
                <c:pt idx="451">
                  <c:v>41639</c:v>
                </c:pt>
                <c:pt idx="452">
                  <c:v>41670</c:v>
                </c:pt>
                <c:pt idx="453">
                  <c:v>41698</c:v>
                </c:pt>
                <c:pt idx="454">
                  <c:v>41729</c:v>
                </c:pt>
                <c:pt idx="455">
                  <c:v>41759</c:v>
                </c:pt>
                <c:pt idx="456">
                  <c:v>41790</c:v>
                </c:pt>
                <c:pt idx="457">
                  <c:v>41820</c:v>
                </c:pt>
                <c:pt idx="458">
                  <c:v>41851</c:v>
                </c:pt>
                <c:pt idx="459">
                  <c:v>41882</c:v>
                </c:pt>
                <c:pt idx="460">
                  <c:v>41912</c:v>
                </c:pt>
                <c:pt idx="461">
                  <c:v>41943</c:v>
                </c:pt>
                <c:pt idx="462">
                  <c:v>41973</c:v>
                </c:pt>
                <c:pt idx="463">
                  <c:v>42004</c:v>
                </c:pt>
                <c:pt idx="464">
                  <c:v>42035</c:v>
                </c:pt>
                <c:pt idx="465">
                  <c:v>42063</c:v>
                </c:pt>
              </c:numCache>
            </c:numRef>
          </c:cat>
          <c:val>
            <c:numRef>
              <c:f>'IR Diffs &amp; Carry'!$D$2:$D$720</c:f>
              <c:numCache>
                <c:formatCode>0.00%</c:formatCode>
                <c:ptCount val="719"/>
                <c:pt idx="0">
                  <c:v>2.4161904761904787E-2</c:v>
                </c:pt>
                <c:pt idx="1">
                  <c:v>2.5427272727272729E-2</c:v>
                </c:pt>
                <c:pt idx="2">
                  <c:v>2.2613636363636364E-2</c:v>
                </c:pt>
                <c:pt idx="3">
                  <c:v>2.4590909090909094E-2</c:v>
                </c:pt>
                <c:pt idx="4">
                  <c:v>2.2122727272727259E-2</c:v>
                </c:pt>
                <c:pt idx="5">
                  <c:v>2.2571428571428576E-2</c:v>
                </c:pt>
                <c:pt idx="6">
                  <c:v>2.2254545454545444E-2</c:v>
                </c:pt>
                <c:pt idx="7">
                  <c:v>1.7219047619047613E-2</c:v>
                </c:pt>
                <c:pt idx="8">
                  <c:v>2.8463157894736829E-2</c:v>
                </c:pt>
                <c:pt idx="9">
                  <c:v>2.7435000000000001E-2</c:v>
                </c:pt>
                <c:pt idx="10">
                  <c:v>2.8856521739130413E-2</c:v>
                </c:pt>
                <c:pt idx="11">
                  <c:v>2.6322222222222212E-2</c:v>
                </c:pt>
                <c:pt idx="12">
                  <c:v>3.2940909090909083E-2</c:v>
                </c:pt>
                <c:pt idx="13">
                  <c:v>4.1304545454545462E-2</c:v>
                </c:pt>
                <c:pt idx="14">
                  <c:v>3.9161904761904759E-2</c:v>
                </c:pt>
                <c:pt idx="15">
                  <c:v>3.7695652173913054E-2</c:v>
                </c:pt>
                <c:pt idx="16">
                  <c:v>3.3290909090909093E-2</c:v>
                </c:pt>
                <c:pt idx="17">
                  <c:v>2.3847619047619048E-2</c:v>
                </c:pt>
                <c:pt idx="18">
                  <c:v>2.653636363636365E-2</c:v>
                </c:pt>
                <c:pt idx="19">
                  <c:v>2.5880952380952393E-2</c:v>
                </c:pt>
                <c:pt idx="20">
                  <c:v>2.0545000000000022E-2</c:v>
                </c:pt>
                <c:pt idx="21">
                  <c:v>1.6390000000000002E-2</c:v>
                </c:pt>
                <c:pt idx="22">
                  <c:v>1.1628571428571433E-2</c:v>
                </c:pt>
                <c:pt idx="23">
                  <c:v>7.8263157894736951E-3</c:v>
                </c:pt>
                <c:pt idx="24">
                  <c:v>1.74913043478261E-2</c:v>
                </c:pt>
                <c:pt idx="25">
                  <c:v>1.440476190476192E-2</c:v>
                </c:pt>
                <c:pt idx="26">
                  <c:v>1.0028571428571414E-2</c:v>
                </c:pt>
                <c:pt idx="27">
                  <c:v>9.6826086956521978E-3</c:v>
                </c:pt>
                <c:pt idx="28">
                  <c:v>7.3047619047619111E-3</c:v>
                </c:pt>
                <c:pt idx="29">
                  <c:v>4.3863636363636188E-3</c:v>
                </c:pt>
                <c:pt idx="30">
                  <c:v>-1.7904545454545451E-2</c:v>
                </c:pt>
                <c:pt idx="31">
                  <c:v>-1.7152631578947378E-2</c:v>
                </c:pt>
                <c:pt idx="32">
                  <c:v>-1.8914285714285703E-2</c:v>
                </c:pt>
                <c:pt idx="33">
                  <c:v>-2.2350000000000009E-2</c:v>
                </c:pt>
                <c:pt idx="34">
                  <c:v>-1.9081818181818186E-2</c:v>
                </c:pt>
                <c:pt idx="35">
                  <c:v>-1.3988888888888884E-2</c:v>
                </c:pt>
                <c:pt idx="36">
                  <c:v>-7.9434782608695798E-3</c:v>
                </c:pt>
                <c:pt idx="37">
                  <c:v>-1.5757142857142858E-2</c:v>
                </c:pt>
                <c:pt idx="38">
                  <c:v>-4.1318181818181809E-3</c:v>
                </c:pt>
                <c:pt idx="39">
                  <c:v>-3.095652173913041E-3</c:v>
                </c:pt>
                <c:pt idx="40">
                  <c:v>-2.0174999999999998E-2</c:v>
                </c:pt>
                <c:pt idx="41">
                  <c:v>-4.7199999999999978E-2</c:v>
                </c:pt>
                <c:pt idx="42">
                  <c:v>-4.1913636363636361E-2</c:v>
                </c:pt>
                <c:pt idx="43">
                  <c:v>-4.2800000000000005E-2</c:v>
                </c:pt>
                <c:pt idx="44">
                  <c:v>-4.581904761904762E-2</c:v>
                </c:pt>
                <c:pt idx="45">
                  <c:v>-5.272857142857143E-2</c:v>
                </c:pt>
                <c:pt idx="46">
                  <c:v>-6.785238095238097E-2</c:v>
                </c:pt>
                <c:pt idx="47">
                  <c:v>-6.9257894736842116E-2</c:v>
                </c:pt>
                <c:pt idx="48">
                  <c:v>2.7359090909090916E-2</c:v>
                </c:pt>
                <c:pt idx="49">
                  <c:v>4.2561904761904745E-2</c:v>
                </c:pt>
                <c:pt idx="50">
                  <c:v>3.8286956521739135E-2</c:v>
                </c:pt>
                <c:pt idx="51">
                  <c:v>2.806666666666667E-2</c:v>
                </c:pt>
                <c:pt idx="52">
                  <c:v>3.5727272727272691E-3</c:v>
                </c:pt>
                <c:pt idx="53">
                  <c:v>-2.9839130434782604E-2</c:v>
                </c:pt>
                <c:pt idx="54">
                  <c:v>-5.5250000000000007E-2</c:v>
                </c:pt>
                <c:pt idx="55">
                  <c:v>-8.0190476190476159E-2</c:v>
                </c:pt>
                <c:pt idx="56">
                  <c:v>-8.4049999999999958E-2</c:v>
                </c:pt>
                <c:pt idx="57">
                  <c:v>-4.9299999999999997E-2</c:v>
                </c:pt>
                <c:pt idx="58">
                  <c:v>-2.7113636363636354E-2</c:v>
                </c:pt>
                <c:pt idx="59">
                  <c:v>-2.6325000000000015E-2</c:v>
                </c:pt>
                <c:pt idx="60">
                  <c:v>-4.3295238095238109E-2</c:v>
                </c:pt>
                <c:pt idx="61">
                  <c:v>-3.7704545454545463E-2</c:v>
                </c:pt>
                <c:pt idx="62">
                  <c:v>-3.5997826086956508E-2</c:v>
                </c:pt>
                <c:pt idx="63">
                  <c:v>-2.8200000000000003E-2</c:v>
                </c:pt>
                <c:pt idx="64">
                  <c:v>-1.1938636363636346E-2</c:v>
                </c:pt>
                <c:pt idx="65">
                  <c:v>-7.4477272727272448E-3</c:v>
                </c:pt>
                <c:pt idx="66">
                  <c:v>1.231666666666667E-2</c:v>
                </c:pt>
                <c:pt idx="67">
                  <c:v>3.2490476190476195E-2</c:v>
                </c:pt>
                <c:pt idx="68">
                  <c:v>1.7737499999999989E-2</c:v>
                </c:pt>
                <c:pt idx="69">
                  <c:v>4.2394736842105429E-3</c:v>
                </c:pt>
                <c:pt idx="70">
                  <c:v>1.4015217391304347E-2</c:v>
                </c:pt>
                <c:pt idx="71">
                  <c:v>4.1537500000000005E-2</c:v>
                </c:pt>
                <c:pt idx="72">
                  <c:v>3.9428571428571424E-2</c:v>
                </c:pt>
                <c:pt idx="73">
                  <c:v>3.4295454545454518E-2</c:v>
                </c:pt>
                <c:pt idx="74">
                  <c:v>3.9213636363636367E-2</c:v>
                </c:pt>
                <c:pt idx="75">
                  <c:v>0.10647045454545452</c:v>
                </c:pt>
                <c:pt idx="76">
                  <c:v>5.7865909090909093E-2</c:v>
                </c:pt>
                <c:pt idx="77">
                  <c:v>5.9864285714285717E-2</c:v>
                </c:pt>
                <c:pt idx="78">
                  <c:v>4.8000000000000015E-2</c:v>
                </c:pt>
                <c:pt idx="79">
                  <c:v>2.5083333333333346E-2</c:v>
                </c:pt>
                <c:pt idx="80">
                  <c:v>3.681842105263157E-2</c:v>
                </c:pt>
                <c:pt idx="81">
                  <c:v>4.1650000000000006E-2</c:v>
                </c:pt>
                <c:pt idx="82">
                  <c:v>7.9636956521739133E-2</c:v>
                </c:pt>
                <c:pt idx="83">
                  <c:v>3.8111111111111109E-2</c:v>
                </c:pt>
                <c:pt idx="84">
                  <c:v>3.2677272727272735E-2</c:v>
                </c:pt>
                <c:pt idx="85">
                  <c:v>2.7643181818181817E-2</c:v>
                </c:pt>
                <c:pt idx="86">
                  <c:v>9.7523809523809568E-3</c:v>
                </c:pt>
                <c:pt idx="87">
                  <c:v>1.1084782608695637E-2</c:v>
                </c:pt>
                <c:pt idx="88">
                  <c:v>1.5329545454545457E-2</c:v>
                </c:pt>
                <c:pt idx="89">
                  <c:v>7.6404761904761836E-3</c:v>
                </c:pt>
                <c:pt idx="90">
                  <c:v>6.2590909090909225E-3</c:v>
                </c:pt>
                <c:pt idx="91">
                  <c:v>-4.7137500000000013E-2</c:v>
                </c:pt>
                <c:pt idx="92">
                  <c:v>-4.2875000000000135E-3</c:v>
                </c:pt>
                <c:pt idx="93">
                  <c:v>1.8857142857142822E-3</c:v>
                </c:pt>
                <c:pt idx="94">
                  <c:v>2.6411363636363636E-2</c:v>
                </c:pt>
                <c:pt idx="95">
                  <c:v>4.8572222222222211E-2</c:v>
                </c:pt>
                <c:pt idx="96">
                  <c:v>3.7560869565217384E-2</c:v>
                </c:pt>
                <c:pt idx="97">
                  <c:v>1.2733333333333333E-2</c:v>
                </c:pt>
                <c:pt idx="98">
                  <c:v>9.631818181818172E-3</c:v>
                </c:pt>
                <c:pt idx="99">
                  <c:v>-2.5869565217391532E-4</c:v>
                </c:pt>
                <c:pt idx="100">
                  <c:v>-2.312500000000009E-3</c:v>
                </c:pt>
                <c:pt idx="101">
                  <c:v>1.1513043478260876E-2</c:v>
                </c:pt>
                <c:pt idx="102">
                  <c:v>2.0915909090909096E-2</c:v>
                </c:pt>
                <c:pt idx="103">
                  <c:v>3.6269444444444437E-2</c:v>
                </c:pt>
                <c:pt idx="104">
                  <c:v>2.9178571428571429E-2</c:v>
                </c:pt>
                <c:pt idx="105">
                  <c:v>3.1437500000000007E-2</c:v>
                </c:pt>
                <c:pt idx="106">
                  <c:v>5.3902380952380938E-2</c:v>
                </c:pt>
                <c:pt idx="107">
                  <c:v>7.1247368421052643E-2</c:v>
                </c:pt>
                <c:pt idx="108">
                  <c:v>7.8669565217391324E-2</c:v>
                </c:pt>
                <c:pt idx="109">
                  <c:v>0.11388749999999997</c:v>
                </c:pt>
                <c:pt idx="110">
                  <c:v>7.5950000000000004E-2</c:v>
                </c:pt>
                <c:pt idx="111">
                  <c:v>8.6000000000000007E-2</c:v>
                </c:pt>
                <c:pt idx="112">
                  <c:v>8.4907142857142848E-2</c:v>
                </c:pt>
                <c:pt idx="113">
                  <c:v>8.0969565217391293E-2</c:v>
                </c:pt>
                <c:pt idx="114">
                  <c:v>0.10069047619047621</c:v>
                </c:pt>
                <c:pt idx="115">
                  <c:v>0.11123750000000002</c:v>
                </c:pt>
                <c:pt idx="116">
                  <c:v>0.10764761904761905</c:v>
                </c:pt>
                <c:pt idx="117">
                  <c:v>0.10721250000000002</c:v>
                </c:pt>
                <c:pt idx="118">
                  <c:v>9.8094736842105262E-2</c:v>
                </c:pt>
                <c:pt idx="119">
                  <c:v>0.10158809523809524</c:v>
                </c:pt>
                <c:pt idx="120">
                  <c:v>8.2579545454545447E-2</c:v>
                </c:pt>
                <c:pt idx="121">
                  <c:v>8.5145238095238093E-2</c:v>
                </c:pt>
                <c:pt idx="122">
                  <c:v>8.1519565217391315E-2</c:v>
                </c:pt>
                <c:pt idx="123">
                  <c:v>0.11609761904761903</c:v>
                </c:pt>
                <c:pt idx="124">
                  <c:v>0.11807727272727274</c:v>
                </c:pt>
                <c:pt idx="125">
                  <c:v>0.10792391304347829</c:v>
                </c:pt>
                <c:pt idx="126">
                  <c:v>0.1031125</c:v>
                </c:pt>
                <c:pt idx="127">
                  <c:v>8.5911904761904745E-2</c:v>
                </c:pt>
                <c:pt idx="128">
                  <c:v>0.10190000000000002</c:v>
                </c:pt>
                <c:pt idx="129">
                  <c:v>0.10331249999999997</c:v>
                </c:pt>
                <c:pt idx="130">
                  <c:v>0.1009613636363636</c:v>
                </c:pt>
                <c:pt idx="131">
                  <c:v>8.4300000000000014E-2</c:v>
                </c:pt>
                <c:pt idx="132">
                  <c:v>7.4130952380952395E-2</c:v>
                </c:pt>
                <c:pt idx="133">
                  <c:v>6.45452380952381E-2</c:v>
                </c:pt>
                <c:pt idx="134">
                  <c:v>5.8471739130434811E-2</c:v>
                </c:pt>
                <c:pt idx="135">
                  <c:v>5.4330952380952383E-2</c:v>
                </c:pt>
                <c:pt idx="136">
                  <c:v>4.5822727272727265E-2</c:v>
                </c:pt>
                <c:pt idx="137">
                  <c:v>4.0134090909090911E-2</c:v>
                </c:pt>
                <c:pt idx="138">
                  <c:v>5.001904761904763E-2</c:v>
                </c:pt>
                <c:pt idx="139">
                  <c:v>4.532380952380953E-2</c:v>
                </c:pt>
                <c:pt idx="140">
                  <c:v>3.7884210526315784E-2</c:v>
                </c:pt>
                <c:pt idx="141">
                  <c:v>4.0807142857142861E-2</c:v>
                </c:pt>
                <c:pt idx="142">
                  <c:v>4.2873913043478248E-2</c:v>
                </c:pt>
                <c:pt idx="143">
                  <c:v>4.4313888888888875E-2</c:v>
                </c:pt>
                <c:pt idx="144">
                  <c:v>5.4849999999999996E-2</c:v>
                </c:pt>
                <c:pt idx="145">
                  <c:v>5.5638095238095264E-2</c:v>
                </c:pt>
                <c:pt idx="146">
                  <c:v>4.9609523809523812E-2</c:v>
                </c:pt>
                <c:pt idx="147">
                  <c:v>4.9039130434782585E-2</c:v>
                </c:pt>
                <c:pt idx="148">
                  <c:v>4.8768181818181849E-2</c:v>
                </c:pt>
                <c:pt idx="149">
                  <c:v>5.1128571428571398E-2</c:v>
                </c:pt>
                <c:pt idx="150">
                  <c:v>5.9777272727272762E-2</c:v>
                </c:pt>
                <c:pt idx="151">
                  <c:v>5.829000000000005E-2</c:v>
                </c:pt>
                <c:pt idx="152">
                  <c:v>5.7000000000000009E-2</c:v>
                </c:pt>
                <c:pt idx="153">
                  <c:v>6.4065000000000039E-2</c:v>
                </c:pt>
                <c:pt idx="154">
                  <c:v>6.6571428571428545E-2</c:v>
                </c:pt>
                <c:pt idx="155">
                  <c:v>6.8710526315789514E-2</c:v>
                </c:pt>
                <c:pt idx="156">
                  <c:v>7.4813043478260885E-2</c:v>
                </c:pt>
                <c:pt idx="157">
                  <c:v>8.1980952380952432E-2</c:v>
                </c:pt>
                <c:pt idx="158">
                  <c:v>8.6804761904761871E-2</c:v>
                </c:pt>
                <c:pt idx="159">
                  <c:v>8.8704347826086993E-2</c:v>
                </c:pt>
                <c:pt idx="160">
                  <c:v>9.0423809523809517E-2</c:v>
                </c:pt>
                <c:pt idx="161">
                  <c:v>9.2063636363636417E-2</c:v>
                </c:pt>
                <c:pt idx="162">
                  <c:v>9.6345454545454526E-2</c:v>
                </c:pt>
                <c:pt idx="163">
                  <c:v>9.7073684210526284E-2</c:v>
                </c:pt>
                <c:pt idx="164">
                  <c:v>9.5763636363636287E-2</c:v>
                </c:pt>
                <c:pt idx="165">
                  <c:v>8.5619999999999946E-2</c:v>
                </c:pt>
                <c:pt idx="166">
                  <c:v>8.1450000000000009E-2</c:v>
                </c:pt>
                <c:pt idx="167">
                  <c:v>6.9105555555555601E-2</c:v>
                </c:pt>
                <c:pt idx="168">
                  <c:v>6.8373913043478243E-2</c:v>
                </c:pt>
                <c:pt idx="169">
                  <c:v>6.7610000000000045E-2</c:v>
                </c:pt>
                <c:pt idx="170">
                  <c:v>6.8690909090909066E-2</c:v>
                </c:pt>
                <c:pt idx="171">
                  <c:v>5.9378260869565214E-2</c:v>
                </c:pt>
                <c:pt idx="172">
                  <c:v>5.8495000000000019E-2</c:v>
                </c:pt>
                <c:pt idx="173">
                  <c:v>5.3578260869565256E-2</c:v>
                </c:pt>
                <c:pt idx="174">
                  <c:v>5.2368181818181841E-2</c:v>
                </c:pt>
                <c:pt idx="175">
                  <c:v>5.3673684210526318E-2</c:v>
                </c:pt>
                <c:pt idx="176">
                  <c:v>5.1114285714285723E-2</c:v>
                </c:pt>
                <c:pt idx="177">
                  <c:v>5.7624999999999996E-2</c:v>
                </c:pt>
                <c:pt idx="178">
                  <c:v>5.9005000000000002E-2</c:v>
                </c:pt>
                <c:pt idx="179">
                  <c:v>5.6690000000000018E-2</c:v>
                </c:pt>
                <c:pt idx="180">
                  <c:v>5.2121739130434774E-2</c:v>
                </c:pt>
                <c:pt idx="181">
                  <c:v>4.6415789473684209E-2</c:v>
                </c:pt>
                <c:pt idx="182">
                  <c:v>4.6647826086956515E-2</c:v>
                </c:pt>
                <c:pt idx="183">
                  <c:v>4.8599999999999997E-2</c:v>
                </c:pt>
                <c:pt idx="184">
                  <c:v>4.1438095238095239E-2</c:v>
                </c:pt>
                <c:pt idx="185">
                  <c:v>4.2843478260869546E-2</c:v>
                </c:pt>
                <c:pt idx="186">
                  <c:v>3.8300000000000008E-2</c:v>
                </c:pt>
                <c:pt idx="187">
                  <c:v>4.0845000000000013E-2</c:v>
                </c:pt>
                <c:pt idx="188">
                  <c:v>3.7209523809523817E-2</c:v>
                </c:pt>
                <c:pt idx="189">
                  <c:v>3.4585000000000005E-2</c:v>
                </c:pt>
                <c:pt idx="190">
                  <c:v>3.5563636363636353E-2</c:v>
                </c:pt>
                <c:pt idx="191">
                  <c:v>3.7750000000000006E-2</c:v>
                </c:pt>
                <c:pt idx="192">
                  <c:v>2.8695238095238093E-2</c:v>
                </c:pt>
                <c:pt idx="193">
                  <c:v>2.8114285714285703E-2</c:v>
                </c:pt>
                <c:pt idx="194">
                  <c:v>2.6843478260869566E-2</c:v>
                </c:pt>
                <c:pt idx="195">
                  <c:v>2.5619047619047625E-2</c:v>
                </c:pt>
                <c:pt idx="196">
                  <c:v>2.520909090909091E-2</c:v>
                </c:pt>
                <c:pt idx="197">
                  <c:v>2.639090909090909E-2</c:v>
                </c:pt>
                <c:pt idx="198">
                  <c:v>2.6809523809523804E-2</c:v>
                </c:pt>
                <c:pt idx="199">
                  <c:v>2.8733333333333336E-2</c:v>
                </c:pt>
                <c:pt idx="200">
                  <c:v>2.7310000000000004E-2</c:v>
                </c:pt>
                <c:pt idx="201">
                  <c:v>2.7095000000000004E-2</c:v>
                </c:pt>
                <c:pt idx="202">
                  <c:v>2.5456521739130433E-2</c:v>
                </c:pt>
                <c:pt idx="203">
                  <c:v>2.2874999999999993E-2</c:v>
                </c:pt>
                <c:pt idx="204">
                  <c:v>2.2585714285714299E-2</c:v>
                </c:pt>
                <c:pt idx="205">
                  <c:v>2.2314285714285714E-2</c:v>
                </c:pt>
                <c:pt idx="206">
                  <c:v>2.1795454545454548E-2</c:v>
                </c:pt>
                <c:pt idx="207">
                  <c:v>1.7409090909090919E-2</c:v>
                </c:pt>
                <c:pt idx="208">
                  <c:v>1.6327272727272732E-2</c:v>
                </c:pt>
                <c:pt idx="209">
                  <c:v>1.6974999999999997E-2</c:v>
                </c:pt>
                <c:pt idx="210">
                  <c:v>1.6913636363636349E-2</c:v>
                </c:pt>
                <c:pt idx="211">
                  <c:v>1.7647619047619044E-2</c:v>
                </c:pt>
                <c:pt idx="212">
                  <c:v>1.6563157894736849E-2</c:v>
                </c:pt>
                <c:pt idx="213">
                  <c:v>1.4609999999999984E-2</c:v>
                </c:pt>
                <c:pt idx="214">
                  <c:v>1.3821739130434781E-2</c:v>
                </c:pt>
                <c:pt idx="215">
                  <c:v>1.1288888888888883E-2</c:v>
                </c:pt>
                <c:pt idx="216">
                  <c:v>6.6272727272727247E-3</c:v>
                </c:pt>
                <c:pt idx="217">
                  <c:v>4.3238095238095145E-3</c:v>
                </c:pt>
                <c:pt idx="218">
                  <c:v>3.9857142857142938E-3</c:v>
                </c:pt>
                <c:pt idx="219">
                  <c:v>5.3478260869565183E-3</c:v>
                </c:pt>
                <c:pt idx="220">
                  <c:v>7.1181818181818221E-3</c:v>
                </c:pt>
                <c:pt idx="221">
                  <c:v>9.5000000000000015E-3</c:v>
                </c:pt>
                <c:pt idx="222">
                  <c:v>1.1381818181818174E-2</c:v>
                </c:pt>
                <c:pt idx="223">
                  <c:v>1.5105E-2</c:v>
                </c:pt>
                <c:pt idx="224">
                  <c:v>1.9629999999999995E-2</c:v>
                </c:pt>
                <c:pt idx="225">
                  <c:v>1.5615000000000018E-2</c:v>
                </c:pt>
                <c:pt idx="226">
                  <c:v>1.5117391304347805E-2</c:v>
                </c:pt>
                <c:pt idx="227">
                  <c:v>1.4570588235294113E-2</c:v>
                </c:pt>
                <c:pt idx="228">
                  <c:v>1.4891304347826081E-2</c:v>
                </c:pt>
                <c:pt idx="229">
                  <c:v>1.5090476190476196E-2</c:v>
                </c:pt>
                <c:pt idx="230">
                  <c:v>1.6580952380952391E-2</c:v>
                </c:pt>
                <c:pt idx="231">
                  <c:v>1.7704347826086965E-2</c:v>
                </c:pt>
                <c:pt idx="232">
                  <c:v>1.6928571428571418E-2</c:v>
                </c:pt>
                <c:pt idx="233">
                  <c:v>1.724545454545455E-2</c:v>
                </c:pt>
                <c:pt idx="234">
                  <c:v>1.7022727272727287E-2</c:v>
                </c:pt>
                <c:pt idx="235">
                  <c:v>1.9084210526315787E-2</c:v>
                </c:pt>
                <c:pt idx="236">
                  <c:v>1.9404761904761911E-2</c:v>
                </c:pt>
                <c:pt idx="237">
                  <c:v>2.283333333333333E-2</c:v>
                </c:pt>
                <c:pt idx="238">
                  <c:v>2.2085714285714278E-2</c:v>
                </c:pt>
                <c:pt idx="239">
                  <c:v>2.2742105263157897E-2</c:v>
                </c:pt>
                <c:pt idx="240">
                  <c:v>2.2721739130434779E-2</c:v>
                </c:pt>
                <c:pt idx="241">
                  <c:v>2.2405263157894734E-2</c:v>
                </c:pt>
                <c:pt idx="242">
                  <c:v>2.105652173913046E-2</c:v>
                </c:pt>
                <c:pt idx="243">
                  <c:v>1.7859090909090922E-2</c:v>
                </c:pt>
                <c:pt idx="244">
                  <c:v>1.7061904761904771E-2</c:v>
                </c:pt>
                <c:pt idx="245">
                  <c:v>1.7626086956521736E-2</c:v>
                </c:pt>
                <c:pt idx="246">
                  <c:v>1.2652380952380957E-2</c:v>
                </c:pt>
                <c:pt idx="247">
                  <c:v>9.3899999999999956E-3</c:v>
                </c:pt>
                <c:pt idx="248">
                  <c:v>7.8619047619047713E-3</c:v>
                </c:pt>
                <c:pt idx="249">
                  <c:v>8.1550000000000025E-3</c:v>
                </c:pt>
                <c:pt idx="250">
                  <c:v>6.4894736842105172E-3</c:v>
                </c:pt>
                <c:pt idx="251">
                  <c:v>5.4380952380952419E-3</c:v>
                </c:pt>
                <c:pt idx="252">
                  <c:v>4.0999999999999995E-3</c:v>
                </c:pt>
                <c:pt idx="253">
                  <c:v>1.0000000000000286E-4</c:v>
                </c:pt>
                <c:pt idx="254">
                  <c:v>-7.7391304347824985E-4</c:v>
                </c:pt>
                <c:pt idx="255">
                  <c:v>-5.6476190476190402E-3</c:v>
                </c:pt>
                <c:pt idx="256">
                  <c:v>-5.5636363636363609E-3</c:v>
                </c:pt>
                <c:pt idx="257">
                  <c:v>-5.1695652173912934E-3</c:v>
                </c:pt>
                <c:pt idx="258">
                  <c:v>-5.164999999999989E-3</c:v>
                </c:pt>
                <c:pt idx="259">
                  <c:v>-4.747619047619063E-3</c:v>
                </c:pt>
                <c:pt idx="260">
                  <c:v>-5.5900000000000047E-3</c:v>
                </c:pt>
                <c:pt idx="261">
                  <c:v>-5.274999999999995E-3</c:v>
                </c:pt>
                <c:pt idx="262">
                  <c:v>-4.9363636363636415E-3</c:v>
                </c:pt>
                <c:pt idx="263">
                  <c:v>-4.704999999999987E-3</c:v>
                </c:pt>
                <c:pt idx="264">
                  <c:v>-4.8952380952380983E-3</c:v>
                </c:pt>
                <c:pt idx="265">
                  <c:v>-4.8809523809523747E-3</c:v>
                </c:pt>
                <c:pt idx="266">
                  <c:v>-5.6043478260869584E-3</c:v>
                </c:pt>
                <c:pt idx="267">
                  <c:v>-5.8000000000000065E-3</c:v>
                </c:pt>
                <c:pt idx="268">
                  <c:v>-5.3954545454545505E-3</c:v>
                </c:pt>
                <c:pt idx="269">
                  <c:v>-1.0136363636363763E-3</c:v>
                </c:pt>
                <c:pt idx="270">
                  <c:v>1.5047619047618976E-3</c:v>
                </c:pt>
                <c:pt idx="271">
                  <c:v>7.1904761904761916E-4</c:v>
                </c:pt>
                <c:pt idx="272">
                  <c:v>8.7368421052630429E-4</c:v>
                </c:pt>
                <c:pt idx="273">
                  <c:v>-3.9999999999999758E-4</c:v>
                </c:pt>
                <c:pt idx="274">
                  <c:v>-6.999999999999923E-4</c:v>
                </c:pt>
                <c:pt idx="275">
                  <c:v>0</c:v>
                </c:pt>
                <c:pt idx="276">
                  <c:v>9.9999999999995925E-5</c:v>
                </c:pt>
                <c:pt idx="277">
                  <c:v>0</c:v>
                </c:pt>
                <c:pt idx="278">
                  <c:v>-2.4999999999999953E-3</c:v>
                </c:pt>
                <c:pt idx="279">
                  <c:v>-3.4000000000000002E-3</c:v>
                </c:pt>
                <c:pt idx="280">
                  <c:v>-4.6999999999999958E-3</c:v>
                </c:pt>
                <c:pt idx="281">
                  <c:v>-4.500000000000004E-3</c:v>
                </c:pt>
                <c:pt idx="282">
                  <c:v>-4.3999999999999942E-3</c:v>
                </c:pt>
                <c:pt idx="283">
                  <c:v>-3.3000000000000043E-3</c:v>
                </c:pt>
                <c:pt idx="284">
                  <c:v>-4.6999999999999958E-3</c:v>
                </c:pt>
                <c:pt idx="285">
                  <c:v>-2.700000000000001E-3</c:v>
                </c:pt>
                <c:pt idx="286">
                  <c:v>-3.5999999999999921E-3</c:v>
                </c:pt>
                <c:pt idx="287">
                  <c:v>-2.9999999999999957E-3</c:v>
                </c:pt>
                <c:pt idx="288">
                  <c:v>-2.8999999999999859E-3</c:v>
                </c:pt>
                <c:pt idx="289">
                  <c:v>-5.2999999999999992E-3</c:v>
                </c:pt>
                <c:pt idx="290">
                  <c:v>-5.4999999999999979E-3</c:v>
                </c:pt>
                <c:pt idx="291">
                  <c:v>-2.5999999999999981E-3</c:v>
                </c:pt>
                <c:pt idx="292">
                  <c:v>-2.79999999999999E-3</c:v>
                </c:pt>
                <c:pt idx="293">
                  <c:v>-2.79999999999999E-3</c:v>
                </c:pt>
                <c:pt idx="294">
                  <c:v>-2.8999999999999929E-3</c:v>
                </c:pt>
                <c:pt idx="295">
                  <c:v>-1.7000000000000001E-3</c:v>
                </c:pt>
                <c:pt idx="296">
                  <c:v>2.5999999999999981E-3</c:v>
                </c:pt>
                <c:pt idx="297">
                  <c:v>3.4999999999999962E-3</c:v>
                </c:pt>
                <c:pt idx="298">
                  <c:v>2.3000000000000034E-3</c:v>
                </c:pt>
                <c:pt idx="299">
                  <c:v>2.4999999999999953E-3</c:v>
                </c:pt>
                <c:pt idx="300">
                  <c:v>7.8000000000000014E-3</c:v>
                </c:pt>
                <c:pt idx="301">
                  <c:v>1.0300000000000004E-2</c:v>
                </c:pt>
                <c:pt idx="302">
                  <c:v>1.2300000000000005E-2</c:v>
                </c:pt>
                <c:pt idx="303">
                  <c:v>1.3400000000000002E-2</c:v>
                </c:pt>
                <c:pt idx="304">
                  <c:v>1.6800000000000002E-2</c:v>
                </c:pt>
                <c:pt idx="305">
                  <c:v>2.0199999999999999E-2</c:v>
                </c:pt>
                <c:pt idx="306">
                  <c:v>2.4000000000000004E-2</c:v>
                </c:pt>
                <c:pt idx="307">
                  <c:v>2.4499999999999994E-2</c:v>
                </c:pt>
                <c:pt idx="308">
                  <c:v>2.5100000000000001E-2</c:v>
                </c:pt>
                <c:pt idx="309">
                  <c:v>2.5000000000000001E-2</c:v>
                </c:pt>
                <c:pt idx="310">
                  <c:v>2.5000000000000005E-2</c:v>
                </c:pt>
                <c:pt idx="311">
                  <c:v>2.4899999999999999E-2</c:v>
                </c:pt>
                <c:pt idx="312">
                  <c:v>2.69E-2</c:v>
                </c:pt>
                <c:pt idx="313">
                  <c:v>2.9699999999999997E-2</c:v>
                </c:pt>
                <c:pt idx="314">
                  <c:v>3.0200000000000001E-2</c:v>
                </c:pt>
                <c:pt idx="315">
                  <c:v>3.0100000000000002E-2</c:v>
                </c:pt>
                <c:pt idx="316">
                  <c:v>0.03</c:v>
                </c:pt>
                <c:pt idx="317">
                  <c:v>0.03</c:v>
                </c:pt>
                <c:pt idx="318">
                  <c:v>3.4099999999999998E-2</c:v>
                </c:pt>
                <c:pt idx="319">
                  <c:v>3.5099999999999999E-2</c:v>
                </c:pt>
                <c:pt idx="320">
                  <c:v>3.5099999999999999E-2</c:v>
                </c:pt>
                <c:pt idx="321">
                  <c:v>3.49E-2</c:v>
                </c:pt>
                <c:pt idx="322">
                  <c:v>3.5000000000000003E-2</c:v>
                </c:pt>
                <c:pt idx="323">
                  <c:v>3.49E-2</c:v>
                </c:pt>
                <c:pt idx="324">
                  <c:v>3.49E-2</c:v>
                </c:pt>
                <c:pt idx="325">
                  <c:v>3.5299999999999998E-2</c:v>
                </c:pt>
                <c:pt idx="326">
                  <c:v>3.7400000000000003E-2</c:v>
                </c:pt>
                <c:pt idx="327">
                  <c:v>3.7199999999999997E-2</c:v>
                </c:pt>
                <c:pt idx="328">
                  <c:v>3.7400000000000003E-2</c:v>
                </c:pt>
                <c:pt idx="329">
                  <c:v>3.7400000000000003E-2</c:v>
                </c:pt>
                <c:pt idx="330">
                  <c:v>3.9800000000000002E-2</c:v>
                </c:pt>
                <c:pt idx="331">
                  <c:v>4.250000000000001E-2</c:v>
                </c:pt>
                <c:pt idx="332">
                  <c:v>4.2499999999999996E-2</c:v>
                </c:pt>
                <c:pt idx="333">
                  <c:v>4.24E-2</c:v>
                </c:pt>
                <c:pt idx="334">
                  <c:v>4.2499999999999996E-2</c:v>
                </c:pt>
                <c:pt idx="335">
                  <c:v>4.2499999999999996E-2</c:v>
                </c:pt>
                <c:pt idx="336">
                  <c:v>4.2499999999999996E-2</c:v>
                </c:pt>
                <c:pt idx="337">
                  <c:v>4.2200000000000001E-2</c:v>
                </c:pt>
                <c:pt idx="338">
                  <c:v>3.9899999999999998E-2</c:v>
                </c:pt>
                <c:pt idx="339">
                  <c:v>3.8199999999999998E-2</c:v>
                </c:pt>
                <c:pt idx="340">
                  <c:v>3.6400000000000002E-2</c:v>
                </c:pt>
                <c:pt idx="341">
                  <c:v>3.49E-2</c:v>
                </c:pt>
                <c:pt idx="342">
                  <c:v>3.32E-2</c:v>
                </c:pt>
                <c:pt idx="343">
                  <c:v>3.0899999999999997E-2</c:v>
                </c:pt>
                <c:pt idx="344">
                  <c:v>2.9700000000000001E-2</c:v>
                </c:pt>
                <c:pt idx="345">
                  <c:v>2.7499999999999997E-2</c:v>
                </c:pt>
                <c:pt idx="346">
                  <c:v>2.8600000000000004E-2</c:v>
                </c:pt>
                <c:pt idx="347">
                  <c:v>2.7099999999999999E-2</c:v>
                </c:pt>
                <c:pt idx="348">
                  <c:v>2.5000000000000001E-2</c:v>
                </c:pt>
                <c:pt idx="349">
                  <c:v>2.46E-2</c:v>
                </c:pt>
                <c:pt idx="350">
                  <c:v>2.2400000000000003E-2</c:v>
                </c:pt>
                <c:pt idx="351">
                  <c:v>1.9999999999999997E-2</c:v>
                </c:pt>
                <c:pt idx="352">
                  <c:v>1.8799999999999997E-2</c:v>
                </c:pt>
                <c:pt idx="353">
                  <c:v>1.72E-2</c:v>
                </c:pt>
                <c:pt idx="354">
                  <c:v>1.4999999999999999E-2</c:v>
                </c:pt>
                <c:pt idx="355">
                  <c:v>1.3400000000000002E-2</c:v>
                </c:pt>
                <c:pt idx="356">
                  <c:v>1.21E-2</c:v>
                </c:pt>
                <c:pt idx="357">
                  <c:v>1.0099999999999998E-2</c:v>
                </c:pt>
                <c:pt idx="358">
                  <c:v>9.1000000000000039E-3</c:v>
                </c:pt>
                <c:pt idx="359">
                  <c:v>7.1000000000000021E-3</c:v>
                </c:pt>
                <c:pt idx="360">
                  <c:v>7.8999999999999973E-3</c:v>
                </c:pt>
                <c:pt idx="361">
                  <c:v>7.6000000000000026E-3</c:v>
                </c:pt>
                <c:pt idx="362">
                  <c:v>5.1000000000000004E-3</c:v>
                </c:pt>
                <c:pt idx="363">
                  <c:v>7.4000000000000038E-3</c:v>
                </c:pt>
                <c:pt idx="364">
                  <c:v>7.4999999999999997E-3</c:v>
                </c:pt>
                <c:pt idx="365">
                  <c:v>7.4999999999999997E-3</c:v>
                </c:pt>
                <c:pt idx="366">
                  <c:v>9.4000000000000056E-3</c:v>
                </c:pt>
                <c:pt idx="367">
                  <c:v>1.0099999999999998E-2</c:v>
                </c:pt>
                <c:pt idx="368">
                  <c:v>1.0000000000000002E-2</c:v>
                </c:pt>
                <c:pt idx="369">
                  <c:v>9.8999999999999991E-3</c:v>
                </c:pt>
                <c:pt idx="370">
                  <c:v>9.8999999999999991E-3</c:v>
                </c:pt>
                <c:pt idx="371">
                  <c:v>1.0000000000000002E-2</c:v>
                </c:pt>
                <c:pt idx="372">
                  <c:v>1.0000000000000002E-2</c:v>
                </c:pt>
                <c:pt idx="373">
                  <c:v>1.0000000000000002E-2</c:v>
                </c:pt>
                <c:pt idx="374">
                  <c:v>9.9031843077314954E-3</c:v>
                </c:pt>
                <c:pt idx="375">
                  <c:v>1.4300000000000007E-2</c:v>
                </c:pt>
                <c:pt idx="376">
                  <c:v>1.5599999999999996E-2</c:v>
                </c:pt>
                <c:pt idx="377">
                  <c:v>1.7400000000000006E-2</c:v>
                </c:pt>
                <c:pt idx="378">
                  <c:v>2.2100000000000002E-2</c:v>
                </c:pt>
                <c:pt idx="379">
                  <c:v>2.5100000000000004E-2</c:v>
                </c:pt>
                <c:pt idx="380">
                  <c:v>2.8100000000000007E-2</c:v>
                </c:pt>
                <c:pt idx="381">
                  <c:v>3.9799999999999995E-2</c:v>
                </c:pt>
                <c:pt idx="382">
                  <c:v>4.6100000000000002E-2</c:v>
                </c:pt>
                <c:pt idx="383">
                  <c:v>4.9699999999999994E-2</c:v>
                </c:pt>
                <c:pt idx="384">
                  <c:v>5.2699999999999997E-2</c:v>
                </c:pt>
                <c:pt idx="385">
                  <c:v>5.2499999999999991E-2</c:v>
                </c:pt>
                <c:pt idx="386">
                  <c:v>5.2400000000000002E-2</c:v>
                </c:pt>
                <c:pt idx="387">
                  <c:v>5.2499999999999991E-2</c:v>
                </c:pt>
                <c:pt idx="388">
                  <c:v>5.2099999999999994E-2</c:v>
                </c:pt>
                <c:pt idx="389">
                  <c:v>5.2099999999999994E-2</c:v>
                </c:pt>
                <c:pt idx="390">
                  <c:v>4.9399999999999999E-2</c:v>
                </c:pt>
                <c:pt idx="391">
                  <c:v>4.19E-2</c:v>
                </c:pt>
                <c:pt idx="392">
                  <c:v>4.1000000000000002E-2</c:v>
                </c:pt>
                <c:pt idx="393">
                  <c:v>3.1300000000000001E-2</c:v>
                </c:pt>
                <c:pt idx="394">
                  <c:v>3.0700000000000002E-2</c:v>
                </c:pt>
                <c:pt idx="395">
                  <c:v>2.9100000000000001E-2</c:v>
                </c:pt>
                <c:pt idx="396">
                  <c:v>2.8199999999999999E-2</c:v>
                </c:pt>
                <c:pt idx="397">
                  <c:v>2.7899999999999998E-2</c:v>
                </c:pt>
                <c:pt idx="398">
                  <c:v>2.8399999999999998E-2</c:v>
                </c:pt>
                <c:pt idx="399">
                  <c:v>2.8399999999999998E-2</c:v>
                </c:pt>
                <c:pt idx="400">
                  <c:v>2.8499999999999998E-2</c:v>
                </c:pt>
                <c:pt idx="401">
                  <c:v>3.0899999999999997E-2</c:v>
                </c:pt>
                <c:pt idx="402">
                  <c:v>3.3599999999999998E-2</c:v>
                </c:pt>
                <c:pt idx="403">
                  <c:v>3.6180952380952383E-2</c:v>
                </c:pt>
                <c:pt idx="404">
                  <c:v>3.6400000000000002E-2</c:v>
                </c:pt>
                <c:pt idx="405">
                  <c:v>3.6199999999999996E-2</c:v>
                </c:pt>
                <c:pt idx="406">
                  <c:v>3.8175000000000001E-2</c:v>
                </c:pt>
                <c:pt idx="407">
                  <c:v>4.0224999999999997E-2</c:v>
                </c:pt>
                <c:pt idx="408">
                  <c:v>4.2749999999999996E-2</c:v>
                </c:pt>
                <c:pt idx="409">
                  <c:v>4.3199999999999995E-2</c:v>
                </c:pt>
                <c:pt idx="410">
                  <c:v>4.3199999999999995E-2</c:v>
                </c:pt>
                <c:pt idx="411">
                  <c:v>4.3099999999999999E-2</c:v>
                </c:pt>
                <c:pt idx="412">
                  <c:v>4.3099999999999999E-2</c:v>
                </c:pt>
                <c:pt idx="413">
                  <c:v>4.3099999999999999E-2</c:v>
                </c:pt>
                <c:pt idx="414">
                  <c:v>4.5374999999999999E-2</c:v>
                </c:pt>
                <c:pt idx="415">
                  <c:v>4.5699999999999998E-2</c:v>
                </c:pt>
                <c:pt idx="416">
                  <c:v>4.58E-2</c:v>
                </c:pt>
                <c:pt idx="417">
                  <c:v>4.5900000000000003E-2</c:v>
                </c:pt>
                <c:pt idx="418">
                  <c:v>4.6100000000000002E-2</c:v>
                </c:pt>
                <c:pt idx="419">
                  <c:v>4.65E-2</c:v>
                </c:pt>
                <c:pt idx="420">
                  <c:v>4.6600000000000003E-2</c:v>
                </c:pt>
                <c:pt idx="421">
                  <c:v>4.6600000000000003E-2</c:v>
                </c:pt>
                <c:pt idx="422">
                  <c:v>4.6800000000000001E-2</c:v>
                </c:pt>
                <c:pt idx="423">
                  <c:v>4.65E-2</c:v>
                </c:pt>
                <c:pt idx="424">
                  <c:v>4.6699999999999998E-2</c:v>
                </c:pt>
                <c:pt idx="425">
                  <c:v>4.6800000000000001E-2</c:v>
                </c:pt>
                <c:pt idx="426">
                  <c:v>4.4324999999999996E-2</c:v>
                </c:pt>
                <c:pt idx="427">
                  <c:v>4.2299999999999997E-2</c:v>
                </c:pt>
                <c:pt idx="428">
                  <c:v>4.1700000000000001E-2</c:v>
                </c:pt>
                <c:pt idx="429">
                  <c:v>4.1500000000000002E-2</c:v>
                </c:pt>
                <c:pt idx="430">
                  <c:v>4.1200000000000001E-2</c:v>
                </c:pt>
                <c:pt idx="431">
                  <c:v>4.1100000000000005E-2</c:v>
                </c:pt>
                <c:pt idx="432">
                  <c:v>3.6125000000000004E-2</c:v>
                </c:pt>
                <c:pt idx="433">
                  <c:v>3.3775000000000006E-2</c:v>
                </c:pt>
                <c:pt idx="434">
                  <c:v>3.3400000000000006E-2</c:v>
                </c:pt>
                <c:pt idx="435">
                  <c:v>3.3700000000000001E-2</c:v>
                </c:pt>
                <c:pt idx="436">
                  <c:v>3.3600000000000005E-2</c:v>
                </c:pt>
                <c:pt idx="437">
                  <c:v>3.1124999999999996E-2</c:v>
                </c:pt>
                <c:pt idx="438">
                  <c:v>3.09E-2</c:v>
                </c:pt>
                <c:pt idx="439">
                  <c:v>2.8674999999999999E-2</c:v>
                </c:pt>
                <c:pt idx="440">
                  <c:v>2.86E-2</c:v>
                </c:pt>
                <c:pt idx="441">
                  <c:v>2.8499999999999998E-2</c:v>
                </c:pt>
                <c:pt idx="442">
                  <c:v>2.86E-2</c:v>
                </c:pt>
                <c:pt idx="443">
                  <c:v>2.8499999999999998E-2</c:v>
                </c:pt>
                <c:pt idx="444">
                  <c:v>2.6899999999999997E-2</c:v>
                </c:pt>
                <c:pt idx="445">
                  <c:v>2.6599999999999999E-2</c:v>
                </c:pt>
                <c:pt idx="446">
                  <c:v>2.6599999999999999E-2</c:v>
                </c:pt>
                <c:pt idx="447">
                  <c:v>2.47E-2</c:v>
                </c:pt>
                <c:pt idx="448">
                  <c:v>2.4200000000000003E-2</c:v>
                </c:pt>
                <c:pt idx="449">
                  <c:v>2.41E-2</c:v>
                </c:pt>
                <c:pt idx="450">
                  <c:v>2.4200000000000003E-2</c:v>
                </c:pt>
                <c:pt idx="451">
                  <c:v>2.41E-2</c:v>
                </c:pt>
                <c:pt idx="452">
                  <c:v>2.4300000000000002E-2</c:v>
                </c:pt>
                <c:pt idx="453">
                  <c:v>2.4300000000000002E-2</c:v>
                </c:pt>
                <c:pt idx="454">
                  <c:v>2.4200000000000003E-2</c:v>
                </c:pt>
                <c:pt idx="455">
                  <c:v>2.41E-2</c:v>
                </c:pt>
                <c:pt idx="456">
                  <c:v>2.41E-2</c:v>
                </c:pt>
                <c:pt idx="457">
                  <c:v>2.4E-2</c:v>
                </c:pt>
                <c:pt idx="458">
                  <c:v>2.41E-2</c:v>
                </c:pt>
                <c:pt idx="459">
                  <c:v>2.41E-2</c:v>
                </c:pt>
                <c:pt idx="460">
                  <c:v>2.41E-2</c:v>
                </c:pt>
                <c:pt idx="461">
                  <c:v>2.41E-2</c:v>
                </c:pt>
                <c:pt idx="462">
                  <c:v>2.41E-2</c:v>
                </c:pt>
                <c:pt idx="463">
                  <c:v>2.3800000000000002E-2</c:v>
                </c:pt>
                <c:pt idx="464">
                  <c:v>2.3900000000000001E-2</c:v>
                </c:pt>
                <c:pt idx="465">
                  <c:v>2.1649999999999999E-2</c:v>
                </c:pt>
              </c:numCache>
            </c:numRef>
          </c:val>
          <c:smooth val="0"/>
          <c:extLst>
            <c:ext xmlns:c16="http://schemas.microsoft.com/office/drawing/2014/chart" uri="{C3380CC4-5D6E-409C-BE32-E72D297353CC}">
              <c16:uniqueId val="{00000000-EC68-4BC6-A103-17A68D786069}"/>
            </c:ext>
          </c:extLst>
        </c:ser>
        <c:dLbls>
          <c:showLegendKey val="0"/>
          <c:showVal val="0"/>
          <c:showCatName val="0"/>
          <c:showSerName val="0"/>
          <c:showPercent val="0"/>
          <c:showBubbleSize val="0"/>
        </c:dLbls>
        <c:smooth val="0"/>
        <c:axId val="657839039"/>
        <c:axId val="1"/>
      </c:lineChart>
      <c:dateAx>
        <c:axId val="657839039"/>
        <c:scaling>
          <c:orientation val="minMax"/>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Offset val="100"/>
        <c:baseTimeUnit val="months"/>
      </c:dateAx>
      <c:valAx>
        <c:axId val="1"/>
        <c:scaling>
          <c:orientation val="minMax"/>
        </c:scaling>
        <c:delete val="0"/>
        <c:axPos val="l"/>
        <c:majorGridlines>
          <c:spPr>
            <a:ln w="9525" cap="flat" cmpd="sng" algn="ctr">
              <a:solidFill>
                <a:schemeClr val="bg1">
                  <a:lumMod val="50000"/>
                </a:schemeClr>
              </a:solidFill>
              <a:prstDash val="dashDot"/>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39039"/>
        <c:crosses val="autoZero"/>
        <c:crossBetween val="between"/>
        <c:majorUnit val="1.0000000000000002E-2"/>
      </c:valAx>
      <c:spPr>
        <a:noFill/>
        <a:ln w="25400">
          <a:noFill/>
        </a:ln>
      </c:spPr>
    </c:plotArea>
    <c:plotVisOnly val="1"/>
    <c:dispBlanksAs val="gap"/>
    <c:showDLblsOverMax val="0"/>
  </c:chart>
  <c:spPr>
    <a:solidFill>
      <a:schemeClr val="tx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AUD/USD Vs Interest Rate Differential (Carry)</a:t>
            </a:r>
          </a:p>
        </c:rich>
      </c:tx>
      <c:layout>
        <c:manualLayout>
          <c:xMode val="edge"/>
          <c:yMode val="edge"/>
          <c:x val="0.28370287093385649"/>
          <c:y val="2.0320814214769917E-2"/>
        </c:manualLayout>
      </c:layout>
      <c:overlay val="0"/>
      <c:spPr>
        <a:noFill/>
        <a:ln w="25400">
          <a:noFill/>
        </a:ln>
      </c:spPr>
    </c:title>
    <c:autoTitleDeleted val="0"/>
    <c:plotArea>
      <c:layout/>
      <c:lineChart>
        <c:grouping val="standard"/>
        <c:varyColors val="0"/>
        <c:ser>
          <c:idx val="1"/>
          <c:order val="1"/>
          <c:tx>
            <c:v>IR% Diff</c:v>
          </c:tx>
          <c:spPr>
            <a:ln w="25400">
              <a:solidFill>
                <a:srgbClr val="FFFF00"/>
              </a:solidFill>
              <a:prstDash val="solid"/>
            </a:ln>
          </c:spPr>
          <c:marker>
            <c:symbol val="none"/>
          </c:marker>
          <c:cat>
            <c:numRef>
              <c:f>'IR Diffs &amp; Carry'!$A$258:$A$467</c:f>
              <c:numCache>
                <c:formatCode>mmm\-yyyy</c:formatCode>
                <c:ptCount val="210"/>
                <c:pt idx="0">
                  <c:v>35703</c:v>
                </c:pt>
                <c:pt idx="1">
                  <c:v>35734</c:v>
                </c:pt>
                <c:pt idx="2">
                  <c:v>35764</c:v>
                </c:pt>
                <c:pt idx="3">
                  <c:v>35795</c:v>
                </c:pt>
                <c:pt idx="4">
                  <c:v>35826</c:v>
                </c:pt>
                <c:pt idx="5">
                  <c:v>35854</c:v>
                </c:pt>
                <c:pt idx="6">
                  <c:v>35885</c:v>
                </c:pt>
                <c:pt idx="7">
                  <c:v>35915</c:v>
                </c:pt>
                <c:pt idx="8">
                  <c:v>35946</c:v>
                </c:pt>
                <c:pt idx="9">
                  <c:v>35976</c:v>
                </c:pt>
                <c:pt idx="10">
                  <c:v>36007</c:v>
                </c:pt>
                <c:pt idx="11">
                  <c:v>36038</c:v>
                </c:pt>
                <c:pt idx="12">
                  <c:v>36068</c:v>
                </c:pt>
                <c:pt idx="13">
                  <c:v>36099</c:v>
                </c:pt>
                <c:pt idx="14">
                  <c:v>36129</c:v>
                </c:pt>
                <c:pt idx="15">
                  <c:v>36160</c:v>
                </c:pt>
                <c:pt idx="16">
                  <c:v>36191</c:v>
                </c:pt>
                <c:pt idx="17">
                  <c:v>36219</c:v>
                </c:pt>
                <c:pt idx="18">
                  <c:v>36250</c:v>
                </c:pt>
                <c:pt idx="19">
                  <c:v>36280</c:v>
                </c:pt>
                <c:pt idx="20">
                  <c:v>36311</c:v>
                </c:pt>
                <c:pt idx="21">
                  <c:v>36341</c:v>
                </c:pt>
                <c:pt idx="22">
                  <c:v>36372</c:v>
                </c:pt>
                <c:pt idx="23">
                  <c:v>36403</c:v>
                </c:pt>
                <c:pt idx="24">
                  <c:v>36433</c:v>
                </c:pt>
                <c:pt idx="25">
                  <c:v>36464</c:v>
                </c:pt>
                <c:pt idx="26">
                  <c:v>36494</c:v>
                </c:pt>
                <c:pt idx="27">
                  <c:v>36525</c:v>
                </c:pt>
                <c:pt idx="28">
                  <c:v>36556</c:v>
                </c:pt>
                <c:pt idx="29">
                  <c:v>36585</c:v>
                </c:pt>
                <c:pt idx="30">
                  <c:v>36616</c:v>
                </c:pt>
                <c:pt idx="31">
                  <c:v>36646</c:v>
                </c:pt>
                <c:pt idx="32">
                  <c:v>36677</c:v>
                </c:pt>
                <c:pt idx="33">
                  <c:v>36707</c:v>
                </c:pt>
                <c:pt idx="34">
                  <c:v>36738</c:v>
                </c:pt>
                <c:pt idx="35">
                  <c:v>36769</c:v>
                </c:pt>
                <c:pt idx="36">
                  <c:v>36799</c:v>
                </c:pt>
                <c:pt idx="37">
                  <c:v>36830</c:v>
                </c:pt>
                <c:pt idx="38">
                  <c:v>36860</c:v>
                </c:pt>
                <c:pt idx="39">
                  <c:v>36891</c:v>
                </c:pt>
                <c:pt idx="40">
                  <c:v>36922</c:v>
                </c:pt>
                <c:pt idx="41">
                  <c:v>36950</c:v>
                </c:pt>
                <c:pt idx="42">
                  <c:v>36981</c:v>
                </c:pt>
                <c:pt idx="43">
                  <c:v>37011</c:v>
                </c:pt>
                <c:pt idx="44">
                  <c:v>37042</c:v>
                </c:pt>
                <c:pt idx="45">
                  <c:v>37072</c:v>
                </c:pt>
                <c:pt idx="46">
                  <c:v>37103</c:v>
                </c:pt>
                <c:pt idx="47">
                  <c:v>37134</c:v>
                </c:pt>
                <c:pt idx="48">
                  <c:v>37164</c:v>
                </c:pt>
                <c:pt idx="49">
                  <c:v>37195</c:v>
                </c:pt>
                <c:pt idx="50">
                  <c:v>37225</c:v>
                </c:pt>
                <c:pt idx="51">
                  <c:v>37256</c:v>
                </c:pt>
                <c:pt idx="52">
                  <c:v>37287</c:v>
                </c:pt>
                <c:pt idx="53">
                  <c:v>37315</c:v>
                </c:pt>
                <c:pt idx="54">
                  <c:v>37346</c:v>
                </c:pt>
                <c:pt idx="55">
                  <c:v>37376</c:v>
                </c:pt>
                <c:pt idx="56">
                  <c:v>37407</c:v>
                </c:pt>
                <c:pt idx="57">
                  <c:v>37437</c:v>
                </c:pt>
                <c:pt idx="58">
                  <c:v>37468</c:v>
                </c:pt>
                <c:pt idx="59">
                  <c:v>37499</c:v>
                </c:pt>
                <c:pt idx="60">
                  <c:v>37529</c:v>
                </c:pt>
                <c:pt idx="61">
                  <c:v>37560</c:v>
                </c:pt>
                <c:pt idx="62">
                  <c:v>37590</c:v>
                </c:pt>
                <c:pt idx="63">
                  <c:v>37621</c:v>
                </c:pt>
                <c:pt idx="64">
                  <c:v>37652</c:v>
                </c:pt>
                <c:pt idx="65">
                  <c:v>37680</c:v>
                </c:pt>
                <c:pt idx="66">
                  <c:v>37711</c:v>
                </c:pt>
                <c:pt idx="67">
                  <c:v>37741</c:v>
                </c:pt>
                <c:pt idx="68">
                  <c:v>37772</c:v>
                </c:pt>
                <c:pt idx="69">
                  <c:v>37802</c:v>
                </c:pt>
                <c:pt idx="70">
                  <c:v>37833</c:v>
                </c:pt>
                <c:pt idx="71">
                  <c:v>37864</c:v>
                </c:pt>
                <c:pt idx="72">
                  <c:v>37894</c:v>
                </c:pt>
                <c:pt idx="73">
                  <c:v>37925</c:v>
                </c:pt>
                <c:pt idx="74">
                  <c:v>37955</c:v>
                </c:pt>
                <c:pt idx="75">
                  <c:v>37986</c:v>
                </c:pt>
                <c:pt idx="76">
                  <c:v>38017</c:v>
                </c:pt>
                <c:pt idx="77">
                  <c:v>38046</c:v>
                </c:pt>
                <c:pt idx="78">
                  <c:v>38077</c:v>
                </c:pt>
                <c:pt idx="79">
                  <c:v>38107</c:v>
                </c:pt>
                <c:pt idx="80">
                  <c:v>38138</c:v>
                </c:pt>
                <c:pt idx="81">
                  <c:v>38168</c:v>
                </c:pt>
                <c:pt idx="82">
                  <c:v>38199</c:v>
                </c:pt>
                <c:pt idx="83">
                  <c:v>38230</c:v>
                </c:pt>
                <c:pt idx="84">
                  <c:v>38260</c:v>
                </c:pt>
                <c:pt idx="85">
                  <c:v>38291</c:v>
                </c:pt>
                <c:pt idx="86">
                  <c:v>38321</c:v>
                </c:pt>
                <c:pt idx="87">
                  <c:v>38352</c:v>
                </c:pt>
                <c:pt idx="88">
                  <c:v>38383</c:v>
                </c:pt>
                <c:pt idx="89">
                  <c:v>38411</c:v>
                </c:pt>
                <c:pt idx="90">
                  <c:v>38442</c:v>
                </c:pt>
                <c:pt idx="91">
                  <c:v>38472</c:v>
                </c:pt>
                <c:pt idx="92">
                  <c:v>38503</c:v>
                </c:pt>
                <c:pt idx="93">
                  <c:v>38533</c:v>
                </c:pt>
                <c:pt idx="94">
                  <c:v>38564</c:v>
                </c:pt>
                <c:pt idx="95">
                  <c:v>38595</c:v>
                </c:pt>
                <c:pt idx="96">
                  <c:v>38625</c:v>
                </c:pt>
                <c:pt idx="97">
                  <c:v>38656</c:v>
                </c:pt>
                <c:pt idx="98">
                  <c:v>38686</c:v>
                </c:pt>
                <c:pt idx="99">
                  <c:v>38717</c:v>
                </c:pt>
                <c:pt idx="100">
                  <c:v>38748</c:v>
                </c:pt>
                <c:pt idx="101">
                  <c:v>38776</c:v>
                </c:pt>
                <c:pt idx="102">
                  <c:v>38807</c:v>
                </c:pt>
                <c:pt idx="103">
                  <c:v>38837</c:v>
                </c:pt>
                <c:pt idx="104">
                  <c:v>38868</c:v>
                </c:pt>
                <c:pt idx="105">
                  <c:v>38898</c:v>
                </c:pt>
                <c:pt idx="106">
                  <c:v>38929</c:v>
                </c:pt>
                <c:pt idx="107">
                  <c:v>38960</c:v>
                </c:pt>
                <c:pt idx="108">
                  <c:v>38990</c:v>
                </c:pt>
                <c:pt idx="109">
                  <c:v>39021</c:v>
                </c:pt>
                <c:pt idx="110">
                  <c:v>39051</c:v>
                </c:pt>
                <c:pt idx="111">
                  <c:v>39082</c:v>
                </c:pt>
                <c:pt idx="112">
                  <c:v>39113</c:v>
                </c:pt>
                <c:pt idx="113">
                  <c:v>39141</c:v>
                </c:pt>
                <c:pt idx="114">
                  <c:v>39172</c:v>
                </c:pt>
                <c:pt idx="115">
                  <c:v>39202</c:v>
                </c:pt>
                <c:pt idx="116">
                  <c:v>39233</c:v>
                </c:pt>
                <c:pt idx="117">
                  <c:v>39263</c:v>
                </c:pt>
                <c:pt idx="118">
                  <c:v>39294</c:v>
                </c:pt>
                <c:pt idx="119">
                  <c:v>39325</c:v>
                </c:pt>
                <c:pt idx="120">
                  <c:v>39355</c:v>
                </c:pt>
                <c:pt idx="121">
                  <c:v>39386</c:v>
                </c:pt>
                <c:pt idx="122">
                  <c:v>39416</c:v>
                </c:pt>
                <c:pt idx="123">
                  <c:v>39447</c:v>
                </c:pt>
                <c:pt idx="124">
                  <c:v>39478</c:v>
                </c:pt>
                <c:pt idx="125">
                  <c:v>39507</c:v>
                </c:pt>
                <c:pt idx="126">
                  <c:v>39538</c:v>
                </c:pt>
                <c:pt idx="127">
                  <c:v>39568</c:v>
                </c:pt>
                <c:pt idx="128">
                  <c:v>39599</c:v>
                </c:pt>
                <c:pt idx="129">
                  <c:v>39629</c:v>
                </c:pt>
                <c:pt idx="130">
                  <c:v>39660</c:v>
                </c:pt>
                <c:pt idx="131">
                  <c:v>39691</c:v>
                </c:pt>
                <c:pt idx="132">
                  <c:v>39721</c:v>
                </c:pt>
                <c:pt idx="133">
                  <c:v>39752</c:v>
                </c:pt>
                <c:pt idx="134">
                  <c:v>39782</c:v>
                </c:pt>
                <c:pt idx="135">
                  <c:v>39813</c:v>
                </c:pt>
                <c:pt idx="136">
                  <c:v>39844</c:v>
                </c:pt>
                <c:pt idx="137">
                  <c:v>39872</c:v>
                </c:pt>
                <c:pt idx="138">
                  <c:v>39903</c:v>
                </c:pt>
                <c:pt idx="139">
                  <c:v>39933</c:v>
                </c:pt>
                <c:pt idx="140">
                  <c:v>39964</c:v>
                </c:pt>
                <c:pt idx="141">
                  <c:v>39994</c:v>
                </c:pt>
                <c:pt idx="142">
                  <c:v>40025</c:v>
                </c:pt>
                <c:pt idx="143">
                  <c:v>40056</c:v>
                </c:pt>
                <c:pt idx="144">
                  <c:v>40086</c:v>
                </c:pt>
                <c:pt idx="145">
                  <c:v>40117</c:v>
                </c:pt>
                <c:pt idx="146">
                  <c:v>40147</c:v>
                </c:pt>
                <c:pt idx="147">
                  <c:v>40178</c:v>
                </c:pt>
                <c:pt idx="148">
                  <c:v>40209</c:v>
                </c:pt>
                <c:pt idx="149">
                  <c:v>40237</c:v>
                </c:pt>
                <c:pt idx="150">
                  <c:v>40268</c:v>
                </c:pt>
                <c:pt idx="151">
                  <c:v>40298</c:v>
                </c:pt>
                <c:pt idx="152">
                  <c:v>40329</c:v>
                </c:pt>
                <c:pt idx="153">
                  <c:v>40359</c:v>
                </c:pt>
                <c:pt idx="154">
                  <c:v>40390</c:v>
                </c:pt>
                <c:pt idx="155">
                  <c:v>40421</c:v>
                </c:pt>
                <c:pt idx="156">
                  <c:v>40451</c:v>
                </c:pt>
                <c:pt idx="157">
                  <c:v>40482</c:v>
                </c:pt>
                <c:pt idx="158">
                  <c:v>40512</c:v>
                </c:pt>
                <c:pt idx="159">
                  <c:v>40543</c:v>
                </c:pt>
                <c:pt idx="160">
                  <c:v>40574</c:v>
                </c:pt>
                <c:pt idx="161">
                  <c:v>40602</c:v>
                </c:pt>
                <c:pt idx="162">
                  <c:v>40633</c:v>
                </c:pt>
                <c:pt idx="163">
                  <c:v>40663</c:v>
                </c:pt>
                <c:pt idx="164">
                  <c:v>40694</c:v>
                </c:pt>
                <c:pt idx="165">
                  <c:v>40724</c:v>
                </c:pt>
                <c:pt idx="166">
                  <c:v>40755</c:v>
                </c:pt>
                <c:pt idx="167">
                  <c:v>40786</c:v>
                </c:pt>
                <c:pt idx="168">
                  <c:v>40816</c:v>
                </c:pt>
                <c:pt idx="169">
                  <c:v>40847</c:v>
                </c:pt>
                <c:pt idx="170">
                  <c:v>40877</c:v>
                </c:pt>
                <c:pt idx="171">
                  <c:v>40908</c:v>
                </c:pt>
                <c:pt idx="172">
                  <c:v>40939</c:v>
                </c:pt>
                <c:pt idx="173">
                  <c:v>40968</c:v>
                </c:pt>
                <c:pt idx="174">
                  <c:v>40999</c:v>
                </c:pt>
                <c:pt idx="175">
                  <c:v>41029</c:v>
                </c:pt>
                <c:pt idx="176">
                  <c:v>41060</c:v>
                </c:pt>
                <c:pt idx="177">
                  <c:v>41090</c:v>
                </c:pt>
                <c:pt idx="178">
                  <c:v>41121</c:v>
                </c:pt>
                <c:pt idx="179">
                  <c:v>41152</c:v>
                </c:pt>
                <c:pt idx="180">
                  <c:v>41182</c:v>
                </c:pt>
                <c:pt idx="181">
                  <c:v>41213</c:v>
                </c:pt>
                <c:pt idx="182">
                  <c:v>41243</c:v>
                </c:pt>
                <c:pt idx="183">
                  <c:v>41274</c:v>
                </c:pt>
                <c:pt idx="184">
                  <c:v>41305</c:v>
                </c:pt>
                <c:pt idx="185">
                  <c:v>41333</c:v>
                </c:pt>
                <c:pt idx="186">
                  <c:v>41364</c:v>
                </c:pt>
                <c:pt idx="187">
                  <c:v>41394</c:v>
                </c:pt>
                <c:pt idx="188">
                  <c:v>41425</c:v>
                </c:pt>
                <c:pt idx="189">
                  <c:v>41455</c:v>
                </c:pt>
                <c:pt idx="190">
                  <c:v>41486</c:v>
                </c:pt>
                <c:pt idx="191">
                  <c:v>41517</c:v>
                </c:pt>
                <c:pt idx="192">
                  <c:v>41547</c:v>
                </c:pt>
                <c:pt idx="193">
                  <c:v>41578</c:v>
                </c:pt>
                <c:pt idx="194">
                  <c:v>41608</c:v>
                </c:pt>
                <c:pt idx="195">
                  <c:v>41639</c:v>
                </c:pt>
                <c:pt idx="196">
                  <c:v>41670</c:v>
                </c:pt>
                <c:pt idx="197">
                  <c:v>41698</c:v>
                </c:pt>
                <c:pt idx="198">
                  <c:v>41729</c:v>
                </c:pt>
                <c:pt idx="199">
                  <c:v>41759</c:v>
                </c:pt>
                <c:pt idx="200">
                  <c:v>41790</c:v>
                </c:pt>
                <c:pt idx="201">
                  <c:v>41820</c:v>
                </c:pt>
                <c:pt idx="202">
                  <c:v>41851</c:v>
                </c:pt>
                <c:pt idx="203">
                  <c:v>41882</c:v>
                </c:pt>
                <c:pt idx="204">
                  <c:v>41912</c:v>
                </c:pt>
                <c:pt idx="205">
                  <c:v>41943</c:v>
                </c:pt>
                <c:pt idx="206">
                  <c:v>41973</c:v>
                </c:pt>
                <c:pt idx="207">
                  <c:v>42004</c:v>
                </c:pt>
                <c:pt idx="208">
                  <c:v>42035</c:v>
                </c:pt>
                <c:pt idx="209">
                  <c:v>42063</c:v>
                </c:pt>
              </c:numCache>
            </c:numRef>
          </c:cat>
          <c:val>
            <c:numRef>
              <c:f>'IR Diffs &amp; Carry'!$D$258:$D$467</c:f>
              <c:numCache>
                <c:formatCode>0.00%</c:formatCode>
                <c:ptCount val="210"/>
                <c:pt idx="0">
                  <c:v>-5.5636363636363609E-3</c:v>
                </c:pt>
                <c:pt idx="1">
                  <c:v>-5.1695652173912934E-3</c:v>
                </c:pt>
                <c:pt idx="2">
                  <c:v>-5.164999999999989E-3</c:v>
                </c:pt>
                <c:pt idx="3">
                  <c:v>-4.747619047619063E-3</c:v>
                </c:pt>
                <c:pt idx="4">
                  <c:v>-5.5900000000000047E-3</c:v>
                </c:pt>
                <c:pt idx="5">
                  <c:v>-5.274999999999995E-3</c:v>
                </c:pt>
                <c:pt idx="6">
                  <c:v>-4.9363636363636415E-3</c:v>
                </c:pt>
                <c:pt idx="7">
                  <c:v>-4.704999999999987E-3</c:v>
                </c:pt>
                <c:pt idx="8">
                  <c:v>-4.8952380952380983E-3</c:v>
                </c:pt>
                <c:pt idx="9">
                  <c:v>-4.8809523809523747E-3</c:v>
                </c:pt>
                <c:pt idx="10">
                  <c:v>-5.6043478260869584E-3</c:v>
                </c:pt>
                <c:pt idx="11">
                  <c:v>-5.8000000000000065E-3</c:v>
                </c:pt>
                <c:pt idx="12">
                  <c:v>-5.3954545454545505E-3</c:v>
                </c:pt>
                <c:pt idx="13">
                  <c:v>-1.0136363636363763E-3</c:v>
                </c:pt>
                <c:pt idx="14">
                  <c:v>1.5047619047618976E-3</c:v>
                </c:pt>
                <c:pt idx="15">
                  <c:v>7.1904761904761916E-4</c:v>
                </c:pt>
                <c:pt idx="16">
                  <c:v>8.7368421052630429E-4</c:v>
                </c:pt>
                <c:pt idx="17">
                  <c:v>-3.9999999999999758E-4</c:v>
                </c:pt>
                <c:pt idx="18">
                  <c:v>-6.999999999999923E-4</c:v>
                </c:pt>
                <c:pt idx="19">
                  <c:v>0</c:v>
                </c:pt>
                <c:pt idx="20">
                  <c:v>9.9999999999995925E-5</c:v>
                </c:pt>
                <c:pt idx="21">
                  <c:v>0</c:v>
                </c:pt>
                <c:pt idx="22">
                  <c:v>-2.4999999999999953E-3</c:v>
                </c:pt>
                <c:pt idx="23">
                  <c:v>-3.4000000000000002E-3</c:v>
                </c:pt>
                <c:pt idx="24">
                  <c:v>-4.6999999999999958E-3</c:v>
                </c:pt>
                <c:pt idx="25">
                  <c:v>-4.500000000000004E-3</c:v>
                </c:pt>
                <c:pt idx="26">
                  <c:v>-4.3999999999999942E-3</c:v>
                </c:pt>
                <c:pt idx="27">
                  <c:v>-3.3000000000000043E-3</c:v>
                </c:pt>
                <c:pt idx="28">
                  <c:v>-4.6999999999999958E-3</c:v>
                </c:pt>
                <c:pt idx="29">
                  <c:v>-2.700000000000001E-3</c:v>
                </c:pt>
                <c:pt idx="30">
                  <c:v>-3.5999999999999921E-3</c:v>
                </c:pt>
                <c:pt idx="31">
                  <c:v>-2.9999999999999957E-3</c:v>
                </c:pt>
                <c:pt idx="32">
                  <c:v>-2.8999999999999859E-3</c:v>
                </c:pt>
                <c:pt idx="33">
                  <c:v>-5.2999999999999992E-3</c:v>
                </c:pt>
                <c:pt idx="34">
                  <c:v>-5.4999999999999979E-3</c:v>
                </c:pt>
                <c:pt idx="35">
                  <c:v>-2.5999999999999981E-3</c:v>
                </c:pt>
                <c:pt idx="36">
                  <c:v>-2.79999999999999E-3</c:v>
                </c:pt>
                <c:pt idx="37">
                  <c:v>-2.79999999999999E-3</c:v>
                </c:pt>
                <c:pt idx="38">
                  <c:v>-2.8999999999999929E-3</c:v>
                </c:pt>
                <c:pt idx="39">
                  <c:v>-1.7000000000000001E-3</c:v>
                </c:pt>
                <c:pt idx="40">
                  <c:v>2.5999999999999981E-3</c:v>
                </c:pt>
                <c:pt idx="41">
                  <c:v>3.4999999999999962E-3</c:v>
                </c:pt>
                <c:pt idx="42">
                  <c:v>2.3000000000000034E-3</c:v>
                </c:pt>
                <c:pt idx="43">
                  <c:v>2.4999999999999953E-3</c:v>
                </c:pt>
                <c:pt idx="44">
                  <c:v>7.8000000000000014E-3</c:v>
                </c:pt>
                <c:pt idx="45">
                  <c:v>1.0300000000000004E-2</c:v>
                </c:pt>
                <c:pt idx="46">
                  <c:v>1.2300000000000005E-2</c:v>
                </c:pt>
                <c:pt idx="47">
                  <c:v>1.3400000000000002E-2</c:v>
                </c:pt>
                <c:pt idx="48">
                  <c:v>1.6800000000000002E-2</c:v>
                </c:pt>
                <c:pt idx="49">
                  <c:v>2.0199999999999999E-2</c:v>
                </c:pt>
                <c:pt idx="50">
                  <c:v>2.4000000000000004E-2</c:v>
                </c:pt>
                <c:pt idx="51">
                  <c:v>2.4499999999999994E-2</c:v>
                </c:pt>
                <c:pt idx="52">
                  <c:v>2.5100000000000001E-2</c:v>
                </c:pt>
                <c:pt idx="53">
                  <c:v>2.5000000000000001E-2</c:v>
                </c:pt>
                <c:pt idx="54">
                  <c:v>2.5000000000000005E-2</c:v>
                </c:pt>
                <c:pt idx="55">
                  <c:v>2.4899999999999999E-2</c:v>
                </c:pt>
                <c:pt idx="56">
                  <c:v>2.69E-2</c:v>
                </c:pt>
                <c:pt idx="57">
                  <c:v>2.9699999999999997E-2</c:v>
                </c:pt>
                <c:pt idx="58">
                  <c:v>3.0200000000000001E-2</c:v>
                </c:pt>
                <c:pt idx="59">
                  <c:v>3.0100000000000002E-2</c:v>
                </c:pt>
                <c:pt idx="60">
                  <c:v>0.03</c:v>
                </c:pt>
                <c:pt idx="61">
                  <c:v>0.03</c:v>
                </c:pt>
                <c:pt idx="62">
                  <c:v>3.4099999999999998E-2</c:v>
                </c:pt>
                <c:pt idx="63">
                  <c:v>3.5099999999999999E-2</c:v>
                </c:pt>
                <c:pt idx="64">
                  <c:v>3.5099999999999999E-2</c:v>
                </c:pt>
                <c:pt idx="65">
                  <c:v>3.49E-2</c:v>
                </c:pt>
                <c:pt idx="66">
                  <c:v>3.5000000000000003E-2</c:v>
                </c:pt>
                <c:pt idx="67">
                  <c:v>3.49E-2</c:v>
                </c:pt>
                <c:pt idx="68">
                  <c:v>3.49E-2</c:v>
                </c:pt>
                <c:pt idx="69">
                  <c:v>3.5299999999999998E-2</c:v>
                </c:pt>
                <c:pt idx="70">
                  <c:v>3.7400000000000003E-2</c:v>
                </c:pt>
                <c:pt idx="71">
                  <c:v>3.7199999999999997E-2</c:v>
                </c:pt>
                <c:pt idx="72">
                  <c:v>3.7400000000000003E-2</c:v>
                </c:pt>
                <c:pt idx="73">
                  <c:v>3.7400000000000003E-2</c:v>
                </c:pt>
                <c:pt idx="74">
                  <c:v>3.9800000000000002E-2</c:v>
                </c:pt>
                <c:pt idx="75">
                  <c:v>4.250000000000001E-2</c:v>
                </c:pt>
                <c:pt idx="76">
                  <c:v>4.2499999999999996E-2</c:v>
                </c:pt>
                <c:pt idx="77">
                  <c:v>4.24E-2</c:v>
                </c:pt>
                <c:pt idx="78">
                  <c:v>4.2499999999999996E-2</c:v>
                </c:pt>
                <c:pt idx="79">
                  <c:v>4.2499999999999996E-2</c:v>
                </c:pt>
                <c:pt idx="80">
                  <c:v>4.2499999999999996E-2</c:v>
                </c:pt>
                <c:pt idx="81">
                  <c:v>4.2200000000000001E-2</c:v>
                </c:pt>
                <c:pt idx="82">
                  <c:v>3.9899999999999998E-2</c:v>
                </c:pt>
                <c:pt idx="83">
                  <c:v>3.8199999999999998E-2</c:v>
                </c:pt>
                <c:pt idx="84">
                  <c:v>3.6400000000000002E-2</c:v>
                </c:pt>
                <c:pt idx="85">
                  <c:v>3.49E-2</c:v>
                </c:pt>
                <c:pt idx="86">
                  <c:v>3.32E-2</c:v>
                </c:pt>
                <c:pt idx="87">
                  <c:v>3.0899999999999997E-2</c:v>
                </c:pt>
                <c:pt idx="88">
                  <c:v>2.9700000000000001E-2</c:v>
                </c:pt>
                <c:pt idx="89">
                  <c:v>2.7499999999999997E-2</c:v>
                </c:pt>
                <c:pt idx="90">
                  <c:v>2.8600000000000004E-2</c:v>
                </c:pt>
                <c:pt idx="91">
                  <c:v>2.7099999999999999E-2</c:v>
                </c:pt>
                <c:pt idx="92">
                  <c:v>2.5000000000000001E-2</c:v>
                </c:pt>
                <c:pt idx="93">
                  <c:v>2.46E-2</c:v>
                </c:pt>
                <c:pt idx="94">
                  <c:v>2.2400000000000003E-2</c:v>
                </c:pt>
                <c:pt idx="95">
                  <c:v>1.9999999999999997E-2</c:v>
                </c:pt>
                <c:pt idx="96">
                  <c:v>1.8799999999999997E-2</c:v>
                </c:pt>
                <c:pt idx="97">
                  <c:v>1.72E-2</c:v>
                </c:pt>
                <c:pt idx="98">
                  <c:v>1.4999999999999999E-2</c:v>
                </c:pt>
                <c:pt idx="99">
                  <c:v>1.3400000000000002E-2</c:v>
                </c:pt>
                <c:pt idx="100">
                  <c:v>1.21E-2</c:v>
                </c:pt>
                <c:pt idx="101">
                  <c:v>1.0099999999999998E-2</c:v>
                </c:pt>
                <c:pt idx="102">
                  <c:v>9.1000000000000039E-3</c:v>
                </c:pt>
                <c:pt idx="103">
                  <c:v>7.1000000000000021E-3</c:v>
                </c:pt>
                <c:pt idx="104">
                  <c:v>7.8999999999999973E-3</c:v>
                </c:pt>
                <c:pt idx="105">
                  <c:v>7.6000000000000026E-3</c:v>
                </c:pt>
                <c:pt idx="106">
                  <c:v>5.1000000000000004E-3</c:v>
                </c:pt>
                <c:pt idx="107">
                  <c:v>7.4000000000000038E-3</c:v>
                </c:pt>
                <c:pt idx="108">
                  <c:v>7.4999999999999997E-3</c:v>
                </c:pt>
                <c:pt idx="109">
                  <c:v>7.4999999999999997E-3</c:v>
                </c:pt>
                <c:pt idx="110">
                  <c:v>9.4000000000000056E-3</c:v>
                </c:pt>
                <c:pt idx="111">
                  <c:v>1.0099999999999998E-2</c:v>
                </c:pt>
                <c:pt idx="112">
                  <c:v>1.0000000000000002E-2</c:v>
                </c:pt>
                <c:pt idx="113">
                  <c:v>9.8999999999999991E-3</c:v>
                </c:pt>
                <c:pt idx="114">
                  <c:v>9.8999999999999991E-3</c:v>
                </c:pt>
                <c:pt idx="115">
                  <c:v>1.0000000000000002E-2</c:v>
                </c:pt>
                <c:pt idx="116">
                  <c:v>1.0000000000000002E-2</c:v>
                </c:pt>
                <c:pt idx="117">
                  <c:v>1.0000000000000002E-2</c:v>
                </c:pt>
                <c:pt idx="118">
                  <c:v>9.9031843077314954E-3</c:v>
                </c:pt>
                <c:pt idx="119">
                  <c:v>1.4300000000000007E-2</c:v>
                </c:pt>
                <c:pt idx="120">
                  <c:v>1.5599999999999996E-2</c:v>
                </c:pt>
                <c:pt idx="121">
                  <c:v>1.7400000000000006E-2</c:v>
                </c:pt>
                <c:pt idx="122">
                  <c:v>2.2100000000000002E-2</c:v>
                </c:pt>
                <c:pt idx="123">
                  <c:v>2.5100000000000004E-2</c:v>
                </c:pt>
                <c:pt idx="124">
                  <c:v>2.8100000000000007E-2</c:v>
                </c:pt>
                <c:pt idx="125">
                  <c:v>3.9799999999999995E-2</c:v>
                </c:pt>
                <c:pt idx="126">
                  <c:v>4.6100000000000002E-2</c:v>
                </c:pt>
                <c:pt idx="127">
                  <c:v>4.9699999999999994E-2</c:v>
                </c:pt>
                <c:pt idx="128">
                  <c:v>5.2699999999999997E-2</c:v>
                </c:pt>
                <c:pt idx="129">
                  <c:v>5.2499999999999991E-2</c:v>
                </c:pt>
                <c:pt idx="130">
                  <c:v>5.2400000000000002E-2</c:v>
                </c:pt>
                <c:pt idx="131">
                  <c:v>5.2499999999999991E-2</c:v>
                </c:pt>
                <c:pt idx="132">
                  <c:v>5.2099999999999994E-2</c:v>
                </c:pt>
                <c:pt idx="133">
                  <c:v>5.2099999999999994E-2</c:v>
                </c:pt>
                <c:pt idx="134">
                  <c:v>4.9399999999999999E-2</c:v>
                </c:pt>
                <c:pt idx="135">
                  <c:v>4.19E-2</c:v>
                </c:pt>
                <c:pt idx="136">
                  <c:v>4.1000000000000002E-2</c:v>
                </c:pt>
                <c:pt idx="137">
                  <c:v>3.1300000000000001E-2</c:v>
                </c:pt>
                <c:pt idx="138">
                  <c:v>3.0700000000000002E-2</c:v>
                </c:pt>
                <c:pt idx="139">
                  <c:v>2.9100000000000001E-2</c:v>
                </c:pt>
                <c:pt idx="140">
                  <c:v>2.8199999999999999E-2</c:v>
                </c:pt>
                <c:pt idx="141">
                  <c:v>2.7899999999999998E-2</c:v>
                </c:pt>
                <c:pt idx="142">
                  <c:v>2.8399999999999998E-2</c:v>
                </c:pt>
                <c:pt idx="143">
                  <c:v>2.8399999999999998E-2</c:v>
                </c:pt>
                <c:pt idx="144">
                  <c:v>2.8499999999999998E-2</c:v>
                </c:pt>
                <c:pt idx="145">
                  <c:v>3.0899999999999997E-2</c:v>
                </c:pt>
                <c:pt idx="146">
                  <c:v>3.3599999999999998E-2</c:v>
                </c:pt>
                <c:pt idx="147">
                  <c:v>3.6180952380952383E-2</c:v>
                </c:pt>
                <c:pt idx="148">
                  <c:v>3.6400000000000002E-2</c:v>
                </c:pt>
                <c:pt idx="149">
                  <c:v>3.6199999999999996E-2</c:v>
                </c:pt>
                <c:pt idx="150">
                  <c:v>3.8175000000000001E-2</c:v>
                </c:pt>
                <c:pt idx="151">
                  <c:v>4.0224999999999997E-2</c:v>
                </c:pt>
                <c:pt idx="152">
                  <c:v>4.2749999999999996E-2</c:v>
                </c:pt>
                <c:pt idx="153">
                  <c:v>4.3199999999999995E-2</c:v>
                </c:pt>
                <c:pt idx="154">
                  <c:v>4.3199999999999995E-2</c:v>
                </c:pt>
                <c:pt idx="155">
                  <c:v>4.3099999999999999E-2</c:v>
                </c:pt>
                <c:pt idx="156">
                  <c:v>4.3099999999999999E-2</c:v>
                </c:pt>
                <c:pt idx="157">
                  <c:v>4.3099999999999999E-2</c:v>
                </c:pt>
                <c:pt idx="158">
                  <c:v>4.5374999999999999E-2</c:v>
                </c:pt>
                <c:pt idx="159">
                  <c:v>4.5699999999999998E-2</c:v>
                </c:pt>
                <c:pt idx="160">
                  <c:v>4.58E-2</c:v>
                </c:pt>
                <c:pt idx="161">
                  <c:v>4.5900000000000003E-2</c:v>
                </c:pt>
                <c:pt idx="162">
                  <c:v>4.6100000000000002E-2</c:v>
                </c:pt>
                <c:pt idx="163">
                  <c:v>4.65E-2</c:v>
                </c:pt>
                <c:pt idx="164">
                  <c:v>4.6600000000000003E-2</c:v>
                </c:pt>
                <c:pt idx="165">
                  <c:v>4.6600000000000003E-2</c:v>
                </c:pt>
                <c:pt idx="166">
                  <c:v>4.6800000000000001E-2</c:v>
                </c:pt>
                <c:pt idx="167">
                  <c:v>4.65E-2</c:v>
                </c:pt>
                <c:pt idx="168">
                  <c:v>4.6699999999999998E-2</c:v>
                </c:pt>
                <c:pt idx="169">
                  <c:v>4.6800000000000001E-2</c:v>
                </c:pt>
                <c:pt idx="170">
                  <c:v>4.4324999999999996E-2</c:v>
                </c:pt>
                <c:pt idx="171">
                  <c:v>4.2299999999999997E-2</c:v>
                </c:pt>
                <c:pt idx="172">
                  <c:v>4.1700000000000001E-2</c:v>
                </c:pt>
                <c:pt idx="173">
                  <c:v>4.1500000000000002E-2</c:v>
                </c:pt>
                <c:pt idx="174">
                  <c:v>4.1200000000000001E-2</c:v>
                </c:pt>
                <c:pt idx="175">
                  <c:v>4.1100000000000005E-2</c:v>
                </c:pt>
                <c:pt idx="176">
                  <c:v>3.6125000000000004E-2</c:v>
                </c:pt>
                <c:pt idx="177">
                  <c:v>3.3775000000000006E-2</c:v>
                </c:pt>
                <c:pt idx="178">
                  <c:v>3.3400000000000006E-2</c:v>
                </c:pt>
                <c:pt idx="179">
                  <c:v>3.3700000000000001E-2</c:v>
                </c:pt>
                <c:pt idx="180">
                  <c:v>3.3600000000000005E-2</c:v>
                </c:pt>
                <c:pt idx="181">
                  <c:v>3.1124999999999996E-2</c:v>
                </c:pt>
                <c:pt idx="182">
                  <c:v>3.09E-2</c:v>
                </c:pt>
                <c:pt idx="183">
                  <c:v>2.8674999999999999E-2</c:v>
                </c:pt>
                <c:pt idx="184">
                  <c:v>2.86E-2</c:v>
                </c:pt>
                <c:pt idx="185">
                  <c:v>2.8499999999999998E-2</c:v>
                </c:pt>
                <c:pt idx="186">
                  <c:v>2.86E-2</c:v>
                </c:pt>
                <c:pt idx="187">
                  <c:v>2.8499999999999998E-2</c:v>
                </c:pt>
                <c:pt idx="188">
                  <c:v>2.6899999999999997E-2</c:v>
                </c:pt>
                <c:pt idx="189">
                  <c:v>2.6599999999999999E-2</c:v>
                </c:pt>
                <c:pt idx="190">
                  <c:v>2.6599999999999999E-2</c:v>
                </c:pt>
                <c:pt idx="191">
                  <c:v>2.47E-2</c:v>
                </c:pt>
                <c:pt idx="192">
                  <c:v>2.4200000000000003E-2</c:v>
                </c:pt>
                <c:pt idx="193">
                  <c:v>2.41E-2</c:v>
                </c:pt>
                <c:pt idx="194">
                  <c:v>2.4200000000000003E-2</c:v>
                </c:pt>
                <c:pt idx="195">
                  <c:v>2.41E-2</c:v>
                </c:pt>
                <c:pt idx="196">
                  <c:v>2.4300000000000002E-2</c:v>
                </c:pt>
                <c:pt idx="197">
                  <c:v>2.4300000000000002E-2</c:v>
                </c:pt>
                <c:pt idx="198">
                  <c:v>2.4200000000000003E-2</c:v>
                </c:pt>
                <c:pt idx="199">
                  <c:v>2.41E-2</c:v>
                </c:pt>
                <c:pt idx="200">
                  <c:v>2.41E-2</c:v>
                </c:pt>
                <c:pt idx="201">
                  <c:v>2.4E-2</c:v>
                </c:pt>
                <c:pt idx="202">
                  <c:v>2.41E-2</c:v>
                </c:pt>
                <c:pt idx="203">
                  <c:v>2.41E-2</c:v>
                </c:pt>
                <c:pt idx="204">
                  <c:v>2.41E-2</c:v>
                </c:pt>
                <c:pt idx="205">
                  <c:v>2.41E-2</c:v>
                </c:pt>
                <c:pt idx="206">
                  <c:v>2.41E-2</c:v>
                </c:pt>
                <c:pt idx="207">
                  <c:v>2.3800000000000002E-2</c:v>
                </c:pt>
                <c:pt idx="208">
                  <c:v>2.3900000000000001E-2</c:v>
                </c:pt>
                <c:pt idx="209">
                  <c:v>2.1649999999999999E-2</c:v>
                </c:pt>
              </c:numCache>
            </c:numRef>
          </c:val>
          <c:smooth val="0"/>
          <c:extLst>
            <c:ext xmlns:c16="http://schemas.microsoft.com/office/drawing/2014/chart" uri="{C3380CC4-5D6E-409C-BE32-E72D297353CC}">
              <c16:uniqueId val="{00000000-3B74-4970-A2A6-A5D4965B4496}"/>
            </c:ext>
          </c:extLst>
        </c:ser>
        <c:dLbls>
          <c:showLegendKey val="0"/>
          <c:showVal val="0"/>
          <c:showCatName val="0"/>
          <c:showSerName val="0"/>
          <c:showPercent val="0"/>
          <c:showBubbleSize val="0"/>
        </c:dLbls>
        <c:marker val="1"/>
        <c:smooth val="0"/>
        <c:axId val="657851039"/>
        <c:axId val="1"/>
      </c:lineChart>
      <c:lineChart>
        <c:grouping val="standard"/>
        <c:varyColors val="0"/>
        <c:ser>
          <c:idx val="0"/>
          <c:order val="0"/>
          <c:tx>
            <c:v>AUDUSD</c:v>
          </c:tx>
          <c:spPr>
            <a:ln w="28575" cap="rnd">
              <a:solidFill>
                <a:srgbClr val="00B050"/>
              </a:solidFill>
              <a:round/>
            </a:ln>
            <a:effectLst/>
          </c:spPr>
          <c:marker>
            <c:symbol val="none"/>
          </c:marker>
          <c:cat>
            <c:numRef>
              <c:f>'IR Diffs &amp; Carry'!$A$258:$A$467</c:f>
              <c:numCache>
                <c:formatCode>mmm\-yyyy</c:formatCode>
                <c:ptCount val="210"/>
                <c:pt idx="0">
                  <c:v>35703</c:v>
                </c:pt>
                <c:pt idx="1">
                  <c:v>35734</c:v>
                </c:pt>
                <c:pt idx="2">
                  <c:v>35764</c:v>
                </c:pt>
                <c:pt idx="3">
                  <c:v>35795</c:v>
                </c:pt>
                <c:pt idx="4">
                  <c:v>35826</c:v>
                </c:pt>
                <c:pt idx="5">
                  <c:v>35854</c:v>
                </c:pt>
                <c:pt idx="6">
                  <c:v>35885</c:v>
                </c:pt>
                <c:pt idx="7">
                  <c:v>35915</c:v>
                </c:pt>
                <c:pt idx="8">
                  <c:v>35946</c:v>
                </c:pt>
                <c:pt idx="9">
                  <c:v>35976</c:v>
                </c:pt>
                <c:pt idx="10">
                  <c:v>36007</c:v>
                </c:pt>
                <c:pt idx="11">
                  <c:v>36038</c:v>
                </c:pt>
                <c:pt idx="12">
                  <c:v>36068</c:v>
                </c:pt>
                <c:pt idx="13">
                  <c:v>36099</c:v>
                </c:pt>
                <c:pt idx="14">
                  <c:v>36129</c:v>
                </c:pt>
                <c:pt idx="15">
                  <c:v>36160</c:v>
                </c:pt>
                <c:pt idx="16">
                  <c:v>36191</c:v>
                </c:pt>
                <c:pt idx="17">
                  <c:v>36219</c:v>
                </c:pt>
                <c:pt idx="18">
                  <c:v>36250</c:v>
                </c:pt>
                <c:pt idx="19">
                  <c:v>36280</c:v>
                </c:pt>
                <c:pt idx="20">
                  <c:v>36311</c:v>
                </c:pt>
                <c:pt idx="21">
                  <c:v>36341</c:v>
                </c:pt>
                <c:pt idx="22">
                  <c:v>36372</c:v>
                </c:pt>
                <c:pt idx="23">
                  <c:v>36403</c:v>
                </c:pt>
                <c:pt idx="24">
                  <c:v>36433</c:v>
                </c:pt>
                <c:pt idx="25">
                  <c:v>36464</c:v>
                </c:pt>
                <c:pt idx="26">
                  <c:v>36494</c:v>
                </c:pt>
                <c:pt idx="27">
                  <c:v>36525</c:v>
                </c:pt>
                <c:pt idx="28">
                  <c:v>36556</c:v>
                </c:pt>
                <c:pt idx="29">
                  <c:v>36585</c:v>
                </c:pt>
                <c:pt idx="30">
                  <c:v>36616</c:v>
                </c:pt>
                <c:pt idx="31">
                  <c:v>36646</c:v>
                </c:pt>
                <c:pt idx="32">
                  <c:v>36677</c:v>
                </c:pt>
                <c:pt idx="33">
                  <c:v>36707</c:v>
                </c:pt>
                <c:pt idx="34">
                  <c:v>36738</c:v>
                </c:pt>
                <c:pt idx="35">
                  <c:v>36769</c:v>
                </c:pt>
                <c:pt idx="36">
                  <c:v>36799</c:v>
                </c:pt>
                <c:pt idx="37">
                  <c:v>36830</c:v>
                </c:pt>
                <c:pt idx="38">
                  <c:v>36860</c:v>
                </c:pt>
                <c:pt idx="39">
                  <c:v>36891</c:v>
                </c:pt>
                <c:pt idx="40">
                  <c:v>36922</c:v>
                </c:pt>
                <c:pt idx="41">
                  <c:v>36950</c:v>
                </c:pt>
                <c:pt idx="42">
                  <c:v>36981</c:v>
                </c:pt>
                <c:pt idx="43">
                  <c:v>37011</c:v>
                </c:pt>
                <c:pt idx="44">
                  <c:v>37042</c:v>
                </c:pt>
                <c:pt idx="45">
                  <c:v>37072</c:v>
                </c:pt>
                <c:pt idx="46">
                  <c:v>37103</c:v>
                </c:pt>
                <c:pt idx="47">
                  <c:v>37134</c:v>
                </c:pt>
                <c:pt idx="48">
                  <c:v>37164</c:v>
                </c:pt>
                <c:pt idx="49">
                  <c:v>37195</c:v>
                </c:pt>
                <c:pt idx="50">
                  <c:v>37225</c:v>
                </c:pt>
                <c:pt idx="51">
                  <c:v>37256</c:v>
                </c:pt>
                <c:pt idx="52">
                  <c:v>37287</c:v>
                </c:pt>
                <c:pt idx="53">
                  <c:v>37315</c:v>
                </c:pt>
                <c:pt idx="54">
                  <c:v>37346</c:v>
                </c:pt>
                <c:pt idx="55">
                  <c:v>37376</c:v>
                </c:pt>
                <c:pt idx="56">
                  <c:v>37407</c:v>
                </c:pt>
                <c:pt idx="57">
                  <c:v>37437</c:v>
                </c:pt>
                <c:pt idx="58">
                  <c:v>37468</c:v>
                </c:pt>
                <c:pt idx="59">
                  <c:v>37499</c:v>
                </c:pt>
                <c:pt idx="60">
                  <c:v>37529</c:v>
                </c:pt>
                <c:pt idx="61">
                  <c:v>37560</c:v>
                </c:pt>
                <c:pt idx="62">
                  <c:v>37590</c:v>
                </c:pt>
                <c:pt idx="63">
                  <c:v>37621</c:v>
                </c:pt>
                <c:pt idx="64">
                  <c:v>37652</c:v>
                </c:pt>
                <c:pt idx="65">
                  <c:v>37680</c:v>
                </c:pt>
                <c:pt idx="66">
                  <c:v>37711</c:v>
                </c:pt>
                <c:pt idx="67">
                  <c:v>37741</c:v>
                </c:pt>
                <c:pt idx="68">
                  <c:v>37772</c:v>
                </c:pt>
                <c:pt idx="69">
                  <c:v>37802</c:v>
                </c:pt>
                <c:pt idx="70">
                  <c:v>37833</c:v>
                </c:pt>
                <c:pt idx="71">
                  <c:v>37864</c:v>
                </c:pt>
                <c:pt idx="72">
                  <c:v>37894</c:v>
                </c:pt>
                <c:pt idx="73">
                  <c:v>37925</c:v>
                </c:pt>
                <c:pt idx="74">
                  <c:v>37955</c:v>
                </c:pt>
                <c:pt idx="75">
                  <c:v>37986</c:v>
                </c:pt>
                <c:pt idx="76">
                  <c:v>38017</c:v>
                </c:pt>
                <c:pt idx="77">
                  <c:v>38046</c:v>
                </c:pt>
                <c:pt idx="78">
                  <c:v>38077</c:v>
                </c:pt>
                <c:pt idx="79">
                  <c:v>38107</c:v>
                </c:pt>
                <c:pt idx="80">
                  <c:v>38138</c:v>
                </c:pt>
                <c:pt idx="81">
                  <c:v>38168</c:v>
                </c:pt>
                <c:pt idx="82">
                  <c:v>38199</c:v>
                </c:pt>
                <c:pt idx="83">
                  <c:v>38230</c:v>
                </c:pt>
                <c:pt idx="84">
                  <c:v>38260</c:v>
                </c:pt>
                <c:pt idx="85">
                  <c:v>38291</c:v>
                </c:pt>
                <c:pt idx="86">
                  <c:v>38321</c:v>
                </c:pt>
                <c:pt idx="87">
                  <c:v>38352</c:v>
                </c:pt>
                <c:pt idx="88">
                  <c:v>38383</c:v>
                </c:pt>
                <c:pt idx="89">
                  <c:v>38411</c:v>
                </c:pt>
                <c:pt idx="90">
                  <c:v>38442</c:v>
                </c:pt>
                <c:pt idx="91">
                  <c:v>38472</c:v>
                </c:pt>
                <c:pt idx="92">
                  <c:v>38503</c:v>
                </c:pt>
                <c:pt idx="93">
                  <c:v>38533</c:v>
                </c:pt>
                <c:pt idx="94">
                  <c:v>38564</c:v>
                </c:pt>
                <c:pt idx="95">
                  <c:v>38595</c:v>
                </c:pt>
                <c:pt idx="96">
                  <c:v>38625</c:v>
                </c:pt>
                <c:pt idx="97">
                  <c:v>38656</c:v>
                </c:pt>
                <c:pt idx="98">
                  <c:v>38686</c:v>
                </c:pt>
                <c:pt idx="99">
                  <c:v>38717</c:v>
                </c:pt>
                <c:pt idx="100">
                  <c:v>38748</c:v>
                </c:pt>
                <c:pt idx="101">
                  <c:v>38776</c:v>
                </c:pt>
                <c:pt idx="102">
                  <c:v>38807</c:v>
                </c:pt>
                <c:pt idx="103">
                  <c:v>38837</c:v>
                </c:pt>
                <c:pt idx="104">
                  <c:v>38868</c:v>
                </c:pt>
                <c:pt idx="105">
                  <c:v>38898</c:v>
                </c:pt>
                <c:pt idx="106">
                  <c:v>38929</c:v>
                </c:pt>
                <c:pt idx="107">
                  <c:v>38960</c:v>
                </c:pt>
                <c:pt idx="108">
                  <c:v>38990</c:v>
                </c:pt>
                <c:pt idx="109">
                  <c:v>39021</c:v>
                </c:pt>
                <c:pt idx="110">
                  <c:v>39051</c:v>
                </c:pt>
                <c:pt idx="111">
                  <c:v>39082</c:v>
                </c:pt>
                <c:pt idx="112">
                  <c:v>39113</c:v>
                </c:pt>
                <c:pt idx="113">
                  <c:v>39141</c:v>
                </c:pt>
                <c:pt idx="114">
                  <c:v>39172</c:v>
                </c:pt>
                <c:pt idx="115">
                  <c:v>39202</c:v>
                </c:pt>
                <c:pt idx="116">
                  <c:v>39233</c:v>
                </c:pt>
                <c:pt idx="117">
                  <c:v>39263</c:v>
                </c:pt>
                <c:pt idx="118">
                  <c:v>39294</c:v>
                </c:pt>
                <c:pt idx="119">
                  <c:v>39325</c:v>
                </c:pt>
                <c:pt idx="120">
                  <c:v>39355</c:v>
                </c:pt>
                <c:pt idx="121">
                  <c:v>39386</c:v>
                </c:pt>
                <c:pt idx="122">
                  <c:v>39416</c:v>
                </c:pt>
                <c:pt idx="123">
                  <c:v>39447</c:v>
                </c:pt>
                <c:pt idx="124">
                  <c:v>39478</c:v>
                </c:pt>
                <c:pt idx="125">
                  <c:v>39507</c:v>
                </c:pt>
                <c:pt idx="126">
                  <c:v>39538</c:v>
                </c:pt>
                <c:pt idx="127">
                  <c:v>39568</c:v>
                </c:pt>
                <c:pt idx="128">
                  <c:v>39599</c:v>
                </c:pt>
                <c:pt idx="129">
                  <c:v>39629</c:v>
                </c:pt>
                <c:pt idx="130">
                  <c:v>39660</c:v>
                </c:pt>
                <c:pt idx="131">
                  <c:v>39691</c:v>
                </c:pt>
                <c:pt idx="132">
                  <c:v>39721</c:v>
                </c:pt>
                <c:pt idx="133">
                  <c:v>39752</c:v>
                </c:pt>
                <c:pt idx="134">
                  <c:v>39782</c:v>
                </c:pt>
                <c:pt idx="135">
                  <c:v>39813</c:v>
                </c:pt>
                <c:pt idx="136">
                  <c:v>39844</c:v>
                </c:pt>
                <c:pt idx="137">
                  <c:v>39872</c:v>
                </c:pt>
                <c:pt idx="138">
                  <c:v>39903</c:v>
                </c:pt>
                <c:pt idx="139">
                  <c:v>39933</c:v>
                </c:pt>
                <c:pt idx="140">
                  <c:v>39964</c:v>
                </c:pt>
                <c:pt idx="141">
                  <c:v>39994</c:v>
                </c:pt>
                <c:pt idx="142">
                  <c:v>40025</c:v>
                </c:pt>
                <c:pt idx="143">
                  <c:v>40056</c:v>
                </c:pt>
                <c:pt idx="144">
                  <c:v>40086</c:v>
                </c:pt>
                <c:pt idx="145">
                  <c:v>40117</c:v>
                </c:pt>
                <c:pt idx="146">
                  <c:v>40147</c:v>
                </c:pt>
                <c:pt idx="147">
                  <c:v>40178</c:v>
                </c:pt>
                <c:pt idx="148">
                  <c:v>40209</c:v>
                </c:pt>
                <c:pt idx="149">
                  <c:v>40237</c:v>
                </c:pt>
                <c:pt idx="150">
                  <c:v>40268</c:v>
                </c:pt>
                <c:pt idx="151">
                  <c:v>40298</c:v>
                </c:pt>
                <c:pt idx="152">
                  <c:v>40329</c:v>
                </c:pt>
                <c:pt idx="153">
                  <c:v>40359</c:v>
                </c:pt>
                <c:pt idx="154">
                  <c:v>40390</c:v>
                </c:pt>
                <c:pt idx="155">
                  <c:v>40421</c:v>
                </c:pt>
                <c:pt idx="156">
                  <c:v>40451</c:v>
                </c:pt>
                <c:pt idx="157">
                  <c:v>40482</c:v>
                </c:pt>
                <c:pt idx="158">
                  <c:v>40512</c:v>
                </c:pt>
                <c:pt idx="159">
                  <c:v>40543</c:v>
                </c:pt>
                <c:pt idx="160">
                  <c:v>40574</c:v>
                </c:pt>
                <c:pt idx="161">
                  <c:v>40602</c:v>
                </c:pt>
                <c:pt idx="162">
                  <c:v>40633</c:v>
                </c:pt>
                <c:pt idx="163">
                  <c:v>40663</c:v>
                </c:pt>
                <c:pt idx="164">
                  <c:v>40694</c:v>
                </c:pt>
                <c:pt idx="165">
                  <c:v>40724</c:v>
                </c:pt>
                <c:pt idx="166">
                  <c:v>40755</c:v>
                </c:pt>
                <c:pt idx="167">
                  <c:v>40786</c:v>
                </c:pt>
                <c:pt idx="168">
                  <c:v>40816</c:v>
                </c:pt>
                <c:pt idx="169">
                  <c:v>40847</c:v>
                </c:pt>
                <c:pt idx="170">
                  <c:v>40877</c:v>
                </c:pt>
                <c:pt idx="171">
                  <c:v>40908</c:v>
                </c:pt>
                <c:pt idx="172">
                  <c:v>40939</c:v>
                </c:pt>
                <c:pt idx="173">
                  <c:v>40968</c:v>
                </c:pt>
                <c:pt idx="174">
                  <c:v>40999</c:v>
                </c:pt>
                <c:pt idx="175">
                  <c:v>41029</c:v>
                </c:pt>
                <c:pt idx="176">
                  <c:v>41060</c:v>
                </c:pt>
                <c:pt idx="177">
                  <c:v>41090</c:v>
                </c:pt>
                <c:pt idx="178">
                  <c:v>41121</c:v>
                </c:pt>
                <c:pt idx="179">
                  <c:v>41152</c:v>
                </c:pt>
                <c:pt idx="180">
                  <c:v>41182</c:v>
                </c:pt>
                <c:pt idx="181">
                  <c:v>41213</c:v>
                </c:pt>
                <c:pt idx="182">
                  <c:v>41243</c:v>
                </c:pt>
                <c:pt idx="183">
                  <c:v>41274</c:v>
                </c:pt>
                <c:pt idx="184">
                  <c:v>41305</c:v>
                </c:pt>
                <c:pt idx="185">
                  <c:v>41333</c:v>
                </c:pt>
                <c:pt idx="186">
                  <c:v>41364</c:v>
                </c:pt>
                <c:pt idx="187">
                  <c:v>41394</c:v>
                </c:pt>
                <c:pt idx="188">
                  <c:v>41425</c:v>
                </c:pt>
                <c:pt idx="189">
                  <c:v>41455</c:v>
                </c:pt>
                <c:pt idx="190">
                  <c:v>41486</c:v>
                </c:pt>
                <c:pt idx="191">
                  <c:v>41517</c:v>
                </c:pt>
                <c:pt idx="192">
                  <c:v>41547</c:v>
                </c:pt>
                <c:pt idx="193">
                  <c:v>41578</c:v>
                </c:pt>
                <c:pt idx="194">
                  <c:v>41608</c:v>
                </c:pt>
                <c:pt idx="195">
                  <c:v>41639</c:v>
                </c:pt>
                <c:pt idx="196">
                  <c:v>41670</c:v>
                </c:pt>
                <c:pt idx="197">
                  <c:v>41698</c:v>
                </c:pt>
                <c:pt idx="198">
                  <c:v>41729</c:v>
                </c:pt>
                <c:pt idx="199">
                  <c:v>41759</c:v>
                </c:pt>
                <c:pt idx="200">
                  <c:v>41790</c:v>
                </c:pt>
                <c:pt idx="201">
                  <c:v>41820</c:v>
                </c:pt>
                <c:pt idx="202">
                  <c:v>41851</c:v>
                </c:pt>
                <c:pt idx="203">
                  <c:v>41882</c:v>
                </c:pt>
                <c:pt idx="204">
                  <c:v>41912</c:v>
                </c:pt>
                <c:pt idx="205">
                  <c:v>41943</c:v>
                </c:pt>
                <c:pt idx="206">
                  <c:v>41973</c:v>
                </c:pt>
                <c:pt idx="207">
                  <c:v>42004</c:v>
                </c:pt>
                <c:pt idx="208">
                  <c:v>42035</c:v>
                </c:pt>
                <c:pt idx="209">
                  <c:v>42063</c:v>
                </c:pt>
              </c:numCache>
            </c:numRef>
          </c:cat>
          <c:val>
            <c:numRef>
              <c:f>'IR Diffs &amp; Carry'!$G$258:$G$467</c:f>
              <c:numCache>
                <c:formatCode>General</c:formatCode>
                <c:ptCount val="210"/>
                <c:pt idx="0">
                  <c:v>0.72529999999999994</c:v>
                </c:pt>
                <c:pt idx="1">
                  <c:v>0.70120000000000005</c:v>
                </c:pt>
                <c:pt idx="2">
                  <c:v>0.68149999999999999</c:v>
                </c:pt>
                <c:pt idx="3">
                  <c:v>0.65169999999999995</c:v>
                </c:pt>
                <c:pt idx="4">
                  <c:v>0.68300000000000005</c:v>
                </c:pt>
                <c:pt idx="5">
                  <c:v>0.67949999999999999</c:v>
                </c:pt>
                <c:pt idx="6">
                  <c:v>0.66239999999999999</c:v>
                </c:pt>
                <c:pt idx="7">
                  <c:v>0.64949999999999997</c:v>
                </c:pt>
                <c:pt idx="8">
                  <c:v>0.62319999999999998</c:v>
                </c:pt>
                <c:pt idx="9">
                  <c:v>0.62060000000000004</c:v>
                </c:pt>
                <c:pt idx="10">
                  <c:v>0.60650000000000004</c:v>
                </c:pt>
                <c:pt idx="11">
                  <c:v>0.56610000000000005</c:v>
                </c:pt>
                <c:pt idx="12">
                  <c:v>0.59379999999999999</c:v>
                </c:pt>
                <c:pt idx="13">
                  <c:v>0.62360000000000004</c:v>
                </c:pt>
                <c:pt idx="14">
                  <c:v>0.62860000000000005</c:v>
                </c:pt>
                <c:pt idx="15">
                  <c:v>0.61160000000000003</c:v>
                </c:pt>
                <c:pt idx="16">
                  <c:v>0.63049999999999995</c:v>
                </c:pt>
                <c:pt idx="17">
                  <c:v>0.61909999999999998</c:v>
                </c:pt>
                <c:pt idx="18">
                  <c:v>0.63400000000000001</c:v>
                </c:pt>
                <c:pt idx="19">
                  <c:v>0.66149999999999998</c:v>
                </c:pt>
                <c:pt idx="20">
                  <c:v>0.64910000000000001</c:v>
                </c:pt>
                <c:pt idx="21">
                  <c:v>0.6673</c:v>
                </c:pt>
                <c:pt idx="22">
                  <c:v>0.65169999999999995</c:v>
                </c:pt>
                <c:pt idx="23">
                  <c:v>0.64100000000000001</c:v>
                </c:pt>
                <c:pt idx="24">
                  <c:v>0.65249999999999997</c:v>
                </c:pt>
                <c:pt idx="25">
                  <c:v>0.63919999999999999</c:v>
                </c:pt>
                <c:pt idx="26">
                  <c:v>0.63580000000000003</c:v>
                </c:pt>
                <c:pt idx="27">
                  <c:v>0.65749999999999997</c:v>
                </c:pt>
                <c:pt idx="28">
                  <c:v>0.63729999999999998</c:v>
                </c:pt>
                <c:pt idx="29">
                  <c:v>0.61799999999999999</c:v>
                </c:pt>
                <c:pt idx="30">
                  <c:v>0.60799999999999998</c:v>
                </c:pt>
                <c:pt idx="31">
                  <c:v>0.58379999999999999</c:v>
                </c:pt>
                <c:pt idx="32">
                  <c:v>0.57289999999999996</c:v>
                </c:pt>
                <c:pt idx="33">
                  <c:v>0.59530000000000005</c:v>
                </c:pt>
                <c:pt idx="34">
                  <c:v>0.58099999999999996</c:v>
                </c:pt>
                <c:pt idx="35">
                  <c:v>0.57689999999999997</c:v>
                </c:pt>
                <c:pt idx="36">
                  <c:v>0.54300000000000004</c:v>
                </c:pt>
                <c:pt idx="37">
                  <c:v>0.51749999999999996</c:v>
                </c:pt>
                <c:pt idx="38">
                  <c:v>0.52859999999999996</c:v>
                </c:pt>
                <c:pt idx="39">
                  <c:v>0.55900000000000005</c:v>
                </c:pt>
                <c:pt idx="40">
                  <c:v>0.55000000000000004</c:v>
                </c:pt>
                <c:pt idx="41">
                  <c:v>0.52629999999999999</c:v>
                </c:pt>
                <c:pt idx="42">
                  <c:v>0.48599999999999999</c:v>
                </c:pt>
                <c:pt idx="43">
                  <c:v>0.51280000000000003</c:v>
                </c:pt>
                <c:pt idx="44">
                  <c:v>0.5071</c:v>
                </c:pt>
                <c:pt idx="45">
                  <c:v>0.51100000000000001</c:v>
                </c:pt>
                <c:pt idx="46">
                  <c:v>0.51</c:v>
                </c:pt>
                <c:pt idx="47">
                  <c:v>0.52939999999999998</c:v>
                </c:pt>
                <c:pt idx="48">
                  <c:v>0.49130000000000001</c:v>
                </c:pt>
                <c:pt idx="49">
                  <c:v>0.503</c:v>
                </c:pt>
                <c:pt idx="50">
                  <c:v>0.52180000000000004</c:v>
                </c:pt>
                <c:pt idx="51">
                  <c:v>0.50900000000000001</c:v>
                </c:pt>
                <c:pt idx="52">
                  <c:v>0.50800000000000001</c:v>
                </c:pt>
                <c:pt idx="53">
                  <c:v>0.51819999999999999</c:v>
                </c:pt>
                <c:pt idx="54">
                  <c:v>0.5333</c:v>
                </c:pt>
                <c:pt idx="55">
                  <c:v>0.53839999999999999</c:v>
                </c:pt>
                <c:pt idx="56">
                  <c:v>0.56740000000000002</c:v>
                </c:pt>
                <c:pt idx="57">
                  <c:v>0.56359999999999999</c:v>
                </c:pt>
                <c:pt idx="58">
                  <c:v>0.54239999999999999</c:v>
                </c:pt>
                <c:pt idx="59">
                  <c:v>0.55079999999999996</c:v>
                </c:pt>
                <c:pt idx="60">
                  <c:v>0.54269999999999996</c:v>
                </c:pt>
                <c:pt idx="61">
                  <c:v>0.55479999999999996</c:v>
                </c:pt>
                <c:pt idx="62">
                  <c:v>0.56079999999999997</c:v>
                </c:pt>
                <c:pt idx="63">
                  <c:v>0.56140000000000001</c:v>
                </c:pt>
                <c:pt idx="64">
                  <c:v>0.58720000000000006</c:v>
                </c:pt>
                <c:pt idx="65">
                  <c:v>0.6089</c:v>
                </c:pt>
                <c:pt idx="66">
                  <c:v>0.60440000000000005</c:v>
                </c:pt>
                <c:pt idx="67">
                  <c:v>0.62629999999999997</c:v>
                </c:pt>
                <c:pt idx="68">
                  <c:v>0.65269999999999995</c:v>
                </c:pt>
                <c:pt idx="69">
                  <c:v>0.6734</c:v>
                </c:pt>
                <c:pt idx="70">
                  <c:v>0.64839999999999998</c:v>
                </c:pt>
                <c:pt idx="71">
                  <c:v>0.6472</c:v>
                </c:pt>
                <c:pt idx="72">
                  <c:v>0.68020000000000003</c:v>
                </c:pt>
                <c:pt idx="73">
                  <c:v>0.70840000000000003</c:v>
                </c:pt>
                <c:pt idx="74">
                  <c:v>0.72419999999999995</c:v>
                </c:pt>
                <c:pt idx="75">
                  <c:v>0.75260000000000005</c:v>
                </c:pt>
                <c:pt idx="76">
                  <c:v>0.76419999999999999</c:v>
                </c:pt>
                <c:pt idx="77">
                  <c:v>0.77400000000000002</c:v>
                </c:pt>
                <c:pt idx="78">
                  <c:v>0.76680000000000004</c:v>
                </c:pt>
                <c:pt idx="79">
                  <c:v>0.7208</c:v>
                </c:pt>
                <c:pt idx="80">
                  <c:v>0.71509999999999996</c:v>
                </c:pt>
                <c:pt idx="81">
                  <c:v>0.69850000000000001</c:v>
                </c:pt>
                <c:pt idx="82">
                  <c:v>0.7026</c:v>
                </c:pt>
                <c:pt idx="83">
                  <c:v>0.7046</c:v>
                </c:pt>
                <c:pt idx="84">
                  <c:v>0.72750000000000004</c:v>
                </c:pt>
                <c:pt idx="85">
                  <c:v>0.74870000000000003</c:v>
                </c:pt>
                <c:pt idx="86">
                  <c:v>0.77210000000000001</c:v>
                </c:pt>
                <c:pt idx="87">
                  <c:v>0.78220000000000001</c:v>
                </c:pt>
                <c:pt idx="88">
                  <c:v>0.7752</c:v>
                </c:pt>
                <c:pt idx="89">
                  <c:v>0.7923</c:v>
                </c:pt>
                <c:pt idx="90">
                  <c:v>0.77239999999999998</c:v>
                </c:pt>
                <c:pt idx="91">
                  <c:v>0.78100000000000003</c:v>
                </c:pt>
                <c:pt idx="92">
                  <c:v>0.75590000000000002</c:v>
                </c:pt>
                <c:pt idx="93">
                  <c:v>0.76249999999999996</c:v>
                </c:pt>
                <c:pt idx="94">
                  <c:v>0.75680000000000003</c:v>
                </c:pt>
                <c:pt idx="95">
                  <c:v>0.755</c:v>
                </c:pt>
                <c:pt idx="96">
                  <c:v>0.76119999999999999</c:v>
                </c:pt>
                <c:pt idx="97">
                  <c:v>0.74839999999999995</c:v>
                </c:pt>
                <c:pt idx="98">
                  <c:v>0.73850000000000005</c:v>
                </c:pt>
                <c:pt idx="99">
                  <c:v>0.73360000000000003</c:v>
                </c:pt>
                <c:pt idx="100">
                  <c:v>0.75870000000000004</c:v>
                </c:pt>
                <c:pt idx="101">
                  <c:v>0.74250000000000005</c:v>
                </c:pt>
                <c:pt idx="102">
                  <c:v>0.71630000000000005</c:v>
                </c:pt>
                <c:pt idx="103">
                  <c:v>0.75770000000000004</c:v>
                </c:pt>
                <c:pt idx="104">
                  <c:v>0.75239999999999996</c:v>
                </c:pt>
                <c:pt idx="105">
                  <c:v>0.74229999999999996</c:v>
                </c:pt>
                <c:pt idx="106">
                  <c:v>0.76619999999999999</c:v>
                </c:pt>
                <c:pt idx="107">
                  <c:v>0.76400000000000001</c:v>
                </c:pt>
                <c:pt idx="108">
                  <c:v>0.74639999999999995</c:v>
                </c:pt>
                <c:pt idx="109">
                  <c:v>0.7742</c:v>
                </c:pt>
                <c:pt idx="110">
                  <c:v>0.78849999999999998</c:v>
                </c:pt>
                <c:pt idx="111">
                  <c:v>0.7893</c:v>
                </c:pt>
                <c:pt idx="112">
                  <c:v>0.77680000000000005</c:v>
                </c:pt>
                <c:pt idx="113">
                  <c:v>0.78810000000000002</c:v>
                </c:pt>
                <c:pt idx="114">
                  <c:v>0.8085</c:v>
                </c:pt>
                <c:pt idx="115">
                  <c:v>0.83069999999999999</c:v>
                </c:pt>
                <c:pt idx="116">
                  <c:v>0.82769999999999999</c:v>
                </c:pt>
                <c:pt idx="117">
                  <c:v>0.8488</c:v>
                </c:pt>
                <c:pt idx="118">
                  <c:v>0.85099999999999998</c:v>
                </c:pt>
                <c:pt idx="119">
                  <c:v>0.81769999999999998</c:v>
                </c:pt>
                <c:pt idx="120">
                  <c:v>0.88729999999999998</c:v>
                </c:pt>
                <c:pt idx="121">
                  <c:v>0.93230000000000002</c:v>
                </c:pt>
                <c:pt idx="122">
                  <c:v>0.88419999999999999</c:v>
                </c:pt>
                <c:pt idx="123">
                  <c:v>0.87590000000000001</c:v>
                </c:pt>
                <c:pt idx="124">
                  <c:v>0.89610000000000001</c:v>
                </c:pt>
                <c:pt idx="125">
                  <c:v>0.93149999999999999</c:v>
                </c:pt>
                <c:pt idx="126">
                  <c:v>0.91269999999999996</c:v>
                </c:pt>
                <c:pt idx="127">
                  <c:v>0.9425</c:v>
                </c:pt>
                <c:pt idx="128">
                  <c:v>0.95589999999999997</c:v>
                </c:pt>
                <c:pt idx="129">
                  <c:v>0.95789999999999997</c:v>
                </c:pt>
                <c:pt idx="130">
                  <c:v>0.94179999999999997</c:v>
                </c:pt>
                <c:pt idx="131">
                  <c:v>0.85819999999999996</c:v>
                </c:pt>
                <c:pt idx="132">
                  <c:v>0.7944</c:v>
                </c:pt>
                <c:pt idx="133">
                  <c:v>0.66790000000000005</c:v>
                </c:pt>
                <c:pt idx="134">
                  <c:v>0.65510000000000002</c:v>
                </c:pt>
                <c:pt idx="135">
                  <c:v>0.70760000000000001</c:v>
                </c:pt>
                <c:pt idx="136">
                  <c:v>0.6351</c:v>
                </c:pt>
                <c:pt idx="137">
                  <c:v>0.63990000000000002</c:v>
                </c:pt>
                <c:pt idx="138">
                  <c:v>0.69220000000000004</c:v>
                </c:pt>
                <c:pt idx="139">
                  <c:v>0.72519999999999996</c:v>
                </c:pt>
                <c:pt idx="140">
                  <c:v>0.80120000000000002</c:v>
                </c:pt>
                <c:pt idx="141">
                  <c:v>0.80689999999999995</c:v>
                </c:pt>
                <c:pt idx="142">
                  <c:v>0.83540000000000003</c:v>
                </c:pt>
                <c:pt idx="143">
                  <c:v>0.84450000000000003</c:v>
                </c:pt>
                <c:pt idx="144">
                  <c:v>0.88370000000000004</c:v>
                </c:pt>
                <c:pt idx="145">
                  <c:v>0.89929999999999999</c:v>
                </c:pt>
                <c:pt idx="146">
                  <c:v>0.91510000000000002</c:v>
                </c:pt>
                <c:pt idx="147">
                  <c:v>0.89729999999999999</c:v>
                </c:pt>
                <c:pt idx="148">
                  <c:v>0.88470000000000004</c:v>
                </c:pt>
                <c:pt idx="149">
                  <c:v>0.89510000000000001</c:v>
                </c:pt>
                <c:pt idx="150">
                  <c:v>0.91669999999999996</c:v>
                </c:pt>
                <c:pt idx="151">
                  <c:v>0.92459999999999998</c:v>
                </c:pt>
                <c:pt idx="152">
                  <c:v>0.84660000000000002</c:v>
                </c:pt>
                <c:pt idx="153">
                  <c:v>0.84</c:v>
                </c:pt>
                <c:pt idx="154">
                  <c:v>0.9042</c:v>
                </c:pt>
                <c:pt idx="155">
                  <c:v>0.89090000000000003</c:v>
                </c:pt>
                <c:pt idx="156">
                  <c:v>0.96679999999999999</c:v>
                </c:pt>
                <c:pt idx="157">
                  <c:v>0.98370000000000002</c:v>
                </c:pt>
                <c:pt idx="158">
                  <c:v>0.9577</c:v>
                </c:pt>
                <c:pt idx="159">
                  <c:v>1.0217000000000001</c:v>
                </c:pt>
                <c:pt idx="160">
                  <c:v>0.99670000000000003</c:v>
                </c:pt>
                <c:pt idx="161">
                  <c:v>1.0185999999999999</c:v>
                </c:pt>
                <c:pt idx="162">
                  <c:v>1.0327999999999999</c:v>
                </c:pt>
                <c:pt idx="163">
                  <c:v>1.0967</c:v>
                </c:pt>
                <c:pt idx="164">
                  <c:v>1.0670999999999999</c:v>
                </c:pt>
                <c:pt idx="165">
                  <c:v>1.0722</c:v>
                </c:pt>
                <c:pt idx="166">
                  <c:v>1.0994999999999999</c:v>
                </c:pt>
                <c:pt idx="167">
                  <c:v>1.0702</c:v>
                </c:pt>
                <c:pt idx="168">
                  <c:v>0.96640000000000004</c:v>
                </c:pt>
                <c:pt idx="169">
                  <c:v>1.0536000000000001</c:v>
                </c:pt>
                <c:pt idx="170">
                  <c:v>1.0276000000000001</c:v>
                </c:pt>
                <c:pt idx="171">
                  <c:v>1.0227999999999999</c:v>
                </c:pt>
                <c:pt idx="172">
                  <c:v>1.0616000000000001</c:v>
                </c:pt>
                <c:pt idx="173">
                  <c:v>1.0731999999999999</c:v>
                </c:pt>
                <c:pt idx="174">
                  <c:v>1.0346</c:v>
                </c:pt>
                <c:pt idx="175">
                  <c:v>1.0426</c:v>
                </c:pt>
                <c:pt idx="176">
                  <c:v>0.97289999999999999</c:v>
                </c:pt>
                <c:pt idx="177">
                  <c:v>1.024</c:v>
                </c:pt>
                <c:pt idx="178">
                  <c:v>1.0502</c:v>
                </c:pt>
                <c:pt idx="179">
                  <c:v>1.0322</c:v>
                </c:pt>
                <c:pt idx="180">
                  <c:v>1.0378000000000001</c:v>
                </c:pt>
                <c:pt idx="181">
                  <c:v>1.0375000000000001</c:v>
                </c:pt>
                <c:pt idx="182">
                  <c:v>1.0427999999999999</c:v>
                </c:pt>
                <c:pt idx="183">
                  <c:v>1.0394000000000001</c:v>
                </c:pt>
                <c:pt idx="184">
                  <c:v>1.0424</c:v>
                </c:pt>
                <c:pt idx="185">
                  <c:v>1.0214000000000001</c:v>
                </c:pt>
                <c:pt idx="186">
                  <c:v>1.0419</c:v>
                </c:pt>
                <c:pt idx="187">
                  <c:v>1.0370999999999999</c:v>
                </c:pt>
                <c:pt idx="188">
                  <c:v>0.95730000000000004</c:v>
                </c:pt>
                <c:pt idx="189">
                  <c:v>0.91369999999999996</c:v>
                </c:pt>
                <c:pt idx="190">
                  <c:v>0.8982</c:v>
                </c:pt>
                <c:pt idx="191">
                  <c:v>0.89</c:v>
                </c:pt>
                <c:pt idx="192">
                  <c:v>0.93169999999999997</c:v>
                </c:pt>
                <c:pt idx="193">
                  <c:v>0.94589999999999996</c:v>
                </c:pt>
                <c:pt idx="194">
                  <c:v>0.91120000000000001</c:v>
                </c:pt>
                <c:pt idx="195">
                  <c:v>0.89180000000000004</c:v>
                </c:pt>
                <c:pt idx="196">
                  <c:v>0.87560000000000004</c:v>
                </c:pt>
                <c:pt idx="197">
                  <c:v>0.89290000000000003</c:v>
                </c:pt>
                <c:pt idx="198">
                  <c:v>0.9264</c:v>
                </c:pt>
                <c:pt idx="199">
                  <c:v>0.92879999999999996</c:v>
                </c:pt>
                <c:pt idx="200">
                  <c:v>0.93120000000000003</c:v>
                </c:pt>
                <c:pt idx="201">
                  <c:v>0.94320000000000004</c:v>
                </c:pt>
                <c:pt idx="202">
                  <c:v>0.92959999999999998</c:v>
                </c:pt>
                <c:pt idx="203">
                  <c:v>0.93379999999999996</c:v>
                </c:pt>
                <c:pt idx="204">
                  <c:v>0.87460000000000004</c:v>
                </c:pt>
                <c:pt idx="205">
                  <c:v>0.87980000000000003</c:v>
                </c:pt>
                <c:pt idx="206">
                  <c:v>0.85099999999999998</c:v>
                </c:pt>
                <c:pt idx="207">
                  <c:v>0.81699999999999995</c:v>
                </c:pt>
                <c:pt idx="208">
                  <c:v>0.77690000000000003</c:v>
                </c:pt>
                <c:pt idx="209">
                  <c:v>0.78120000000000001</c:v>
                </c:pt>
              </c:numCache>
            </c:numRef>
          </c:val>
          <c:smooth val="0"/>
          <c:extLst>
            <c:ext xmlns:c16="http://schemas.microsoft.com/office/drawing/2014/chart" uri="{C3380CC4-5D6E-409C-BE32-E72D297353CC}">
              <c16:uniqueId val="{00000001-3B74-4970-A2A6-A5D4965B4496}"/>
            </c:ext>
          </c:extLst>
        </c:ser>
        <c:dLbls>
          <c:showLegendKey val="0"/>
          <c:showVal val="0"/>
          <c:showCatName val="0"/>
          <c:showSerName val="0"/>
          <c:showPercent val="0"/>
          <c:showBubbleSize val="0"/>
        </c:dLbls>
        <c:marker val="1"/>
        <c:smooth val="0"/>
        <c:axId val="3"/>
        <c:axId val="4"/>
      </c:lineChart>
      <c:dateAx>
        <c:axId val="657851039"/>
        <c:scaling>
          <c:orientation val="minMax"/>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Offset val="100"/>
        <c:baseTimeUnit val="months"/>
      </c:dateAx>
      <c:valAx>
        <c:axId val="1"/>
        <c:scaling>
          <c:orientation val="minMax"/>
          <c:max val="8.0000000000000016E-2"/>
          <c:min val="-4.0000000000000008E-2"/>
        </c:scaling>
        <c:delete val="0"/>
        <c:axPos val="l"/>
        <c:majorGridlines>
          <c:spPr>
            <a:ln w="9525" cap="flat" cmpd="sng" algn="ctr">
              <a:solidFill>
                <a:schemeClr val="bg1">
                  <a:lumMod val="65000"/>
                </a:schemeClr>
              </a:solidFill>
              <a:prstDash val="dashDot"/>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51039"/>
        <c:crosses val="autoZero"/>
        <c:crossBetween val="between"/>
        <c:majorUnit val="5.000000000000001E-3"/>
      </c:valAx>
      <c:dateAx>
        <c:axId val="3"/>
        <c:scaling>
          <c:orientation val="minMax"/>
        </c:scaling>
        <c:delete val="1"/>
        <c:axPos val="b"/>
        <c:numFmt formatCode="mmm\-yyyy" sourceLinked="1"/>
        <c:majorTickMark val="out"/>
        <c:minorTickMark val="none"/>
        <c:tickLblPos val="nextTo"/>
        <c:crossAx val="4"/>
        <c:crosses val="autoZero"/>
        <c:auto val="1"/>
        <c:lblOffset val="100"/>
        <c:baseTimeUnit val="months"/>
      </c:dateAx>
      <c:valAx>
        <c:axId val="4"/>
        <c:scaling>
          <c:orientation val="minMax"/>
          <c:min val="0.4"/>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3"/>
        <c:crosses val="max"/>
        <c:crossBetween val="between"/>
        <c:majorUnit val="5.000000000000001E-2"/>
      </c:valAx>
      <c:spPr>
        <a:noFill/>
        <a:ln w="25400">
          <a:noFill/>
        </a:ln>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AUD/USD Daily Rollover 1976-2015</a:t>
            </a:r>
          </a:p>
        </c:rich>
      </c:tx>
      <c:layout>
        <c:manualLayout>
          <c:xMode val="edge"/>
          <c:yMode val="edge"/>
          <c:x val="0.32662269340515449"/>
          <c:y val="2.4045625420741717E-2"/>
        </c:manualLayout>
      </c:layout>
      <c:overlay val="0"/>
      <c:spPr>
        <a:noFill/>
        <a:ln w="25400">
          <a:noFill/>
        </a:ln>
      </c:spPr>
    </c:title>
    <c:autoTitleDeleted val="0"/>
    <c:plotArea>
      <c:layout/>
      <c:lineChart>
        <c:grouping val="standard"/>
        <c:varyColors val="0"/>
        <c:ser>
          <c:idx val="0"/>
          <c:order val="0"/>
          <c:tx>
            <c:v>Rollover</c:v>
          </c:tx>
          <c:spPr>
            <a:ln w="25400">
              <a:solidFill>
                <a:srgbClr val="FFFF00"/>
              </a:solidFill>
              <a:prstDash val="solid"/>
            </a:ln>
          </c:spPr>
          <c:marker>
            <c:symbol val="none"/>
          </c:marker>
          <c:cat>
            <c:numRef>
              <c:f>'IR Diffs &amp; Carry'!$A$2:$A$467</c:f>
              <c:numCache>
                <c:formatCode>mmm\-yyyy</c:formatCode>
                <c:ptCount val="466"/>
                <c:pt idx="0">
                  <c:v>27911</c:v>
                </c:pt>
                <c:pt idx="1">
                  <c:v>27941</c:v>
                </c:pt>
                <c:pt idx="2">
                  <c:v>27972</c:v>
                </c:pt>
                <c:pt idx="3">
                  <c:v>28003</c:v>
                </c:pt>
                <c:pt idx="4">
                  <c:v>28033</c:v>
                </c:pt>
                <c:pt idx="5">
                  <c:v>28064</c:v>
                </c:pt>
                <c:pt idx="6">
                  <c:v>28094</c:v>
                </c:pt>
                <c:pt idx="7">
                  <c:v>28125</c:v>
                </c:pt>
                <c:pt idx="8">
                  <c:v>28156</c:v>
                </c:pt>
                <c:pt idx="9">
                  <c:v>28184</c:v>
                </c:pt>
                <c:pt idx="10">
                  <c:v>28215</c:v>
                </c:pt>
                <c:pt idx="11">
                  <c:v>28245</c:v>
                </c:pt>
                <c:pt idx="12">
                  <c:v>28276</c:v>
                </c:pt>
                <c:pt idx="13">
                  <c:v>28306</c:v>
                </c:pt>
                <c:pt idx="14">
                  <c:v>28337</c:v>
                </c:pt>
                <c:pt idx="15">
                  <c:v>28368</c:v>
                </c:pt>
                <c:pt idx="16">
                  <c:v>28398</c:v>
                </c:pt>
                <c:pt idx="17">
                  <c:v>28429</c:v>
                </c:pt>
                <c:pt idx="18">
                  <c:v>28459</c:v>
                </c:pt>
                <c:pt idx="19">
                  <c:v>28490</c:v>
                </c:pt>
                <c:pt idx="20">
                  <c:v>28521</c:v>
                </c:pt>
                <c:pt idx="21">
                  <c:v>28549</c:v>
                </c:pt>
                <c:pt idx="22">
                  <c:v>28580</c:v>
                </c:pt>
                <c:pt idx="23">
                  <c:v>28610</c:v>
                </c:pt>
                <c:pt idx="24">
                  <c:v>28641</c:v>
                </c:pt>
                <c:pt idx="25">
                  <c:v>28671</c:v>
                </c:pt>
                <c:pt idx="26">
                  <c:v>28702</c:v>
                </c:pt>
                <c:pt idx="27">
                  <c:v>28733</c:v>
                </c:pt>
                <c:pt idx="28">
                  <c:v>28763</c:v>
                </c:pt>
                <c:pt idx="29">
                  <c:v>28794</c:v>
                </c:pt>
                <c:pt idx="30">
                  <c:v>28824</c:v>
                </c:pt>
                <c:pt idx="31">
                  <c:v>28855</c:v>
                </c:pt>
                <c:pt idx="32">
                  <c:v>28886</c:v>
                </c:pt>
                <c:pt idx="33">
                  <c:v>28914</c:v>
                </c:pt>
                <c:pt idx="34">
                  <c:v>28945</c:v>
                </c:pt>
                <c:pt idx="35">
                  <c:v>28975</c:v>
                </c:pt>
                <c:pt idx="36">
                  <c:v>29006</c:v>
                </c:pt>
                <c:pt idx="37">
                  <c:v>29036</c:v>
                </c:pt>
                <c:pt idx="38">
                  <c:v>29067</c:v>
                </c:pt>
                <c:pt idx="39">
                  <c:v>29098</c:v>
                </c:pt>
                <c:pt idx="40">
                  <c:v>29128</c:v>
                </c:pt>
                <c:pt idx="41">
                  <c:v>29159</c:v>
                </c:pt>
                <c:pt idx="42">
                  <c:v>29189</c:v>
                </c:pt>
                <c:pt idx="43">
                  <c:v>29220</c:v>
                </c:pt>
                <c:pt idx="44">
                  <c:v>29251</c:v>
                </c:pt>
                <c:pt idx="45">
                  <c:v>29280</c:v>
                </c:pt>
                <c:pt idx="46">
                  <c:v>29311</c:v>
                </c:pt>
                <c:pt idx="47">
                  <c:v>29341</c:v>
                </c:pt>
                <c:pt idx="48">
                  <c:v>29372</c:v>
                </c:pt>
                <c:pt idx="49">
                  <c:v>29402</c:v>
                </c:pt>
                <c:pt idx="50">
                  <c:v>29433</c:v>
                </c:pt>
                <c:pt idx="51">
                  <c:v>29464</c:v>
                </c:pt>
                <c:pt idx="52">
                  <c:v>29494</c:v>
                </c:pt>
                <c:pt idx="53">
                  <c:v>29525</c:v>
                </c:pt>
                <c:pt idx="54">
                  <c:v>29555</c:v>
                </c:pt>
                <c:pt idx="55">
                  <c:v>29586</c:v>
                </c:pt>
                <c:pt idx="56">
                  <c:v>29617</c:v>
                </c:pt>
                <c:pt idx="57">
                  <c:v>29645</c:v>
                </c:pt>
                <c:pt idx="58">
                  <c:v>29676</c:v>
                </c:pt>
                <c:pt idx="59">
                  <c:v>29706</c:v>
                </c:pt>
                <c:pt idx="60">
                  <c:v>29737</c:v>
                </c:pt>
                <c:pt idx="61">
                  <c:v>29767</c:v>
                </c:pt>
                <c:pt idx="62">
                  <c:v>29798</c:v>
                </c:pt>
                <c:pt idx="63">
                  <c:v>29829</c:v>
                </c:pt>
                <c:pt idx="64">
                  <c:v>29859</c:v>
                </c:pt>
                <c:pt idx="65">
                  <c:v>29890</c:v>
                </c:pt>
                <c:pt idx="66">
                  <c:v>29920</c:v>
                </c:pt>
                <c:pt idx="67">
                  <c:v>29951</c:v>
                </c:pt>
                <c:pt idx="68">
                  <c:v>29982</c:v>
                </c:pt>
                <c:pt idx="69">
                  <c:v>30010</c:v>
                </c:pt>
                <c:pt idx="70">
                  <c:v>30041</c:v>
                </c:pt>
                <c:pt idx="71">
                  <c:v>30071</c:v>
                </c:pt>
                <c:pt idx="72">
                  <c:v>30102</c:v>
                </c:pt>
                <c:pt idx="73">
                  <c:v>30132</c:v>
                </c:pt>
                <c:pt idx="74">
                  <c:v>30163</c:v>
                </c:pt>
                <c:pt idx="75">
                  <c:v>30194</c:v>
                </c:pt>
                <c:pt idx="76">
                  <c:v>30224</c:v>
                </c:pt>
                <c:pt idx="77">
                  <c:v>30255</c:v>
                </c:pt>
                <c:pt idx="78">
                  <c:v>30285</c:v>
                </c:pt>
                <c:pt idx="79">
                  <c:v>30316</c:v>
                </c:pt>
                <c:pt idx="80">
                  <c:v>30347</c:v>
                </c:pt>
                <c:pt idx="81">
                  <c:v>30375</c:v>
                </c:pt>
                <c:pt idx="82">
                  <c:v>30406</c:v>
                </c:pt>
                <c:pt idx="83">
                  <c:v>30436</c:v>
                </c:pt>
                <c:pt idx="84">
                  <c:v>30467</c:v>
                </c:pt>
                <c:pt idx="85">
                  <c:v>30497</c:v>
                </c:pt>
                <c:pt idx="86">
                  <c:v>30528</c:v>
                </c:pt>
                <c:pt idx="87">
                  <c:v>30559</c:v>
                </c:pt>
                <c:pt idx="88">
                  <c:v>30589</c:v>
                </c:pt>
                <c:pt idx="89">
                  <c:v>30620</c:v>
                </c:pt>
                <c:pt idx="90">
                  <c:v>30650</c:v>
                </c:pt>
                <c:pt idx="91">
                  <c:v>30681</c:v>
                </c:pt>
                <c:pt idx="92">
                  <c:v>30712</c:v>
                </c:pt>
                <c:pt idx="93">
                  <c:v>30741</c:v>
                </c:pt>
                <c:pt idx="94">
                  <c:v>30772</c:v>
                </c:pt>
                <c:pt idx="95">
                  <c:v>30802</c:v>
                </c:pt>
                <c:pt idx="96">
                  <c:v>30833</c:v>
                </c:pt>
                <c:pt idx="97">
                  <c:v>30863</c:v>
                </c:pt>
                <c:pt idx="98">
                  <c:v>30894</c:v>
                </c:pt>
                <c:pt idx="99">
                  <c:v>30925</c:v>
                </c:pt>
                <c:pt idx="100">
                  <c:v>30955</c:v>
                </c:pt>
                <c:pt idx="101">
                  <c:v>30986</c:v>
                </c:pt>
                <c:pt idx="102">
                  <c:v>31016</c:v>
                </c:pt>
                <c:pt idx="103">
                  <c:v>31047</c:v>
                </c:pt>
                <c:pt idx="104">
                  <c:v>31078</c:v>
                </c:pt>
                <c:pt idx="105">
                  <c:v>31106</c:v>
                </c:pt>
                <c:pt idx="106">
                  <c:v>31137</c:v>
                </c:pt>
                <c:pt idx="107">
                  <c:v>31167</c:v>
                </c:pt>
                <c:pt idx="108">
                  <c:v>31198</c:v>
                </c:pt>
                <c:pt idx="109">
                  <c:v>31228</c:v>
                </c:pt>
                <c:pt idx="110">
                  <c:v>31259</c:v>
                </c:pt>
                <c:pt idx="111">
                  <c:v>31290</c:v>
                </c:pt>
                <c:pt idx="112">
                  <c:v>31320</c:v>
                </c:pt>
                <c:pt idx="113">
                  <c:v>31351</c:v>
                </c:pt>
                <c:pt idx="114">
                  <c:v>31381</c:v>
                </c:pt>
                <c:pt idx="115">
                  <c:v>31412</c:v>
                </c:pt>
                <c:pt idx="116">
                  <c:v>31443</c:v>
                </c:pt>
                <c:pt idx="117">
                  <c:v>31471</c:v>
                </c:pt>
                <c:pt idx="118">
                  <c:v>31502</c:v>
                </c:pt>
                <c:pt idx="119">
                  <c:v>31532</c:v>
                </c:pt>
                <c:pt idx="120">
                  <c:v>31563</c:v>
                </c:pt>
                <c:pt idx="121">
                  <c:v>31593</c:v>
                </c:pt>
                <c:pt idx="122">
                  <c:v>31624</c:v>
                </c:pt>
                <c:pt idx="123">
                  <c:v>31655</c:v>
                </c:pt>
                <c:pt idx="124">
                  <c:v>31685</c:v>
                </c:pt>
                <c:pt idx="125">
                  <c:v>31716</c:v>
                </c:pt>
                <c:pt idx="126">
                  <c:v>31746</c:v>
                </c:pt>
                <c:pt idx="127">
                  <c:v>31777</c:v>
                </c:pt>
                <c:pt idx="128">
                  <c:v>31808</c:v>
                </c:pt>
                <c:pt idx="129">
                  <c:v>31836</c:v>
                </c:pt>
                <c:pt idx="130">
                  <c:v>31867</c:v>
                </c:pt>
                <c:pt idx="131">
                  <c:v>31897</c:v>
                </c:pt>
                <c:pt idx="132">
                  <c:v>31928</c:v>
                </c:pt>
                <c:pt idx="133">
                  <c:v>31958</c:v>
                </c:pt>
                <c:pt idx="134">
                  <c:v>31989</c:v>
                </c:pt>
                <c:pt idx="135">
                  <c:v>32020</c:v>
                </c:pt>
                <c:pt idx="136">
                  <c:v>32050</c:v>
                </c:pt>
                <c:pt idx="137">
                  <c:v>32081</c:v>
                </c:pt>
                <c:pt idx="138">
                  <c:v>32111</c:v>
                </c:pt>
                <c:pt idx="139">
                  <c:v>32142</c:v>
                </c:pt>
                <c:pt idx="140">
                  <c:v>32173</c:v>
                </c:pt>
                <c:pt idx="141">
                  <c:v>32202</c:v>
                </c:pt>
                <c:pt idx="142">
                  <c:v>32233</c:v>
                </c:pt>
                <c:pt idx="143">
                  <c:v>32263</c:v>
                </c:pt>
                <c:pt idx="144">
                  <c:v>32294</c:v>
                </c:pt>
                <c:pt idx="145">
                  <c:v>32324</c:v>
                </c:pt>
                <c:pt idx="146">
                  <c:v>32355</c:v>
                </c:pt>
                <c:pt idx="147">
                  <c:v>32386</c:v>
                </c:pt>
                <c:pt idx="148">
                  <c:v>32416</c:v>
                </c:pt>
                <c:pt idx="149">
                  <c:v>32447</c:v>
                </c:pt>
                <c:pt idx="150">
                  <c:v>32477</c:v>
                </c:pt>
                <c:pt idx="151">
                  <c:v>32508</c:v>
                </c:pt>
                <c:pt idx="152">
                  <c:v>32539</c:v>
                </c:pt>
                <c:pt idx="153">
                  <c:v>32567</c:v>
                </c:pt>
                <c:pt idx="154">
                  <c:v>32598</c:v>
                </c:pt>
                <c:pt idx="155">
                  <c:v>32628</c:v>
                </c:pt>
                <c:pt idx="156">
                  <c:v>32659</c:v>
                </c:pt>
                <c:pt idx="157">
                  <c:v>32689</c:v>
                </c:pt>
                <c:pt idx="158">
                  <c:v>32720</c:v>
                </c:pt>
                <c:pt idx="159">
                  <c:v>32751</c:v>
                </c:pt>
                <c:pt idx="160">
                  <c:v>32781</c:v>
                </c:pt>
                <c:pt idx="161">
                  <c:v>32812</c:v>
                </c:pt>
                <c:pt idx="162">
                  <c:v>32842</c:v>
                </c:pt>
                <c:pt idx="163">
                  <c:v>32873</c:v>
                </c:pt>
                <c:pt idx="164">
                  <c:v>32904</c:v>
                </c:pt>
                <c:pt idx="165">
                  <c:v>32932</c:v>
                </c:pt>
                <c:pt idx="166">
                  <c:v>32963</c:v>
                </c:pt>
                <c:pt idx="167">
                  <c:v>32993</c:v>
                </c:pt>
                <c:pt idx="168">
                  <c:v>33024</c:v>
                </c:pt>
                <c:pt idx="169">
                  <c:v>33054</c:v>
                </c:pt>
                <c:pt idx="170">
                  <c:v>33085</c:v>
                </c:pt>
                <c:pt idx="171">
                  <c:v>33116</c:v>
                </c:pt>
                <c:pt idx="172">
                  <c:v>33146</c:v>
                </c:pt>
                <c:pt idx="173">
                  <c:v>33177</c:v>
                </c:pt>
                <c:pt idx="174">
                  <c:v>33207</c:v>
                </c:pt>
                <c:pt idx="175">
                  <c:v>33238</c:v>
                </c:pt>
                <c:pt idx="176">
                  <c:v>33269</c:v>
                </c:pt>
                <c:pt idx="177">
                  <c:v>33297</c:v>
                </c:pt>
                <c:pt idx="178">
                  <c:v>33328</c:v>
                </c:pt>
                <c:pt idx="179">
                  <c:v>33358</c:v>
                </c:pt>
                <c:pt idx="180">
                  <c:v>33389</c:v>
                </c:pt>
                <c:pt idx="181">
                  <c:v>33419</c:v>
                </c:pt>
                <c:pt idx="182">
                  <c:v>33450</c:v>
                </c:pt>
                <c:pt idx="183">
                  <c:v>33481</c:v>
                </c:pt>
                <c:pt idx="184">
                  <c:v>33511</c:v>
                </c:pt>
                <c:pt idx="185">
                  <c:v>33542</c:v>
                </c:pt>
                <c:pt idx="186">
                  <c:v>33572</c:v>
                </c:pt>
                <c:pt idx="187">
                  <c:v>33603</c:v>
                </c:pt>
                <c:pt idx="188">
                  <c:v>33634</c:v>
                </c:pt>
                <c:pt idx="189">
                  <c:v>33663</c:v>
                </c:pt>
                <c:pt idx="190">
                  <c:v>33694</c:v>
                </c:pt>
                <c:pt idx="191">
                  <c:v>33724</c:v>
                </c:pt>
                <c:pt idx="192">
                  <c:v>33755</c:v>
                </c:pt>
                <c:pt idx="193">
                  <c:v>33785</c:v>
                </c:pt>
                <c:pt idx="194">
                  <c:v>33816</c:v>
                </c:pt>
                <c:pt idx="195">
                  <c:v>33847</c:v>
                </c:pt>
                <c:pt idx="196">
                  <c:v>33877</c:v>
                </c:pt>
                <c:pt idx="197">
                  <c:v>33908</c:v>
                </c:pt>
                <c:pt idx="198">
                  <c:v>33938</c:v>
                </c:pt>
                <c:pt idx="199">
                  <c:v>33969</c:v>
                </c:pt>
                <c:pt idx="200">
                  <c:v>34000</c:v>
                </c:pt>
                <c:pt idx="201">
                  <c:v>34028</c:v>
                </c:pt>
                <c:pt idx="202">
                  <c:v>34059</c:v>
                </c:pt>
                <c:pt idx="203">
                  <c:v>34089</c:v>
                </c:pt>
                <c:pt idx="204">
                  <c:v>34120</c:v>
                </c:pt>
                <c:pt idx="205">
                  <c:v>34150</c:v>
                </c:pt>
                <c:pt idx="206">
                  <c:v>34181</c:v>
                </c:pt>
                <c:pt idx="207">
                  <c:v>34212</c:v>
                </c:pt>
                <c:pt idx="208">
                  <c:v>34242</c:v>
                </c:pt>
                <c:pt idx="209">
                  <c:v>34273</c:v>
                </c:pt>
                <c:pt idx="210">
                  <c:v>34303</c:v>
                </c:pt>
                <c:pt idx="211">
                  <c:v>34334</c:v>
                </c:pt>
                <c:pt idx="212">
                  <c:v>34365</c:v>
                </c:pt>
                <c:pt idx="213">
                  <c:v>34393</c:v>
                </c:pt>
                <c:pt idx="214">
                  <c:v>34424</c:v>
                </c:pt>
                <c:pt idx="215">
                  <c:v>34454</c:v>
                </c:pt>
                <c:pt idx="216">
                  <c:v>34485</c:v>
                </c:pt>
                <c:pt idx="217">
                  <c:v>34515</c:v>
                </c:pt>
                <c:pt idx="218">
                  <c:v>34546</c:v>
                </c:pt>
                <c:pt idx="219">
                  <c:v>34577</c:v>
                </c:pt>
                <c:pt idx="220">
                  <c:v>34607</c:v>
                </c:pt>
                <c:pt idx="221">
                  <c:v>34638</c:v>
                </c:pt>
                <c:pt idx="222">
                  <c:v>34668</c:v>
                </c:pt>
                <c:pt idx="223">
                  <c:v>34699</c:v>
                </c:pt>
                <c:pt idx="224">
                  <c:v>34730</c:v>
                </c:pt>
                <c:pt idx="225">
                  <c:v>34758</c:v>
                </c:pt>
                <c:pt idx="226">
                  <c:v>34789</c:v>
                </c:pt>
                <c:pt idx="227">
                  <c:v>34819</c:v>
                </c:pt>
                <c:pt idx="228">
                  <c:v>34850</c:v>
                </c:pt>
                <c:pt idx="229">
                  <c:v>34880</c:v>
                </c:pt>
                <c:pt idx="230">
                  <c:v>34911</c:v>
                </c:pt>
                <c:pt idx="231">
                  <c:v>34942</c:v>
                </c:pt>
                <c:pt idx="232">
                  <c:v>34972</c:v>
                </c:pt>
                <c:pt idx="233">
                  <c:v>35003</c:v>
                </c:pt>
                <c:pt idx="234">
                  <c:v>35033</c:v>
                </c:pt>
                <c:pt idx="235">
                  <c:v>35064</c:v>
                </c:pt>
                <c:pt idx="236">
                  <c:v>35095</c:v>
                </c:pt>
                <c:pt idx="237">
                  <c:v>35124</c:v>
                </c:pt>
                <c:pt idx="238">
                  <c:v>35155</c:v>
                </c:pt>
                <c:pt idx="239">
                  <c:v>35185</c:v>
                </c:pt>
                <c:pt idx="240">
                  <c:v>35216</c:v>
                </c:pt>
                <c:pt idx="241">
                  <c:v>35246</c:v>
                </c:pt>
                <c:pt idx="242">
                  <c:v>35277</c:v>
                </c:pt>
                <c:pt idx="243">
                  <c:v>35308</c:v>
                </c:pt>
                <c:pt idx="244">
                  <c:v>35338</c:v>
                </c:pt>
                <c:pt idx="245">
                  <c:v>35369</c:v>
                </c:pt>
                <c:pt idx="246">
                  <c:v>35399</c:v>
                </c:pt>
                <c:pt idx="247">
                  <c:v>35430</c:v>
                </c:pt>
                <c:pt idx="248">
                  <c:v>35461</c:v>
                </c:pt>
                <c:pt idx="249">
                  <c:v>35489</c:v>
                </c:pt>
                <c:pt idx="250">
                  <c:v>35520</c:v>
                </c:pt>
                <c:pt idx="251">
                  <c:v>35550</c:v>
                </c:pt>
                <c:pt idx="252">
                  <c:v>35581</c:v>
                </c:pt>
                <c:pt idx="253">
                  <c:v>35611</c:v>
                </c:pt>
                <c:pt idx="254">
                  <c:v>35642</c:v>
                </c:pt>
                <c:pt idx="255">
                  <c:v>35673</c:v>
                </c:pt>
                <c:pt idx="256">
                  <c:v>35703</c:v>
                </c:pt>
                <c:pt idx="257">
                  <c:v>35734</c:v>
                </c:pt>
                <c:pt idx="258">
                  <c:v>35764</c:v>
                </c:pt>
                <c:pt idx="259">
                  <c:v>35795</c:v>
                </c:pt>
                <c:pt idx="260">
                  <c:v>35826</c:v>
                </c:pt>
                <c:pt idx="261">
                  <c:v>35854</c:v>
                </c:pt>
                <c:pt idx="262">
                  <c:v>35885</c:v>
                </c:pt>
                <c:pt idx="263">
                  <c:v>35915</c:v>
                </c:pt>
                <c:pt idx="264">
                  <c:v>35946</c:v>
                </c:pt>
                <c:pt idx="265">
                  <c:v>35976</c:v>
                </c:pt>
                <c:pt idx="266">
                  <c:v>36007</c:v>
                </c:pt>
                <c:pt idx="267">
                  <c:v>36038</c:v>
                </c:pt>
                <c:pt idx="268">
                  <c:v>36068</c:v>
                </c:pt>
                <c:pt idx="269">
                  <c:v>36099</c:v>
                </c:pt>
                <c:pt idx="270">
                  <c:v>36129</c:v>
                </c:pt>
                <c:pt idx="271">
                  <c:v>36160</c:v>
                </c:pt>
                <c:pt idx="272">
                  <c:v>36191</c:v>
                </c:pt>
                <c:pt idx="273">
                  <c:v>36219</c:v>
                </c:pt>
                <c:pt idx="274">
                  <c:v>36250</c:v>
                </c:pt>
                <c:pt idx="275">
                  <c:v>36280</c:v>
                </c:pt>
                <c:pt idx="276">
                  <c:v>36311</c:v>
                </c:pt>
                <c:pt idx="277">
                  <c:v>36341</c:v>
                </c:pt>
                <c:pt idx="278">
                  <c:v>36372</c:v>
                </c:pt>
                <c:pt idx="279">
                  <c:v>36403</c:v>
                </c:pt>
                <c:pt idx="280">
                  <c:v>36433</c:v>
                </c:pt>
                <c:pt idx="281">
                  <c:v>36464</c:v>
                </c:pt>
                <c:pt idx="282">
                  <c:v>36494</c:v>
                </c:pt>
                <c:pt idx="283">
                  <c:v>36525</c:v>
                </c:pt>
                <c:pt idx="284">
                  <c:v>36556</c:v>
                </c:pt>
                <c:pt idx="285">
                  <c:v>36585</c:v>
                </c:pt>
                <c:pt idx="286">
                  <c:v>36616</c:v>
                </c:pt>
                <c:pt idx="287">
                  <c:v>36646</c:v>
                </c:pt>
                <c:pt idx="288">
                  <c:v>36677</c:v>
                </c:pt>
                <c:pt idx="289">
                  <c:v>36707</c:v>
                </c:pt>
                <c:pt idx="290">
                  <c:v>36738</c:v>
                </c:pt>
                <c:pt idx="291">
                  <c:v>36769</c:v>
                </c:pt>
                <c:pt idx="292">
                  <c:v>36799</c:v>
                </c:pt>
                <c:pt idx="293">
                  <c:v>36830</c:v>
                </c:pt>
                <c:pt idx="294">
                  <c:v>36860</c:v>
                </c:pt>
                <c:pt idx="295">
                  <c:v>36891</c:v>
                </c:pt>
                <c:pt idx="296">
                  <c:v>36922</c:v>
                </c:pt>
                <c:pt idx="297">
                  <c:v>36950</c:v>
                </c:pt>
                <c:pt idx="298">
                  <c:v>36981</c:v>
                </c:pt>
                <c:pt idx="299">
                  <c:v>37011</c:v>
                </c:pt>
                <c:pt idx="300">
                  <c:v>37042</c:v>
                </c:pt>
                <c:pt idx="301">
                  <c:v>37072</c:v>
                </c:pt>
                <c:pt idx="302">
                  <c:v>37103</c:v>
                </c:pt>
                <c:pt idx="303">
                  <c:v>37134</c:v>
                </c:pt>
                <c:pt idx="304">
                  <c:v>37164</c:v>
                </c:pt>
                <c:pt idx="305">
                  <c:v>37195</c:v>
                </c:pt>
                <c:pt idx="306">
                  <c:v>37225</c:v>
                </c:pt>
                <c:pt idx="307">
                  <c:v>37256</c:v>
                </c:pt>
                <c:pt idx="308">
                  <c:v>37287</c:v>
                </c:pt>
                <c:pt idx="309">
                  <c:v>37315</c:v>
                </c:pt>
                <c:pt idx="310">
                  <c:v>37346</c:v>
                </c:pt>
                <c:pt idx="311">
                  <c:v>37376</c:v>
                </c:pt>
                <c:pt idx="312">
                  <c:v>37407</c:v>
                </c:pt>
                <c:pt idx="313">
                  <c:v>37437</c:v>
                </c:pt>
                <c:pt idx="314">
                  <c:v>37468</c:v>
                </c:pt>
                <c:pt idx="315">
                  <c:v>37499</c:v>
                </c:pt>
                <c:pt idx="316">
                  <c:v>37529</c:v>
                </c:pt>
                <c:pt idx="317">
                  <c:v>37560</c:v>
                </c:pt>
                <c:pt idx="318">
                  <c:v>37590</c:v>
                </c:pt>
                <c:pt idx="319">
                  <c:v>37621</c:v>
                </c:pt>
                <c:pt idx="320">
                  <c:v>37652</c:v>
                </c:pt>
                <c:pt idx="321">
                  <c:v>37680</c:v>
                </c:pt>
                <c:pt idx="322">
                  <c:v>37711</c:v>
                </c:pt>
                <c:pt idx="323">
                  <c:v>37741</c:v>
                </c:pt>
                <c:pt idx="324">
                  <c:v>37772</c:v>
                </c:pt>
                <c:pt idx="325">
                  <c:v>37802</c:v>
                </c:pt>
                <c:pt idx="326">
                  <c:v>37833</c:v>
                </c:pt>
                <c:pt idx="327">
                  <c:v>37864</c:v>
                </c:pt>
                <c:pt idx="328">
                  <c:v>37894</c:v>
                </c:pt>
                <c:pt idx="329">
                  <c:v>37925</c:v>
                </c:pt>
                <c:pt idx="330">
                  <c:v>37955</c:v>
                </c:pt>
                <c:pt idx="331">
                  <c:v>37986</c:v>
                </c:pt>
                <c:pt idx="332">
                  <c:v>38017</c:v>
                </c:pt>
                <c:pt idx="333">
                  <c:v>38046</c:v>
                </c:pt>
                <c:pt idx="334">
                  <c:v>38077</c:v>
                </c:pt>
                <c:pt idx="335">
                  <c:v>38107</c:v>
                </c:pt>
                <c:pt idx="336">
                  <c:v>38138</c:v>
                </c:pt>
                <c:pt idx="337">
                  <c:v>38168</c:v>
                </c:pt>
                <c:pt idx="338">
                  <c:v>38199</c:v>
                </c:pt>
                <c:pt idx="339">
                  <c:v>38230</c:v>
                </c:pt>
                <c:pt idx="340">
                  <c:v>38260</c:v>
                </c:pt>
                <c:pt idx="341">
                  <c:v>38291</c:v>
                </c:pt>
                <c:pt idx="342">
                  <c:v>38321</c:v>
                </c:pt>
                <c:pt idx="343">
                  <c:v>38352</c:v>
                </c:pt>
                <c:pt idx="344">
                  <c:v>38383</c:v>
                </c:pt>
                <c:pt idx="345">
                  <c:v>38411</c:v>
                </c:pt>
                <c:pt idx="346">
                  <c:v>38442</c:v>
                </c:pt>
                <c:pt idx="347">
                  <c:v>38472</c:v>
                </c:pt>
                <c:pt idx="348">
                  <c:v>38503</c:v>
                </c:pt>
                <c:pt idx="349">
                  <c:v>38533</c:v>
                </c:pt>
                <c:pt idx="350">
                  <c:v>38564</c:v>
                </c:pt>
                <c:pt idx="351">
                  <c:v>38595</c:v>
                </c:pt>
                <c:pt idx="352">
                  <c:v>38625</c:v>
                </c:pt>
                <c:pt idx="353">
                  <c:v>38656</c:v>
                </c:pt>
                <c:pt idx="354">
                  <c:v>38686</c:v>
                </c:pt>
                <c:pt idx="355">
                  <c:v>38717</c:v>
                </c:pt>
                <c:pt idx="356">
                  <c:v>38748</c:v>
                </c:pt>
                <c:pt idx="357">
                  <c:v>38776</c:v>
                </c:pt>
                <c:pt idx="358">
                  <c:v>38807</c:v>
                </c:pt>
                <c:pt idx="359">
                  <c:v>38837</c:v>
                </c:pt>
                <c:pt idx="360">
                  <c:v>38868</c:v>
                </c:pt>
                <c:pt idx="361">
                  <c:v>38898</c:v>
                </c:pt>
                <c:pt idx="362">
                  <c:v>38929</c:v>
                </c:pt>
                <c:pt idx="363">
                  <c:v>38960</c:v>
                </c:pt>
                <c:pt idx="364">
                  <c:v>38990</c:v>
                </c:pt>
                <c:pt idx="365">
                  <c:v>39021</c:v>
                </c:pt>
                <c:pt idx="366">
                  <c:v>39051</c:v>
                </c:pt>
                <c:pt idx="367">
                  <c:v>39082</c:v>
                </c:pt>
                <c:pt idx="368">
                  <c:v>39113</c:v>
                </c:pt>
                <c:pt idx="369">
                  <c:v>39141</c:v>
                </c:pt>
                <c:pt idx="370">
                  <c:v>39172</c:v>
                </c:pt>
                <c:pt idx="371">
                  <c:v>39202</c:v>
                </c:pt>
                <c:pt idx="372">
                  <c:v>39233</c:v>
                </c:pt>
                <c:pt idx="373">
                  <c:v>39263</c:v>
                </c:pt>
                <c:pt idx="374">
                  <c:v>39294</c:v>
                </c:pt>
                <c:pt idx="375">
                  <c:v>39325</c:v>
                </c:pt>
                <c:pt idx="376">
                  <c:v>39355</c:v>
                </c:pt>
                <c:pt idx="377">
                  <c:v>39386</c:v>
                </c:pt>
                <c:pt idx="378">
                  <c:v>39416</c:v>
                </c:pt>
                <c:pt idx="379">
                  <c:v>39447</c:v>
                </c:pt>
                <c:pt idx="380">
                  <c:v>39478</c:v>
                </c:pt>
                <c:pt idx="381">
                  <c:v>39507</c:v>
                </c:pt>
                <c:pt idx="382">
                  <c:v>39538</c:v>
                </c:pt>
                <c:pt idx="383">
                  <c:v>39568</c:v>
                </c:pt>
                <c:pt idx="384">
                  <c:v>39599</c:v>
                </c:pt>
                <c:pt idx="385">
                  <c:v>39629</c:v>
                </c:pt>
                <c:pt idx="386">
                  <c:v>39660</c:v>
                </c:pt>
                <c:pt idx="387">
                  <c:v>39691</c:v>
                </c:pt>
                <c:pt idx="388">
                  <c:v>39721</c:v>
                </c:pt>
                <c:pt idx="389">
                  <c:v>39752</c:v>
                </c:pt>
                <c:pt idx="390">
                  <c:v>39782</c:v>
                </c:pt>
                <c:pt idx="391">
                  <c:v>39813</c:v>
                </c:pt>
                <c:pt idx="392">
                  <c:v>39844</c:v>
                </c:pt>
                <c:pt idx="393">
                  <c:v>39872</c:v>
                </c:pt>
                <c:pt idx="394">
                  <c:v>39903</c:v>
                </c:pt>
                <c:pt idx="395">
                  <c:v>39933</c:v>
                </c:pt>
                <c:pt idx="396">
                  <c:v>39964</c:v>
                </c:pt>
                <c:pt idx="397">
                  <c:v>39994</c:v>
                </c:pt>
                <c:pt idx="398">
                  <c:v>40025</c:v>
                </c:pt>
                <c:pt idx="399">
                  <c:v>40056</c:v>
                </c:pt>
                <c:pt idx="400">
                  <c:v>40086</c:v>
                </c:pt>
                <c:pt idx="401">
                  <c:v>40117</c:v>
                </c:pt>
                <c:pt idx="402">
                  <c:v>40147</c:v>
                </c:pt>
                <c:pt idx="403">
                  <c:v>40178</c:v>
                </c:pt>
                <c:pt idx="404">
                  <c:v>40209</c:v>
                </c:pt>
                <c:pt idx="405">
                  <c:v>40237</c:v>
                </c:pt>
                <c:pt idx="406">
                  <c:v>40268</c:v>
                </c:pt>
                <c:pt idx="407">
                  <c:v>40298</c:v>
                </c:pt>
                <c:pt idx="408">
                  <c:v>40329</c:v>
                </c:pt>
                <c:pt idx="409">
                  <c:v>40359</c:v>
                </c:pt>
                <c:pt idx="410">
                  <c:v>40390</c:v>
                </c:pt>
                <c:pt idx="411">
                  <c:v>40421</c:v>
                </c:pt>
                <c:pt idx="412">
                  <c:v>40451</c:v>
                </c:pt>
                <c:pt idx="413">
                  <c:v>40482</c:v>
                </c:pt>
                <c:pt idx="414">
                  <c:v>40512</c:v>
                </c:pt>
                <c:pt idx="415">
                  <c:v>40543</c:v>
                </c:pt>
                <c:pt idx="416">
                  <c:v>40574</c:v>
                </c:pt>
                <c:pt idx="417">
                  <c:v>40602</c:v>
                </c:pt>
                <c:pt idx="418">
                  <c:v>40633</c:v>
                </c:pt>
                <c:pt idx="419">
                  <c:v>40663</c:v>
                </c:pt>
                <c:pt idx="420">
                  <c:v>40694</c:v>
                </c:pt>
                <c:pt idx="421">
                  <c:v>40724</c:v>
                </c:pt>
                <c:pt idx="422">
                  <c:v>40755</c:v>
                </c:pt>
                <c:pt idx="423">
                  <c:v>40786</c:v>
                </c:pt>
                <c:pt idx="424">
                  <c:v>40816</c:v>
                </c:pt>
                <c:pt idx="425">
                  <c:v>40847</c:v>
                </c:pt>
                <c:pt idx="426">
                  <c:v>40877</c:v>
                </c:pt>
                <c:pt idx="427">
                  <c:v>40908</c:v>
                </c:pt>
                <c:pt idx="428">
                  <c:v>40939</c:v>
                </c:pt>
                <c:pt idx="429">
                  <c:v>40968</c:v>
                </c:pt>
                <c:pt idx="430">
                  <c:v>40999</c:v>
                </c:pt>
                <c:pt idx="431">
                  <c:v>41029</c:v>
                </c:pt>
                <c:pt idx="432">
                  <c:v>41060</c:v>
                </c:pt>
                <c:pt idx="433">
                  <c:v>41090</c:v>
                </c:pt>
                <c:pt idx="434">
                  <c:v>41121</c:v>
                </c:pt>
                <c:pt idx="435">
                  <c:v>41152</c:v>
                </c:pt>
                <c:pt idx="436">
                  <c:v>41182</c:v>
                </c:pt>
                <c:pt idx="437">
                  <c:v>41213</c:v>
                </c:pt>
                <c:pt idx="438">
                  <c:v>41243</c:v>
                </c:pt>
                <c:pt idx="439">
                  <c:v>41274</c:v>
                </c:pt>
                <c:pt idx="440">
                  <c:v>41305</c:v>
                </c:pt>
                <c:pt idx="441">
                  <c:v>41333</c:v>
                </c:pt>
                <c:pt idx="442">
                  <c:v>41364</c:v>
                </c:pt>
                <c:pt idx="443">
                  <c:v>41394</c:v>
                </c:pt>
                <c:pt idx="444">
                  <c:v>41425</c:v>
                </c:pt>
                <c:pt idx="445">
                  <c:v>41455</c:v>
                </c:pt>
                <c:pt idx="446">
                  <c:v>41486</c:v>
                </c:pt>
                <c:pt idx="447">
                  <c:v>41517</c:v>
                </c:pt>
                <c:pt idx="448">
                  <c:v>41547</c:v>
                </c:pt>
                <c:pt idx="449">
                  <c:v>41578</c:v>
                </c:pt>
                <c:pt idx="450">
                  <c:v>41608</c:v>
                </c:pt>
                <c:pt idx="451">
                  <c:v>41639</c:v>
                </c:pt>
                <c:pt idx="452">
                  <c:v>41670</c:v>
                </c:pt>
                <c:pt idx="453">
                  <c:v>41698</c:v>
                </c:pt>
                <c:pt idx="454">
                  <c:v>41729</c:v>
                </c:pt>
                <c:pt idx="455">
                  <c:v>41759</c:v>
                </c:pt>
                <c:pt idx="456">
                  <c:v>41790</c:v>
                </c:pt>
                <c:pt idx="457">
                  <c:v>41820</c:v>
                </c:pt>
                <c:pt idx="458">
                  <c:v>41851</c:v>
                </c:pt>
                <c:pt idx="459">
                  <c:v>41882</c:v>
                </c:pt>
                <c:pt idx="460">
                  <c:v>41912</c:v>
                </c:pt>
                <c:pt idx="461">
                  <c:v>41943</c:v>
                </c:pt>
                <c:pt idx="462">
                  <c:v>41973</c:v>
                </c:pt>
                <c:pt idx="463">
                  <c:v>42004</c:v>
                </c:pt>
                <c:pt idx="464">
                  <c:v>42035</c:v>
                </c:pt>
                <c:pt idx="465">
                  <c:v>42063</c:v>
                </c:pt>
              </c:numCache>
            </c:numRef>
          </c:cat>
          <c:val>
            <c:numRef>
              <c:f>'IR Diffs &amp; Carry'!$E$2:$E$467</c:f>
              <c:numCache>
                <c:formatCode>0.000000%</c:formatCode>
                <c:ptCount val="466"/>
                <c:pt idx="0">
                  <c:v>6.6196999347684345E-5</c:v>
                </c:pt>
                <c:pt idx="1">
                  <c:v>6.9663760896637608E-5</c:v>
                </c:pt>
                <c:pt idx="2">
                  <c:v>6.1955168119551686E-5</c:v>
                </c:pt>
                <c:pt idx="3">
                  <c:v>6.7372353673723545E-5</c:v>
                </c:pt>
                <c:pt idx="4">
                  <c:v>6.0610211706102082E-5</c:v>
                </c:pt>
                <c:pt idx="5">
                  <c:v>6.1839530332681025E-5</c:v>
                </c:pt>
                <c:pt idx="6">
                  <c:v>6.0971357409713543E-5</c:v>
                </c:pt>
                <c:pt idx="7">
                  <c:v>4.717547292889757E-5</c:v>
                </c:pt>
                <c:pt idx="8">
                  <c:v>7.7981254506128301E-5</c:v>
                </c:pt>
                <c:pt idx="9">
                  <c:v>7.5164383561643832E-5</c:v>
                </c:pt>
                <c:pt idx="10">
                  <c:v>7.9058963668850448E-5</c:v>
                </c:pt>
                <c:pt idx="11">
                  <c:v>7.2115677321156745E-5</c:v>
                </c:pt>
                <c:pt idx="12">
                  <c:v>9.0249066002490633E-5</c:v>
                </c:pt>
                <c:pt idx="13">
                  <c:v>1.131631382316314E-4</c:v>
                </c:pt>
                <c:pt idx="14">
                  <c:v>1.0729288975864318E-4</c:v>
                </c:pt>
                <c:pt idx="15">
                  <c:v>1.0327575938058371E-4</c:v>
                </c:pt>
                <c:pt idx="16">
                  <c:v>9.1207970112079707E-5</c:v>
                </c:pt>
                <c:pt idx="17">
                  <c:v>6.5335942596216572E-5</c:v>
                </c:pt>
                <c:pt idx="18">
                  <c:v>7.2702366127023701E-5</c:v>
                </c:pt>
                <c:pt idx="19">
                  <c:v>7.0906718851924372E-5</c:v>
                </c:pt>
                <c:pt idx="20">
                  <c:v>5.6287671232876774E-5</c:v>
                </c:pt>
                <c:pt idx="21">
                  <c:v>4.4904109589041098E-5</c:v>
                </c:pt>
                <c:pt idx="22">
                  <c:v>3.1859099804305297E-5</c:v>
                </c:pt>
                <c:pt idx="23">
                  <c:v>2.1441961067051219E-5</c:v>
                </c:pt>
                <c:pt idx="24">
                  <c:v>4.7921381774866031E-5</c:v>
                </c:pt>
                <c:pt idx="25">
                  <c:v>3.9465101108936771E-5</c:v>
                </c:pt>
                <c:pt idx="26">
                  <c:v>2.7475538160469628E-5</c:v>
                </c:pt>
                <c:pt idx="27">
                  <c:v>2.6527695056581364E-5</c:v>
                </c:pt>
                <c:pt idx="28">
                  <c:v>2.0013046314416196E-5</c:v>
                </c:pt>
                <c:pt idx="29">
                  <c:v>1.2017434620174297E-5</c:v>
                </c:pt>
                <c:pt idx="30">
                  <c:v>-4.9053549190535482E-5</c:v>
                </c:pt>
                <c:pt idx="31">
                  <c:v>-4.6993511175198296E-5</c:v>
                </c:pt>
                <c:pt idx="32">
                  <c:v>-5.1819960861056722E-5</c:v>
                </c:pt>
                <c:pt idx="33">
                  <c:v>-6.1232876712328792E-5</c:v>
                </c:pt>
                <c:pt idx="34">
                  <c:v>-5.2278953922789552E-5</c:v>
                </c:pt>
                <c:pt idx="35">
                  <c:v>-3.8325722983257216E-5</c:v>
                </c:pt>
                <c:pt idx="36">
                  <c:v>-2.1762954139368713E-5</c:v>
                </c:pt>
                <c:pt idx="37">
                  <c:v>-4.3170254403131118E-5</c:v>
                </c:pt>
                <c:pt idx="38">
                  <c:v>-1.1320049813200495E-5</c:v>
                </c:pt>
                <c:pt idx="39">
                  <c:v>-8.4812388326384693E-6</c:v>
                </c:pt>
                <c:pt idx="40">
                  <c:v>-5.5273972602739724E-5</c:v>
                </c:pt>
                <c:pt idx="41">
                  <c:v>-1.2931506849315062E-4</c:v>
                </c:pt>
                <c:pt idx="42">
                  <c:v>-1.148318804483188E-4</c:v>
                </c:pt>
                <c:pt idx="43">
                  <c:v>-1.1726027397260275E-4</c:v>
                </c:pt>
                <c:pt idx="44">
                  <c:v>-1.2553163731245922E-4</c:v>
                </c:pt>
                <c:pt idx="45">
                  <c:v>-1.4446183953033267E-4</c:v>
                </c:pt>
                <c:pt idx="46">
                  <c:v>-1.8589693411611224E-4</c:v>
                </c:pt>
                <c:pt idx="47">
                  <c:v>-1.8974765681326606E-4</c:v>
                </c:pt>
                <c:pt idx="48">
                  <c:v>7.4956413449564155E-5</c:v>
                </c:pt>
                <c:pt idx="49">
                  <c:v>1.1660795825179382E-4</c:v>
                </c:pt>
                <c:pt idx="50">
                  <c:v>1.0489577129243598E-4</c:v>
                </c:pt>
                <c:pt idx="51">
                  <c:v>7.6894977168949787E-5</c:v>
                </c:pt>
                <c:pt idx="52">
                  <c:v>9.7882938978829287E-6</c:v>
                </c:pt>
                <c:pt idx="53">
                  <c:v>-8.1751042287075626E-5</c:v>
                </c:pt>
                <c:pt idx="54">
                  <c:v>-1.5136986301369864E-4</c:v>
                </c:pt>
                <c:pt idx="55">
                  <c:v>-2.1969993476842782E-4</c:v>
                </c:pt>
                <c:pt idx="56">
                  <c:v>-2.3027397260273961E-4</c:v>
                </c:pt>
                <c:pt idx="57">
                  <c:v>-1.3506849315068494E-4</c:v>
                </c:pt>
                <c:pt idx="58">
                  <c:v>-7.4283935242839329E-5</c:v>
                </c:pt>
                <c:pt idx="59">
                  <c:v>-7.2123287671232918E-5</c:v>
                </c:pt>
                <c:pt idx="60">
                  <c:v>-1.1861709067188524E-4</c:v>
                </c:pt>
                <c:pt idx="61">
                  <c:v>-1.0330012453300127E-4</c:v>
                </c:pt>
                <c:pt idx="62">
                  <c:v>-9.8624181060154821E-5</c:v>
                </c:pt>
                <c:pt idx="63">
                  <c:v>-7.7260273972602745E-5</c:v>
                </c:pt>
                <c:pt idx="64">
                  <c:v>-3.270859277708588E-5</c:v>
                </c:pt>
                <c:pt idx="65">
                  <c:v>-2.0404732254047247E-5</c:v>
                </c:pt>
                <c:pt idx="66">
                  <c:v>3.3744292237442932E-5</c:v>
                </c:pt>
                <c:pt idx="67">
                  <c:v>8.9015003261578616E-5</c:v>
                </c:pt>
                <c:pt idx="68">
                  <c:v>4.8595890410958877E-5</c:v>
                </c:pt>
                <c:pt idx="69">
                  <c:v>1.1614996395097379E-5</c:v>
                </c:pt>
                <c:pt idx="70">
                  <c:v>3.8397855866587249E-5</c:v>
                </c:pt>
                <c:pt idx="71">
                  <c:v>1.1380136986301371E-4</c:v>
                </c:pt>
                <c:pt idx="72">
                  <c:v>1.0802348336594911E-4</c:v>
                </c:pt>
                <c:pt idx="73">
                  <c:v>9.3960149439601415E-5</c:v>
                </c:pt>
                <c:pt idx="74">
                  <c:v>1.0743462017434621E-4</c:v>
                </c:pt>
                <c:pt idx="75">
                  <c:v>2.9169987546699867E-4</c:v>
                </c:pt>
                <c:pt idx="76">
                  <c:v>1.5853673723536737E-4</c:v>
                </c:pt>
                <c:pt idx="77">
                  <c:v>1.6401174168297457E-4</c:v>
                </c:pt>
                <c:pt idx="78">
                  <c:v>1.3150684931506853E-4</c:v>
                </c:pt>
                <c:pt idx="79">
                  <c:v>6.8721461187214647E-5</c:v>
                </c:pt>
                <c:pt idx="80">
                  <c:v>1.0087238644556594E-4</c:v>
                </c:pt>
                <c:pt idx="81">
                  <c:v>1.141095890410959E-4</c:v>
                </c:pt>
                <c:pt idx="82">
                  <c:v>2.1818344252531269E-4</c:v>
                </c:pt>
                <c:pt idx="83">
                  <c:v>1.0441400304414002E-4</c:v>
                </c:pt>
                <c:pt idx="84">
                  <c:v>8.9526774595267766E-5</c:v>
                </c:pt>
                <c:pt idx="85">
                  <c:v>7.5734744707347442E-5</c:v>
                </c:pt>
                <c:pt idx="86">
                  <c:v>2.6718851924331387E-5</c:v>
                </c:pt>
                <c:pt idx="87">
                  <c:v>3.0369267421083938E-5</c:v>
                </c:pt>
                <c:pt idx="88">
                  <c:v>4.1998754669987553E-5</c:v>
                </c:pt>
                <c:pt idx="89">
                  <c:v>2.0932811480756667E-5</c:v>
                </c:pt>
                <c:pt idx="90">
                  <c:v>1.7148194271481981E-5</c:v>
                </c:pt>
                <c:pt idx="91">
                  <c:v>-1.291438356164384E-4</c:v>
                </c:pt>
                <c:pt idx="92">
                  <c:v>-1.174657534246579E-5</c:v>
                </c:pt>
                <c:pt idx="93">
                  <c:v>5.1663405088062525E-6</c:v>
                </c:pt>
                <c:pt idx="94">
                  <c:v>7.2359900373599004E-5</c:v>
                </c:pt>
                <c:pt idx="95">
                  <c:v>1.3307458143074579E-4</c:v>
                </c:pt>
                <c:pt idx="96">
                  <c:v>1.0290649195949967E-4</c:v>
                </c:pt>
                <c:pt idx="97">
                  <c:v>3.4885844748858445E-5</c:v>
                </c:pt>
                <c:pt idx="98">
                  <c:v>2.6388542963885403E-5</c:v>
                </c:pt>
                <c:pt idx="99">
                  <c:v>-7.087552114353844E-7</c:v>
                </c:pt>
                <c:pt idx="100">
                  <c:v>-6.3356164383561889E-6</c:v>
                </c:pt>
                <c:pt idx="101">
                  <c:v>3.1542584871947603E-5</c:v>
                </c:pt>
                <c:pt idx="102">
                  <c:v>5.7303860523038619E-5</c:v>
                </c:pt>
                <c:pt idx="103">
                  <c:v>9.9368340943683389E-5</c:v>
                </c:pt>
                <c:pt idx="104">
                  <c:v>7.9941291585127204E-5</c:v>
                </c:pt>
                <c:pt idx="105">
                  <c:v>8.6130136986301389E-5</c:v>
                </c:pt>
                <c:pt idx="106">
                  <c:v>1.4767775603392037E-4</c:v>
                </c:pt>
                <c:pt idx="107">
                  <c:v>1.9519826964671958E-4</c:v>
                </c:pt>
                <c:pt idx="108">
                  <c:v>2.1553305539011322E-4</c:v>
                </c:pt>
                <c:pt idx="109">
                  <c:v>3.1202054794520541E-4</c:v>
                </c:pt>
                <c:pt idx="110">
                  <c:v>2.0808219178082194E-4</c:v>
                </c:pt>
                <c:pt idx="111">
                  <c:v>2.356164383561644E-4</c:v>
                </c:pt>
                <c:pt idx="112">
                  <c:v>2.3262230919765165E-4</c:v>
                </c:pt>
                <c:pt idx="113">
                  <c:v>2.2183442525312684E-4</c:v>
                </c:pt>
                <c:pt idx="114">
                  <c:v>2.7586431833007179E-4</c:v>
                </c:pt>
                <c:pt idx="115">
                  <c:v>3.047602739726028E-4</c:v>
                </c:pt>
                <c:pt idx="116">
                  <c:v>2.94924983692107E-4</c:v>
                </c:pt>
                <c:pt idx="117">
                  <c:v>2.9373287671232882E-4</c:v>
                </c:pt>
                <c:pt idx="118">
                  <c:v>2.6875270367700071E-4</c:v>
                </c:pt>
                <c:pt idx="119">
                  <c:v>2.7832354859752122E-4</c:v>
                </c:pt>
                <c:pt idx="120">
                  <c:v>2.2624533001245329E-4</c:v>
                </c:pt>
                <c:pt idx="121">
                  <c:v>2.3327462491846054E-4</c:v>
                </c:pt>
                <c:pt idx="122">
                  <c:v>2.2334127456819538E-4</c:v>
                </c:pt>
                <c:pt idx="123">
                  <c:v>3.180756686236138E-4</c:v>
                </c:pt>
                <c:pt idx="124">
                  <c:v>3.234993773349938E-4</c:v>
                </c:pt>
                <c:pt idx="125">
                  <c:v>2.9568195354377611E-4</c:v>
                </c:pt>
                <c:pt idx="126">
                  <c:v>2.8249999999999998E-4</c:v>
                </c:pt>
                <c:pt idx="127">
                  <c:v>2.3537508153946506E-4</c:v>
                </c:pt>
                <c:pt idx="128">
                  <c:v>2.7917808219178088E-4</c:v>
                </c:pt>
                <c:pt idx="129">
                  <c:v>2.830479452054794E-4</c:v>
                </c:pt>
                <c:pt idx="130">
                  <c:v>2.7660647571606467E-4</c:v>
                </c:pt>
                <c:pt idx="131">
                  <c:v>2.3095890410958908E-4</c:v>
                </c:pt>
                <c:pt idx="132">
                  <c:v>2.0309849967384218E-4</c:v>
                </c:pt>
                <c:pt idx="133">
                  <c:v>1.7683626875407698E-4</c:v>
                </c:pt>
                <c:pt idx="134">
                  <c:v>1.601965455628351E-4</c:v>
                </c:pt>
                <c:pt idx="135">
                  <c:v>1.4885192433137639E-4</c:v>
                </c:pt>
                <c:pt idx="136">
                  <c:v>1.2554171855541716E-4</c:v>
                </c:pt>
                <c:pt idx="137">
                  <c:v>1.0995641344956414E-4</c:v>
                </c:pt>
                <c:pt idx="138">
                  <c:v>1.3703848662752774E-4</c:v>
                </c:pt>
                <c:pt idx="139">
                  <c:v>1.2417482061317678E-4</c:v>
                </c:pt>
                <c:pt idx="140">
                  <c:v>1.0379235760634461E-4</c:v>
                </c:pt>
                <c:pt idx="141">
                  <c:v>1.1180039138943249E-4</c:v>
                </c:pt>
                <c:pt idx="142">
                  <c:v>1.1746277546158424E-4</c:v>
                </c:pt>
                <c:pt idx="143">
                  <c:v>1.2140791476407911E-4</c:v>
                </c:pt>
                <c:pt idx="144">
                  <c:v>1.5027397260273972E-4</c:v>
                </c:pt>
                <c:pt idx="145">
                  <c:v>1.5243313763861716E-4</c:v>
                </c:pt>
                <c:pt idx="146">
                  <c:v>1.3591650358773646E-4</c:v>
                </c:pt>
                <c:pt idx="147">
                  <c:v>1.3435378201310296E-4</c:v>
                </c:pt>
                <c:pt idx="148">
                  <c:v>1.3361145703611466E-4</c:v>
                </c:pt>
                <c:pt idx="149">
                  <c:v>1.4007827788649699E-4</c:v>
                </c:pt>
                <c:pt idx="150">
                  <c:v>1.6377334993773361E-4</c:v>
                </c:pt>
                <c:pt idx="151">
                  <c:v>1.5969863013698643E-4</c:v>
                </c:pt>
                <c:pt idx="152">
                  <c:v>1.5616438356164385E-4</c:v>
                </c:pt>
                <c:pt idx="153">
                  <c:v>1.7552054794520559E-4</c:v>
                </c:pt>
                <c:pt idx="154">
                  <c:v>1.8238747553816039E-4</c:v>
                </c:pt>
                <c:pt idx="155">
                  <c:v>1.8824801730353292E-4</c:v>
                </c:pt>
                <c:pt idx="156">
                  <c:v>2.049672424061942E-4</c:v>
                </c:pt>
                <c:pt idx="157">
                  <c:v>2.2460534898891078E-4</c:v>
                </c:pt>
                <c:pt idx="158">
                  <c:v>2.3782126549249828E-4</c:v>
                </c:pt>
                <c:pt idx="159">
                  <c:v>2.4302561048243011E-4</c:v>
                </c:pt>
                <c:pt idx="160">
                  <c:v>2.477364644487932E-4</c:v>
                </c:pt>
                <c:pt idx="161">
                  <c:v>2.5222914072229154E-4</c:v>
                </c:pt>
                <c:pt idx="162">
                  <c:v>2.6396014943960141E-4</c:v>
                </c:pt>
                <c:pt idx="163">
                  <c:v>2.6595529920692135E-4</c:v>
                </c:pt>
                <c:pt idx="164">
                  <c:v>2.6236612702366105E-4</c:v>
                </c:pt>
                <c:pt idx="165">
                  <c:v>2.3457534246575329E-4</c:v>
                </c:pt>
                <c:pt idx="166">
                  <c:v>2.2315068493150686E-4</c:v>
                </c:pt>
                <c:pt idx="167">
                  <c:v>1.8933028919330302E-4</c:v>
                </c:pt>
                <c:pt idx="168">
                  <c:v>1.8732578916021438E-4</c:v>
                </c:pt>
                <c:pt idx="169">
                  <c:v>1.8523287671232889E-4</c:v>
                </c:pt>
                <c:pt idx="170">
                  <c:v>1.8819427148194265E-4</c:v>
                </c:pt>
                <c:pt idx="171">
                  <c:v>1.626801667659321E-4</c:v>
                </c:pt>
                <c:pt idx="172">
                  <c:v>1.6026027397260278E-4</c:v>
                </c:pt>
                <c:pt idx="173">
                  <c:v>1.4678975580702811E-4</c:v>
                </c:pt>
                <c:pt idx="174">
                  <c:v>1.4347447073474477E-4</c:v>
                </c:pt>
                <c:pt idx="175">
                  <c:v>1.4705118961788033E-4</c:v>
                </c:pt>
                <c:pt idx="176">
                  <c:v>1.4003913894324857E-4</c:v>
                </c:pt>
                <c:pt idx="177">
                  <c:v>1.5787671232876712E-4</c:v>
                </c:pt>
                <c:pt idx="178">
                  <c:v>1.6165753424657534E-4</c:v>
                </c:pt>
                <c:pt idx="179">
                  <c:v>1.5531506849315074E-4</c:v>
                </c:pt>
                <c:pt idx="180">
                  <c:v>1.427992852888624E-4</c:v>
                </c:pt>
                <c:pt idx="181">
                  <c:v>1.2716654650324441E-4</c:v>
                </c:pt>
                <c:pt idx="182">
                  <c:v>1.2780226325193565E-4</c:v>
                </c:pt>
                <c:pt idx="183">
                  <c:v>1.3315068493150684E-4</c:v>
                </c:pt>
                <c:pt idx="184">
                  <c:v>1.13529028049576E-4</c:v>
                </c:pt>
                <c:pt idx="185">
                  <c:v>1.17379392495533E-4</c:v>
                </c:pt>
                <c:pt idx="186">
                  <c:v>1.0493150684931508E-4</c:v>
                </c:pt>
                <c:pt idx="187">
                  <c:v>1.1190410958904113E-4</c:v>
                </c:pt>
                <c:pt idx="188">
                  <c:v>1.0194390084801046E-4</c:v>
                </c:pt>
                <c:pt idx="189">
                  <c:v>9.4753424657534254E-5</c:v>
                </c:pt>
                <c:pt idx="190">
                  <c:v>9.7434620174346166E-5</c:v>
                </c:pt>
                <c:pt idx="191">
                  <c:v>1.0342465753424659E-4</c:v>
                </c:pt>
                <c:pt idx="192">
                  <c:v>7.8617090671885185E-5</c:v>
                </c:pt>
                <c:pt idx="193">
                  <c:v>7.7025440313111508E-5</c:v>
                </c:pt>
                <c:pt idx="194">
                  <c:v>7.3543776057176892E-5</c:v>
                </c:pt>
                <c:pt idx="195">
                  <c:v>7.0189171559034586E-5</c:v>
                </c:pt>
                <c:pt idx="196">
                  <c:v>6.9066002490660028E-5</c:v>
                </c:pt>
                <c:pt idx="197">
                  <c:v>7.2303860523038598E-5</c:v>
                </c:pt>
                <c:pt idx="198">
                  <c:v>7.3450750163078909E-5</c:v>
                </c:pt>
                <c:pt idx="199">
                  <c:v>7.8721461187214619E-5</c:v>
                </c:pt>
                <c:pt idx="200">
                  <c:v>7.482191780821919E-5</c:v>
                </c:pt>
                <c:pt idx="201">
                  <c:v>7.4232876712328782E-5</c:v>
                </c:pt>
                <c:pt idx="202">
                  <c:v>6.9743895175699815E-5</c:v>
                </c:pt>
                <c:pt idx="203">
                  <c:v>6.2671232876712309E-5</c:v>
                </c:pt>
                <c:pt idx="204">
                  <c:v>6.1878669275929591E-5</c:v>
                </c:pt>
                <c:pt idx="205">
                  <c:v>6.1135029354207436E-5</c:v>
                </c:pt>
                <c:pt idx="206">
                  <c:v>5.9713574097135752E-5</c:v>
                </c:pt>
                <c:pt idx="207">
                  <c:v>4.7696139476961419E-5</c:v>
                </c:pt>
                <c:pt idx="208">
                  <c:v>4.4732254047322551E-5</c:v>
                </c:pt>
                <c:pt idx="209">
                  <c:v>4.6506849315068488E-5</c:v>
                </c:pt>
                <c:pt idx="210">
                  <c:v>4.6338729763387261E-5</c:v>
                </c:pt>
                <c:pt idx="211">
                  <c:v>4.8349641226353544E-5</c:v>
                </c:pt>
                <c:pt idx="212">
                  <c:v>4.5378514780100957E-5</c:v>
                </c:pt>
                <c:pt idx="213">
                  <c:v>4.0027397260273927E-5</c:v>
                </c:pt>
                <c:pt idx="214">
                  <c:v>3.7867778439547341E-5</c:v>
                </c:pt>
                <c:pt idx="215">
                  <c:v>3.092846270928461E-5</c:v>
                </c:pt>
                <c:pt idx="216">
                  <c:v>1.8156911581569107E-5</c:v>
                </c:pt>
                <c:pt idx="217">
                  <c:v>1.1846053489889081E-5</c:v>
                </c:pt>
                <c:pt idx="218">
                  <c:v>1.0919765166340531E-5</c:v>
                </c:pt>
                <c:pt idx="219">
                  <c:v>1.4651578320428817E-5</c:v>
                </c:pt>
                <c:pt idx="220">
                  <c:v>1.950186799501869E-5</c:v>
                </c:pt>
                <c:pt idx="221">
                  <c:v>2.6027397260273976E-5</c:v>
                </c:pt>
                <c:pt idx="222">
                  <c:v>3.1183063511830611E-5</c:v>
                </c:pt>
                <c:pt idx="223">
                  <c:v>4.138356164383562E-5</c:v>
                </c:pt>
                <c:pt idx="224">
                  <c:v>5.3780821917808204E-5</c:v>
                </c:pt>
                <c:pt idx="225">
                  <c:v>4.2780821917808269E-5</c:v>
                </c:pt>
                <c:pt idx="226">
                  <c:v>4.1417510422870698E-5</c:v>
                </c:pt>
                <c:pt idx="227">
                  <c:v>3.9919419822723598E-5</c:v>
                </c:pt>
                <c:pt idx="228">
                  <c:v>4.0798094103633101E-5</c:v>
                </c:pt>
                <c:pt idx="229">
                  <c:v>4.1343770384866293E-5</c:v>
                </c:pt>
                <c:pt idx="230">
                  <c:v>4.5427266797129837E-5</c:v>
                </c:pt>
                <c:pt idx="231">
                  <c:v>4.8505062537224562E-5</c:v>
                </c:pt>
                <c:pt idx="232">
                  <c:v>4.6379647749510731E-5</c:v>
                </c:pt>
                <c:pt idx="233">
                  <c:v>4.724782067247822E-5</c:v>
                </c:pt>
                <c:pt idx="234">
                  <c:v>4.6637608966376126E-5</c:v>
                </c:pt>
                <c:pt idx="235">
                  <c:v>5.2285508291276126E-5</c:v>
                </c:pt>
                <c:pt idx="236">
                  <c:v>5.3163731245923045E-5</c:v>
                </c:pt>
                <c:pt idx="237">
                  <c:v>6.2557077625570771E-5</c:v>
                </c:pt>
                <c:pt idx="238">
                  <c:v>6.0508806262230899E-5</c:v>
                </c:pt>
                <c:pt idx="239">
                  <c:v>6.2307137707281909E-5</c:v>
                </c:pt>
                <c:pt idx="240">
                  <c:v>6.2251340083382961E-5</c:v>
                </c:pt>
                <c:pt idx="241">
                  <c:v>6.1384282624369133E-5</c:v>
                </c:pt>
                <c:pt idx="242">
                  <c:v>5.7689100655151948E-5</c:v>
                </c:pt>
                <c:pt idx="243">
                  <c:v>4.8929016189290196E-5</c:v>
                </c:pt>
                <c:pt idx="244">
                  <c:v>4.6744944553163757E-5</c:v>
                </c:pt>
                <c:pt idx="245">
                  <c:v>4.8290649195949961E-5</c:v>
                </c:pt>
                <c:pt idx="246">
                  <c:v>3.466405740378344E-5</c:v>
                </c:pt>
                <c:pt idx="247">
                  <c:v>2.5726027397260263E-5</c:v>
                </c:pt>
                <c:pt idx="248">
                  <c:v>2.1539465101108961E-5</c:v>
                </c:pt>
                <c:pt idx="249">
                  <c:v>2.2342465753424666E-5</c:v>
                </c:pt>
                <c:pt idx="250">
                  <c:v>1.7779379956741143E-5</c:v>
                </c:pt>
                <c:pt idx="251">
                  <c:v>1.4898891063274634E-5</c:v>
                </c:pt>
                <c:pt idx="252">
                  <c:v>1.1232876712328766E-5</c:v>
                </c:pt>
                <c:pt idx="253">
                  <c:v>2.7397260273973386E-7</c:v>
                </c:pt>
                <c:pt idx="254">
                  <c:v>-2.1203097081595885E-6</c:v>
                </c:pt>
                <c:pt idx="255">
                  <c:v>-1.547292889758641E-5</c:v>
                </c:pt>
                <c:pt idx="256">
                  <c:v>-1.5242839352428386E-5</c:v>
                </c:pt>
                <c:pt idx="257">
                  <c:v>-1.4163192376414503E-5</c:v>
                </c:pt>
                <c:pt idx="258">
                  <c:v>-1.4150684931506819E-5</c:v>
                </c:pt>
                <c:pt idx="259">
                  <c:v>-1.300717547292894E-5</c:v>
                </c:pt>
                <c:pt idx="260">
                  <c:v>-1.5315068493150697E-5</c:v>
                </c:pt>
                <c:pt idx="261">
                  <c:v>-1.4452054794520534E-5</c:v>
                </c:pt>
                <c:pt idx="262">
                  <c:v>-1.3524283935242854E-5</c:v>
                </c:pt>
                <c:pt idx="263">
                  <c:v>-1.2890410958904073E-5</c:v>
                </c:pt>
                <c:pt idx="264">
                  <c:v>-1.3411611219830407E-5</c:v>
                </c:pt>
                <c:pt idx="265">
                  <c:v>-1.3372472276581849E-5</c:v>
                </c:pt>
                <c:pt idx="266">
                  <c:v>-1.5354377605717693E-5</c:v>
                </c:pt>
                <c:pt idx="267">
                  <c:v>-1.5890410958904126E-5</c:v>
                </c:pt>
                <c:pt idx="268">
                  <c:v>-1.4782067247820687E-5</c:v>
                </c:pt>
                <c:pt idx="269">
                  <c:v>-2.7770859277708939E-6</c:v>
                </c:pt>
                <c:pt idx="270">
                  <c:v>4.1226353555120481E-6</c:v>
                </c:pt>
                <c:pt idx="271">
                  <c:v>1.9699934768427921E-6</c:v>
                </c:pt>
                <c:pt idx="272">
                  <c:v>2.3936553713049433E-6</c:v>
                </c:pt>
                <c:pt idx="273">
                  <c:v>-1.0958904109588975E-6</c:v>
                </c:pt>
                <c:pt idx="274">
                  <c:v>-1.9178082191780611E-6</c:v>
                </c:pt>
                <c:pt idx="275">
                  <c:v>0</c:v>
                </c:pt>
                <c:pt idx="276">
                  <c:v>2.7397260273971485E-7</c:v>
                </c:pt>
                <c:pt idx="277">
                  <c:v>0</c:v>
                </c:pt>
                <c:pt idx="278">
                  <c:v>-6.8493150684931382E-6</c:v>
                </c:pt>
                <c:pt idx="279">
                  <c:v>-9.3150684931506854E-6</c:v>
                </c:pt>
                <c:pt idx="280">
                  <c:v>-1.2876712328767112E-5</c:v>
                </c:pt>
                <c:pt idx="281">
                  <c:v>-1.2328767123287683E-5</c:v>
                </c:pt>
                <c:pt idx="282">
                  <c:v>-1.2054794520547928E-5</c:v>
                </c:pt>
                <c:pt idx="283">
                  <c:v>-9.0410958904109701E-6</c:v>
                </c:pt>
                <c:pt idx="284">
                  <c:v>-1.2876712328767112E-5</c:v>
                </c:pt>
                <c:pt idx="285">
                  <c:v>-7.3972602739726052E-6</c:v>
                </c:pt>
                <c:pt idx="286">
                  <c:v>-9.863013698630116E-6</c:v>
                </c:pt>
                <c:pt idx="287">
                  <c:v>-8.2191780821917699E-6</c:v>
                </c:pt>
                <c:pt idx="288">
                  <c:v>-7.9452054794520156E-6</c:v>
                </c:pt>
                <c:pt idx="289">
                  <c:v>-1.4520547945205477E-5</c:v>
                </c:pt>
                <c:pt idx="290">
                  <c:v>-1.5068493150684926E-5</c:v>
                </c:pt>
                <c:pt idx="291">
                  <c:v>-7.1232876712328713E-6</c:v>
                </c:pt>
                <c:pt idx="292">
                  <c:v>-7.6712328767123019E-6</c:v>
                </c:pt>
                <c:pt idx="293">
                  <c:v>-7.6712328767123019E-6</c:v>
                </c:pt>
                <c:pt idx="294">
                  <c:v>-7.9452054794520359E-6</c:v>
                </c:pt>
                <c:pt idx="295">
                  <c:v>-4.6575342465753427E-6</c:v>
                </c:pt>
                <c:pt idx="296">
                  <c:v>7.1232876712328713E-6</c:v>
                </c:pt>
                <c:pt idx="297">
                  <c:v>9.5890410958904007E-6</c:v>
                </c:pt>
                <c:pt idx="298">
                  <c:v>6.3013698630137084E-6</c:v>
                </c:pt>
                <c:pt idx="299">
                  <c:v>6.8493150684931382E-6</c:v>
                </c:pt>
                <c:pt idx="300">
                  <c:v>2.1369863013698632E-5</c:v>
                </c:pt>
                <c:pt idx="301">
                  <c:v>2.821917808219179E-5</c:v>
                </c:pt>
                <c:pt idx="302">
                  <c:v>3.3698630136986314E-5</c:v>
                </c:pt>
                <c:pt idx="303">
                  <c:v>3.6712328767123291E-5</c:v>
                </c:pt>
                <c:pt idx="304">
                  <c:v>4.6027397260273978E-5</c:v>
                </c:pt>
                <c:pt idx="305">
                  <c:v>5.5342465753424658E-5</c:v>
                </c:pt>
                <c:pt idx="306">
                  <c:v>6.5753424657534254E-5</c:v>
                </c:pt>
                <c:pt idx="307">
                  <c:v>6.7123287671232864E-5</c:v>
                </c:pt>
                <c:pt idx="308">
                  <c:v>6.8767123287671238E-5</c:v>
                </c:pt>
                <c:pt idx="309">
                  <c:v>6.8493150684931516E-5</c:v>
                </c:pt>
                <c:pt idx="310">
                  <c:v>6.8493150684931516E-5</c:v>
                </c:pt>
                <c:pt idx="311">
                  <c:v>6.821917808219178E-5</c:v>
                </c:pt>
                <c:pt idx="312">
                  <c:v>7.3698630136986303E-5</c:v>
                </c:pt>
                <c:pt idx="313">
                  <c:v>8.1369863013698617E-5</c:v>
                </c:pt>
                <c:pt idx="314">
                  <c:v>8.2739726027397268E-5</c:v>
                </c:pt>
                <c:pt idx="315">
                  <c:v>8.2465753424657533E-5</c:v>
                </c:pt>
                <c:pt idx="316">
                  <c:v>8.219178082191781E-5</c:v>
                </c:pt>
                <c:pt idx="317">
                  <c:v>8.219178082191781E-5</c:v>
                </c:pt>
                <c:pt idx="318">
                  <c:v>9.3424657534246566E-5</c:v>
                </c:pt>
                <c:pt idx="319">
                  <c:v>9.6164383561643828E-5</c:v>
                </c:pt>
                <c:pt idx="320">
                  <c:v>9.6164383561643828E-5</c:v>
                </c:pt>
                <c:pt idx="321">
                  <c:v>9.5616438356164383E-5</c:v>
                </c:pt>
                <c:pt idx="322">
                  <c:v>9.5890410958904119E-5</c:v>
                </c:pt>
                <c:pt idx="323">
                  <c:v>9.5616438356164383E-5</c:v>
                </c:pt>
                <c:pt idx="324">
                  <c:v>9.5616438356164383E-5</c:v>
                </c:pt>
                <c:pt idx="325">
                  <c:v>9.6712328767123285E-5</c:v>
                </c:pt>
                <c:pt idx="326">
                  <c:v>1.0246575342465754E-4</c:v>
                </c:pt>
                <c:pt idx="327">
                  <c:v>1.0191780821917807E-4</c:v>
                </c:pt>
                <c:pt idx="328">
                  <c:v>1.0246575342465754E-4</c:v>
                </c:pt>
                <c:pt idx="329">
                  <c:v>1.0246575342465754E-4</c:v>
                </c:pt>
                <c:pt idx="330">
                  <c:v>1.0904109589041097E-4</c:v>
                </c:pt>
                <c:pt idx="331">
                  <c:v>1.1643835616438359E-4</c:v>
                </c:pt>
                <c:pt idx="332">
                  <c:v>1.1643835616438355E-4</c:v>
                </c:pt>
                <c:pt idx="333">
                  <c:v>1.1616438356164384E-4</c:v>
                </c:pt>
                <c:pt idx="334">
                  <c:v>1.1643835616438355E-4</c:v>
                </c:pt>
                <c:pt idx="335">
                  <c:v>1.1643835616438355E-4</c:v>
                </c:pt>
                <c:pt idx="336">
                  <c:v>1.1643835616438355E-4</c:v>
                </c:pt>
                <c:pt idx="337">
                  <c:v>1.1561643835616438E-4</c:v>
                </c:pt>
                <c:pt idx="338">
                  <c:v>1.0931506849315068E-4</c:v>
                </c:pt>
                <c:pt idx="339">
                  <c:v>1.0465753424657533E-4</c:v>
                </c:pt>
                <c:pt idx="340">
                  <c:v>9.9726027397260283E-5</c:v>
                </c:pt>
                <c:pt idx="341">
                  <c:v>9.5616438356164383E-5</c:v>
                </c:pt>
                <c:pt idx="342">
                  <c:v>9.095890410958904E-5</c:v>
                </c:pt>
                <c:pt idx="343">
                  <c:v>8.4657534246575337E-5</c:v>
                </c:pt>
                <c:pt idx="344">
                  <c:v>8.1369863013698631E-5</c:v>
                </c:pt>
                <c:pt idx="345">
                  <c:v>7.5342465753424649E-5</c:v>
                </c:pt>
                <c:pt idx="346">
                  <c:v>7.835616438356166E-5</c:v>
                </c:pt>
                <c:pt idx="347">
                  <c:v>7.4246575342465747E-5</c:v>
                </c:pt>
                <c:pt idx="348">
                  <c:v>6.8493150684931516E-5</c:v>
                </c:pt>
                <c:pt idx="349">
                  <c:v>6.73972602739726E-5</c:v>
                </c:pt>
                <c:pt idx="350">
                  <c:v>6.1369863013698632E-5</c:v>
                </c:pt>
                <c:pt idx="351">
                  <c:v>5.47945205479452E-5</c:v>
                </c:pt>
                <c:pt idx="352">
                  <c:v>5.1506849315068488E-5</c:v>
                </c:pt>
                <c:pt idx="353">
                  <c:v>4.712328767123288E-5</c:v>
                </c:pt>
                <c:pt idx="354">
                  <c:v>4.1095890410958905E-5</c:v>
                </c:pt>
                <c:pt idx="355">
                  <c:v>3.6712328767123291E-5</c:v>
                </c:pt>
                <c:pt idx="356">
                  <c:v>3.3150684931506849E-5</c:v>
                </c:pt>
                <c:pt idx="357">
                  <c:v>2.7671232876712322E-5</c:v>
                </c:pt>
                <c:pt idx="358">
                  <c:v>2.4931506849315081E-5</c:v>
                </c:pt>
                <c:pt idx="359">
                  <c:v>1.9452054794520554E-5</c:v>
                </c:pt>
                <c:pt idx="360">
                  <c:v>2.1643835616438348E-5</c:v>
                </c:pt>
                <c:pt idx="361">
                  <c:v>2.0821917808219185E-5</c:v>
                </c:pt>
                <c:pt idx="362">
                  <c:v>1.3972602739726029E-5</c:v>
                </c:pt>
                <c:pt idx="363">
                  <c:v>2.0273972602739737E-5</c:v>
                </c:pt>
                <c:pt idx="364">
                  <c:v>2.0547945205479453E-5</c:v>
                </c:pt>
                <c:pt idx="365">
                  <c:v>2.0547945205479453E-5</c:v>
                </c:pt>
                <c:pt idx="366">
                  <c:v>2.5753424657534261E-5</c:v>
                </c:pt>
                <c:pt idx="367">
                  <c:v>2.7671232876712322E-5</c:v>
                </c:pt>
                <c:pt idx="368">
                  <c:v>2.7397260273972607E-5</c:v>
                </c:pt>
                <c:pt idx="369">
                  <c:v>2.7123287671232875E-5</c:v>
                </c:pt>
                <c:pt idx="370">
                  <c:v>2.7123287671232875E-5</c:v>
                </c:pt>
                <c:pt idx="371">
                  <c:v>2.7397260273972607E-5</c:v>
                </c:pt>
                <c:pt idx="372">
                  <c:v>2.7397260273972607E-5</c:v>
                </c:pt>
                <c:pt idx="373">
                  <c:v>2.7397260273972607E-5</c:v>
                </c:pt>
                <c:pt idx="374">
                  <c:v>2.7132011802004097E-5</c:v>
                </c:pt>
                <c:pt idx="375">
                  <c:v>3.9178082191780844E-5</c:v>
                </c:pt>
                <c:pt idx="376">
                  <c:v>4.2739726027397251E-5</c:v>
                </c:pt>
                <c:pt idx="377">
                  <c:v>4.7671232876712344E-5</c:v>
                </c:pt>
                <c:pt idx="378">
                  <c:v>6.0547945205479459E-5</c:v>
                </c:pt>
                <c:pt idx="379">
                  <c:v>6.8767123287671251E-5</c:v>
                </c:pt>
                <c:pt idx="380">
                  <c:v>7.6986301369863036E-5</c:v>
                </c:pt>
                <c:pt idx="381">
                  <c:v>1.0904109589041094E-4</c:v>
                </c:pt>
                <c:pt idx="382">
                  <c:v>1.2630136986301369E-4</c:v>
                </c:pt>
                <c:pt idx="383">
                  <c:v>1.3616438356164382E-4</c:v>
                </c:pt>
                <c:pt idx="384">
                  <c:v>1.443835616438356E-4</c:v>
                </c:pt>
                <c:pt idx="385">
                  <c:v>1.4383561643835615E-4</c:v>
                </c:pt>
                <c:pt idx="386">
                  <c:v>1.4356164383561644E-4</c:v>
                </c:pt>
                <c:pt idx="387">
                  <c:v>1.4383561643835615E-4</c:v>
                </c:pt>
                <c:pt idx="388">
                  <c:v>1.4273972602739724E-4</c:v>
                </c:pt>
                <c:pt idx="389">
                  <c:v>1.4273972602739724E-4</c:v>
                </c:pt>
                <c:pt idx="390">
                  <c:v>1.3534246575342464E-4</c:v>
                </c:pt>
                <c:pt idx="391">
                  <c:v>1.147945205479452E-4</c:v>
                </c:pt>
                <c:pt idx="392">
                  <c:v>1.1232876712328768E-4</c:v>
                </c:pt>
                <c:pt idx="393">
                  <c:v>8.5753424657534252E-5</c:v>
                </c:pt>
                <c:pt idx="394">
                  <c:v>8.4109589041095892E-5</c:v>
                </c:pt>
                <c:pt idx="395">
                  <c:v>7.9726027397260271E-5</c:v>
                </c:pt>
                <c:pt idx="396">
                  <c:v>7.7260273972602731E-5</c:v>
                </c:pt>
                <c:pt idx="397">
                  <c:v>7.6438356164383551E-5</c:v>
                </c:pt>
                <c:pt idx="398">
                  <c:v>7.7808219178082189E-5</c:v>
                </c:pt>
                <c:pt idx="399">
                  <c:v>7.7808219178082189E-5</c:v>
                </c:pt>
                <c:pt idx="400">
                  <c:v>7.8082191780821911E-5</c:v>
                </c:pt>
                <c:pt idx="401">
                  <c:v>8.4657534246575337E-5</c:v>
                </c:pt>
                <c:pt idx="402">
                  <c:v>9.2054794520547942E-5</c:v>
                </c:pt>
                <c:pt idx="403">
                  <c:v>9.9125896934116115E-5</c:v>
                </c:pt>
                <c:pt idx="404">
                  <c:v>9.9726027397260283E-5</c:v>
                </c:pt>
                <c:pt idx="405">
                  <c:v>9.9178082191780811E-5</c:v>
                </c:pt>
                <c:pt idx="406">
                  <c:v>1.0458904109589041E-4</c:v>
                </c:pt>
                <c:pt idx="407">
                  <c:v>1.1020547945205479E-4</c:v>
                </c:pt>
                <c:pt idx="408">
                  <c:v>1.1712328767123286E-4</c:v>
                </c:pt>
                <c:pt idx="409">
                  <c:v>1.1835616438356163E-4</c:v>
                </c:pt>
                <c:pt idx="410">
                  <c:v>1.1835616438356163E-4</c:v>
                </c:pt>
                <c:pt idx="411">
                  <c:v>1.1808219178082192E-4</c:v>
                </c:pt>
                <c:pt idx="412">
                  <c:v>1.1808219178082192E-4</c:v>
                </c:pt>
                <c:pt idx="413">
                  <c:v>1.1808219178082192E-4</c:v>
                </c:pt>
                <c:pt idx="414">
                  <c:v>1.2431506849315069E-4</c:v>
                </c:pt>
                <c:pt idx="415">
                  <c:v>1.2520547945205478E-4</c:v>
                </c:pt>
                <c:pt idx="416">
                  <c:v>1.2547945205479451E-4</c:v>
                </c:pt>
                <c:pt idx="417">
                  <c:v>1.2575342465753425E-4</c:v>
                </c:pt>
                <c:pt idx="418">
                  <c:v>1.2630136986301369E-4</c:v>
                </c:pt>
                <c:pt idx="419">
                  <c:v>1.2739726027397261E-4</c:v>
                </c:pt>
                <c:pt idx="420">
                  <c:v>1.2767123287671234E-4</c:v>
                </c:pt>
                <c:pt idx="421">
                  <c:v>1.2767123287671234E-4</c:v>
                </c:pt>
                <c:pt idx="422">
                  <c:v>1.2821917808219179E-4</c:v>
                </c:pt>
                <c:pt idx="423">
                  <c:v>1.2739726027397261E-4</c:v>
                </c:pt>
                <c:pt idx="424">
                  <c:v>1.2794520547945205E-4</c:v>
                </c:pt>
                <c:pt idx="425">
                  <c:v>1.2821917808219179E-4</c:v>
                </c:pt>
                <c:pt idx="426">
                  <c:v>1.2143835616438355E-4</c:v>
                </c:pt>
                <c:pt idx="427">
                  <c:v>1.158904109589041E-4</c:v>
                </c:pt>
                <c:pt idx="428">
                  <c:v>1.1424657534246576E-4</c:v>
                </c:pt>
                <c:pt idx="429">
                  <c:v>1.1369863013698631E-4</c:v>
                </c:pt>
                <c:pt idx="430">
                  <c:v>1.1287671232876712E-4</c:v>
                </c:pt>
                <c:pt idx="431">
                  <c:v>1.1260273972602741E-4</c:v>
                </c:pt>
                <c:pt idx="432">
                  <c:v>9.8972602739726037E-5</c:v>
                </c:pt>
                <c:pt idx="433">
                  <c:v>9.2534246575342479E-5</c:v>
                </c:pt>
                <c:pt idx="434">
                  <c:v>9.1506849315068511E-5</c:v>
                </c:pt>
                <c:pt idx="435">
                  <c:v>9.2328767123287677E-5</c:v>
                </c:pt>
                <c:pt idx="436">
                  <c:v>9.2054794520547955E-5</c:v>
                </c:pt>
                <c:pt idx="437">
                  <c:v>8.5273972602739715E-5</c:v>
                </c:pt>
                <c:pt idx="438">
                  <c:v>8.465753424657535E-5</c:v>
                </c:pt>
                <c:pt idx="439">
                  <c:v>7.8561643835616435E-5</c:v>
                </c:pt>
                <c:pt idx="440">
                  <c:v>7.8356164383561647E-5</c:v>
                </c:pt>
                <c:pt idx="441">
                  <c:v>7.8082191780821911E-5</c:v>
                </c:pt>
                <c:pt idx="442">
                  <c:v>7.8356164383561647E-5</c:v>
                </c:pt>
                <c:pt idx="443">
                  <c:v>7.8082191780821911E-5</c:v>
                </c:pt>
                <c:pt idx="444">
                  <c:v>7.369863013698629E-5</c:v>
                </c:pt>
                <c:pt idx="445">
                  <c:v>7.2876712328767123E-5</c:v>
                </c:pt>
                <c:pt idx="446">
                  <c:v>7.2876712328767123E-5</c:v>
                </c:pt>
                <c:pt idx="447">
                  <c:v>6.7671232876712322E-5</c:v>
                </c:pt>
                <c:pt idx="448">
                  <c:v>6.6301369863013712E-5</c:v>
                </c:pt>
                <c:pt idx="449">
                  <c:v>6.6027397260273976E-5</c:v>
                </c:pt>
                <c:pt idx="450">
                  <c:v>6.6301369863013712E-5</c:v>
                </c:pt>
                <c:pt idx="451">
                  <c:v>6.6027397260273976E-5</c:v>
                </c:pt>
                <c:pt idx="452">
                  <c:v>6.6575342465753434E-5</c:v>
                </c:pt>
                <c:pt idx="453">
                  <c:v>6.6575342465753434E-5</c:v>
                </c:pt>
                <c:pt idx="454">
                  <c:v>6.6301369863013712E-5</c:v>
                </c:pt>
                <c:pt idx="455">
                  <c:v>6.6027397260273976E-5</c:v>
                </c:pt>
                <c:pt idx="456">
                  <c:v>6.6027397260273976E-5</c:v>
                </c:pt>
                <c:pt idx="457">
                  <c:v>6.5753424657534254E-5</c:v>
                </c:pt>
                <c:pt idx="458">
                  <c:v>6.6027397260273976E-5</c:v>
                </c:pt>
                <c:pt idx="459">
                  <c:v>6.6027397260273976E-5</c:v>
                </c:pt>
                <c:pt idx="460">
                  <c:v>6.6027397260273976E-5</c:v>
                </c:pt>
                <c:pt idx="461">
                  <c:v>6.6027397260273976E-5</c:v>
                </c:pt>
                <c:pt idx="462">
                  <c:v>6.6027397260273976E-5</c:v>
                </c:pt>
                <c:pt idx="463">
                  <c:v>6.5205479452054796E-5</c:v>
                </c:pt>
                <c:pt idx="464">
                  <c:v>6.5479452054794518E-5</c:v>
                </c:pt>
                <c:pt idx="465">
                  <c:v>5.9315068493150683E-5</c:v>
                </c:pt>
              </c:numCache>
            </c:numRef>
          </c:val>
          <c:smooth val="0"/>
          <c:extLst>
            <c:ext xmlns:c16="http://schemas.microsoft.com/office/drawing/2014/chart" uri="{C3380CC4-5D6E-409C-BE32-E72D297353CC}">
              <c16:uniqueId val="{00000000-F4DC-41CC-AA5F-294560D1818C}"/>
            </c:ext>
          </c:extLst>
        </c:ser>
        <c:dLbls>
          <c:showLegendKey val="0"/>
          <c:showVal val="0"/>
          <c:showCatName val="0"/>
          <c:showSerName val="0"/>
          <c:showPercent val="0"/>
          <c:showBubbleSize val="0"/>
        </c:dLbls>
        <c:smooth val="0"/>
        <c:axId val="657837119"/>
        <c:axId val="1"/>
      </c:lineChart>
      <c:dateAx>
        <c:axId val="657837119"/>
        <c:scaling>
          <c:orientation val="minMax"/>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Offset val="100"/>
        <c:baseTimeUnit val="months"/>
      </c:dateAx>
      <c:valAx>
        <c:axId val="1"/>
        <c:scaling>
          <c:orientation val="minMax"/>
          <c:max val="5.0000000000000012E-4"/>
          <c:min val="-5.0000000000000012E-4"/>
        </c:scaling>
        <c:delete val="0"/>
        <c:axPos val="l"/>
        <c:majorGridlines>
          <c:spPr>
            <a:ln w="9525" cap="flat" cmpd="sng" algn="ctr">
              <a:solidFill>
                <a:schemeClr val="bg1">
                  <a:lumMod val="50000"/>
                </a:schemeClr>
              </a:solidFill>
              <a:prstDash val="dashDot"/>
              <a:round/>
            </a:ln>
            <a:effectLst/>
          </c:spPr>
        </c:majorGridlines>
        <c:numFmt formatCode="0.0000%" sourceLinked="0"/>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37119"/>
        <c:crosses val="autoZero"/>
        <c:crossBetween val="between"/>
        <c:majorUnit val="5.0000000000000023E-5"/>
      </c:valAx>
      <c:spPr>
        <a:noFill/>
        <a:ln w="25400">
          <a:noFill/>
        </a:ln>
      </c:spPr>
    </c:plotArea>
    <c:plotVisOnly val="1"/>
    <c:dispBlanksAs val="gap"/>
    <c:showDLblsOverMax val="0"/>
  </c:chart>
  <c:spPr>
    <a:solidFill>
      <a:schemeClr val="tx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FFFFFF"/>
                </a:solidFill>
                <a:latin typeface="Calibri"/>
                <a:ea typeface="Calibri"/>
                <a:cs typeface="Calibri"/>
              </a:defRPr>
            </a:pPr>
            <a:r>
              <a:rPr lang="en-US"/>
              <a:t>Synthetic Rollover $ </a:t>
            </a:r>
          </a:p>
        </c:rich>
      </c:tx>
      <c:layout>
        <c:manualLayout>
          <c:xMode val="edge"/>
          <c:yMode val="edge"/>
          <c:x val="0.39607086327949464"/>
          <c:y val="1.9236500336593375E-2"/>
        </c:manualLayout>
      </c:layout>
      <c:overlay val="0"/>
      <c:spPr>
        <a:noFill/>
        <a:ln w="25400">
          <a:noFill/>
        </a:ln>
      </c:spPr>
    </c:title>
    <c:autoTitleDeleted val="0"/>
    <c:plotArea>
      <c:layout/>
      <c:lineChart>
        <c:grouping val="standard"/>
        <c:varyColors val="0"/>
        <c:ser>
          <c:idx val="0"/>
          <c:order val="0"/>
          <c:tx>
            <c:v>Synthetic Rollover</c:v>
          </c:tx>
          <c:spPr>
            <a:ln w="25400">
              <a:solidFill>
                <a:srgbClr val="FFFF00"/>
              </a:solidFill>
              <a:prstDash val="solid"/>
            </a:ln>
          </c:spPr>
          <c:marker>
            <c:symbol val="none"/>
          </c:marker>
          <c:cat>
            <c:numRef>
              <c:f>'IR Diffs &amp; Carry'!$A$2:$A$467</c:f>
              <c:numCache>
                <c:formatCode>mmm\-yyyy</c:formatCode>
                <c:ptCount val="466"/>
                <c:pt idx="0">
                  <c:v>27911</c:v>
                </c:pt>
                <c:pt idx="1">
                  <c:v>27941</c:v>
                </c:pt>
                <c:pt idx="2">
                  <c:v>27972</c:v>
                </c:pt>
                <c:pt idx="3">
                  <c:v>28003</c:v>
                </c:pt>
                <c:pt idx="4">
                  <c:v>28033</c:v>
                </c:pt>
                <c:pt idx="5">
                  <c:v>28064</c:v>
                </c:pt>
                <c:pt idx="6">
                  <c:v>28094</c:v>
                </c:pt>
                <c:pt idx="7">
                  <c:v>28125</c:v>
                </c:pt>
                <c:pt idx="8">
                  <c:v>28156</c:v>
                </c:pt>
                <c:pt idx="9">
                  <c:v>28184</c:v>
                </c:pt>
                <c:pt idx="10">
                  <c:v>28215</c:v>
                </c:pt>
                <c:pt idx="11">
                  <c:v>28245</c:v>
                </c:pt>
                <c:pt idx="12">
                  <c:v>28276</c:v>
                </c:pt>
                <c:pt idx="13">
                  <c:v>28306</c:v>
                </c:pt>
                <c:pt idx="14">
                  <c:v>28337</c:v>
                </c:pt>
                <c:pt idx="15">
                  <c:v>28368</c:v>
                </c:pt>
                <c:pt idx="16">
                  <c:v>28398</c:v>
                </c:pt>
                <c:pt idx="17">
                  <c:v>28429</c:v>
                </c:pt>
                <c:pt idx="18">
                  <c:v>28459</c:v>
                </c:pt>
                <c:pt idx="19">
                  <c:v>28490</c:v>
                </c:pt>
                <c:pt idx="20">
                  <c:v>28521</c:v>
                </c:pt>
                <c:pt idx="21">
                  <c:v>28549</c:v>
                </c:pt>
                <c:pt idx="22">
                  <c:v>28580</c:v>
                </c:pt>
                <c:pt idx="23">
                  <c:v>28610</c:v>
                </c:pt>
                <c:pt idx="24">
                  <c:v>28641</c:v>
                </c:pt>
                <c:pt idx="25">
                  <c:v>28671</c:v>
                </c:pt>
                <c:pt idx="26">
                  <c:v>28702</c:v>
                </c:pt>
                <c:pt idx="27">
                  <c:v>28733</c:v>
                </c:pt>
                <c:pt idx="28">
                  <c:v>28763</c:v>
                </c:pt>
                <c:pt idx="29">
                  <c:v>28794</c:v>
                </c:pt>
                <c:pt idx="30">
                  <c:v>28824</c:v>
                </c:pt>
                <c:pt idx="31">
                  <c:v>28855</c:v>
                </c:pt>
                <c:pt idx="32">
                  <c:v>28886</c:v>
                </c:pt>
                <c:pt idx="33">
                  <c:v>28914</c:v>
                </c:pt>
                <c:pt idx="34">
                  <c:v>28945</c:v>
                </c:pt>
                <c:pt idx="35">
                  <c:v>28975</c:v>
                </c:pt>
                <c:pt idx="36">
                  <c:v>29006</c:v>
                </c:pt>
                <c:pt idx="37">
                  <c:v>29036</c:v>
                </c:pt>
                <c:pt idx="38">
                  <c:v>29067</c:v>
                </c:pt>
                <c:pt idx="39">
                  <c:v>29098</c:v>
                </c:pt>
                <c:pt idx="40">
                  <c:v>29128</c:v>
                </c:pt>
                <c:pt idx="41">
                  <c:v>29159</c:v>
                </c:pt>
                <c:pt idx="42">
                  <c:v>29189</c:v>
                </c:pt>
                <c:pt idx="43">
                  <c:v>29220</c:v>
                </c:pt>
                <c:pt idx="44">
                  <c:v>29251</c:v>
                </c:pt>
                <c:pt idx="45">
                  <c:v>29280</c:v>
                </c:pt>
                <c:pt idx="46">
                  <c:v>29311</c:v>
                </c:pt>
                <c:pt idx="47">
                  <c:v>29341</c:v>
                </c:pt>
                <c:pt idx="48">
                  <c:v>29372</c:v>
                </c:pt>
                <c:pt idx="49">
                  <c:v>29402</c:v>
                </c:pt>
                <c:pt idx="50">
                  <c:v>29433</c:v>
                </c:pt>
                <c:pt idx="51">
                  <c:v>29464</c:v>
                </c:pt>
                <c:pt idx="52">
                  <c:v>29494</c:v>
                </c:pt>
                <c:pt idx="53">
                  <c:v>29525</c:v>
                </c:pt>
                <c:pt idx="54">
                  <c:v>29555</c:v>
                </c:pt>
                <c:pt idx="55">
                  <c:v>29586</c:v>
                </c:pt>
                <c:pt idx="56">
                  <c:v>29617</c:v>
                </c:pt>
                <c:pt idx="57">
                  <c:v>29645</c:v>
                </c:pt>
                <c:pt idx="58">
                  <c:v>29676</c:v>
                </c:pt>
                <c:pt idx="59">
                  <c:v>29706</c:v>
                </c:pt>
                <c:pt idx="60">
                  <c:v>29737</c:v>
                </c:pt>
                <c:pt idx="61">
                  <c:v>29767</c:v>
                </c:pt>
                <c:pt idx="62">
                  <c:v>29798</c:v>
                </c:pt>
                <c:pt idx="63">
                  <c:v>29829</c:v>
                </c:pt>
                <c:pt idx="64">
                  <c:v>29859</c:v>
                </c:pt>
                <c:pt idx="65">
                  <c:v>29890</c:v>
                </c:pt>
                <c:pt idx="66">
                  <c:v>29920</c:v>
                </c:pt>
                <c:pt idx="67">
                  <c:v>29951</c:v>
                </c:pt>
                <c:pt idx="68">
                  <c:v>29982</c:v>
                </c:pt>
                <c:pt idx="69">
                  <c:v>30010</c:v>
                </c:pt>
                <c:pt idx="70">
                  <c:v>30041</c:v>
                </c:pt>
                <c:pt idx="71">
                  <c:v>30071</c:v>
                </c:pt>
                <c:pt idx="72">
                  <c:v>30102</c:v>
                </c:pt>
                <c:pt idx="73">
                  <c:v>30132</c:v>
                </c:pt>
                <c:pt idx="74">
                  <c:v>30163</c:v>
                </c:pt>
                <c:pt idx="75">
                  <c:v>30194</c:v>
                </c:pt>
                <c:pt idx="76">
                  <c:v>30224</c:v>
                </c:pt>
                <c:pt idx="77">
                  <c:v>30255</c:v>
                </c:pt>
                <c:pt idx="78">
                  <c:v>30285</c:v>
                </c:pt>
                <c:pt idx="79">
                  <c:v>30316</c:v>
                </c:pt>
                <c:pt idx="80">
                  <c:v>30347</c:v>
                </c:pt>
                <c:pt idx="81">
                  <c:v>30375</c:v>
                </c:pt>
                <c:pt idx="82">
                  <c:v>30406</c:v>
                </c:pt>
                <c:pt idx="83">
                  <c:v>30436</c:v>
                </c:pt>
                <c:pt idx="84">
                  <c:v>30467</c:v>
                </c:pt>
                <c:pt idx="85">
                  <c:v>30497</c:v>
                </c:pt>
                <c:pt idx="86">
                  <c:v>30528</c:v>
                </c:pt>
                <c:pt idx="87">
                  <c:v>30559</c:v>
                </c:pt>
                <c:pt idx="88">
                  <c:v>30589</c:v>
                </c:pt>
                <c:pt idx="89">
                  <c:v>30620</c:v>
                </c:pt>
                <c:pt idx="90">
                  <c:v>30650</c:v>
                </c:pt>
                <c:pt idx="91">
                  <c:v>30681</c:v>
                </c:pt>
                <c:pt idx="92">
                  <c:v>30712</c:v>
                </c:pt>
                <c:pt idx="93">
                  <c:v>30741</c:v>
                </c:pt>
                <c:pt idx="94">
                  <c:v>30772</c:v>
                </c:pt>
                <c:pt idx="95">
                  <c:v>30802</c:v>
                </c:pt>
                <c:pt idx="96">
                  <c:v>30833</c:v>
                </c:pt>
                <c:pt idx="97">
                  <c:v>30863</c:v>
                </c:pt>
                <c:pt idx="98">
                  <c:v>30894</c:v>
                </c:pt>
                <c:pt idx="99">
                  <c:v>30925</c:v>
                </c:pt>
                <c:pt idx="100">
                  <c:v>30955</c:v>
                </c:pt>
                <c:pt idx="101">
                  <c:v>30986</c:v>
                </c:pt>
                <c:pt idx="102">
                  <c:v>31016</c:v>
                </c:pt>
                <c:pt idx="103">
                  <c:v>31047</c:v>
                </c:pt>
                <c:pt idx="104">
                  <c:v>31078</c:v>
                </c:pt>
                <c:pt idx="105">
                  <c:v>31106</c:v>
                </c:pt>
                <c:pt idx="106">
                  <c:v>31137</c:v>
                </c:pt>
                <c:pt idx="107">
                  <c:v>31167</c:v>
                </c:pt>
                <c:pt idx="108">
                  <c:v>31198</c:v>
                </c:pt>
                <c:pt idx="109">
                  <c:v>31228</c:v>
                </c:pt>
                <c:pt idx="110">
                  <c:v>31259</c:v>
                </c:pt>
                <c:pt idx="111">
                  <c:v>31290</c:v>
                </c:pt>
                <c:pt idx="112">
                  <c:v>31320</c:v>
                </c:pt>
                <c:pt idx="113">
                  <c:v>31351</c:v>
                </c:pt>
                <c:pt idx="114">
                  <c:v>31381</c:v>
                </c:pt>
                <c:pt idx="115">
                  <c:v>31412</c:v>
                </c:pt>
                <c:pt idx="116">
                  <c:v>31443</c:v>
                </c:pt>
                <c:pt idx="117">
                  <c:v>31471</c:v>
                </c:pt>
                <c:pt idx="118">
                  <c:v>31502</c:v>
                </c:pt>
                <c:pt idx="119">
                  <c:v>31532</c:v>
                </c:pt>
                <c:pt idx="120">
                  <c:v>31563</c:v>
                </c:pt>
                <c:pt idx="121">
                  <c:v>31593</c:v>
                </c:pt>
                <c:pt idx="122">
                  <c:v>31624</c:v>
                </c:pt>
                <c:pt idx="123">
                  <c:v>31655</c:v>
                </c:pt>
                <c:pt idx="124">
                  <c:v>31685</c:v>
                </c:pt>
                <c:pt idx="125">
                  <c:v>31716</c:v>
                </c:pt>
                <c:pt idx="126">
                  <c:v>31746</c:v>
                </c:pt>
                <c:pt idx="127">
                  <c:v>31777</c:v>
                </c:pt>
                <c:pt idx="128">
                  <c:v>31808</c:v>
                </c:pt>
                <c:pt idx="129">
                  <c:v>31836</c:v>
                </c:pt>
                <c:pt idx="130">
                  <c:v>31867</c:v>
                </c:pt>
                <c:pt idx="131">
                  <c:v>31897</c:v>
                </c:pt>
                <c:pt idx="132">
                  <c:v>31928</c:v>
                </c:pt>
                <c:pt idx="133">
                  <c:v>31958</c:v>
                </c:pt>
                <c:pt idx="134">
                  <c:v>31989</c:v>
                </c:pt>
                <c:pt idx="135">
                  <c:v>32020</c:v>
                </c:pt>
                <c:pt idx="136">
                  <c:v>32050</c:v>
                </c:pt>
                <c:pt idx="137">
                  <c:v>32081</c:v>
                </c:pt>
                <c:pt idx="138">
                  <c:v>32111</c:v>
                </c:pt>
                <c:pt idx="139">
                  <c:v>32142</c:v>
                </c:pt>
                <c:pt idx="140">
                  <c:v>32173</c:v>
                </c:pt>
                <c:pt idx="141">
                  <c:v>32202</c:v>
                </c:pt>
                <c:pt idx="142">
                  <c:v>32233</c:v>
                </c:pt>
                <c:pt idx="143">
                  <c:v>32263</c:v>
                </c:pt>
                <c:pt idx="144">
                  <c:v>32294</c:v>
                </c:pt>
                <c:pt idx="145">
                  <c:v>32324</c:v>
                </c:pt>
                <c:pt idx="146">
                  <c:v>32355</c:v>
                </c:pt>
                <c:pt idx="147">
                  <c:v>32386</c:v>
                </c:pt>
                <c:pt idx="148">
                  <c:v>32416</c:v>
                </c:pt>
                <c:pt idx="149">
                  <c:v>32447</c:v>
                </c:pt>
                <c:pt idx="150">
                  <c:v>32477</c:v>
                </c:pt>
                <c:pt idx="151">
                  <c:v>32508</c:v>
                </c:pt>
                <c:pt idx="152">
                  <c:v>32539</c:v>
                </c:pt>
                <c:pt idx="153">
                  <c:v>32567</c:v>
                </c:pt>
                <c:pt idx="154">
                  <c:v>32598</c:v>
                </c:pt>
                <c:pt idx="155">
                  <c:v>32628</c:v>
                </c:pt>
                <c:pt idx="156">
                  <c:v>32659</c:v>
                </c:pt>
                <c:pt idx="157">
                  <c:v>32689</c:v>
                </c:pt>
                <c:pt idx="158">
                  <c:v>32720</c:v>
                </c:pt>
                <c:pt idx="159">
                  <c:v>32751</c:v>
                </c:pt>
                <c:pt idx="160">
                  <c:v>32781</c:v>
                </c:pt>
                <c:pt idx="161">
                  <c:v>32812</c:v>
                </c:pt>
                <c:pt idx="162">
                  <c:v>32842</c:v>
                </c:pt>
                <c:pt idx="163">
                  <c:v>32873</c:v>
                </c:pt>
                <c:pt idx="164">
                  <c:v>32904</c:v>
                </c:pt>
                <c:pt idx="165">
                  <c:v>32932</c:v>
                </c:pt>
                <c:pt idx="166">
                  <c:v>32963</c:v>
                </c:pt>
                <c:pt idx="167">
                  <c:v>32993</c:v>
                </c:pt>
                <c:pt idx="168">
                  <c:v>33024</c:v>
                </c:pt>
                <c:pt idx="169">
                  <c:v>33054</c:v>
                </c:pt>
                <c:pt idx="170">
                  <c:v>33085</c:v>
                </c:pt>
                <c:pt idx="171">
                  <c:v>33116</c:v>
                </c:pt>
                <c:pt idx="172">
                  <c:v>33146</c:v>
                </c:pt>
                <c:pt idx="173">
                  <c:v>33177</c:v>
                </c:pt>
                <c:pt idx="174">
                  <c:v>33207</c:v>
                </c:pt>
                <c:pt idx="175">
                  <c:v>33238</c:v>
                </c:pt>
                <c:pt idx="176">
                  <c:v>33269</c:v>
                </c:pt>
                <c:pt idx="177">
                  <c:v>33297</c:v>
                </c:pt>
                <c:pt idx="178">
                  <c:v>33328</c:v>
                </c:pt>
                <c:pt idx="179">
                  <c:v>33358</c:v>
                </c:pt>
                <c:pt idx="180">
                  <c:v>33389</c:v>
                </c:pt>
                <c:pt idx="181">
                  <c:v>33419</c:v>
                </c:pt>
                <c:pt idx="182">
                  <c:v>33450</c:v>
                </c:pt>
                <c:pt idx="183">
                  <c:v>33481</c:v>
                </c:pt>
                <c:pt idx="184">
                  <c:v>33511</c:v>
                </c:pt>
                <c:pt idx="185">
                  <c:v>33542</c:v>
                </c:pt>
                <c:pt idx="186">
                  <c:v>33572</c:v>
                </c:pt>
                <c:pt idx="187">
                  <c:v>33603</c:v>
                </c:pt>
                <c:pt idx="188">
                  <c:v>33634</c:v>
                </c:pt>
                <c:pt idx="189">
                  <c:v>33663</c:v>
                </c:pt>
                <c:pt idx="190">
                  <c:v>33694</c:v>
                </c:pt>
                <c:pt idx="191">
                  <c:v>33724</c:v>
                </c:pt>
                <c:pt idx="192">
                  <c:v>33755</c:v>
                </c:pt>
                <c:pt idx="193">
                  <c:v>33785</c:v>
                </c:pt>
                <c:pt idx="194">
                  <c:v>33816</c:v>
                </c:pt>
                <c:pt idx="195">
                  <c:v>33847</c:v>
                </c:pt>
                <c:pt idx="196">
                  <c:v>33877</c:v>
                </c:pt>
                <c:pt idx="197">
                  <c:v>33908</c:v>
                </c:pt>
                <c:pt idx="198">
                  <c:v>33938</c:v>
                </c:pt>
                <c:pt idx="199">
                  <c:v>33969</c:v>
                </c:pt>
                <c:pt idx="200">
                  <c:v>34000</c:v>
                </c:pt>
                <c:pt idx="201">
                  <c:v>34028</c:v>
                </c:pt>
                <c:pt idx="202">
                  <c:v>34059</c:v>
                </c:pt>
                <c:pt idx="203">
                  <c:v>34089</c:v>
                </c:pt>
                <c:pt idx="204">
                  <c:v>34120</c:v>
                </c:pt>
                <c:pt idx="205">
                  <c:v>34150</c:v>
                </c:pt>
                <c:pt idx="206">
                  <c:v>34181</c:v>
                </c:pt>
                <c:pt idx="207">
                  <c:v>34212</c:v>
                </c:pt>
                <c:pt idx="208">
                  <c:v>34242</c:v>
                </c:pt>
                <c:pt idx="209">
                  <c:v>34273</c:v>
                </c:pt>
                <c:pt idx="210">
                  <c:v>34303</c:v>
                </c:pt>
                <c:pt idx="211">
                  <c:v>34334</c:v>
                </c:pt>
                <c:pt idx="212">
                  <c:v>34365</c:v>
                </c:pt>
                <c:pt idx="213">
                  <c:v>34393</c:v>
                </c:pt>
                <c:pt idx="214">
                  <c:v>34424</c:v>
                </c:pt>
                <c:pt idx="215">
                  <c:v>34454</c:v>
                </c:pt>
                <c:pt idx="216">
                  <c:v>34485</c:v>
                </c:pt>
                <c:pt idx="217">
                  <c:v>34515</c:v>
                </c:pt>
                <c:pt idx="218">
                  <c:v>34546</c:v>
                </c:pt>
                <c:pt idx="219">
                  <c:v>34577</c:v>
                </c:pt>
                <c:pt idx="220">
                  <c:v>34607</c:v>
                </c:pt>
                <c:pt idx="221">
                  <c:v>34638</c:v>
                </c:pt>
                <c:pt idx="222">
                  <c:v>34668</c:v>
                </c:pt>
                <c:pt idx="223">
                  <c:v>34699</c:v>
                </c:pt>
                <c:pt idx="224">
                  <c:v>34730</c:v>
                </c:pt>
                <c:pt idx="225">
                  <c:v>34758</c:v>
                </c:pt>
                <c:pt idx="226">
                  <c:v>34789</c:v>
                </c:pt>
                <c:pt idx="227">
                  <c:v>34819</c:v>
                </c:pt>
                <c:pt idx="228">
                  <c:v>34850</c:v>
                </c:pt>
                <c:pt idx="229">
                  <c:v>34880</c:v>
                </c:pt>
                <c:pt idx="230">
                  <c:v>34911</c:v>
                </c:pt>
                <c:pt idx="231">
                  <c:v>34942</c:v>
                </c:pt>
                <c:pt idx="232">
                  <c:v>34972</c:v>
                </c:pt>
                <c:pt idx="233">
                  <c:v>35003</c:v>
                </c:pt>
                <c:pt idx="234">
                  <c:v>35033</c:v>
                </c:pt>
                <c:pt idx="235">
                  <c:v>35064</c:v>
                </c:pt>
                <c:pt idx="236">
                  <c:v>35095</c:v>
                </c:pt>
                <c:pt idx="237">
                  <c:v>35124</c:v>
                </c:pt>
                <c:pt idx="238">
                  <c:v>35155</c:v>
                </c:pt>
                <c:pt idx="239">
                  <c:v>35185</c:v>
                </c:pt>
                <c:pt idx="240">
                  <c:v>35216</c:v>
                </c:pt>
                <c:pt idx="241">
                  <c:v>35246</c:v>
                </c:pt>
                <c:pt idx="242">
                  <c:v>35277</c:v>
                </c:pt>
                <c:pt idx="243">
                  <c:v>35308</c:v>
                </c:pt>
                <c:pt idx="244">
                  <c:v>35338</c:v>
                </c:pt>
                <c:pt idx="245">
                  <c:v>35369</c:v>
                </c:pt>
                <c:pt idx="246">
                  <c:v>35399</c:v>
                </c:pt>
                <c:pt idx="247">
                  <c:v>35430</c:v>
                </c:pt>
                <c:pt idx="248">
                  <c:v>35461</c:v>
                </c:pt>
                <c:pt idx="249">
                  <c:v>35489</c:v>
                </c:pt>
                <c:pt idx="250">
                  <c:v>35520</c:v>
                </c:pt>
                <c:pt idx="251">
                  <c:v>35550</c:v>
                </c:pt>
                <c:pt idx="252">
                  <c:v>35581</c:v>
                </c:pt>
                <c:pt idx="253">
                  <c:v>35611</c:v>
                </c:pt>
                <c:pt idx="254">
                  <c:v>35642</c:v>
                </c:pt>
                <c:pt idx="255">
                  <c:v>35673</c:v>
                </c:pt>
                <c:pt idx="256">
                  <c:v>35703</c:v>
                </c:pt>
                <c:pt idx="257">
                  <c:v>35734</c:v>
                </c:pt>
                <c:pt idx="258">
                  <c:v>35764</c:v>
                </c:pt>
                <c:pt idx="259">
                  <c:v>35795</c:v>
                </c:pt>
                <c:pt idx="260">
                  <c:v>35826</c:v>
                </c:pt>
                <c:pt idx="261">
                  <c:v>35854</c:v>
                </c:pt>
                <c:pt idx="262">
                  <c:v>35885</c:v>
                </c:pt>
                <c:pt idx="263">
                  <c:v>35915</c:v>
                </c:pt>
                <c:pt idx="264">
                  <c:v>35946</c:v>
                </c:pt>
                <c:pt idx="265">
                  <c:v>35976</c:v>
                </c:pt>
                <c:pt idx="266">
                  <c:v>36007</c:v>
                </c:pt>
                <c:pt idx="267">
                  <c:v>36038</c:v>
                </c:pt>
                <c:pt idx="268">
                  <c:v>36068</c:v>
                </c:pt>
                <c:pt idx="269">
                  <c:v>36099</c:v>
                </c:pt>
                <c:pt idx="270">
                  <c:v>36129</c:v>
                </c:pt>
                <c:pt idx="271">
                  <c:v>36160</c:v>
                </c:pt>
                <c:pt idx="272">
                  <c:v>36191</c:v>
                </c:pt>
                <c:pt idx="273">
                  <c:v>36219</c:v>
                </c:pt>
                <c:pt idx="274">
                  <c:v>36250</c:v>
                </c:pt>
                <c:pt idx="275">
                  <c:v>36280</c:v>
                </c:pt>
                <c:pt idx="276">
                  <c:v>36311</c:v>
                </c:pt>
                <c:pt idx="277">
                  <c:v>36341</c:v>
                </c:pt>
                <c:pt idx="278">
                  <c:v>36372</c:v>
                </c:pt>
                <c:pt idx="279">
                  <c:v>36403</c:v>
                </c:pt>
                <c:pt idx="280">
                  <c:v>36433</c:v>
                </c:pt>
                <c:pt idx="281">
                  <c:v>36464</c:v>
                </c:pt>
                <c:pt idx="282">
                  <c:v>36494</c:v>
                </c:pt>
                <c:pt idx="283">
                  <c:v>36525</c:v>
                </c:pt>
                <c:pt idx="284">
                  <c:v>36556</c:v>
                </c:pt>
                <c:pt idx="285">
                  <c:v>36585</c:v>
                </c:pt>
                <c:pt idx="286">
                  <c:v>36616</c:v>
                </c:pt>
                <c:pt idx="287">
                  <c:v>36646</c:v>
                </c:pt>
                <c:pt idx="288">
                  <c:v>36677</c:v>
                </c:pt>
                <c:pt idx="289">
                  <c:v>36707</c:v>
                </c:pt>
                <c:pt idx="290">
                  <c:v>36738</c:v>
                </c:pt>
                <c:pt idx="291">
                  <c:v>36769</c:v>
                </c:pt>
                <c:pt idx="292">
                  <c:v>36799</c:v>
                </c:pt>
                <c:pt idx="293">
                  <c:v>36830</c:v>
                </c:pt>
                <c:pt idx="294">
                  <c:v>36860</c:v>
                </c:pt>
                <c:pt idx="295">
                  <c:v>36891</c:v>
                </c:pt>
                <c:pt idx="296">
                  <c:v>36922</c:v>
                </c:pt>
                <c:pt idx="297">
                  <c:v>36950</c:v>
                </c:pt>
                <c:pt idx="298">
                  <c:v>36981</c:v>
                </c:pt>
                <c:pt idx="299">
                  <c:v>37011</c:v>
                </c:pt>
                <c:pt idx="300">
                  <c:v>37042</c:v>
                </c:pt>
                <c:pt idx="301">
                  <c:v>37072</c:v>
                </c:pt>
                <c:pt idx="302">
                  <c:v>37103</c:v>
                </c:pt>
                <c:pt idx="303">
                  <c:v>37134</c:v>
                </c:pt>
                <c:pt idx="304">
                  <c:v>37164</c:v>
                </c:pt>
                <c:pt idx="305">
                  <c:v>37195</c:v>
                </c:pt>
                <c:pt idx="306">
                  <c:v>37225</c:v>
                </c:pt>
                <c:pt idx="307">
                  <c:v>37256</c:v>
                </c:pt>
                <c:pt idx="308">
                  <c:v>37287</c:v>
                </c:pt>
                <c:pt idx="309">
                  <c:v>37315</c:v>
                </c:pt>
                <c:pt idx="310">
                  <c:v>37346</c:v>
                </c:pt>
                <c:pt idx="311">
                  <c:v>37376</c:v>
                </c:pt>
                <c:pt idx="312">
                  <c:v>37407</c:v>
                </c:pt>
                <c:pt idx="313">
                  <c:v>37437</c:v>
                </c:pt>
                <c:pt idx="314">
                  <c:v>37468</c:v>
                </c:pt>
                <c:pt idx="315">
                  <c:v>37499</c:v>
                </c:pt>
                <c:pt idx="316">
                  <c:v>37529</c:v>
                </c:pt>
                <c:pt idx="317">
                  <c:v>37560</c:v>
                </c:pt>
                <c:pt idx="318">
                  <c:v>37590</c:v>
                </c:pt>
                <c:pt idx="319">
                  <c:v>37621</c:v>
                </c:pt>
                <c:pt idx="320">
                  <c:v>37652</c:v>
                </c:pt>
                <c:pt idx="321">
                  <c:v>37680</c:v>
                </c:pt>
                <c:pt idx="322">
                  <c:v>37711</c:v>
                </c:pt>
                <c:pt idx="323">
                  <c:v>37741</c:v>
                </c:pt>
                <c:pt idx="324">
                  <c:v>37772</c:v>
                </c:pt>
                <c:pt idx="325">
                  <c:v>37802</c:v>
                </c:pt>
                <c:pt idx="326">
                  <c:v>37833</c:v>
                </c:pt>
                <c:pt idx="327">
                  <c:v>37864</c:v>
                </c:pt>
                <c:pt idx="328">
                  <c:v>37894</c:v>
                </c:pt>
                <c:pt idx="329">
                  <c:v>37925</c:v>
                </c:pt>
                <c:pt idx="330">
                  <c:v>37955</c:v>
                </c:pt>
                <c:pt idx="331">
                  <c:v>37986</c:v>
                </c:pt>
                <c:pt idx="332">
                  <c:v>38017</c:v>
                </c:pt>
                <c:pt idx="333">
                  <c:v>38046</c:v>
                </c:pt>
                <c:pt idx="334">
                  <c:v>38077</c:v>
                </c:pt>
                <c:pt idx="335">
                  <c:v>38107</c:v>
                </c:pt>
                <c:pt idx="336">
                  <c:v>38138</c:v>
                </c:pt>
                <c:pt idx="337">
                  <c:v>38168</c:v>
                </c:pt>
                <c:pt idx="338">
                  <c:v>38199</c:v>
                </c:pt>
                <c:pt idx="339">
                  <c:v>38230</c:v>
                </c:pt>
                <c:pt idx="340">
                  <c:v>38260</c:v>
                </c:pt>
                <c:pt idx="341">
                  <c:v>38291</c:v>
                </c:pt>
                <c:pt idx="342">
                  <c:v>38321</c:v>
                </c:pt>
                <c:pt idx="343">
                  <c:v>38352</c:v>
                </c:pt>
                <c:pt idx="344">
                  <c:v>38383</c:v>
                </c:pt>
                <c:pt idx="345">
                  <c:v>38411</c:v>
                </c:pt>
                <c:pt idx="346">
                  <c:v>38442</c:v>
                </c:pt>
                <c:pt idx="347">
                  <c:v>38472</c:v>
                </c:pt>
                <c:pt idx="348">
                  <c:v>38503</c:v>
                </c:pt>
                <c:pt idx="349">
                  <c:v>38533</c:v>
                </c:pt>
                <c:pt idx="350">
                  <c:v>38564</c:v>
                </c:pt>
                <c:pt idx="351">
                  <c:v>38595</c:v>
                </c:pt>
                <c:pt idx="352">
                  <c:v>38625</c:v>
                </c:pt>
                <c:pt idx="353">
                  <c:v>38656</c:v>
                </c:pt>
                <c:pt idx="354">
                  <c:v>38686</c:v>
                </c:pt>
                <c:pt idx="355">
                  <c:v>38717</c:v>
                </c:pt>
                <c:pt idx="356">
                  <c:v>38748</c:v>
                </c:pt>
                <c:pt idx="357">
                  <c:v>38776</c:v>
                </c:pt>
                <c:pt idx="358">
                  <c:v>38807</c:v>
                </c:pt>
                <c:pt idx="359">
                  <c:v>38837</c:v>
                </c:pt>
                <c:pt idx="360">
                  <c:v>38868</c:v>
                </c:pt>
                <c:pt idx="361">
                  <c:v>38898</c:v>
                </c:pt>
                <c:pt idx="362">
                  <c:v>38929</c:v>
                </c:pt>
                <c:pt idx="363">
                  <c:v>38960</c:v>
                </c:pt>
                <c:pt idx="364">
                  <c:v>38990</c:v>
                </c:pt>
                <c:pt idx="365">
                  <c:v>39021</c:v>
                </c:pt>
                <c:pt idx="366">
                  <c:v>39051</c:v>
                </c:pt>
                <c:pt idx="367">
                  <c:v>39082</c:v>
                </c:pt>
                <c:pt idx="368">
                  <c:v>39113</c:v>
                </c:pt>
                <c:pt idx="369">
                  <c:v>39141</c:v>
                </c:pt>
                <c:pt idx="370">
                  <c:v>39172</c:v>
                </c:pt>
                <c:pt idx="371">
                  <c:v>39202</c:v>
                </c:pt>
                <c:pt idx="372">
                  <c:v>39233</c:v>
                </c:pt>
                <c:pt idx="373">
                  <c:v>39263</c:v>
                </c:pt>
                <c:pt idx="374">
                  <c:v>39294</c:v>
                </c:pt>
                <c:pt idx="375">
                  <c:v>39325</c:v>
                </c:pt>
                <c:pt idx="376">
                  <c:v>39355</c:v>
                </c:pt>
                <c:pt idx="377">
                  <c:v>39386</c:v>
                </c:pt>
                <c:pt idx="378">
                  <c:v>39416</c:v>
                </c:pt>
                <c:pt idx="379">
                  <c:v>39447</c:v>
                </c:pt>
                <c:pt idx="380">
                  <c:v>39478</c:v>
                </c:pt>
                <c:pt idx="381">
                  <c:v>39507</c:v>
                </c:pt>
                <c:pt idx="382">
                  <c:v>39538</c:v>
                </c:pt>
                <c:pt idx="383">
                  <c:v>39568</c:v>
                </c:pt>
                <c:pt idx="384">
                  <c:v>39599</c:v>
                </c:pt>
                <c:pt idx="385">
                  <c:v>39629</c:v>
                </c:pt>
                <c:pt idx="386">
                  <c:v>39660</c:v>
                </c:pt>
                <c:pt idx="387">
                  <c:v>39691</c:v>
                </c:pt>
                <c:pt idx="388">
                  <c:v>39721</c:v>
                </c:pt>
                <c:pt idx="389">
                  <c:v>39752</c:v>
                </c:pt>
                <c:pt idx="390">
                  <c:v>39782</c:v>
                </c:pt>
                <c:pt idx="391">
                  <c:v>39813</c:v>
                </c:pt>
                <c:pt idx="392">
                  <c:v>39844</c:v>
                </c:pt>
                <c:pt idx="393">
                  <c:v>39872</c:v>
                </c:pt>
                <c:pt idx="394">
                  <c:v>39903</c:v>
                </c:pt>
                <c:pt idx="395">
                  <c:v>39933</c:v>
                </c:pt>
                <c:pt idx="396">
                  <c:v>39964</c:v>
                </c:pt>
                <c:pt idx="397">
                  <c:v>39994</c:v>
                </c:pt>
                <c:pt idx="398">
                  <c:v>40025</c:v>
                </c:pt>
                <c:pt idx="399">
                  <c:v>40056</c:v>
                </c:pt>
                <c:pt idx="400">
                  <c:v>40086</c:v>
                </c:pt>
                <c:pt idx="401">
                  <c:v>40117</c:v>
                </c:pt>
                <c:pt idx="402">
                  <c:v>40147</c:v>
                </c:pt>
                <c:pt idx="403">
                  <c:v>40178</c:v>
                </c:pt>
                <c:pt idx="404">
                  <c:v>40209</c:v>
                </c:pt>
                <c:pt idx="405">
                  <c:v>40237</c:v>
                </c:pt>
                <c:pt idx="406">
                  <c:v>40268</c:v>
                </c:pt>
                <c:pt idx="407">
                  <c:v>40298</c:v>
                </c:pt>
                <c:pt idx="408">
                  <c:v>40329</c:v>
                </c:pt>
                <c:pt idx="409">
                  <c:v>40359</c:v>
                </c:pt>
                <c:pt idx="410">
                  <c:v>40390</c:v>
                </c:pt>
                <c:pt idx="411">
                  <c:v>40421</c:v>
                </c:pt>
                <c:pt idx="412">
                  <c:v>40451</c:v>
                </c:pt>
                <c:pt idx="413">
                  <c:v>40482</c:v>
                </c:pt>
                <c:pt idx="414">
                  <c:v>40512</c:v>
                </c:pt>
                <c:pt idx="415">
                  <c:v>40543</c:v>
                </c:pt>
                <c:pt idx="416">
                  <c:v>40574</c:v>
                </c:pt>
                <c:pt idx="417">
                  <c:v>40602</c:v>
                </c:pt>
                <c:pt idx="418">
                  <c:v>40633</c:v>
                </c:pt>
                <c:pt idx="419">
                  <c:v>40663</c:v>
                </c:pt>
                <c:pt idx="420">
                  <c:v>40694</c:v>
                </c:pt>
                <c:pt idx="421">
                  <c:v>40724</c:v>
                </c:pt>
                <c:pt idx="422">
                  <c:v>40755</c:v>
                </c:pt>
                <c:pt idx="423">
                  <c:v>40786</c:v>
                </c:pt>
                <c:pt idx="424">
                  <c:v>40816</c:v>
                </c:pt>
                <c:pt idx="425">
                  <c:v>40847</c:v>
                </c:pt>
                <c:pt idx="426">
                  <c:v>40877</c:v>
                </c:pt>
                <c:pt idx="427">
                  <c:v>40908</c:v>
                </c:pt>
                <c:pt idx="428">
                  <c:v>40939</c:v>
                </c:pt>
                <c:pt idx="429">
                  <c:v>40968</c:v>
                </c:pt>
                <c:pt idx="430">
                  <c:v>40999</c:v>
                </c:pt>
                <c:pt idx="431">
                  <c:v>41029</c:v>
                </c:pt>
                <c:pt idx="432">
                  <c:v>41060</c:v>
                </c:pt>
                <c:pt idx="433">
                  <c:v>41090</c:v>
                </c:pt>
                <c:pt idx="434">
                  <c:v>41121</c:v>
                </c:pt>
                <c:pt idx="435">
                  <c:v>41152</c:v>
                </c:pt>
                <c:pt idx="436">
                  <c:v>41182</c:v>
                </c:pt>
                <c:pt idx="437">
                  <c:v>41213</c:v>
                </c:pt>
                <c:pt idx="438">
                  <c:v>41243</c:v>
                </c:pt>
                <c:pt idx="439">
                  <c:v>41274</c:v>
                </c:pt>
                <c:pt idx="440">
                  <c:v>41305</c:v>
                </c:pt>
                <c:pt idx="441">
                  <c:v>41333</c:v>
                </c:pt>
                <c:pt idx="442">
                  <c:v>41364</c:v>
                </c:pt>
                <c:pt idx="443">
                  <c:v>41394</c:v>
                </c:pt>
                <c:pt idx="444">
                  <c:v>41425</c:v>
                </c:pt>
                <c:pt idx="445">
                  <c:v>41455</c:v>
                </c:pt>
                <c:pt idx="446">
                  <c:v>41486</c:v>
                </c:pt>
                <c:pt idx="447">
                  <c:v>41517</c:v>
                </c:pt>
                <c:pt idx="448">
                  <c:v>41547</c:v>
                </c:pt>
                <c:pt idx="449">
                  <c:v>41578</c:v>
                </c:pt>
                <c:pt idx="450">
                  <c:v>41608</c:v>
                </c:pt>
                <c:pt idx="451">
                  <c:v>41639</c:v>
                </c:pt>
                <c:pt idx="452">
                  <c:v>41670</c:v>
                </c:pt>
                <c:pt idx="453">
                  <c:v>41698</c:v>
                </c:pt>
                <c:pt idx="454">
                  <c:v>41729</c:v>
                </c:pt>
                <c:pt idx="455">
                  <c:v>41759</c:v>
                </c:pt>
                <c:pt idx="456">
                  <c:v>41790</c:v>
                </c:pt>
                <c:pt idx="457">
                  <c:v>41820</c:v>
                </c:pt>
                <c:pt idx="458">
                  <c:v>41851</c:v>
                </c:pt>
                <c:pt idx="459">
                  <c:v>41882</c:v>
                </c:pt>
                <c:pt idx="460">
                  <c:v>41912</c:v>
                </c:pt>
                <c:pt idx="461">
                  <c:v>41943</c:v>
                </c:pt>
                <c:pt idx="462">
                  <c:v>41973</c:v>
                </c:pt>
                <c:pt idx="463">
                  <c:v>42004</c:v>
                </c:pt>
                <c:pt idx="464">
                  <c:v>42035</c:v>
                </c:pt>
                <c:pt idx="465">
                  <c:v>42063</c:v>
                </c:pt>
              </c:numCache>
            </c:numRef>
          </c:cat>
          <c:val>
            <c:numRef>
              <c:f>'IR Diffs &amp; Carry'!$F$2:$F$467</c:f>
              <c:numCache>
                <c:formatCode>0.00</c:formatCode>
                <c:ptCount val="466"/>
                <c:pt idx="0">
                  <c:v>6.6196999347684349</c:v>
                </c:pt>
                <c:pt idx="1">
                  <c:v>6.9663760896637612</c:v>
                </c:pt>
                <c:pt idx="2">
                  <c:v>6.1955168119551685</c:v>
                </c:pt>
                <c:pt idx="3">
                  <c:v>6.7372353673723548</c:v>
                </c:pt>
                <c:pt idx="4">
                  <c:v>6.061021170610208</c:v>
                </c:pt>
                <c:pt idx="5">
                  <c:v>6.1839530332681028</c:v>
                </c:pt>
                <c:pt idx="6">
                  <c:v>6.0971357409713542</c:v>
                </c:pt>
                <c:pt idx="7">
                  <c:v>4.7175472928897566</c:v>
                </c:pt>
                <c:pt idx="8">
                  <c:v>7.7981254506128304</c:v>
                </c:pt>
                <c:pt idx="9">
                  <c:v>7.5164383561643833</c:v>
                </c:pt>
                <c:pt idx="10">
                  <c:v>7.9058963668850444</c:v>
                </c:pt>
                <c:pt idx="11">
                  <c:v>7.2115677321156744</c:v>
                </c:pt>
                <c:pt idx="12">
                  <c:v>9.0249066002490625</c:v>
                </c:pt>
                <c:pt idx="13">
                  <c:v>11.31631382316314</c:v>
                </c:pt>
                <c:pt idx="14">
                  <c:v>10.729288975864318</c:v>
                </c:pt>
                <c:pt idx="15">
                  <c:v>10.327575938058372</c:v>
                </c:pt>
                <c:pt idx="16">
                  <c:v>9.120797011207971</c:v>
                </c:pt>
                <c:pt idx="17">
                  <c:v>6.5335942596216574</c:v>
                </c:pt>
                <c:pt idx="18">
                  <c:v>7.2702366127023703</c:v>
                </c:pt>
                <c:pt idx="19">
                  <c:v>7.0906718851924371</c:v>
                </c:pt>
                <c:pt idx="20">
                  <c:v>5.6287671232876777</c:v>
                </c:pt>
                <c:pt idx="21">
                  <c:v>4.4904109589041097</c:v>
                </c:pt>
                <c:pt idx="22">
                  <c:v>3.1859099804305298</c:v>
                </c:pt>
                <c:pt idx="23">
                  <c:v>2.1441961067051221</c:v>
                </c:pt>
                <c:pt idx="24">
                  <c:v>4.7921381774866028</c:v>
                </c:pt>
                <c:pt idx="25">
                  <c:v>3.9465101108936769</c:v>
                </c:pt>
                <c:pt idx="26">
                  <c:v>2.7475538160469628</c:v>
                </c:pt>
                <c:pt idx="27">
                  <c:v>2.6527695056581364</c:v>
                </c:pt>
                <c:pt idx="28">
                  <c:v>2.0013046314416196</c:v>
                </c:pt>
                <c:pt idx="29">
                  <c:v>1.2017434620174297</c:v>
                </c:pt>
                <c:pt idx="30">
                  <c:v>-4.9053549190535479</c:v>
                </c:pt>
                <c:pt idx="31">
                  <c:v>-4.6993511175198295</c:v>
                </c:pt>
                <c:pt idx="32">
                  <c:v>-5.1819960861056726</c:v>
                </c:pt>
                <c:pt idx="33">
                  <c:v>-6.1232876712328794</c:v>
                </c:pt>
                <c:pt idx="34">
                  <c:v>-5.2278953922789553</c:v>
                </c:pt>
                <c:pt idx="35">
                  <c:v>-3.8325722983257218</c:v>
                </c:pt>
                <c:pt idx="36">
                  <c:v>-2.1762954139368711</c:v>
                </c:pt>
                <c:pt idx="37">
                  <c:v>-4.3170254403131114</c:v>
                </c:pt>
                <c:pt idx="38">
                  <c:v>-1.1320049813200495</c:v>
                </c:pt>
                <c:pt idx="39">
                  <c:v>-0.84812388326384691</c:v>
                </c:pt>
                <c:pt idx="40">
                  <c:v>-5.5273972602739727</c:v>
                </c:pt>
                <c:pt idx="41">
                  <c:v>-12.931506849315062</c:v>
                </c:pt>
                <c:pt idx="42">
                  <c:v>-11.483188044831879</c:v>
                </c:pt>
                <c:pt idx="43">
                  <c:v>-11.726027397260275</c:v>
                </c:pt>
                <c:pt idx="44">
                  <c:v>-12.553163731245922</c:v>
                </c:pt>
                <c:pt idx="45">
                  <c:v>-14.446183953033268</c:v>
                </c:pt>
                <c:pt idx="46">
                  <c:v>-18.589693411611226</c:v>
                </c:pt>
                <c:pt idx="47">
                  <c:v>-18.974765681326605</c:v>
                </c:pt>
                <c:pt idx="48">
                  <c:v>7.4956413449564154</c:v>
                </c:pt>
                <c:pt idx="49">
                  <c:v>11.660795825179383</c:v>
                </c:pt>
                <c:pt idx="50">
                  <c:v>10.489577129243598</c:v>
                </c:pt>
                <c:pt idx="51">
                  <c:v>7.6894977168949783</c:v>
                </c:pt>
                <c:pt idx="52">
                  <c:v>0.97882938978829281</c:v>
                </c:pt>
                <c:pt idx="53">
                  <c:v>-8.1751042287075624</c:v>
                </c:pt>
                <c:pt idx="54">
                  <c:v>-15.136986301369864</c:v>
                </c:pt>
                <c:pt idx="55">
                  <c:v>-21.969993476842781</c:v>
                </c:pt>
                <c:pt idx="56">
                  <c:v>-23.027397260273961</c:v>
                </c:pt>
                <c:pt idx="57">
                  <c:v>-13.506849315068493</c:v>
                </c:pt>
                <c:pt idx="58">
                  <c:v>-7.4283935242839325</c:v>
                </c:pt>
                <c:pt idx="59">
                  <c:v>-7.2123287671232914</c:v>
                </c:pt>
                <c:pt idx="60">
                  <c:v>-11.861709067188524</c:v>
                </c:pt>
                <c:pt idx="61">
                  <c:v>-10.330012453300126</c:v>
                </c:pt>
                <c:pt idx="62">
                  <c:v>-9.8624181060154825</c:v>
                </c:pt>
                <c:pt idx="63">
                  <c:v>-7.7260273972602747</c:v>
                </c:pt>
                <c:pt idx="64">
                  <c:v>-3.2708592777085879</c:v>
                </c:pt>
                <c:pt idx="65">
                  <c:v>-2.0404732254047246</c:v>
                </c:pt>
                <c:pt idx="66">
                  <c:v>3.374429223744293</c:v>
                </c:pt>
                <c:pt idx="67">
                  <c:v>8.901500326157862</c:v>
                </c:pt>
                <c:pt idx="68">
                  <c:v>4.8595890410958882</c:v>
                </c:pt>
                <c:pt idx="69">
                  <c:v>1.1614996395097379</c:v>
                </c:pt>
                <c:pt idx="70">
                  <c:v>3.8397855866587247</c:v>
                </c:pt>
                <c:pt idx="71">
                  <c:v>11.380136986301371</c:v>
                </c:pt>
                <c:pt idx="72">
                  <c:v>10.80234833659491</c:v>
                </c:pt>
                <c:pt idx="73">
                  <c:v>9.3960149439601413</c:v>
                </c:pt>
                <c:pt idx="74">
                  <c:v>10.74346201743462</c:v>
                </c:pt>
                <c:pt idx="75">
                  <c:v>29.169987546699868</c:v>
                </c:pt>
                <c:pt idx="76">
                  <c:v>15.853673723536737</c:v>
                </c:pt>
                <c:pt idx="77">
                  <c:v>16.401174168297459</c:v>
                </c:pt>
                <c:pt idx="78">
                  <c:v>13.150684931506854</c:v>
                </c:pt>
                <c:pt idx="79">
                  <c:v>6.8721461187214645</c:v>
                </c:pt>
                <c:pt idx="80">
                  <c:v>10.087238644556594</c:v>
                </c:pt>
                <c:pt idx="81">
                  <c:v>11.41095890410959</c:v>
                </c:pt>
                <c:pt idx="82">
                  <c:v>21.818344252531269</c:v>
                </c:pt>
                <c:pt idx="83">
                  <c:v>10.441400304414001</c:v>
                </c:pt>
                <c:pt idx="84">
                  <c:v>8.9526774595267771</c:v>
                </c:pt>
                <c:pt idx="85">
                  <c:v>7.5734744707347446</c:v>
                </c:pt>
                <c:pt idx="86">
                  <c:v>2.6718851924331388</c:v>
                </c:pt>
                <c:pt idx="87">
                  <c:v>3.0369267421083936</c:v>
                </c:pt>
                <c:pt idx="88">
                  <c:v>4.1998754669987557</c:v>
                </c:pt>
                <c:pt idx="89">
                  <c:v>2.0932811480756666</c:v>
                </c:pt>
                <c:pt idx="90">
                  <c:v>1.714819427148198</c:v>
                </c:pt>
                <c:pt idx="91">
                  <c:v>-12.91438356164384</c:v>
                </c:pt>
                <c:pt idx="92">
                  <c:v>-1.174657534246579</c:v>
                </c:pt>
                <c:pt idx="93">
                  <c:v>0.51663405088062531</c:v>
                </c:pt>
                <c:pt idx="94">
                  <c:v>7.2359900373599002</c:v>
                </c:pt>
                <c:pt idx="95">
                  <c:v>13.307458143074578</c:v>
                </c:pt>
                <c:pt idx="96">
                  <c:v>10.290649195949968</c:v>
                </c:pt>
                <c:pt idx="97">
                  <c:v>3.4885844748858443</c:v>
                </c:pt>
                <c:pt idx="98">
                  <c:v>2.6388542963885402</c:v>
                </c:pt>
                <c:pt idx="99">
                  <c:v>-7.0875521143538442E-2</c:v>
                </c:pt>
                <c:pt idx="100">
                  <c:v>-0.63356164383561886</c:v>
                </c:pt>
                <c:pt idx="101">
                  <c:v>3.1542584871947601</c:v>
                </c:pt>
                <c:pt idx="102">
                  <c:v>5.7303860523038619</c:v>
                </c:pt>
                <c:pt idx="103">
                  <c:v>9.9368340943683382</c:v>
                </c:pt>
                <c:pt idx="104">
                  <c:v>7.9941291585127203</c:v>
                </c:pt>
                <c:pt idx="105">
                  <c:v>8.6130136986301391</c:v>
                </c:pt>
                <c:pt idx="106">
                  <c:v>14.767775603392037</c:v>
                </c:pt>
                <c:pt idx="107">
                  <c:v>19.519826964671957</c:v>
                </c:pt>
                <c:pt idx="108">
                  <c:v>21.553305539011323</c:v>
                </c:pt>
                <c:pt idx="109">
                  <c:v>31.202054794520542</c:v>
                </c:pt>
                <c:pt idx="110">
                  <c:v>20.808219178082194</c:v>
                </c:pt>
                <c:pt idx="111">
                  <c:v>23.56164383561644</c:v>
                </c:pt>
                <c:pt idx="112">
                  <c:v>23.262230919765166</c:v>
                </c:pt>
                <c:pt idx="113">
                  <c:v>22.183442525312685</c:v>
                </c:pt>
                <c:pt idx="114">
                  <c:v>27.586431833007179</c:v>
                </c:pt>
                <c:pt idx="115">
                  <c:v>30.476027397260278</c:v>
                </c:pt>
                <c:pt idx="116">
                  <c:v>29.492498369210701</c:v>
                </c:pt>
                <c:pt idx="117">
                  <c:v>29.37328767123288</c:v>
                </c:pt>
                <c:pt idx="118">
                  <c:v>26.875270367700072</c:v>
                </c:pt>
                <c:pt idx="119">
                  <c:v>27.832354859752122</c:v>
                </c:pt>
                <c:pt idx="120">
                  <c:v>22.624533001245329</c:v>
                </c:pt>
                <c:pt idx="121">
                  <c:v>23.327462491846052</c:v>
                </c:pt>
                <c:pt idx="122">
                  <c:v>22.334127456819537</c:v>
                </c:pt>
                <c:pt idx="123">
                  <c:v>31.80756686236138</c:v>
                </c:pt>
                <c:pt idx="124">
                  <c:v>32.349937733499381</c:v>
                </c:pt>
                <c:pt idx="125">
                  <c:v>29.568195354377611</c:v>
                </c:pt>
                <c:pt idx="126">
                  <c:v>28.249999999999996</c:v>
                </c:pt>
                <c:pt idx="127">
                  <c:v>23.537508153946504</c:v>
                </c:pt>
                <c:pt idx="128">
                  <c:v>27.917808219178088</c:v>
                </c:pt>
                <c:pt idx="129">
                  <c:v>28.30479452054794</c:v>
                </c:pt>
                <c:pt idx="130">
                  <c:v>27.660647571606468</c:v>
                </c:pt>
                <c:pt idx="131">
                  <c:v>23.095890410958908</c:v>
                </c:pt>
                <c:pt idx="132">
                  <c:v>20.309849967384217</c:v>
                </c:pt>
                <c:pt idx="133">
                  <c:v>17.683626875407697</c:v>
                </c:pt>
                <c:pt idx="134">
                  <c:v>16.019654556283509</c:v>
                </c:pt>
                <c:pt idx="135">
                  <c:v>14.88519243313764</c:v>
                </c:pt>
                <c:pt idx="136">
                  <c:v>12.554171855541716</c:v>
                </c:pt>
                <c:pt idx="137">
                  <c:v>10.995641344956415</c:v>
                </c:pt>
                <c:pt idx="138">
                  <c:v>13.703848662752774</c:v>
                </c:pt>
                <c:pt idx="139">
                  <c:v>12.417482061317678</c:v>
                </c:pt>
                <c:pt idx="140">
                  <c:v>10.379235760634462</c:v>
                </c:pt>
                <c:pt idx="141">
                  <c:v>11.180039138943249</c:v>
                </c:pt>
                <c:pt idx="142">
                  <c:v>11.746277546158424</c:v>
                </c:pt>
                <c:pt idx="143">
                  <c:v>12.140791476407911</c:v>
                </c:pt>
                <c:pt idx="144">
                  <c:v>15.027397260273972</c:v>
                </c:pt>
                <c:pt idx="145">
                  <c:v>15.243313763861716</c:v>
                </c:pt>
                <c:pt idx="146">
                  <c:v>13.591650358773645</c:v>
                </c:pt>
                <c:pt idx="147">
                  <c:v>13.435378201310296</c:v>
                </c:pt>
                <c:pt idx="148">
                  <c:v>13.361145703611466</c:v>
                </c:pt>
                <c:pt idx="149">
                  <c:v>14.007827788649699</c:v>
                </c:pt>
                <c:pt idx="150">
                  <c:v>16.37733499377336</c:v>
                </c:pt>
                <c:pt idx="151">
                  <c:v>15.969863013698642</c:v>
                </c:pt>
                <c:pt idx="152">
                  <c:v>15.616438356164386</c:v>
                </c:pt>
                <c:pt idx="153">
                  <c:v>17.552054794520558</c:v>
                </c:pt>
                <c:pt idx="154">
                  <c:v>18.23874755381604</c:v>
                </c:pt>
                <c:pt idx="155">
                  <c:v>18.824801730353293</c:v>
                </c:pt>
                <c:pt idx="156">
                  <c:v>20.496724240619422</c:v>
                </c:pt>
                <c:pt idx="157">
                  <c:v>22.460534898891076</c:v>
                </c:pt>
                <c:pt idx="158">
                  <c:v>23.782126549249828</c:v>
                </c:pt>
                <c:pt idx="159">
                  <c:v>24.30256104824301</c:v>
                </c:pt>
                <c:pt idx="160">
                  <c:v>24.773646444879319</c:v>
                </c:pt>
                <c:pt idx="161">
                  <c:v>25.222914072229155</c:v>
                </c:pt>
                <c:pt idx="162">
                  <c:v>26.396014943960143</c:v>
                </c:pt>
                <c:pt idx="163">
                  <c:v>26.595529920692133</c:v>
                </c:pt>
                <c:pt idx="164">
                  <c:v>26.236612702366106</c:v>
                </c:pt>
                <c:pt idx="165">
                  <c:v>23.457534246575328</c:v>
                </c:pt>
                <c:pt idx="166">
                  <c:v>22.315068493150687</c:v>
                </c:pt>
                <c:pt idx="167">
                  <c:v>18.933028919330301</c:v>
                </c:pt>
                <c:pt idx="168">
                  <c:v>18.732578916021438</c:v>
                </c:pt>
                <c:pt idx="169">
                  <c:v>18.52328767123289</c:v>
                </c:pt>
                <c:pt idx="170">
                  <c:v>18.819427148194265</c:v>
                </c:pt>
                <c:pt idx="171">
                  <c:v>16.268016676593209</c:v>
                </c:pt>
                <c:pt idx="172">
                  <c:v>16.026027397260279</c:v>
                </c:pt>
                <c:pt idx="173">
                  <c:v>14.678975580702811</c:v>
                </c:pt>
                <c:pt idx="174">
                  <c:v>14.347447073474477</c:v>
                </c:pt>
                <c:pt idx="175">
                  <c:v>14.705118961788033</c:v>
                </c:pt>
                <c:pt idx="176">
                  <c:v>14.003913894324857</c:v>
                </c:pt>
                <c:pt idx="177">
                  <c:v>15.787671232876711</c:v>
                </c:pt>
                <c:pt idx="178">
                  <c:v>16.165753424657535</c:v>
                </c:pt>
                <c:pt idx="179">
                  <c:v>15.531506849315074</c:v>
                </c:pt>
                <c:pt idx="180">
                  <c:v>14.27992852888624</c:v>
                </c:pt>
                <c:pt idx="181">
                  <c:v>12.716654650324442</c:v>
                </c:pt>
                <c:pt idx="182">
                  <c:v>12.780226325193565</c:v>
                </c:pt>
                <c:pt idx="183">
                  <c:v>13.315068493150685</c:v>
                </c:pt>
                <c:pt idx="184">
                  <c:v>11.3529028049576</c:v>
                </c:pt>
                <c:pt idx="185">
                  <c:v>11.7379392495533</c:v>
                </c:pt>
                <c:pt idx="186">
                  <c:v>10.493150684931509</c:v>
                </c:pt>
                <c:pt idx="187">
                  <c:v>11.190410958904113</c:v>
                </c:pt>
                <c:pt idx="188">
                  <c:v>10.194390084801045</c:v>
                </c:pt>
                <c:pt idx="189">
                  <c:v>9.4753424657534246</c:v>
                </c:pt>
                <c:pt idx="190">
                  <c:v>9.7434620174346165</c:v>
                </c:pt>
                <c:pt idx="191">
                  <c:v>10.342465753424658</c:v>
                </c:pt>
                <c:pt idx="192">
                  <c:v>7.8617090671885181</c:v>
                </c:pt>
                <c:pt idx="193">
                  <c:v>7.7025440313111506</c:v>
                </c:pt>
                <c:pt idx="194">
                  <c:v>7.3543776057176888</c:v>
                </c:pt>
                <c:pt idx="195">
                  <c:v>7.0189171559034582</c:v>
                </c:pt>
                <c:pt idx="196">
                  <c:v>6.9066002490660026</c:v>
                </c:pt>
                <c:pt idx="197">
                  <c:v>7.2303860523038601</c:v>
                </c:pt>
                <c:pt idx="198">
                  <c:v>7.3450750163078906</c:v>
                </c:pt>
                <c:pt idx="199">
                  <c:v>7.8721461187214619</c:v>
                </c:pt>
                <c:pt idx="200">
                  <c:v>7.4821917808219194</c:v>
                </c:pt>
                <c:pt idx="201">
                  <c:v>7.4232876712328784</c:v>
                </c:pt>
                <c:pt idx="202">
                  <c:v>6.9743895175699819</c:v>
                </c:pt>
                <c:pt idx="203">
                  <c:v>6.2671232876712306</c:v>
                </c:pt>
                <c:pt idx="204">
                  <c:v>6.1878669275929594</c:v>
                </c:pt>
                <c:pt idx="205">
                  <c:v>6.113502935420744</c:v>
                </c:pt>
                <c:pt idx="206">
                  <c:v>5.9713574097135753</c:v>
                </c:pt>
                <c:pt idx="207">
                  <c:v>4.7696139476961417</c:v>
                </c:pt>
                <c:pt idx="208">
                  <c:v>4.4732254047322551</c:v>
                </c:pt>
                <c:pt idx="209">
                  <c:v>4.6506849315068486</c:v>
                </c:pt>
                <c:pt idx="210">
                  <c:v>4.6338729763387265</c:v>
                </c:pt>
                <c:pt idx="211">
                  <c:v>4.8349641226353546</c:v>
                </c:pt>
                <c:pt idx="212">
                  <c:v>4.5378514780100954</c:v>
                </c:pt>
                <c:pt idx="213">
                  <c:v>4.0027397260273929</c:v>
                </c:pt>
                <c:pt idx="214">
                  <c:v>3.7867778439547339</c:v>
                </c:pt>
                <c:pt idx="215">
                  <c:v>3.0928462709284612</c:v>
                </c:pt>
                <c:pt idx="216">
                  <c:v>1.8156911581569106</c:v>
                </c:pt>
                <c:pt idx="217">
                  <c:v>1.1846053489889081</c:v>
                </c:pt>
                <c:pt idx="218">
                  <c:v>1.0919765166340532</c:v>
                </c:pt>
                <c:pt idx="219">
                  <c:v>1.4651578320428817</c:v>
                </c:pt>
                <c:pt idx="220">
                  <c:v>1.9501867995018691</c:v>
                </c:pt>
                <c:pt idx="221">
                  <c:v>2.6027397260273974</c:v>
                </c:pt>
                <c:pt idx="222">
                  <c:v>3.1183063511830609</c:v>
                </c:pt>
                <c:pt idx="223">
                  <c:v>4.1383561643835618</c:v>
                </c:pt>
                <c:pt idx="224">
                  <c:v>5.3780821917808206</c:v>
                </c:pt>
                <c:pt idx="225">
                  <c:v>4.2780821917808272</c:v>
                </c:pt>
                <c:pt idx="226">
                  <c:v>4.14175104228707</c:v>
                </c:pt>
                <c:pt idx="227">
                  <c:v>3.9919419822723596</c:v>
                </c:pt>
                <c:pt idx="228">
                  <c:v>4.0798094103633105</c:v>
                </c:pt>
                <c:pt idx="229">
                  <c:v>4.1343770384866296</c:v>
                </c:pt>
                <c:pt idx="230">
                  <c:v>4.5427266797129837</c:v>
                </c:pt>
                <c:pt idx="231">
                  <c:v>4.8505062537224566</c:v>
                </c:pt>
                <c:pt idx="232">
                  <c:v>4.6379647749510733</c:v>
                </c:pt>
                <c:pt idx="233">
                  <c:v>4.7247820672478218</c:v>
                </c:pt>
                <c:pt idx="234">
                  <c:v>4.663760896637613</c:v>
                </c:pt>
                <c:pt idx="235">
                  <c:v>5.2285508291276122</c:v>
                </c:pt>
                <c:pt idx="236">
                  <c:v>5.3163731245923049</c:v>
                </c:pt>
                <c:pt idx="237">
                  <c:v>6.2557077625570772</c:v>
                </c:pt>
                <c:pt idx="238">
                  <c:v>6.0508806262230896</c:v>
                </c:pt>
                <c:pt idx="239">
                  <c:v>6.2307137707281912</c:v>
                </c:pt>
                <c:pt idx="240">
                  <c:v>6.225134008338296</c:v>
                </c:pt>
                <c:pt idx="241">
                  <c:v>6.1384282624369133</c:v>
                </c:pt>
                <c:pt idx="242">
                  <c:v>5.768910065515195</c:v>
                </c:pt>
                <c:pt idx="243">
                  <c:v>4.8929016189290193</c:v>
                </c:pt>
                <c:pt idx="244">
                  <c:v>4.6744944553163759</c:v>
                </c:pt>
                <c:pt idx="245">
                  <c:v>4.8290649195949964</c:v>
                </c:pt>
                <c:pt idx="246">
                  <c:v>3.4664057403783439</c:v>
                </c:pt>
                <c:pt idx="247">
                  <c:v>2.5726027397260265</c:v>
                </c:pt>
                <c:pt idx="248">
                  <c:v>2.1539465101108961</c:v>
                </c:pt>
                <c:pt idx="249">
                  <c:v>2.2342465753424667</c:v>
                </c:pt>
                <c:pt idx="250">
                  <c:v>1.7779379956741144</c:v>
                </c:pt>
                <c:pt idx="251">
                  <c:v>1.4898891063274635</c:v>
                </c:pt>
                <c:pt idx="252">
                  <c:v>1.1232876712328765</c:v>
                </c:pt>
                <c:pt idx="253">
                  <c:v>2.7397260273973385E-2</c:v>
                </c:pt>
                <c:pt idx="254">
                  <c:v>-0.21203097081595884</c:v>
                </c:pt>
                <c:pt idx="255">
                  <c:v>-1.5472928897586411</c:v>
                </c:pt>
                <c:pt idx="256">
                  <c:v>-1.5242839352428386</c:v>
                </c:pt>
                <c:pt idx="257">
                  <c:v>-1.4163192376414502</c:v>
                </c:pt>
                <c:pt idx="258">
                  <c:v>-1.4150684931506818</c:v>
                </c:pt>
                <c:pt idx="259">
                  <c:v>-1.300717547292894</c:v>
                </c:pt>
                <c:pt idx="260">
                  <c:v>-1.5315068493150696</c:v>
                </c:pt>
                <c:pt idx="261">
                  <c:v>-1.4452054794520535</c:v>
                </c:pt>
                <c:pt idx="262">
                  <c:v>-1.3524283935242853</c:v>
                </c:pt>
                <c:pt idx="263">
                  <c:v>-1.2890410958904073</c:v>
                </c:pt>
                <c:pt idx="264">
                  <c:v>-1.3411611219830406</c:v>
                </c:pt>
                <c:pt idx="265">
                  <c:v>-1.3372472276581848</c:v>
                </c:pt>
                <c:pt idx="266">
                  <c:v>-1.5354377605717693</c:v>
                </c:pt>
                <c:pt idx="267">
                  <c:v>-1.5890410958904126</c:v>
                </c:pt>
                <c:pt idx="268">
                  <c:v>-1.4782067247820687</c:v>
                </c:pt>
                <c:pt idx="269">
                  <c:v>-0.27770859277708937</c:v>
                </c:pt>
                <c:pt idx="270">
                  <c:v>0.41226353555120482</c:v>
                </c:pt>
                <c:pt idx="271">
                  <c:v>0.19699934768427921</c:v>
                </c:pt>
                <c:pt idx="272">
                  <c:v>0.23936553713049433</c:v>
                </c:pt>
                <c:pt idx="273">
                  <c:v>-0.10958904109588975</c:v>
                </c:pt>
                <c:pt idx="274">
                  <c:v>-0.1917808219178061</c:v>
                </c:pt>
                <c:pt idx="275">
                  <c:v>0</c:v>
                </c:pt>
                <c:pt idx="276">
                  <c:v>2.7397260273971484E-2</c:v>
                </c:pt>
                <c:pt idx="277">
                  <c:v>0</c:v>
                </c:pt>
                <c:pt idx="278">
                  <c:v>-0.68493150684931381</c:v>
                </c:pt>
                <c:pt idx="279">
                  <c:v>-0.93150684931506855</c:v>
                </c:pt>
                <c:pt idx="280">
                  <c:v>-1.2876712328767113</c:v>
                </c:pt>
                <c:pt idx="281">
                  <c:v>-1.2328767123287683</c:v>
                </c:pt>
                <c:pt idx="282">
                  <c:v>-1.2054794520547929</c:v>
                </c:pt>
                <c:pt idx="283">
                  <c:v>-0.90410958904109706</c:v>
                </c:pt>
                <c:pt idx="284">
                  <c:v>-1.2876712328767113</c:v>
                </c:pt>
                <c:pt idx="285">
                  <c:v>-0.73972602739726057</c:v>
                </c:pt>
                <c:pt idx="286">
                  <c:v>-0.98630136986301165</c:v>
                </c:pt>
                <c:pt idx="287">
                  <c:v>-0.82191780821917704</c:v>
                </c:pt>
                <c:pt idx="288">
                  <c:v>-0.79452054794520155</c:v>
                </c:pt>
                <c:pt idx="289">
                  <c:v>-1.4520547945205478</c:v>
                </c:pt>
                <c:pt idx="290">
                  <c:v>-1.5068493150684925</c:v>
                </c:pt>
                <c:pt idx="291">
                  <c:v>-0.71232876712328708</c:v>
                </c:pt>
                <c:pt idx="292">
                  <c:v>-0.76712328767123017</c:v>
                </c:pt>
                <c:pt idx="293">
                  <c:v>-0.76712328767123017</c:v>
                </c:pt>
                <c:pt idx="294">
                  <c:v>-0.79452054794520355</c:v>
                </c:pt>
                <c:pt idx="295">
                  <c:v>-0.46575342465753428</c:v>
                </c:pt>
                <c:pt idx="296">
                  <c:v>0.71232876712328708</c:v>
                </c:pt>
                <c:pt idx="297">
                  <c:v>0.95890410958904004</c:v>
                </c:pt>
                <c:pt idx="298">
                  <c:v>0.63013698630137083</c:v>
                </c:pt>
                <c:pt idx="299">
                  <c:v>0.68493150684931381</c:v>
                </c:pt>
                <c:pt idx="300">
                  <c:v>2.1369863013698631</c:v>
                </c:pt>
                <c:pt idx="301">
                  <c:v>2.8219178082191791</c:v>
                </c:pt>
                <c:pt idx="302">
                  <c:v>3.3698630136986312</c:v>
                </c:pt>
                <c:pt idx="303">
                  <c:v>3.6712328767123292</c:v>
                </c:pt>
                <c:pt idx="304">
                  <c:v>4.6027397260273979</c:v>
                </c:pt>
                <c:pt idx="305">
                  <c:v>5.5342465753424657</c:v>
                </c:pt>
                <c:pt idx="306">
                  <c:v>6.5753424657534252</c:v>
                </c:pt>
                <c:pt idx="307">
                  <c:v>6.7123287671232861</c:v>
                </c:pt>
                <c:pt idx="308">
                  <c:v>6.8767123287671241</c:v>
                </c:pt>
                <c:pt idx="309">
                  <c:v>6.8493150684931514</c:v>
                </c:pt>
                <c:pt idx="310">
                  <c:v>6.8493150684931514</c:v>
                </c:pt>
                <c:pt idx="311">
                  <c:v>6.8219178082191778</c:v>
                </c:pt>
                <c:pt idx="312">
                  <c:v>7.3698630136986303</c:v>
                </c:pt>
                <c:pt idx="313">
                  <c:v>8.1369863013698609</c:v>
                </c:pt>
                <c:pt idx="314">
                  <c:v>8.2739726027397271</c:v>
                </c:pt>
                <c:pt idx="315">
                  <c:v>8.2465753424657535</c:v>
                </c:pt>
                <c:pt idx="316">
                  <c:v>8.2191780821917817</c:v>
                </c:pt>
                <c:pt idx="317">
                  <c:v>8.2191780821917817</c:v>
                </c:pt>
                <c:pt idx="318">
                  <c:v>9.3424657534246567</c:v>
                </c:pt>
                <c:pt idx="319">
                  <c:v>9.616438356164382</c:v>
                </c:pt>
                <c:pt idx="320">
                  <c:v>9.616438356164382</c:v>
                </c:pt>
                <c:pt idx="321">
                  <c:v>9.5616438356164384</c:v>
                </c:pt>
                <c:pt idx="322">
                  <c:v>9.589041095890412</c:v>
                </c:pt>
                <c:pt idx="323">
                  <c:v>9.5616438356164384</c:v>
                </c:pt>
                <c:pt idx="324">
                  <c:v>9.5616438356164384</c:v>
                </c:pt>
                <c:pt idx="325">
                  <c:v>9.6712328767123292</c:v>
                </c:pt>
                <c:pt idx="326">
                  <c:v>10.246575342465755</c:v>
                </c:pt>
                <c:pt idx="327">
                  <c:v>10.191780821917808</c:v>
                </c:pt>
                <c:pt idx="328">
                  <c:v>10.246575342465755</c:v>
                </c:pt>
                <c:pt idx="329">
                  <c:v>10.246575342465755</c:v>
                </c:pt>
                <c:pt idx="330">
                  <c:v>10.904109589041097</c:v>
                </c:pt>
                <c:pt idx="331">
                  <c:v>11.643835616438359</c:v>
                </c:pt>
                <c:pt idx="332">
                  <c:v>11.643835616438356</c:v>
                </c:pt>
                <c:pt idx="333">
                  <c:v>11.616438356164384</c:v>
                </c:pt>
                <c:pt idx="334">
                  <c:v>11.643835616438356</c:v>
                </c:pt>
                <c:pt idx="335">
                  <c:v>11.643835616438356</c:v>
                </c:pt>
                <c:pt idx="336">
                  <c:v>11.643835616438356</c:v>
                </c:pt>
                <c:pt idx="337">
                  <c:v>11.561643835616438</c:v>
                </c:pt>
                <c:pt idx="338">
                  <c:v>10.931506849315069</c:v>
                </c:pt>
                <c:pt idx="339">
                  <c:v>10.465753424657533</c:v>
                </c:pt>
                <c:pt idx="340">
                  <c:v>9.9726027397260282</c:v>
                </c:pt>
                <c:pt idx="341">
                  <c:v>9.5616438356164384</c:v>
                </c:pt>
                <c:pt idx="342">
                  <c:v>9.0958904109589032</c:v>
                </c:pt>
                <c:pt idx="343">
                  <c:v>8.4657534246575334</c:v>
                </c:pt>
                <c:pt idx="344">
                  <c:v>8.1369863013698627</c:v>
                </c:pt>
                <c:pt idx="345">
                  <c:v>7.5342465753424648</c:v>
                </c:pt>
                <c:pt idx="346">
                  <c:v>7.8356164383561664</c:v>
                </c:pt>
                <c:pt idx="347">
                  <c:v>7.4246575342465748</c:v>
                </c:pt>
                <c:pt idx="348">
                  <c:v>6.8493150684931514</c:v>
                </c:pt>
                <c:pt idx="349">
                  <c:v>6.7397260273972597</c:v>
                </c:pt>
                <c:pt idx="350">
                  <c:v>6.1369863013698636</c:v>
                </c:pt>
                <c:pt idx="351">
                  <c:v>5.4794520547945202</c:v>
                </c:pt>
                <c:pt idx="352">
                  <c:v>5.1506849315068486</c:v>
                </c:pt>
                <c:pt idx="353">
                  <c:v>4.7123287671232879</c:v>
                </c:pt>
                <c:pt idx="354">
                  <c:v>4.1095890410958908</c:v>
                </c:pt>
                <c:pt idx="355">
                  <c:v>3.6712328767123292</c:v>
                </c:pt>
                <c:pt idx="356">
                  <c:v>3.3150684931506849</c:v>
                </c:pt>
                <c:pt idx="357">
                  <c:v>2.7671232876712324</c:v>
                </c:pt>
                <c:pt idx="358">
                  <c:v>2.4931506849315079</c:v>
                </c:pt>
                <c:pt idx="359">
                  <c:v>1.9452054794520555</c:v>
                </c:pt>
                <c:pt idx="360">
                  <c:v>2.1643835616438349</c:v>
                </c:pt>
                <c:pt idx="361">
                  <c:v>2.0821917808219186</c:v>
                </c:pt>
                <c:pt idx="362">
                  <c:v>1.397260273972603</c:v>
                </c:pt>
                <c:pt idx="363">
                  <c:v>2.0273972602739736</c:v>
                </c:pt>
                <c:pt idx="364">
                  <c:v>2.0547945205479454</c:v>
                </c:pt>
                <c:pt idx="365">
                  <c:v>2.0547945205479454</c:v>
                </c:pt>
                <c:pt idx="366">
                  <c:v>2.5753424657534261</c:v>
                </c:pt>
                <c:pt idx="367">
                  <c:v>2.7671232876712324</c:v>
                </c:pt>
                <c:pt idx="368">
                  <c:v>2.7397260273972606</c:v>
                </c:pt>
                <c:pt idx="369">
                  <c:v>2.7123287671232874</c:v>
                </c:pt>
                <c:pt idx="370">
                  <c:v>2.7123287671232874</c:v>
                </c:pt>
                <c:pt idx="371">
                  <c:v>2.7397260273972606</c:v>
                </c:pt>
                <c:pt idx="372">
                  <c:v>2.7397260273972606</c:v>
                </c:pt>
                <c:pt idx="373">
                  <c:v>2.7397260273972606</c:v>
                </c:pt>
                <c:pt idx="374">
                  <c:v>2.7132011802004099</c:v>
                </c:pt>
                <c:pt idx="375">
                  <c:v>3.9178082191780845</c:v>
                </c:pt>
                <c:pt idx="376">
                  <c:v>4.2739726027397253</c:v>
                </c:pt>
                <c:pt idx="377">
                  <c:v>4.7671232876712342</c:v>
                </c:pt>
                <c:pt idx="378">
                  <c:v>6.0547945205479463</c:v>
                </c:pt>
                <c:pt idx="379">
                  <c:v>6.876712328767125</c:v>
                </c:pt>
                <c:pt idx="380">
                  <c:v>7.6986301369863037</c:v>
                </c:pt>
                <c:pt idx="381">
                  <c:v>10.904109589041095</c:v>
                </c:pt>
                <c:pt idx="382">
                  <c:v>12.63013698630137</c:v>
                </c:pt>
                <c:pt idx="383">
                  <c:v>13.616438356164382</c:v>
                </c:pt>
                <c:pt idx="384">
                  <c:v>14.43835616438356</c:v>
                </c:pt>
                <c:pt idx="385">
                  <c:v>14.383561643835614</c:v>
                </c:pt>
                <c:pt idx="386">
                  <c:v>14.356164383561644</c:v>
                </c:pt>
                <c:pt idx="387">
                  <c:v>14.383561643835614</c:v>
                </c:pt>
                <c:pt idx="388">
                  <c:v>14.273972602739724</c:v>
                </c:pt>
                <c:pt idx="389">
                  <c:v>14.273972602739724</c:v>
                </c:pt>
                <c:pt idx="390">
                  <c:v>13.534246575342465</c:v>
                </c:pt>
                <c:pt idx="391">
                  <c:v>11.479452054794519</c:v>
                </c:pt>
                <c:pt idx="392">
                  <c:v>11.232876712328768</c:v>
                </c:pt>
                <c:pt idx="393">
                  <c:v>8.5753424657534261</c:v>
                </c:pt>
                <c:pt idx="394">
                  <c:v>8.4109589041095898</c:v>
                </c:pt>
                <c:pt idx="395">
                  <c:v>7.9726027397260273</c:v>
                </c:pt>
                <c:pt idx="396">
                  <c:v>7.7260273972602729</c:v>
                </c:pt>
                <c:pt idx="397">
                  <c:v>7.6438356164383547</c:v>
                </c:pt>
                <c:pt idx="398">
                  <c:v>7.7808219178082192</c:v>
                </c:pt>
                <c:pt idx="399">
                  <c:v>7.7808219178082192</c:v>
                </c:pt>
                <c:pt idx="400">
                  <c:v>7.808219178082191</c:v>
                </c:pt>
                <c:pt idx="401">
                  <c:v>8.4657534246575334</c:v>
                </c:pt>
                <c:pt idx="402">
                  <c:v>9.205479452054794</c:v>
                </c:pt>
                <c:pt idx="403">
                  <c:v>9.9125896934116113</c:v>
                </c:pt>
                <c:pt idx="404">
                  <c:v>9.9726027397260282</c:v>
                </c:pt>
                <c:pt idx="405">
                  <c:v>9.917808219178081</c:v>
                </c:pt>
                <c:pt idx="406">
                  <c:v>10.458904109589042</c:v>
                </c:pt>
                <c:pt idx="407">
                  <c:v>11.020547945205479</c:v>
                </c:pt>
                <c:pt idx="408">
                  <c:v>11.712328767123285</c:v>
                </c:pt>
                <c:pt idx="409">
                  <c:v>11.835616438356164</c:v>
                </c:pt>
                <c:pt idx="410">
                  <c:v>11.835616438356164</c:v>
                </c:pt>
                <c:pt idx="411">
                  <c:v>11.808219178082192</c:v>
                </c:pt>
                <c:pt idx="412">
                  <c:v>11.808219178082192</c:v>
                </c:pt>
                <c:pt idx="413">
                  <c:v>11.808219178082192</c:v>
                </c:pt>
                <c:pt idx="414">
                  <c:v>12.431506849315069</c:v>
                </c:pt>
                <c:pt idx="415">
                  <c:v>12.520547945205477</c:v>
                </c:pt>
                <c:pt idx="416">
                  <c:v>12.547945205479451</c:v>
                </c:pt>
                <c:pt idx="417">
                  <c:v>12.575342465753424</c:v>
                </c:pt>
                <c:pt idx="418">
                  <c:v>12.63013698630137</c:v>
                </c:pt>
                <c:pt idx="419">
                  <c:v>12.739726027397261</c:v>
                </c:pt>
                <c:pt idx="420">
                  <c:v>12.767123287671234</c:v>
                </c:pt>
                <c:pt idx="421">
                  <c:v>12.767123287671234</c:v>
                </c:pt>
                <c:pt idx="422">
                  <c:v>12.82191780821918</c:v>
                </c:pt>
                <c:pt idx="423">
                  <c:v>12.739726027397261</c:v>
                </c:pt>
                <c:pt idx="424">
                  <c:v>12.794520547945206</c:v>
                </c:pt>
                <c:pt idx="425">
                  <c:v>12.82191780821918</c:v>
                </c:pt>
                <c:pt idx="426">
                  <c:v>12.143835616438356</c:v>
                </c:pt>
                <c:pt idx="427">
                  <c:v>11.58904109589041</c:v>
                </c:pt>
                <c:pt idx="428">
                  <c:v>11.424657534246576</c:v>
                </c:pt>
                <c:pt idx="429">
                  <c:v>11.369863013698632</c:v>
                </c:pt>
                <c:pt idx="430">
                  <c:v>11.287671232876711</c:v>
                </c:pt>
                <c:pt idx="431">
                  <c:v>11.260273972602741</c:v>
                </c:pt>
                <c:pt idx="432">
                  <c:v>9.8972602739726039</c:v>
                </c:pt>
                <c:pt idx="433">
                  <c:v>9.2534246575342483</c:v>
                </c:pt>
                <c:pt idx="434">
                  <c:v>9.1506849315068504</c:v>
                </c:pt>
                <c:pt idx="435">
                  <c:v>9.2328767123287676</c:v>
                </c:pt>
                <c:pt idx="436">
                  <c:v>9.2054794520547958</c:v>
                </c:pt>
                <c:pt idx="437">
                  <c:v>8.5273972602739718</c:v>
                </c:pt>
                <c:pt idx="438">
                  <c:v>8.4657534246575352</c:v>
                </c:pt>
                <c:pt idx="439">
                  <c:v>7.8561643835616435</c:v>
                </c:pt>
                <c:pt idx="440">
                  <c:v>7.8356164383561646</c:v>
                </c:pt>
                <c:pt idx="441">
                  <c:v>7.808219178082191</c:v>
                </c:pt>
                <c:pt idx="442">
                  <c:v>7.8356164383561646</c:v>
                </c:pt>
                <c:pt idx="443">
                  <c:v>7.808219178082191</c:v>
                </c:pt>
                <c:pt idx="444">
                  <c:v>7.3698630136986294</c:v>
                </c:pt>
                <c:pt idx="445">
                  <c:v>7.2876712328767121</c:v>
                </c:pt>
                <c:pt idx="446">
                  <c:v>7.2876712328767121</c:v>
                </c:pt>
                <c:pt idx="447">
                  <c:v>6.7671232876712324</c:v>
                </c:pt>
                <c:pt idx="448">
                  <c:v>6.6301369863013715</c:v>
                </c:pt>
                <c:pt idx="449">
                  <c:v>6.6027397260273979</c:v>
                </c:pt>
                <c:pt idx="450">
                  <c:v>6.6301369863013715</c:v>
                </c:pt>
                <c:pt idx="451">
                  <c:v>6.6027397260273979</c:v>
                </c:pt>
                <c:pt idx="452">
                  <c:v>6.6575342465753433</c:v>
                </c:pt>
                <c:pt idx="453">
                  <c:v>6.6575342465753433</c:v>
                </c:pt>
                <c:pt idx="454">
                  <c:v>6.6301369863013715</c:v>
                </c:pt>
                <c:pt idx="455">
                  <c:v>6.6027397260273979</c:v>
                </c:pt>
                <c:pt idx="456">
                  <c:v>6.6027397260273979</c:v>
                </c:pt>
                <c:pt idx="457">
                  <c:v>6.5753424657534252</c:v>
                </c:pt>
                <c:pt idx="458">
                  <c:v>6.6027397260273979</c:v>
                </c:pt>
                <c:pt idx="459">
                  <c:v>6.6027397260273979</c:v>
                </c:pt>
                <c:pt idx="460">
                  <c:v>6.6027397260273979</c:v>
                </c:pt>
                <c:pt idx="461">
                  <c:v>6.6027397260273979</c:v>
                </c:pt>
                <c:pt idx="462">
                  <c:v>6.6027397260273979</c:v>
                </c:pt>
                <c:pt idx="463">
                  <c:v>6.5205479452054798</c:v>
                </c:pt>
                <c:pt idx="464">
                  <c:v>6.5479452054794516</c:v>
                </c:pt>
                <c:pt idx="465">
                  <c:v>5.9315068493150687</c:v>
                </c:pt>
              </c:numCache>
            </c:numRef>
          </c:val>
          <c:smooth val="0"/>
          <c:extLst>
            <c:ext xmlns:c16="http://schemas.microsoft.com/office/drawing/2014/chart" uri="{C3380CC4-5D6E-409C-BE32-E72D297353CC}">
              <c16:uniqueId val="{00000000-75E4-4AE3-B5EB-3294442CDD24}"/>
            </c:ext>
          </c:extLst>
        </c:ser>
        <c:dLbls>
          <c:showLegendKey val="0"/>
          <c:showVal val="0"/>
          <c:showCatName val="0"/>
          <c:showSerName val="0"/>
          <c:showPercent val="0"/>
          <c:showBubbleSize val="0"/>
        </c:dLbls>
        <c:smooth val="0"/>
        <c:axId val="657844799"/>
        <c:axId val="1"/>
      </c:lineChart>
      <c:dateAx>
        <c:axId val="657844799"/>
        <c:scaling>
          <c:orientation val="minMax"/>
        </c:scaling>
        <c:delete val="0"/>
        <c:axPos val="b"/>
        <c:numFmt formatCode="mmm\-yy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FFFFFF"/>
                </a:solidFill>
                <a:latin typeface="Calibri"/>
                <a:ea typeface="Calibri"/>
                <a:cs typeface="Calibri"/>
              </a:defRPr>
            </a:pPr>
            <a:endParaRPr lang="en-US"/>
          </a:p>
        </c:txPr>
        <c:crossAx val="1"/>
        <c:crosses val="autoZero"/>
        <c:auto val="1"/>
        <c:lblOffset val="100"/>
        <c:baseTimeUnit val="months"/>
      </c:dateAx>
      <c:valAx>
        <c:axId val="1"/>
        <c:scaling>
          <c:orientation val="minMax"/>
          <c:max val="40"/>
          <c:min val="-30"/>
        </c:scaling>
        <c:delete val="0"/>
        <c:axPos val="l"/>
        <c:majorGridlines>
          <c:spPr>
            <a:ln w="9525" cap="flat" cmpd="sng" algn="ctr">
              <a:solidFill>
                <a:schemeClr val="bg1">
                  <a:lumMod val="50000"/>
                </a:schemeClr>
              </a:solidFill>
              <a:prstDash val="dashDot"/>
              <a:round/>
            </a:ln>
            <a:effectLst/>
          </c:spPr>
        </c:majorGridlines>
        <c:numFmt formatCode="#,##0.00" sourceLinked="0"/>
        <c:majorTickMark val="none"/>
        <c:minorTickMark val="none"/>
        <c:tickLblPos val="nextTo"/>
        <c:spPr>
          <a:ln w="9525">
            <a:noFill/>
          </a:ln>
        </c:spPr>
        <c:txPr>
          <a:bodyPr rot="0" vert="horz"/>
          <a:lstStyle/>
          <a:p>
            <a:pPr>
              <a:defRPr sz="900" b="0" i="0" u="none" strike="noStrike" baseline="0">
                <a:solidFill>
                  <a:srgbClr val="FFFFFF"/>
                </a:solidFill>
                <a:latin typeface="Calibri"/>
                <a:ea typeface="Calibri"/>
                <a:cs typeface="Calibri"/>
              </a:defRPr>
            </a:pPr>
            <a:endParaRPr lang="en-US"/>
          </a:p>
        </c:txPr>
        <c:crossAx val="657844799"/>
        <c:crosses val="autoZero"/>
        <c:crossBetween val="between"/>
        <c:majorUnit val="2"/>
      </c:valAx>
      <c:spPr>
        <a:noFill/>
        <a:ln w="25400">
          <a:noFill/>
        </a:ln>
      </c:spPr>
    </c:plotArea>
    <c:plotVisOnly val="1"/>
    <c:dispBlanksAs val="gap"/>
    <c:showDLblsOverMax val="0"/>
  </c:chart>
  <c:spPr>
    <a:solidFill>
      <a:schemeClr val="tx1"/>
    </a:solidFill>
    <a:ln w="9525" cap="flat" cmpd="sng" algn="ctr">
      <a:solidFill>
        <a:schemeClr val="tx1"/>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ASX200(USD) 1995-2015</a:t>
            </a:r>
          </a:p>
        </c:rich>
      </c:tx>
      <c:overlay val="0"/>
      <c:spPr>
        <a:noFill/>
        <a:ln w="25400">
          <a:noFill/>
        </a:ln>
      </c:spPr>
    </c:title>
    <c:autoTitleDeleted val="0"/>
    <c:plotArea>
      <c:layout/>
      <c:lineChart>
        <c:grouping val="standard"/>
        <c:varyColors val="0"/>
        <c:ser>
          <c:idx val="0"/>
          <c:order val="0"/>
          <c:spPr>
            <a:ln w="12700" cap="rnd">
              <a:solidFill>
                <a:srgbClr val="00B050"/>
              </a:solidFill>
              <a:round/>
            </a:ln>
            <a:effectLst/>
          </c:spPr>
          <c:marker>
            <c:symbol val="none"/>
          </c:marker>
          <c:cat>
            <c:numRef>
              <c:f>'Stock Returns'!$A$2:$A$5666</c:f>
              <c:numCache>
                <c:formatCode>d\-mmm\-yy</c:formatCode>
                <c:ptCount val="5665"/>
                <c:pt idx="0">
                  <c:v>42095</c:v>
                </c:pt>
                <c:pt idx="1">
                  <c:v>42094</c:v>
                </c:pt>
                <c:pt idx="2">
                  <c:v>42093</c:v>
                </c:pt>
                <c:pt idx="3">
                  <c:v>42092</c:v>
                </c:pt>
                <c:pt idx="4">
                  <c:v>42091</c:v>
                </c:pt>
                <c:pt idx="5">
                  <c:v>42090</c:v>
                </c:pt>
                <c:pt idx="6">
                  <c:v>42089</c:v>
                </c:pt>
                <c:pt idx="7">
                  <c:v>42088</c:v>
                </c:pt>
                <c:pt idx="8">
                  <c:v>42087</c:v>
                </c:pt>
                <c:pt idx="9">
                  <c:v>42086</c:v>
                </c:pt>
                <c:pt idx="10">
                  <c:v>42085</c:v>
                </c:pt>
                <c:pt idx="11">
                  <c:v>42084</c:v>
                </c:pt>
                <c:pt idx="12">
                  <c:v>42083</c:v>
                </c:pt>
                <c:pt idx="13">
                  <c:v>42082</c:v>
                </c:pt>
                <c:pt idx="14">
                  <c:v>42081</c:v>
                </c:pt>
                <c:pt idx="15">
                  <c:v>42080</c:v>
                </c:pt>
                <c:pt idx="16">
                  <c:v>42079</c:v>
                </c:pt>
                <c:pt idx="17">
                  <c:v>42078</c:v>
                </c:pt>
                <c:pt idx="18">
                  <c:v>42077</c:v>
                </c:pt>
                <c:pt idx="19">
                  <c:v>42076</c:v>
                </c:pt>
                <c:pt idx="20">
                  <c:v>42075</c:v>
                </c:pt>
                <c:pt idx="21">
                  <c:v>42074</c:v>
                </c:pt>
                <c:pt idx="22">
                  <c:v>42073</c:v>
                </c:pt>
                <c:pt idx="23">
                  <c:v>42072</c:v>
                </c:pt>
                <c:pt idx="24">
                  <c:v>42071</c:v>
                </c:pt>
                <c:pt idx="25">
                  <c:v>42070</c:v>
                </c:pt>
                <c:pt idx="26">
                  <c:v>42069</c:v>
                </c:pt>
                <c:pt idx="27">
                  <c:v>42068</c:v>
                </c:pt>
                <c:pt idx="28">
                  <c:v>42067</c:v>
                </c:pt>
                <c:pt idx="29">
                  <c:v>42066</c:v>
                </c:pt>
                <c:pt idx="30">
                  <c:v>42065</c:v>
                </c:pt>
                <c:pt idx="31">
                  <c:v>42064</c:v>
                </c:pt>
                <c:pt idx="32">
                  <c:v>42063</c:v>
                </c:pt>
                <c:pt idx="33">
                  <c:v>42062</c:v>
                </c:pt>
                <c:pt idx="34">
                  <c:v>42061</c:v>
                </c:pt>
                <c:pt idx="35">
                  <c:v>42060</c:v>
                </c:pt>
                <c:pt idx="36">
                  <c:v>42059</c:v>
                </c:pt>
                <c:pt idx="37">
                  <c:v>42058</c:v>
                </c:pt>
                <c:pt idx="38">
                  <c:v>42057</c:v>
                </c:pt>
                <c:pt idx="39">
                  <c:v>42056</c:v>
                </c:pt>
                <c:pt idx="40">
                  <c:v>42055</c:v>
                </c:pt>
                <c:pt idx="41">
                  <c:v>42054</c:v>
                </c:pt>
                <c:pt idx="42">
                  <c:v>42053</c:v>
                </c:pt>
                <c:pt idx="43">
                  <c:v>42052</c:v>
                </c:pt>
                <c:pt idx="44">
                  <c:v>42051</c:v>
                </c:pt>
                <c:pt idx="45">
                  <c:v>42050</c:v>
                </c:pt>
                <c:pt idx="46">
                  <c:v>42049</c:v>
                </c:pt>
                <c:pt idx="47">
                  <c:v>42048</c:v>
                </c:pt>
                <c:pt idx="48">
                  <c:v>42047</c:v>
                </c:pt>
                <c:pt idx="49">
                  <c:v>42046</c:v>
                </c:pt>
                <c:pt idx="50">
                  <c:v>42045</c:v>
                </c:pt>
                <c:pt idx="51">
                  <c:v>42044</c:v>
                </c:pt>
                <c:pt idx="52">
                  <c:v>42043</c:v>
                </c:pt>
                <c:pt idx="53">
                  <c:v>42042</c:v>
                </c:pt>
                <c:pt idx="54">
                  <c:v>42041</c:v>
                </c:pt>
                <c:pt idx="55">
                  <c:v>42040</c:v>
                </c:pt>
                <c:pt idx="56">
                  <c:v>42039</c:v>
                </c:pt>
                <c:pt idx="57">
                  <c:v>42038</c:v>
                </c:pt>
                <c:pt idx="58">
                  <c:v>42037</c:v>
                </c:pt>
                <c:pt idx="59">
                  <c:v>42036</c:v>
                </c:pt>
                <c:pt idx="60">
                  <c:v>42035</c:v>
                </c:pt>
                <c:pt idx="61">
                  <c:v>42034</c:v>
                </c:pt>
                <c:pt idx="62">
                  <c:v>42033</c:v>
                </c:pt>
                <c:pt idx="63">
                  <c:v>42032</c:v>
                </c:pt>
                <c:pt idx="64">
                  <c:v>42031</c:v>
                </c:pt>
                <c:pt idx="65">
                  <c:v>42030</c:v>
                </c:pt>
                <c:pt idx="66">
                  <c:v>42029</c:v>
                </c:pt>
                <c:pt idx="67">
                  <c:v>42028</c:v>
                </c:pt>
                <c:pt idx="68">
                  <c:v>42027</c:v>
                </c:pt>
                <c:pt idx="69">
                  <c:v>42026</c:v>
                </c:pt>
                <c:pt idx="70">
                  <c:v>42025</c:v>
                </c:pt>
                <c:pt idx="71">
                  <c:v>42024</c:v>
                </c:pt>
                <c:pt idx="72">
                  <c:v>42023</c:v>
                </c:pt>
                <c:pt idx="73">
                  <c:v>42022</c:v>
                </c:pt>
                <c:pt idx="74">
                  <c:v>42021</c:v>
                </c:pt>
                <c:pt idx="75">
                  <c:v>42020</c:v>
                </c:pt>
                <c:pt idx="76">
                  <c:v>42019</c:v>
                </c:pt>
                <c:pt idx="77">
                  <c:v>42018</c:v>
                </c:pt>
                <c:pt idx="78">
                  <c:v>42017</c:v>
                </c:pt>
                <c:pt idx="79">
                  <c:v>42016</c:v>
                </c:pt>
                <c:pt idx="80">
                  <c:v>42015</c:v>
                </c:pt>
                <c:pt idx="81">
                  <c:v>42014</c:v>
                </c:pt>
                <c:pt idx="82">
                  <c:v>42013</c:v>
                </c:pt>
                <c:pt idx="83">
                  <c:v>42012</c:v>
                </c:pt>
                <c:pt idx="84">
                  <c:v>42011</c:v>
                </c:pt>
                <c:pt idx="85">
                  <c:v>42010</c:v>
                </c:pt>
                <c:pt idx="86">
                  <c:v>42009</c:v>
                </c:pt>
                <c:pt idx="87">
                  <c:v>42008</c:v>
                </c:pt>
                <c:pt idx="88">
                  <c:v>42007</c:v>
                </c:pt>
                <c:pt idx="89">
                  <c:v>42006</c:v>
                </c:pt>
                <c:pt idx="90">
                  <c:v>42005</c:v>
                </c:pt>
                <c:pt idx="91">
                  <c:v>42004</c:v>
                </c:pt>
                <c:pt idx="92">
                  <c:v>42003</c:v>
                </c:pt>
                <c:pt idx="93">
                  <c:v>42002</c:v>
                </c:pt>
                <c:pt idx="94">
                  <c:v>42001</c:v>
                </c:pt>
                <c:pt idx="95">
                  <c:v>42000</c:v>
                </c:pt>
                <c:pt idx="96">
                  <c:v>41999</c:v>
                </c:pt>
                <c:pt idx="97">
                  <c:v>41998</c:v>
                </c:pt>
                <c:pt idx="98">
                  <c:v>41997</c:v>
                </c:pt>
                <c:pt idx="99">
                  <c:v>41996</c:v>
                </c:pt>
                <c:pt idx="100">
                  <c:v>41995</c:v>
                </c:pt>
                <c:pt idx="101">
                  <c:v>41994</c:v>
                </c:pt>
                <c:pt idx="102">
                  <c:v>41993</c:v>
                </c:pt>
                <c:pt idx="103">
                  <c:v>41992</c:v>
                </c:pt>
                <c:pt idx="104">
                  <c:v>41991</c:v>
                </c:pt>
                <c:pt idx="105">
                  <c:v>41990</c:v>
                </c:pt>
                <c:pt idx="106">
                  <c:v>41989</c:v>
                </c:pt>
                <c:pt idx="107">
                  <c:v>41988</c:v>
                </c:pt>
                <c:pt idx="108">
                  <c:v>41987</c:v>
                </c:pt>
                <c:pt idx="109">
                  <c:v>41986</c:v>
                </c:pt>
                <c:pt idx="110">
                  <c:v>41985</c:v>
                </c:pt>
                <c:pt idx="111">
                  <c:v>41984</c:v>
                </c:pt>
                <c:pt idx="112">
                  <c:v>41983</c:v>
                </c:pt>
                <c:pt idx="113">
                  <c:v>41982</c:v>
                </c:pt>
                <c:pt idx="114">
                  <c:v>41981</c:v>
                </c:pt>
                <c:pt idx="115">
                  <c:v>41980</c:v>
                </c:pt>
                <c:pt idx="116">
                  <c:v>41979</c:v>
                </c:pt>
                <c:pt idx="117">
                  <c:v>41978</c:v>
                </c:pt>
                <c:pt idx="118">
                  <c:v>41977</c:v>
                </c:pt>
                <c:pt idx="119">
                  <c:v>41976</c:v>
                </c:pt>
                <c:pt idx="120">
                  <c:v>41975</c:v>
                </c:pt>
                <c:pt idx="121">
                  <c:v>41974</c:v>
                </c:pt>
                <c:pt idx="122">
                  <c:v>41973</c:v>
                </c:pt>
                <c:pt idx="123">
                  <c:v>41972</c:v>
                </c:pt>
                <c:pt idx="124">
                  <c:v>41971</c:v>
                </c:pt>
                <c:pt idx="125">
                  <c:v>41970</c:v>
                </c:pt>
                <c:pt idx="126">
                  <c:v>41969</c:v>
                </c:pt>
                <c:pt idx="127">
                  <c:v>41968</c:v>
                </c:pt>
                <c:pt idx="128">
                  <c:v>41967</c:v>
                </c:pt>
                <c:pt idx="129">
                  <c:v>41966</c:v>
                </c:pt>
                <c:pt idx="130">
                  <c:v>41965</c:v>
                </c:pt>
                <c:pt idx="131">
                  <c:v>41964</c:v>
                </c:pt>
                <c:pt idx="132">
                  <c:v>41963</c:v>
                </c:pt>
                <c:pt idx="133">
                  <c:v>41962</c:v>
                </c:pt>
                <c:pt idx="134">
                  <c:v>41961</c:v>
                </c:pt>
                <c:pt idx="135">
                  <c:v>41960</c:v>
                </c:pt>
                <c:pt idx="136">
                  <c:v>41959</c:v>
                </c:pt>
                <c:pt idx="137">
                  <c:v>41958</c:v>
                </c:pt>
                <c:pt idx="138">
                  <c:v>41957</c:v>
                </c:pt>
                <c:pt idx="139">
                  <c:v>41956</c:v>
                </c:pt>
                <c:pt idx="140">
                  <c:v>41955</c:v>
                </c:pt>
                <c:pt idx="141">
                  <c:v>41954</c:v>
                </c:pt>
                <c:pt idx="142">
                  <c:v>41953</c:v>
                </c:pt>
                <c:pt idx="143">
                  <c:v>41952</c:v>
                </c:pt>
                <c:pt idx="144">
                  <c:v>41951</c:v>
                </c:pt>
                <c:pt idx="145">
                  <c:v>41950</c:v>
                </c:pt>
                <c:pt idx="146">
                  <c:v>41949</c:v>
                </c:pt>
                <c:pt idx="147">
                  <c:v>41948</c:v>
                </c:pt>
                <c:pt idx="148">
                  <c:v>41947</c:v>
                </c:pt>
                <c:pt idx="149">
                  <c:v>41946</c:v>
                </c:pt>
                <c:pt idx="150">
                  <c:v>41945</c:v>
                </c:pt>
                <c:pt idx="151">
                  <c:v>41944</c:v>
                </c:pt>
                <c:pt idx="152">
                  <c:v>41943</c:v>
                </c:pt>
                <c:pt idx="153">
                  <c:v>41942</c:v>
                </c:pt>
                <c:pt idx="154">
                  <c:v>41941</c:v>
                </c:pt>
                <c:pt idx="155">
                  <c:v>41940</c:v>
                </c:pt>
                <c:pt idx="156">
                  <c:v>41939</c:v>
                </c:pt>
                <c:pt idx="157">
                  <c:v>41938</c:v>
                </c:pt>
                <c:pt idx="158">
                  <c:v>41937</c:v>
                </c:pt>
                <c:pt idx="159">
                  <c:v>41936</c:v>
                </c:pt>
                <c:pt idx="160">
                  <c:v>41935</c:v>
                </c:pt>
                <c:pt idx="161">
                  <c:v>41934</c:v>
                </c:pt>
                <c:pt idx="162">
                  <c:v>41933</c:v>
                </c:pt>
                <c:pt idx="163">
                  <c:v>41932</c:v>
                </c:pt>
                <c:pt idx="164">
                  <c:v>41931</c:v>
                </c:pt>
                <c:pt idx="165">
                  <c:v>41930</c:v>
                </c:pt>
                <c:pt idx="166">
                  <c:v>41929</c:v>
                </c:pt>
                <c:pt idx="167">
                  <c:v>41928</c:v>
                </c:pt>
                <c:pt idx="168">
                  <c:v>41927</c:v>
                </c:pt>
                <c:pt idx="169">
                  <c:v>41926</c:v>
                </c:pt>
                <c:pt idx="170">
                  <c:v>41925</c:v>
                </c:pt>
                <c:pt idx="171">
                  <c:v>41924</c:v>
                </c:pt>
                <c:pt idx="172">
                  <c:v>41923</c:v>
                </c:pt>
                <c:pt idx="173">
                  <c:v>41922</c:v>
                </c:pt>
                <c:pt idx="174">
                  <c:v>41921</c:v>
                </c:pt>
                <c:pt idx="175">
                  <c:v>41920</c:v>
                </c:pt>
                <c:pt idx="176">
                  <c:v>41919</c:v>
                </c:pt>
                <c:pt idx="177">
                  <c:v>41918</c:v>
                </c:pt>
                <c:pt idx="178">
                  <c:v>41917</c:v>
                </c:pt>
                <c:pt idx="179">
                  <c:v>41916</c:v>
                </c:pt>
                <c:pt idx="180">
                  <c:v>41915</c:v>
                </c:pt>
                <c:pt idx="181">
                  <c:v>41914</c:v>
                </c:pt>
                <c:pt idx="182">
                  <c:v>41913</c:v>
                </c:pt>
                <c:pt idx="183">
                  <c:v>41912</c:v>
                </c:pt>
                <c:pt idx="184">
                  <c:v>41911</c:v>
                </c:pt>
                <c:pt idx="185">
                  <c:v>41910</c:v>
                </c:pt>
                <c:pt idx="186">
                  <c:v>41909</c:v>
                </c:pt>
                <c:pt idx="187">
                  <c:v>41908</c:v>
                </c:pt>
                <c:pt idx="188">
                  <c:v>41907</c:v>
                </c:pt>
                <c:pt idx="189">
                  <c:v>41906</c:v>
                </c:pt>
                <c:pt idx="190">
                  <c:v>41905</c:v>
                </c:pt>
                <c:pt idx="191">
                  <c:v>41904</c:v>
                </c:pt>
                <c:pt idx="192">
                  <c:v>41903</c:v>
                </c:pt>
                <c:pt idx="193">
                  <c:v>41902</c:v>
                </c:pt>
                <c:pt idx="194">
                  <c:v>41901</c:v>
                </c:pt>
                <c:pt idx="195">
                  <c:v>41900</c:v>
                </c:pt>
                <c:pt idx="196">
                  <c:v>41899</c:v>
                </c:pt>
                <c:pt idx="197">
                  <c:v>41898</c:v>
                </c:pt>
                <c:pt idx="198">
                  <c:v>41897</c:v>
                </c:pt>
                <c:pt idx="199">
                  <c:v>41896</c:v>
                </c:pt>
                <c:pt idx="200">
                  <c:v>41895</c:v>
                </c:pt>
                <c:pt idx="201">
                  <c:v>41894</c:v>
                </c:pt>
                <c:pt idx="202">
                  <c:v>41893</c:v>
                </c:pt>
                <c:pt idx="203">
                  <c:v>41892</c:v>
                </c:pt>
                <c:pt idx="204">
                  <c:v>41891</c:v>
                </c:pt>
                <c:pt idx="205">
                  <c:v>41890</c:v>
                </c:pt>
                <c:pt idx="206">
                  <c:v>41889</c:v>
                </c:pt>
                <c:pt idx="207">
                  <c:v>41888</c:v>
                </c:pt>
                <c:pt idx="208">
                  <c:v>41887</c:v>
                </c:pt>
                <c:pt idx="209">
                  <c:v>41886</c:v>
                </c:pt>
                <c:pt idx="210">
                  <c:v>41885</c:v>
                </c:pt>
                <c:pt idx="211">
                  <c:v>41884</c:v>
                </c:pt>
                <c:pt idx="212">
                  <c:v>41883</c:v>
                </c:pt>
                <c:pt idx="213">
                  <c:v>41882</c:v>
                </c:pt>
                <c:pt idx="214">
                  <c:v>41881</c:v>
                </c:pt>
                <c:pt idx="215">
                  <c:v>41880</c:v>
                </c:pt>
                <c:pt idx="216">
                  <c:v>41879</c:v>
                </c:pt>
                <c:pt idx="217">
                  <c:v>41878</c:v>
                </c:pt>
                <c:pt idx="218">
                  <c:v>41877</c:v>
                </c:pt>
                <c:pt idx="219">
                  <c:v>41876</c:v>
                </c:pt>
                <c:pt idx="220">
                  <c:v>41874</c:v>
                </c:pt>
                <c:pt idx="221">
                  <c:v>41873</c:v>
                </c:pt>
                <c:pt idx="222">
                  <c:v>41872</c:v>
                </c:pt>
                <c:pt idx="223">
                  <c:v>41871</c:v>
                </c:pt>
                <c:pt idx="224">
                  <c:v>41870</c:v>
                </c:pt>
                <c:pt idx="225">
                  <c:v>41869</c:v>
                </c:pt>
                <c:pt idx="226">
                  <c:v>41868</c:v>
                </c:pt>
                <c:pt idx="227">
                  <c:v>41867</c:v>
                </c:pt>
                <c:pt idx="228">
                  <c:v>41866</c:v>
                </c:pt>
                <c:pt idx="229">
                  <c:v>41865</c:v>
                </c:pt>
                <c:pt idx="230">
                  <c:v>41864</c:v>
                </c:pt>
                <c:pt idx="231">
                  <c:v>41863</c:v>
                </c:pt>
                <c:pt idx="232">
                  <c:v>41862</c:v>
                </c:pt>
                <c:pt idx="233">
                  <c:v>41861</c:v>
                </c:pt>
                <c:pt idx="234">
                  <c:v>41860</c:v>
                </c:pt>
                <c:pt idx="235">
                  <c:v>41859</c:v>
                </c:pt>
                <c:pt idx="236">
                  <c:v>41858</c:v>
                </c:pt>
                <c:pt idx="237">
                  <c:v>41857</c:v>
                </c:pt>
                <c:pt idx="238">
                  <c:v>41856</c:v>
                </c:pt>
                <c:pt idx="239">
                  <c:v>41855</c:v>
                </c:pt>
                <c:pt idx="240">
                  <c:v>41854</c:v>
                </c:pt>
                <c:pt idx="241">
                  <c:v>41853</c:v>
                </c:pt>
                <c:pt idx="242">
                  <c:v>41852</c:v>
                </c:pt>
                <c:pt idx="243">
                  <c:v>41851</c:v>
                </c:pt>
                <c:pt idx="244">
                  <c:v>41850</c:v>
                </c:pt>
                <c:pt idx="245">
                  <c:v>41849</c:v>
                </c:pt>
                <c:pt idx="246">
                  <c:v>41848</c:v>
                </c:pt>
                <c:pt idx="247">
                  <c:v>41847</c:v>
                </c:pt>
                <c:pt idx="248">
                  <c:v>41846</c:v>
                </c:pt>
                <c:pt idx="249">
                  <c:v>41845</c:v>
                </c:pt>
                <c:pt idx="250">
                  <c:v>41844</c:v>
                </c:pt>
                <c:pt idx="251">
                  <c:v>41843</c:v>
                </c:pt>
                <c:pt idx="252">
                  <c:v>41842</c:v>
                </c:pt>
                <c:pt idx="253">
                  <c:v>41841</c:v>
                </c:pt>
                <c:pt idx="254">
                  <c:v>41840</c:v>
                </c:pt>
                <c:pt idx="255">
                  <c:v>41839</c:v>
                </c:pt>
                <c:pt idx="256">
                  <c:v>41838</c:v>
                </c:pt>
                <c:pt idx="257">
                  <c:v>41837</c:v>
                </c:pt>
                <c:pt idx="258">
                  <c:v>41836</c:v>
                </c:pt>
                <c:pt idx="259">
                  <c:v>41835</c:v>
                </c:pt>
                <c:pt idx="260">
                  <c:v>41834</c:v>
                </c:pt>
                <c:pt idx="261">
                  <c:v>41833</c:v>
                </c:pt>
                <c:pt idx="262">
                  <c:v>41832</c:v>
                </c:pt>
                <c:pt idx="263">
                  <c:v>41831</c:v>
                </c:pt>
                <c:pt idx="264">
                  <c:v>41830</c:v>
                </c:pt>
                <c:pt idx="265">
                  <c:v>41829</c:v>
                </c:pt>
                <c:pt idx="266">
                  <c:v>41828</c:v>
                </c:pt>
                <c:pt idx="267">
                  <c:v>41827</c:v>
                </c:pt>
                <c:pt idx="268">
                  <c:v>41826</c:v>
                </c:pt>
                <c:pt idx="269">
                  <c:v>41825</c:v>
                </c:pt>
                <c:pt idx="270">
                  <c:v>41824</c:v>
                </c:pt>
                <c:pt idx="271">
                  <c:v>41823</c:v>
                </c:pt>
                <c:pt idx="272">
                  <c:v>41822</c:v>
                </c:pt>
                <c:pt idx="273">
                  <c:v>41821</c:v>
                </c:pt>
                <c:pt idx="274">
                  <c:v>41820</c:v>
                </c:pt>
                <c:pt idx="275">
                  <c:v>41819</c:v>
                </c:pt>
                <c:pt idx="276">
                  <c:v>41818</c:v>
                </c:pt>
                <c:pt idx="277">
                  <c:v>41817</c:v>
                </c:pt>
                <c:pt idx="278">
                  <c:v>41816</c:v>
                </c:pt>
                <c:pt idx="279">
                  <c:v>41815</c:v>
                </c:pt>
                <c:pt idx="280">
                  <c:v>41814</c:v>
                </c:pt>
                <c:pt idx="281">
                  <c:v>41813</c:v>
                </c:pt>
                <c:pt idx="282">
                  <c:v>41812</c:v>
                </c:pt>
                <c:pt idx="283">
                  <c:v>41811</c:v>
                </c:pt>
                <c:pt idx="284">
                  <c:v>41810</c:v>
                </c:pt>
                <c:pt idx="285">
                  <c:v>41809</c:v>
                </c:pt>
                <c:pt idx="286">
                  <c:v>41808</c:v>
                </c:pt>
                <c:pt idx="287">
                  <c:v>41807</c:v>
                </c:pt>
                <c:pt idx="288">
                  <c:v>41806</c:v>
                </c:pt>
                <c:pt idx="289">
                  <c:v>41805</c:v>
                </c:pt>
                <c:pt idx="290">
                  <c:v>41804</c:v>
                </c:pt>
                <c:pt idx="291">
                  <c:v>41803</c:v>
                </c:pt>
                <c:pt idx="292">
                  <c:v>41802</c:v>
                </c:pt>
                <c:pt idx="293">
                  <c:v>41801</c:v>
                </c:pt>
                <c:pt idx="294">
                  <c:v>41800</c:v>
                </c:pt>
                <c:pt idx="295">
                  <c:v>41799</c:v>
                </c:pt>
                <c:pt idx="296">
                  <c:v>41798</c:v>
                </c:pt>
                <c:pt idx="297">
                  <c:v>41797</c:v>
                </c:pt>
                <c:pt idx="298">
                  <c:v>41796</c:v>
                </c:pt>
                <c:pt idx="299">
                  <c:v>41795</c:v>
                </c:pt>
                <c:pt idx="300">
                  <c:v>41794</c:v>
                </c:pt>
                <c:pt idx="301">
                  <c:v>41793</c:v>
                </c:pt>
                <c:pt idx="302">
                  <c:v>41792</c:v>
                </c:pt>
                <c:pt idx="303">
                  <c:v>41791</c:v>
                </c:pt>
                <c:pt idx="304">
                  <c:v>41790</c:v>
                </c:pt>
                <c:pt idx="305">
                  <c:v>41789</c:v>
                </c:pt>
                <c:pt idx="306">
                  <c:v>41788</c:v>
                </c:pt>
                <c:pt idx="307">
                  <c:v>41787</c:v>
                </c:pt>
                <c:pt idx="308">
                  <c:v>41786</c:v>
                </c:pt>
                <c:pt idx="309">
                  <c:v>41785</c:v>
                </c:pt>
                <c:pt idx="310">
                  <c:v>41784</c:v>
                </c:pt>
                <c:pt idx="311">
                  <c:v>41783</c:v>
                </c:pt>
                <c:pt idx="312">
                  <c:v>41782</c:v>
                </c:pt>
                <c:pt idx="313">
                  <c:v>41781</c:v>
                </c:pt>
                <c:pt idx="314">
                  <c:v>41780</c:v>
                </c:pt>
                <c:pt idx="315">
                  <c:v>41779</c:v>
                </c:pt>
                <c:pt idx="316">
                  <c:v>41778</c:v>
                </c:pt>
                <c:pt idx="317">
                  <c:v>41776</c:v>
                </c:pt>
                <c:pt idx="318">
                  <c:v>41775</c:v>
                </c:pt>
                <c:pt idx="319">
                  <c:v>41774</c:v>
                </c:pt>
                <c:pt idx="320">
                  <c:v>41773</c:v>
                </c:pt>
                <c:pt idx="321">
                  <c:v>41772</c:v>
                </c:pt>
                <c:pt idx="322">
                  <c:v>41771</c:v>
                </c:pt>
                <c:pt idx="323">
                  <c:v>41770</c:v>
                </c:pt>
                <c:pt idx="324">
                  <c:v>41769</c:v>
                </c:pt>
                <c:pt idx="325">
                  <c:v>41768</c:v>
                </c:pt>
                <c:pt idx="326">
                  <c:v>41767</c:v>
                </c:pt>
                <c:pt idx="327">
                  <c:v>41766</c:v>
                </c:pt>
                <c:pt idx="328">
                  <c:v>41765</c:v>
                </c:pt>
                <c:pt idx="329">
                  <c:v>41764</c:v>
                </c:pt>
                <c:pt idx="330">
                  <c:v>41763</c:v>
                </c:pt>
                <c:pt idx="331">
                  <c:v>41762</c:v>
                </c:pt>
                <c:pt idx="332">
                  <c:v>41761</c:v>
                </c:pt>
                <c:pt idx="333">
                  <c:v>41760</c:v>
                </c:pt>
                <c:pt idx="334">
                  <c:v>41759</c:v>
                </c:pt>
                <c:pt idx="335">
                  <c:v>41758</c:v>
                </c:pt>
                <c:pt idx="336">
                  <c:v>41757</c:v>
                </c:pt>
                <c:pt idx="337">
                  <c:v>41756</c:v>
                </c:pt>
                <c:pt idx="338">
                  <c:v>41755</c:v>
                </c:pt>
                <c:pt idx="339">
                  <c:v>41754</c:v>
                </c:pt>
                <c:pt idx="340">
                  <c:v>41753</c:v>
                </c:pt>
                <c:pt idx="341">
                  <c:v>41752</c:v>
                </c:pt>
                <c:pt idx="342">
                  <c:v>41751</c:v>
                </c:pt>
                <c:pt idx="343">
                  <c:v>41750</c:v>
                </c:pt>
                <c:pt idx="344">
                  <c:v>41749</c:v>
                </c:pt>
                <c:pt idx="345">
                  <c:v>41748</c:v>
                </c:pt>
                <c:pt idx="346">
                  <c:v>41747</c:v>
                </c:pt>
                <c:pt idx="347">
                  <c:v>41746</c:v>
                </c:pt>
                <c:pt idx="348">
                  <c:v>41745</c:v>
                </c:pt>
                <c:pt idx="349">
                  <c:v>41744</c:v>
                </c:pt>
                <c:pt idx="350">
                  <c:v>41743</c:v>
                </c:pt>
                <c:pt idx="351">
                  <c:v>41742</c:v>
                </c:pt>
                <c:pt idx="352">
                  <c:v>41741</c:v>
                </c:pt>
                <c:pt idx="353">
                  <c:v>41740</c:v>
                </c:pt>
                <c:pt idx="354">
                  <c:v>41739</c:v>
                </c:pt>
                <c:pt idx="355">
                  <c:v>41738</c:v>
                </c:pt>
                <c:pt idx="356">
                  <c:v>41737</c:v>
                </c:pt>
                <c:pt idx="357">
                  <c:v>41736</c:v>
                </c:pt>
                <c:pt idx="358">
                  <c:v>41735</c:v>
                </c:pt>
                <c:pt idx="359">
                  <c:v>41734</c:v>
                </c:pt>
                <c:pt idx="360">
                  <c:v>41733</c:v>
                </c:pt>
                <c:pt idx="361">
                  <c:v>41732</c:v>
                </c:pt>
                <c:pt idx="362">
                  <c:v>41731</c:v>
                </c:pt>
                <c:pt idx="363">
                  <c:v>41730</c:v>
                </c:pt>
                <c:pt idx="364">
                  <c:v>41729</c:v>
                </c:pt>
                <c:pt idx="365">
                  <c:v>41728</c:v>
                </c:pt>
                <c:pt idx="366">
                  <c:v>41727</c:v>
                </c:pt>
                <c:pt idx="367">
                  <c:v>41726</c:v>
                </c:pt>
                <c:pt idx="368">
                  <c:v>41725</c:v>
                </c:pt>
                <c:pt idx="369">
                  <c:v>41724</c:v>
                </c:pt>
                <c:pt idx="370">
                  <c:v>41723</c:v>
                </c:pt>
                <c:pt idx="371">
                  <c:v>41722</c:v>
                </c:pt>
                <c:pt idx="372">
                  <c:v>41721</c:v>
                </c:pt>
                <c:pt idx="373">
                  <c:v>41720</c:v>
                </c:pt>
                <c:pt idx="374">
                  <c:v>41719</c:v>
                </c:pt>
                <c:pt idx="375">
                  <c:v>41718</c:v>
                </c:pt>
                <c:pt idx="376">
                  <c:v>41717</c:v>
                </c:pt>
                <c:pt idx="377">
                  <c:v>41716</c:v>
                </c:pt>
                <c:pt idx="378">
                  <c:v>41715</c:v>
                </c:pt>
                <c:pt idx="379">
                  <c:v>41714</c:v>
                </c:pt>
                <c:pt idx="380">
                  <c:v>41713</c:v>
                </c:pt>
                <c:pt idx="381">
                  <c:v>41712</c:v>
                </c:pt>
                <c:pt idx="382">
                  <c:v>41711</c:v>
                </c:pt>
                <c:pt idx="383">
                  <c:v>41710</c:v>
                </c:pt>
                <c:pt idx="384">
                  <c:v>41709</c:v>
                </c:pt>
                <c:pt idx="385">
                  <c:v>41708</c:v>
                </c:pt>
                <c:pt idx="386">
                  <c:v>41707</c:v>
                </c:pt>
                <c:pt idx="387">
                  <c:v>41706</c:v>
                </c:pt>
                <c:pt idx="388">
                  <c:v>41705</c:v>
                </c:pt>
                <c:pt idx="389">
                  <c:v>41704</c:v>
                </c:pt>
                <c:pt idx="390">
                  <c:v>41703</c:v>
                </c:pt>
                <c:pt idx="391">
                  <c:v>41702</c:v>
                </c:pt>
                <c:pt idx="392">
                  <c:v>41701</c:v>
                </c:pt>
                <c:pt idx="393">
                  <c:v>41700</c:v>
                </c:pt>
                <c:pt idx="394">
                  <c:v>41699</c:v>
                </c:pt>
                <c:pt idx="395">
                  <c:v>41698</c:v>
                </c:pt>
                <c:pt idx="396">
                  <c:v>41697</c:v>
                </c:pt>
                <c:pt idx="397">
                  <c:v>41696</c:v>
                </c:pt>
                <c:pt idx="398">
                  <c:v>41695</c:v>
                </c:pt>
                <c:pt idx="399">
                  <c:v>41694</c:v>
                </c:pt>
                <c:pt idx="400">
                  <c:v>41693</c:v>
                </c:pt>
                <c:pt idx="401">
                  <c:v>41692</c:v>
                </c:pt>
                <c:pt idx="402">
                  <c:v>41691</c:v>
                </c:pt>
                <c:pt idx="403">
                  <c:v>41690</c:v>
                </c:pt>
                <c:pt idx="404">
                  <c:v>41689</c:v>
                </c:pt>
                <c:pt idx="405">
                  <c:v>41688</c:v>
                </c:pt>
                <c:pt idx="406">
                  <c:v>41687</c:v>
                </c:pt>
                <c:pt idx="407">
                  <c:v>41686</c:v>
                </c:pt>
                <c:pt idx="408">
                  <c:v>41685</c:v>
                </c:pt>
                <c:pt idx="409">
                  <c:v>41684</c:v>
                </c:pt>
                <c:pt idx="410">
                  <c:v>41683</c:v>
                </c:pt>
                <c:pt idx="411">
                  <c:v>41682</c:v>
                </c:pt>
                <c:pt idx="412">
                  <c:v>41681</c:v>
                </c:pt>
                <c:pt idx="413">
                  <c:v>41680</c:v>
                </c:pt>
                <c:pt idx="414">
                  <c:v>41679</c:v>
                </c:pt>
                <c:pt idx="415">
                  <c:v>41678</c:v>
                </c:pt>
                <c:pt idx="416">
                  <c:v>41677</c:v>
                </c:pt>
                <c:pt idx="417">
                  <c:v>41676</c:v>
                </c:pt>
                <c:pt idx="418">
                  <c:v>41675</c:v>
                </c:pt>
                <c:pt idx="419">
                  <c:v>41674</c:v>
                </c:pt>
                <c:pt idx="420">
                  <c:v>41673</c:v>
                </c:pt>
                <c:pt idx="421">
                  <c:v>41672</c:v>
                </c:pt>
                <c:pt idx="422">
                  <c:v>41671</c:v>
                </c:pt>
                <c:pt idx="423">
                  <c:v>41670</c:v>
                </c:pt>
                <c:pt idx="424">
                  <c:v>41669</c:v>
                </c:pt>
                <c:pt idx="425">
                  <c:v>41668</c:v>
                </c:pt>
                <c:pt idx="426">
                  <c:v>41667</c:v>
                </c:pt>
                <c:pt idx="427">
                  <c:v>41666</c:v>
                </c:pt>
                <c:pt idx="428">
                  <c:v>41665</c:v>
                </c:pt>
                <c:pt idx="429">
                  <c:v>41664</c:v>
                </c:pt>
                <c:pt idx="430">
                  <c:v>41663</c:v>
                </c:pt>
                <c:pt idx="431">
                  <c:v>41662</c:v>
                </c:pt>
                <c:pt idx="432">
                  <c:v>41661</c:v>
                </c:pt>
                <c:pt idx="433">
                  <c:v>41660</c:v>
                </c:pt>
                <c:pt idx="434">
                  <c:v>41659</c:v>
                </c:pt>
                <c:pt idx="435">
                  <c:v>41658</c:v>
                </c:pt>
                <c:pt idx="436">
                  <c:v>41657</c:v>
                </c:pt>
                <c:pt idx="437">
                  <c:v>41656</c:v>
                </c:pt>
                <c:pt idx="438">
                  <c:v>41655</c:v>
                </c:pt>
                <c:pt idx="439">
                  <c:v>41654</c:v>
                </c:pt>
                <c:pt idx="440">
                  <c:v>41653</c:v>
                </c:pt>
                <c:pt idx="441">
                  <c:v>41652</c:v>
                </c:pt>
                <c:pt idx="442">
                  <c:v>41651</c:v>
                </c:pt>
                <c:pt idx="443">
                  <c:v>41650</c:v>
                </c:pt>
                <c:pt idx="444">
                  <c:v>41649</c:v>
                </c:pt>
                <c:pt idx="445">
                  <c:v>41648</c:v>
                </c:pt>
                <c:pt idx="446">
                  <c:v>41647</c:v>
                </c:pt>
                <c:pt idx="447">
                  <c:v>41646</c:v>
                </c:pt>
                <c:pt idx="448">
                  <c:v>41645</c:v>
                </c:pt>
                <c:pt idx="449">
                  <c:v>41644</c:v>
                </c:pt>
                <c:pt idx="450">
                  <c:v>41643</c:v>
                </c:pt>
                <c:pt idx="451">
                  <c:v>41642</c:v>
                </c:pt>
                <c:pt idx="452">
                  <c:v>41641</c:v>
                </c:pt>
                <c:pt idx="453">
                  <c:v>41640</c:v>
                </c:pt>
                <c:pt idx="454">
                  <c:v>41639</c:v>
                </c:pt>
                <c:pt idx="455">
                  <c:v>41638</c:v>
                </c:pt>
                <c:pt idx="456">
                  <c:v>41637</c:v>
                </c:pt>
                <c:pt idx="457">
                  <c:v>41636</c:v>
                </c:pt>
                <c:pt idx="458">
                  <c:v>41635</c:v>
                </c:pt>
                <c:pt idx="459">
                  <c:v>41634</c:v>
                </c:pt>
                <c:pt idx="460">
                  <c:v>41633</c:v>
                </c:pt>
                <c:pt idx="461">
                  <c:v>41632</c:v>
                </c:pt>
                <c:pt idx="462">
                  <c:v>41631</c:v>
                </c:pt>
                <c:pt idx="463">
                  <c:v>41630</c:v>
                </c:pt>
                <c:pt idx="464">
                  <c:v>41629</c:v>
                </c:pt>
                <c:pt idx="465">
                  <c:v>41628</c:v>
                </c:pt>
                <c:pt idx="466">
                  <c:v>41627</c:v>
                </c:pt>
                <c:pt idx="467">
                  <c:v>41626</c:v>
                </c:pt>
                <c:pt idx="468">
                  <c:v>41625</c:v>
                </c:pt>
                <c:pt idx="469">
                  <c:v>41624</c:v>
                </c:pt>
                <c:pt idx="470">
                  <c:v>41623</c:v>
                </c:pt>
                <c:pt idx="471">
                  <c:v>41622</c:v>
                </c:pt>
                <c:pt idx="472">
                  <c:v>41621</c:v>
                </c:pt>
                <c:pt idx="473">
                  <c:v>41620</c:v>
                </c:pt>
                <c:pt idx="474">
                  <c:v>41619</c:v>
                </c:pt>
                <c:pt idx="475">
                  <c:v>41618</c:v>
                </c:pt>
                <c:pt idx="476">
                  <c:v>41617</c:v>
                </c:pt>
                <c:pt idx="477">
                  <c:v>41616</c:v>
                </c:pt>
                <c:pt idx="478">
                  <c:v>41615</c:v>
                </c:pt>
                <c:pt idx="479">
                  <c:v>41614</c:v>
                </c:pt>
                <c:pt idx="480">
                  <c:v>41613</c:v>
                </c:pt>
                <c:pt idx="481">
                  <c:v>41612</c:v>
                </c:pt>
                <c:pt idx="482">
                  <c:v>41611</c:v>
                </c:pt>
                <c:pt idx="483">
                  <c:v>41610</c:v>
                </c:pt>
                <c:pt idx="484">
                  <c:v>41609</c:v>
                </c:pt>
                <c:pt idx="485">
                  <c:v>41608</c:v>
                </c:pt>
                <c:pt idx="486">
                  <c:v>41607</c:v>
                </c:pt>
                <c:pt idx="487">
                  <c:v>41606</c:v>
                </c:pt>
                <c:pt idx="488">
                  <c:v>41605</c:v>
                </c:pt>
                <c:pt idx="489">
                  <c:v>41604</c:v>
                </c:pt>
                <c:pt idx="490">
                  <c:v>41603</c:v>
                </c:pt>
                <c:pt idx="491">
                  <c:v>41602</c:v>
                </c:pt>
                <c:pt idx="492">
                  <c:v>41601</c:v>
                </c:pt>
                <c:pt idx="493">
                  <c:v>41600</c:v>
                </c:pt>
                <c:pt idx="494">
                  <c:v>41599</c:v>
                </c:pt>
                <c:pt idx="495">
                  <c:v>41598</c:v>
                </c:pt>
                <c:pt idx="496">
                  <c:v>41597</c:v>
                </c:pt>
                <c:pt idx="497">
                  <c:v>41596</c:v>
                </c:pt>
                <c:pt idx="498">
                  <c:v>41595</c:v>
                </c:pt>
                <c:pt idx="499">
                  <c:v>41594</c:v>
                </c:pt>
                <c:pt idx="500">
                  <c:v>41593</c:v>
                </c:pt>
                <c:pt idx="501">
                  <c:v>41592</c:v>
                </c:pt>
                <c:pt idx="502">
                  <c:v>41591</c:v>
                </c:pt>
                <c:pt idx="503">
                  <c:v>41590</c:v>
                </c:pt>
                <c:pt idx="504">
                  <c:v>41589</c:v>
                </c:pt>
                <c:pt idx="505">
                  <c:v>41588</c:v>
                </c:pt>
                <c:pt idx="506">
                  <c:v>41587</c:v>
                </c:pt>
                <c:pt idx="507">
                  <c:v>41586</c:v>
                </c:pt>
                <c:pt idx="508">
                  <c:v>41585</c:v>
                </c:pt>
                <c:pt idx="509">
                  <c:v>41584</c:v>
                </c:pt>
                <c:pt idx="510">
                  <c:v>41583</c:v>
                </c:pt>
                <c:pt idx="511">
                  <c:v>41582</c:v>
                </c:pt>
                <c:pt idx="512">
                  <c:v>41581</c:v>
                </c:pt>
                <c:pt idx="513">
                  <c:v>41580</c:v>
                </c:pt>
                <c:pt idx="514">
                  <c:v>41579</c:v>
                </c:pt>
                <c:pt idx="515">
                  <c:v>41578</c:v>
                </c:pt>
                <c:pt idx="516">
                  <c:v>41577</c:v>
                </c:pt>
                <c:pt idx="517">
                  <c:v>41576</c:v>
                </c:pt>
                <c:pt idx="518">
                  <c:v>41575</c:v>
                </c:pt>
                <c:pt idx="519">
                  <c:v>41574</c:v>
                </c:pt>
                <c:pt idx="520">
                  <c:v>41573</c:v>
                </c:pt>
                <c:pt idx="521">
                  <c:v>41572</c:v>
                </c:pt>
                <c:pt idx="522">
                  <c:v>41571</c:v>
                </c:pt>
                <c:pt idx="523">
                  <c:v>41570</c:v>
                </c:pt>
                <c:pt idx="524">
                  <c:v>41569</c:v>
                </c:pt>
                <c:pt idx="525">
                  <c:v>41568</c:v>
                </c:pt>
                <c:pt idx="526">
                  <c:v>41567</c:v>
                </c:pt>
                <c:pt idx="527">
                  <c:v>41566</c:v>
                </c:pt>
                <c:pt idx="528">
                  <c:v>41565</c:v>
                </c:pt>
                <c:pt idx="529">
                  <c:v>41564</c:v>
                </c:pt>
                <c:pt idx="530">
                  <c:v>41563</c:v>
                </c:pt>
                <c:pt idx="531">
                  <c:v>41562</c:v>
                </c:pt>
                <c:pt idx="532">
                  <c:v>41561</c:v>
                </c:pt>
                <c:pt idx="533">
                  <c:v>41560</c:v>
                </c:pt>
                <c:pt idx="534">
                  <c:v>41559</c:v>
                </c:pt>
                <c:pt idx="535">
                  <c:v>41558</c:v>
                </c:pt>
                <c:pt idx="536">
                  <c:v>41557</c:v>
                </c:pt>
                <c:pt idx="537">
                  <c:v>41556</c:v>
                </c:pt>
                <c:pt idx="538">
                  <c:v>41555</c:v>
                </c:pt>
                <c:pt idx="539">
                  <c:v>41554</c:v>
                </c:pt>
                <c:pt idx="540">
                  <c:v>41553</c:v>
                </c:pt>
                <c:pt idx="541">
                  <c:v>41552</c:v>
                </c:pt>
                <c:pt idx="542">
                  <c:v>41551</c:v>
                </c:pt>
                <c:pt idx="543">
                  <c:v>41550</c:v>
                </c:pt>
                <c:pt idx="544">
                  <c:v>41549</c:v>
                </c:pt>
                <c:pt idx="545">
                  <c:v>41548</c:v>
                </c:pt>
                <c:pt idx="546">
                  <c:v>41547</c:v>
                </c:pt>
                <c:pt idx="547">
                  <c:v>41546</c:v>
                </c:pt>
                <c:pt idx="548">
                  <c:v>41545</c:v>
                </c:pt>
                <c:pt idx="549">
                  <c:v>41544</c:v>
                </c:pt>
                <c:pt idx="550">
                  <c:v>41543</c:v>
                </c:pt>
                <c:pt idx="551">
                  <c:v>41542</c:v>
                </c:pt>
                <c:pt idx="552">
                  <c:v>41541</c:v>
                </c:pt>
                <c:pt idx="553">
                  <c:v>41540</c:v>
                </c:pt>
                <c:pt idx="554">
                  <c:v>41539</c:v>
                </c:pt>
                <c:pt idx="555">
                  <c:v>41538</c:v>
                </c:pt>
                <c:pt idx="556">
                  <c:v>41537</c:v>
                </c:pt>
                <c:pt idx="557">
                  <c:v>41536</c:v>
                </c:pt>
                <c:pt idx="558">
                  <c:v>41535</c:v>
                </c:pt>
                <c:pt idx="559">
                  <c:v>41534</c:v>
                </c:pt>
                <c:pt idx="560">
                  <c:v>41533</c:v>
                </c:pt>
                <c:pt idx="561">
                  <c:v>41532</c:v>
                </c:pt>
                <c:pt idx="562">
                  <c:v>41531</c:v>
                </c:pt>
                <c:pt idx="563">
                  <c:v>41530</c:v>
                </c:pt>
                <c:pt idx="564">
                  <c:v>41529</c:v>
                </c:pt>
                <c:pt idx="565">
                  <c:v>41528</c:v>
                </c:pt>
                <c:pt idx="566">
                  <c:v>41527</c:v>
                </c:pt>
                <c:pt idx="567">
                  <c:v>41526</c:v>
                </c:pt>
                <c:pt idx="568">
                  <c:v>41525</c:v>
                </c:pt>
                <c:pt idx="569">
                  <c:v>41524</c:v>
                </c:pt>
                <c:pt idx="570">
                  <c:v>41523</c:v>
                </c:pt>
                <c:pt idx="571">
                  <c:v>41522</c:v>
                </c:pt>
                <c:pt idx="572">
                  <c:v>41521</c:v>
                </c:pt>
                <c:pt idx="573">
                  <c:v>41520</c:v>
                </c:pt>
                <c:pt idx="574">
                  <c:v>41519</c:v>
                </c:pt>
                <c:pt idx="575">
                  <c:v>41518</c:v>
                </c:pt>
                <c:pt idx="576">
                  <c:v>41517</c:v>
                </c:pt>
                <c:pt idx="577">
                  <c:v>41516</c:v>
                </c:pt>
                <c:pt idx="578">
                  <c:v>41515</c:v>
                </c:pt>
                <c:pt idx="579">
                  <c:v>41514</c:v>
                </c:pt>
                <c:pt idx="580">
                  <c:v>41513</c:v>
                </c:pt>
                <c:pt idx="581">
                  <c:v>41512</c:v>
                </c:pt>
                <c:pt idx="582">
                  <c:v>41511</c:v>
                </c:pt>
                <c:pt idx="583">
                  <c:v>41510</c:v>
                </c:pt>
                <c:pt idx="584">
                  <c:v>41509</c:v>
                </c:pt>
                <c:pt idx="585">
                  <c:v>41508</c:v>
                </c:pt>
                <c:pt idx="586">
                  <c:v>41507</c:v>
                </c:pt>
                <c:pt idx="587">
                  <c:v>41506</c:v>
                </c:pt>
                <c:pt idx="588">
                  <c:v>41505</c:v>
                </c:pt>
                <c:pt idx="589">
                  <c:v>41504</c:v>
                </c:pt>
                <c:pt idx="590">
                  <c:v>41503</c:v>
                </c:pt>
                <c:pt idx="591">
                  <c:v>41502</c:v>
                </c:pt>
                <c:pt idx="592">
                  <c:v>41501</c:v>
                </c:pt>
                <c:pt idx="593">
                  <c:v>41500</c:v>
                </c:pt>
                <c:pt idx="594">
                  <c:v>41499</c:v>
                </c:pt>
                <c:pt idx="595">
                  <c:v>41498</c:v>
                </c:pt>
                <c:pt idx="596">
                  <c:v>41497</c:v>
                </c:pt>
                <c:pt idx="597">
                  <c:v>41496</c:v>
                </c:pt>
                <c:pt idx="598">
                  <c:v>41495</c:v>
                </c:pt>
                <c:pt idx="599">
                  <c:v>41494</c:v>
                </c:pt>
                <c:pt idx="600">
                  <c:v>41493</c:v>
                </c:pt>
                <c:pt idx="601">
                  <c:v>41492</c:v>
                </c:pt>
                <c:pt idx="602">
                  <c:v>41491</c:v>
                </c:pt>
                <c:pt idx="603">
                  <c:v>41490</c:v>
                </c:pt>
                <c:pt idx="604">
                  <c:v>41489</c:v>
                </c:pt>
                <c:pt idx="605">
                  <c:v>41488</c:v>
                </c:pt>
                <c:pt idx="606">
                  <c:v>41487</c:v>
                </c:pt>
                <c:pt idx="607">
                  <c:v>41486</c:v>
                </c:pt>
                <c:pt idx="608">
                  <c:v>41485</c:v>
                </c:pt>
                <c:pt idx="609">
                  <c:v>41484</c:v>
                </c:pt>
                <c:pt idx="610">
                  <c:v>41483</c:v>
                </c:pt>
                <c:pt idx="611">
                  <c:v>41482</c:v>
                </c:pt>
                <c:pt idx="612">
                  <c:v>41481</c:v>
                </c:pt>
                <c:pt idx="613">
                  <c:v>41480</c:v>
                </c:pt>
                <c:pt idx="614">
                  <c:v>41479</c:v>
                </c:pt>
                <c:pt idx="615">
                  <c:v>41478</c:v>
                </c:pt>
                <c:pt idx="616">
                  <c:v>41477</c:v>
                </c:pt>
                <c:pt idx="617">
                  <c:v>41476</c:v>
                </c:pt>
                <c:pt idx="618">
                  <c:v>41475</c:v>
                </c:pt>
                <c:pt idx="619">
                  <c:v>41474</c:v>
                </c:pt>
                <c:pt idx="620">
                  <c:v>41473</c:v>
                </c:pt>
                <c:pt idx="621">
                  <c:v>41472</c:v>
                </c:pt>
                <c:pt idx="622">
                  <c:v>41471</c:v>
                </c:pt>
                <c:pt idx="623">
                  <c:v>41470</c:v>
                </c:pt>
                <c:pt idx="624">
                  <c:v>41469</c:v>
                </c:pt>
                <c:pt idx="625">
                  <c:v>41468</c:v>
                </c:pt>
                <c:pt idx="626">
                  <c:v>41467</c:v>
                </c:pt>
                <c:pt idx="627">
                  <c:v>41466</c:v>
                </c:pt>
                <c:pt idx="628">
                  <c:v>41465</c:v>
                </c:pt>
                <c:pt idx="629">
                  <c:v>41464</c:v>
                </c:pt>
                <c:pt idx="630">
                  <c:v>41463</c:v>
                </c:pt>
                <c:pt idx="631">
                  <c:v>41462</c:v>
                </c:pt>
                <c:pt idx="632">
                  <c:v>41461</c:v>
                </c:pt>
                <c:pt idx="633">
                  <c:v>41460</c:v>
                </c:pt>
                <c:pt idx="634">
                  <c:v>41459</c:v>
                </c:pt>
                <c:pt idx="635">
                  <c:v>41458</c:v>
                </c:pt>
                <c:pt idx="636">
                  <c:v>41457</c:v>
                </c:pt>
                <c:pt idx="637">
                  <c:v>41456</c:v>
                </c:pt>
                <c:pt idx="638">
                  <c:v>41455</c:v>
                </c:pt>
                <c:pt idx="639">
                  <c:v>41454</c:v>
                </c:pt>
                <c:pt idx="640">
                  <c:v>41453</c:v>
                </c:pt>
                <c:pt idx="641">
                  <c:v>41452</c:v>
                </c:pt>
                <c:pt idx="642">
                  <c:v>41451</c:v>
                </c:pt>
                <c:pt idx="643">
                  <c:v>41450</c:v>
                </c:pt>
                <c:pt idx="644">
                  <c:v>41449</c:v>
                </c:pt>
                <c:pt idx="645">
                  <c:v>41448</c:v>
                </c:pt>
                <c:pt idx="646">
                  <c:v>41447</c:v>
                </c:pt>
                <c:pt idx="647">
                  <c:v>41446</c:v>
                </c:pt>
                <c:pt idx="648">
                  <c:v>41445</c:v>
                </c:pt>
                <c:pt idx="649">
                  <c:v>41444</c:v>
                </c:pt>
                <c:pt idx="650">
                  <c:v>41443</c:v>
                </c:pt>
                <c:pt idx="651">
                  <c:v>41442</c:v>
                </c:pt>
                <c:pt idx="652">
                  <c:v>41441</c:v>
                </c:pt>
                <c:pt idx="653">
                  <c:v>41440</c:v>
                </c:pt>
                <c:pt idx="654">
                  <c:v>41439</c:v>
                </c:pt>
                <c:pt idx="655">
                  <c:v>41438</c:v>
                </c:pt>
                <c:pt idx="656">
                  <c:v>41437</c:v>
                </c:pt>
                <c:pt idx="657">
                  <c:v>41436</c:v>
                </c:pt>
                <c:pt idx="658">
                  <c:v>41435</c:v>
                </c:pt>
                <c:pt idx="659">
                  <c:v>41434</c:v>
                </c:pt>
                <c:pt idx="660">
                  <c:v>41433</c:v>
                </c:pt>
                <c:pt idx="661">
                  <c:v>41432</c:v>
                </c:pt>
                <c:pt idx="662">
                  <c:v>41431</c:v>
                </c:pt>
                <c:pt idx="663">
                  <c:v>41430</c:v>
                </c:pt>
                <c:pt idx="664">
                  <c:v>41429</c:v>
                </c:pt>
                <c:pt idx="665">
                  <c:v>41428</c:v>
                </c:pt>
                <c:pt idx="666">
                  <c:v>41427</c:v>
                </c:pt>
                <c:pt idx="667">
                  <c:v>41426</c:v>
                </c:pt>
                <c:pt idx="668">
                  <c:v>41425</c:v>
                </c:pt>
                <c:pt idx="669">
                  <c:v>41424</c:v>
                </c:pt>
                <c:pt idx="670">
                  <c:v>41423</c:v>
                </c:pt>
                <c:pt idx="671">
                  <c:v>41422</c:v>
                </c:pt>
                <c:pt idx="672">
                  <c:v>41421</c:v>
                </c:pt>
                <c:pt idx="673">
                  <c:v>41420</c:v>
                </c:pt>
                <c:pt idx="674">
                  <c:v>41419</c:v>
                </c:pt>
                <c:pt idx="675">
                  <c:v>41418</c:v>
                </c:pt>
                <c:pt idx="676">
                  <c:v>41417</c:v>
                </c:pt>
                <c:pt idx="677">
                  <c:v>41416</c:v>
                </c:pt>
                <c:pt idx="678">
                  <c:v>41415</c:v>
                </c:pt>
                <c:pt idx="679">
                  <c:v>41414</c:v>
                </c:pt>
                <c:pt idx="680">
                  <c:v>41413</c:v>
                </c:pt>
                <c:pt idx="681">
                  <c:v>41412</c:v>
                </c:pt>
                <c:pt idx="682">
                  <c:v>41411</c:v>
                </c:pt>
                <c:pt idx="683">
                  <c:v>41410</c:v>
                </c:pt>
                <c:pt idx="684">
                  <c:v>41409</c:v>
                </c:pt>
                <c:pt idx="685">
                  <c:v>41408</c:v>
                </c:pt>
                <c:pt idx="686">
                  <c:v>41407</c:v>
                </c:pt>
                <c:pt idx="687">
                  <c:v>41406</c:v>
                </c:pt>
                <c:pt idx="688">
                  <c:v>41405</c:v>
                </c:pt>
                <c:pt idx="689">
                  <c:v>41404</c:v>
                </c:pt>
                <c:pt idx="690">
                  <c:v>41403</c:v>
                </c:pt>
                <c:pt idx="691">
                  <c:v>41402</c:v>
                </c:pt>
                <c:pt idx="692">
                  <c:v>41401</c:v>
                </c:pt>
                <c:pt idx="693">
                  <c:v>41400</c:v>
                </c:pt>
                <c:pt idx="694">
                  <c:v>41399</c:v>
                </c:pt>
                <c:pt idx="695">
                  <c:v>41398</c:v>
                </c:pt>
                <c:pt idx="696">
                  <c:v>41397</c:v>
                </c:pt>
                <c:pt idx="697">
                  <c:v>41396</c:v>
                </c:pt>
                <c:pt idx="698">
                  <c:v>41395</c:v>
                </c:pt>
                <c:pt idx="699">
                  <c:v>41394</c:v>
                </c:pt>
                <c:pt idx="700">
                  <c:v>41393</c:v>
                </c:pt>
                <c:pt idx="701">
                  <c:v>41392</c:v>
                </c:pt>
                <c:pt idx="702">
                  <c:v>41391</c:v>
                </c:pt>
                <c:pt idx="703">
                  <c:v>41390</c:v>
                </c:pt>
                <c:pt idx="704">
                  <c:v>41389</c:v>
                </c:pt>
                <c:pt idx="705">
                  <c:v>41388</c:v>
                </c:pt>
                <c:pt idx="706">
                  <c:v>41387</c:v>
                </c:pt>
                <c:pt idx="707">
                  <c:v>41386</c:v>
                </c:pt>
                <c:pt idx="708">
                  <c:v>41385</c:v>
                </c:pt>
                <c:pt idx="709">
                  <c:v>41384</c:v>
                </c:pt>
                <c:pt idx="710">
                  <c:v>41383</c:v>
                </c:pt>
                <c:pt idx="711">
                  <c:v>41382</c:v>
                </c:pt>
                <c:pt idx="712">
                  <c:v>41381</c:v>
                </c:pt>
                <c:pt idx="713">
                  <c:v>41380</c:v>
                </c:pt>
                <c:pt idx="714">
                  <c:v>41379</c:v>
                </c:pt>
                <c:pt idx="715">
                  <c:v>41378</c:v>
                </c:pt>
                <c:pt idx="716">
                  <c:v>41377</c:v>
                </c:pt>
                <c:pt idx="717">
                  <c:v>41376</c:v>
                </c:pt>
                <c:pt idx="718">
                  <c:v>41375</c:v>
                </c:pt>
                <c:pt idx="719">
                  <c:v>41374</c:v>
                </c:pt>
                <c:pt idx="720">
                  <c:v>41373</c:v>
                </c:pt>
                <c:pt idx="721">
                  <c:v>41372</c:v>
                </c:pt>
                <c:pt idx="722">
                  <c:v>41371</c:v>
                </c:pt>
                <c:pt idx="723">
                  <c:v>41370</c:v>
                </c:pt>
                <c:pt idx="724">
                  <c:v>41369</c:v>
                </c:pt>
                <c:pt idx="725">
                  <c:v>41368</c:v>
                </c:pt>
                <c:pt idx="726">
                  <c:v>41367</c:v>
                </c:pt>
                <c:pt idx="727">
                  <c:v>41366</c:v>
                </c:pt>
                <c:pt idx="728">
                  <c:v>41365</c:v>
                </c:pt>
                <c:pt idx="729">
                  <c:v>41364</c:v>
                </c:pt>
                <c:pt idx="730">
                  <c:v>41363</c:v>
                </c:pt>
                <c:pt idx="731">
                  <c:v>41362</c:v>
                </c:pt>
                <c:pt idx="732">
                  <c:v>41361</c:v>
                </c:pt>
                <c:pt idx="733">
                  <c:v>41360</c:v>
                </c:pt>
                <c:pt idx="734">
                  <c:v>41359</c:v>
                </c:pt>
                <c:pt idx="735">
                  <c:v>41358</c:v>
                </c:pt>
                <c:pt idx="736">
                  <c:v>41357</c:v>
                </c:pt>
                <c:pt idx="737">
                  <c:v>41356</c:v>
                </c:pt>
                <c:pt idx="738">
                  <c:v>41355</c:v>
                </c:pt>
                <c:pt idx="739">
                  <c:v>41354</c:v>
                </c:pt>
                <c:pt idx="740">
                  <c:v>41353</c:v>
                </c:pt>
                <c:pt idx="741">
                  <c:v>41352</c:v>
                </c:pt>
                <c:pt idx="742">
                  <c:v>41351</c:v>
                </c:pt>
                <c:pt idx="743">
                  <c:v>41350</c:v>
                </c:pt>
                <c:pt idx="744">
                  <c:v>41349</c:v>
                </c:pt>
                <c:pt idx="745">
                  <c:v>41348</c:v>
                </c:pt>
                <c:pt idx="746">
                  <c:v>41347</c:v>
                </c:pt>
                <c:pt idx="747">
                  <c:v>41346</c:v>
                </c:pt>
                <c:pt idx="748">
                  <c:v>41345</c:v>
                </c:pt>
                <c:pt idx="749">
                  <c:v>41344</c:v>
                </c:pt>
                <c:pt idx="750">
                  <c:v>41343</c:v>
                </c:pt>
                <c:pt idx="751">
                  <c:v>41342</c:v>
                </c:pt>
                <c:pt idx="752">
                  <c:v>41341</c:v>
                </c:pt>
                <c:pt idx="753">
                  <c:v>41340</c:v>
                </c:pt>
                <c:pt idx="754">
                  <c:v>41339</c:v>
                </c:pt>
                <c:pt idx="755">
                  <c:v>41338</c:v>
                </c:pt>
                <c:pt idx="756">
                  <c:v>41337</c:v>
                </c:pt>
                <c:pt idx="757">
                  <c:v>41336</c:v>
                </c:pt>
                <c:pt idx="758">
                  <c:v>41335</c:v>
                </c:pt>
                <c:pt idx="759">
                  <c:v>41334</c:v>
                </c:pt>
                <c:pt idx="760">
                  <c:v>41333</c:v>
                </c:pt>
                <c:pt idx="761">
                  <c:v>41332</c:v>
                </c:pt>
                <c:pt idx="762">
                  <c:v>41331</c:v>
                </c:pt>
                <c:pt idx="763">
                  <c:v>41330</c:v>
                </c:pt>
                <c:pt idx="764">
                  <c:v>41329</c:v>
                </c:pt>
                <c:pt idx="765">
                  <c:v>41328</c:v>
                </c:pt>
                <c:pt idx="766">
                  <c:v>41327</c:v>
                </c:pt>
                <c:pt idx="767">
                  <c:v>41326</c:v>
                </c:pt>
                <c:pt idx="768">
                  <c:v>41325</c:v>
                </c:pt>
                <c:pt idx="769">
                  <c:v>41324</c:v>
                </c:pt>
                <c:pt idx="770">
                  <c:v>41323</c:v>
                </c:pt>
                <c:pt idx="771">
                  <c:v>41322</c:v>
                </c:pt>
                <c:pt idx="772">
                  <c:v>41321</c:v>
                </c:pt>
                <c:pt idx="773">
                  <c:v>41320</c:v>
                </c:pt>
                <c:pt idx="774">
                  <c:v>41319</c:v>
                </c:pt>
                <c:pt idx="775">
                  <c:v>41318</c:v>
                </c:pt>
                <c:pt idx="776">
                  <c:v>41317</c:v>
                </c:pt>
                <c:pt idx="777">
                  <c:v>41316</c:v>
                </c:pt>
                <c:pt idx="778">
                  <c:v>41315</c:v>
                </c:pt>
                <c:pt idx="779">
                  <c:v>41314</c:v>
                </c:pt>
                <c:pt idx="780">
                  <c:v>41313</c:v>
                </c:pt>
                <c:pt idx="781">
                  <c:v>41312</c:v>
                </c:pt>
                <c:pt idx="782">
                  <c:v>41311</c:v>
                </c:pt>
                <c:pt idx="783">
                  <c:v>41310</c:v>
                </c:pt>
                <c:pt idx="784">
                  <c:v>41309</c:v>
                </c:pt>
                <c:pt idx="785">
                  <c:v>41308</c:v>
                </c:pt>
                <c:pt idx="786">
                  <c:v>41307</c:v>
                </c:pt>
                <c:pt idx="787">
                  <c:v>41306</c:v>
                </c:pt>
                <c:pt idx="788">
                  <c:v>41305</c:v>
                </c:pt>
                <c:pt idx="789">
                  <c:v>41304</c:v>
                </c:pt>
                <c:pt idx="790">
                  <c:v>41303</c:v>
                </c:pt>
                <c:pt idx="791">
                  <c:v>41302</c:v>
                </c:pt>
                <c:pt idx="792">
                  <c:v>41301</c:v>
                </c:pt>
                <c:pt idx="793">
                  <c:v>41300</c:v>
                </c:pt>
                <c:pt idx="794">
                  <c:v>41299</c:v>
                </c:pt>
                <c:pt idx="795">
                  <c:v>41298</c:v>
                </c:pt>
                <c:pt idx="796">
                  <c:v>41297</c:v>
                </c:pt>
                <c:pt idx="797">
                  <c:v>41296</c:v>
                </c:pt>
                <c:pt idx="798">
                  <c:v>41295</c:v>
                </c:pt>
                <c:pt idx="799">
                  <c:v>41294</c:v>
                </c:pt>
                <c:pt idx="800">
                  <c:v>41293</c:v>
                </c:pt>
                <c:pt idx="801">
                  <c:v>41292</c:v>
                </c:pt>
                <c:pt idx="802">
                  <c:v>41291</c:v>
                </c:pt>
                <c:pt idx="803">
                  <c:v>41290</c:v>
                </c:pt>
                <c:pt idx="804">
                  <c:v>41289</c:v>
                </c:pt>
                <c:pt idx="805">
                  <c:v>41288</c:v>
                </c:pt>
                <c:pt idx="806">
                  <c:v>41287</c:v>
                </c:pt>
                <c:pt idx="807">
                  <c:v>41286</c:v>
                </c:pt>
                <c:pt idx="808">
                  <c:v>41285</c:v>
                </c:pt>
                <c:pt idx="809">
                  <c:v>41284</c:v>
                </c:pt>
                <c:pt idx="810">
                  <c:v>41283</c:v>
                </c:pt>
                <c:pt idx="811">
                  <c:v>41282</c:v>
                </c:pt>
                <c:pt idx="812">
                  <c:v>41281</c:v>
                </c:pt>
                <c:pt idx="813">
                  <c:v>41280</c:v>
                </c:pt>
                <c:pt idx="814">
                  <c:v>41279</c:v>
                </c:pt>
                <c:pt idx="815">
                  <c:v>41278</c:v>
                </c:pt>
                <c:pt idx="816">
                  <c:v>41277</c:v>
                </c:pt>
                <c:pt idx="817">
                  <c:v>41276</c:v>
                </c:pt>
                <c:pt idx="818">
                  <c:v>41275</c:v>
                </c:pt>
                <c:pt idx="819">
                  <c:v>41274</c:v>
                </c:pt>
                <c:pt idx="820">
                  <c:v>41273</c:v>
                </c:pt>
                <c:pt idx="821">
                  <c:v>41272</c:v>
                </c:pt>
                <c:pt idx="822">
                  <c:v>41271</c:v>
                </c:pt>
                <c:pt idx="823">
                  <c:v>41270</c:v>
                </c:pt>
                <c:pt idx="824">
                  <c:v>41269</c:v>
                </c:pt>
                <c:pt idx="825">
                  <c:v>41268</c:v>
                </c:pt>
                <c:pt idx="826">
                  <c:v>41267</c:v>
                </c:pt>
                <c:pt idx="827">
                  <c:v>41266</c:v>
                </c:pt>
                <c:pt idx="828">
                  <c:v>41265</c:v>
                </c:pt>
                <c:pt idx="829">
                  <c:v>41264</c:v>
                </c:pt>
                <c:pt idx="830">
                  <c:v>41263</c:v>
                </c:pt>
                <c:pt idx="831">
                  <c:v>41262</c:v>
                </c:pt>
                <c:pt idx="832">
                  <c:v>41261</c:v>
                </c:pt>
                <c:pt idx="833">
                  <c:v>41260</c:v>
                </c:pt>
                <c:pt idx="834">
                  <c:v>41259</c:v>
                </c:pt>
                <c:pt idx="835">
                  <c:v>41258</c:v>
                </c:pt>
                <c:pt idx="836">
                  <c:v>41257</c:v>
                </c:pt>
                <c:pt idx="837">
                  <c:v>41256</c:v>
                </c:pt>
                <c:pt idx="838">
                  <c:v>41255</c:v>
                </c:pt>
                <c:pt idx="839">
                  <c:v>41254</c:v>
                </c:pt>
                <c:pt idx="840">
                  <c:v>41253</c:v>
                </c:pt>
                <c:pt idx="841">
                  <c:v>41252</c:v>
                </c:pt>
                <c:pt idx="842">
                  <c:v>41251</c:v>
                </c:pt>
                <c:pt idx="843">
                  <c:v>41250</c:v>
                </c:pt>
                <c:pt idx="844">
                  <c:v>41249</c:v>
                </c:pt>
                <c:pt idx="845">
                  <c:v>41248</c:v>
                </c:pt>
                <c:pt idx="846">
                  <c:v>41247</c:v>
                </c:pt>
                <c:pt idx="847">
                  <c:v>41246</c:v>
                </c:pt>
                <c:pt idx="848">
                  <c:v>41245</c:v>
                </c:pt>
                <c:pt idx="849">
                  <c:v>41244</c:v>
                </c:pt>
                <c:pt idx="850">
                  <c:v>41243</c:v>
                </c:pt>
                <c:pt idx="851">
                  <c:v>41242</c:v>
                </c:pt>
                <c:pt idx="852">
                  <c:v>41241</c:v>
                </c:pt>
                <c:pt idx="853">
                  <c:v>41240</c:v>
                </c:pt>
                <c:pt idx="854">
                  <c:v>41239</c:v>
                </c:pt>
                <c:pt idx="855">
                  <c:v>41238</c:v>
                </c:pt>
                <c:pt idx="856">
                  <c:v>41237</c:v>
                </c:pt>
                <c:pt idx="857">
                  <c:v>41236</c:v>
                </c:pt>
                <c:pt idx="858">
                  <c:v>41235</c:v>
                </c:pt>
                <c:pt idx="859">
                  <c:v>41234</c:v>
                </c:pt>
                <c:pt idx="860">
                  <c:v>41233</c:v>
                </c:pt>
                <c:pt idx="861">
                  <c:v>41232</c:v>
                </c:pt>
                <c:pt idx="862">
                  <c:v>41231</c:v>
                </c:pt>
                <c:pt idx="863">
                  <c:v>41230</c:v>
                </c:pt>
                <c:pt idx="864">
                  <c:v>41229</c:v>
                </c:pt>
                <c:pt idx="865">
                  <c:v>41228</c:v>
                </c:pt>
                <c:pt idx="866">
                  <c:v>41227</c:v>
                </c:pt>
                <c:pt idx="867">
                  <c:v>41226</c:v>
                </c:pt>
                <c:pt idx="868">
                  <c:v>41225</c:v>
                </c:pt>
                <c:pt idx="869">
                  <c:v>41224</c:v>
                </c:pt>
                <c:pt idx="870">
                  <c:v>41223</c:v>
                </c:pt>
                <c:pt idx="871">
                  <c:v>41222</c:v>
                </c:pt>
                <c:pt idx="872">
                  <c:v>41221</c:v>
                </c:pt>
                <c:pt idx="873">
                  <c:v>41220</c:v>
                </c:pt>
                <c:pt idx="874">
                  <c:v>41219</c:v>
                </c:pt>
                <c:pt idx="875">
                  <c:v>41218</c:v>
                </c:pt>
                <c:pt idx="876">
                  <c:v>41217</c:v>
                </c:pt>
                <c:pt idx="877">
                  <c:v>41216</c:v>
                </c:pt>
                <c:pt idx="878">
                  <c:v>41215</c:v>
                </c:pt>
                <c:pt idx="879">
                  <c:v>41214</c:v>
                </c:pt>
                <c:pt idx="880">
                  <c:v>41213</c:v>
                </c:pt>
                <c:pt idx="881">
                  <c:v>41212</c:v>
                </c:pt>
                <c:pt idx="882">
                  <c:v>41211</c:v>
                </c:pt>
                <c:pt idx="883">
                  <c:v>41210</c:v>
                </c:pt>
                <c:pt idx="884">
                  <c:v>41209</c:v>
                </c:pt>
                <c:pt idx="885">
                  <c:v>41208</c:v>
                </c:pt>
                <c:pt idx="886">
                  <c:v>41207</c:v>
                </c:pt>
                <c:pt idx="887">
                  <c:v>41206</c:v>
                </c:pt>
                <c:pt idx="888">
                  <c:v>41205</c:v>
                </c:pt>
                <c:pt idx="889">
                  <c:v>41204</c:v>
                </c:pt>
                <c:pt idx="890">
                  <c:v>41203</c:v>
                </c:pt>
                <c:pt idx="891">
                  <c:v>41202</c:v>
                </c:pt>
                <c:pt idx="892">
                  <c:v>41201</c:v>
                </c:pt>
                <c:pt idx="893">
                  <c:v>41200</c:v>
                </c:pt>
                <c:pt idx="894">
                  <c:v>41199</c:v>
                </c:pt>
                <c:pt idx="895">
                  <c:v>41198</c:v>
                </c:pt>
                <c:pt idx="896">
                  <c:v>41197</c:v>
                </c:pt>
                <c:pt idx="897">
                  <c:v>41196</c:v>
                </c:pt>
                <c:pt idx="898">
                  <c:v>41195</c:v>
                </c:pt>
                <c:pt idx="899">
                  <c:v>41194</c:v>
                </c:pt>
                <c:pt idx="900">
                  <c:v>41193</c:v>
                </c:pt>
                <c:pt idx="901">
                  <c:v>41192</c:v>
                </c:pt>
                <c:pt idx="902">
                  <c:v>41191</c:v>
                </c:pt>
                <c:pt idx="903">
                  <c:v>41190</c:v>
                </c:pt>
                <c:pt idx="904">
                  <c:v>41189</c:v>
                </c:pt>
                <c:pt idx="905">
                  <c:v>41188</c:v>
                </c:pt>
                <c:pt idx="906">
                  <c:v>41187</c:v>
                </c:pt>
                <c:pt idx="907">
                  <c:v>41186</c:v>
                </c:pt>
                <c:pt idx="908">
                  <c:v>41185</c:v>
                </c:pt>
                <c:pt idx="909">
                  <c:v>41184</c:v>
                </c:pt>
                <c:pt idx="910">
                  <c:v>41183</c:v>
                </c:pt>
                <c:pt idx="911">
                  <c:v>41182</c:v>
                </c:pt>
                <c:pt idx="912">
                  <c:v>41181</c:v>
                </c:pt>
                <c:pt idx="913">
                  <c:v>41180</c:v>
                </c:pt>
                <c:pt idx="914">
                  <c:v>41179</c:v>
                </c:pt>
                <c:pt idx="915">
                  <c:v>41178</c:v>
                </c:pt>
                <c:pt idx="916">
                  <c:v>41177</c:v>
                </c:pt>
                <c:pt idx="917">
                  <c:v>41176</c:v>
                </c:pt>
                <c:pt idx="918">
                  <c:v>41175</c:v>
                </c:pt>
                <c:pt idx="919">
                  <c:v>41174</c:v>
                </c:pt>
                <c:pt idx="920">
                  <c:v>41173</c:v>
                </c:pt>
                <c:pt idx="921">
                  <c:v>41172</c:v>
                </c:pt>
                <c:pt idx="922">
                  <c:v>41171</c:v>
                </c:pt>
                <c:pt idx="923">
                  <c:v>41170</c:v>
                </c:pt>
                <c:pt idx="924">
                  <c:v>41169</c:v>
                </c:pt>
                <c:pt idx="925">
                  <c:v>41168</c:v>
                </c:pt>
                <c:pt idx="926">
                  <c:v>41167</c:v>
                </c:pt>
                <c:pt idx="927">
                  <c:v>41166</c:v>
                </c:pt>
                <c:pt idx="928">
                  <c:v>41165</c:v>
                </c:pt>
                <c:pt idx="929">
                  <c:v>41164</c:v>
                </c:pt>
                <c:pt idx="930">
                  <c:v>41163</c:v>
                </c:pt>
                <c:pt idx="931">
                  <c:v>41162</c:v>
                </c:pt>
                <c:pt idx="932">
                  <c:v>41161</c:v>
                </c:pt>
                <c:pt idx="933">
                  <c:v>41160</c:v>
                </c:pt>
                <c:pt idx="934">
                  <c:v>41159</c:v>
                </c:pt>
                <c:pt idx="935">
                  <c:v>41158</c:v>
                </c:pt>
                <c:pt idx="936">
                  <c:v>41157</c:v>
                </c:pt>
                <c:pt idx="937">
                  <c:v>41156</c:v>
                </c:pt>
                <c:pt idx="938">
                  <c:v>41155</c:v>
                </c:pt>
                <c:pt idx="939">
                  <c:v>41154</c:v>
                </c:pt>
                <c:pt idx="940">
                  <c:v>41153</c:v>
                </c:pt>
                <c:pt idx="941">
                  <c:v>41152</c:v>
                </c:pt>
                <c:pt idx="942">
                  <c:v>41151</c:v>
                </c:pt>
                <c:pt idx="943">
                  <c:v>41150</c:v>
                </c:pt>
                <c:pt idx="944">
                  <c:v>41149</c:v>
                </c:pt>
                <c:pt idx="945">
                  <c:v>41148</c:v>
                </c:pt>
                <c:pt idx="946">
                  <c:v>41147</c:v>
                </c:pt>
                <c:pt idx="947">
                  <c:v>41146</c:v>
                </c:pt>
                <c:pt idx="948">
                  <c:v>41145</c:v>
                </c:pt>
                <c:pt idx="949">
                  <c:v>41144</c:v>
                </c:pt>
                <c:pt idx="950">
                  <c:v>41143</c:v>
                </c:pt>
                <c:pt idx="951">
                  <c:v>41142</c:v>
                </c:pt>
                <c:pt idx="952">
                  <c:v>41141</c:v>
                </c:pt>
                <c:pt idx="953">
                  <c:v>41140</c:v>
                </c:pt>
                <c:pt idx="954">
                  <c:v>41139</c:v>
                </c:pt>
                <c:pt idx="955">
                  <c:v>41138</c:v>
                </c:pt>
                <c:pt idx="956">
                  <c:v>41137</c:v>
                </c:pt>
                <c:pt idx="957">
                  <c:v>41136</c:v>
                </c:pt>
                <c:pt idx="958">
                  <c:v>41135</c:v>
                </c:pt>
                <c:pt idx="959">
                  <c:v>41134</c:v>
                </c:pt>
                <c:pt idx="960">
                  <c:v>41133</c:v>
                </c:pt>
                <c:pt idx="961">
                  <c:v>41132</c:v>
                </c:pt>
                <c:pt idx="962">
                  <c:v>41131</c:v>
                </c:pt>
                <c:pt idx="963">
                  <c:v>41130</c:v>
                </c:pt>
                <c:pt idx="964">
                  <c:v>41129</c:v>
                </c:pt>
                <c:pt idx="965">
                  <c:v>41128</c:v>
                </c:pt>
                <c:pt idx="966">
                  <c:v>41127</c:v>
                </c:pt>
                <c:pt idx="967">
                  <c:v>41126</c:v>
                </c:pt>
                <c:pt idx="968">
                  <c:v>41125</c:v>
                </c:pt>
                <c:pt idx="969">
                  <c:v>41124</c:v>
                </c:pt>
                <c:pt idx="970">
                  <c:v>41123</c:v>
                </c:pt>
                <c:pt idx="971">
                  <c:v>41122</c:v>
                </c:pt>
                <c:pt idx="972">
                  <c:v>41121</c:v>
                </c:pt>
                <c:pt idx="973">
                  <c:v>41120</c:v>
                </c:pt>
                <c:pt idx="974">
                  <c:v>41119</c:v>
                </c:pt>
                <c:pt idx="975">
                  <c:v>41118</c:v>
                </c:pt>
                <c:pt idx="976">
                  <c:v>41117</c:v>
                </c:pt>
                <c:pt idx="977">
                  <c:v>41116</c:v>
                </c:pt>
                <c:pt idx="978">
                  <c:v>41115</c:v>
                </c:pt>
                <c:pt idx="979">
                  <c:v>41114</c:v>
                </c:pt>
                <c:pt idx="980">
                  <c:v>41113</c:v>
                </c:pt>
                <c:pt idx="981">
                  <c:v>41112</c:v>
                </c:pt>
                <c:pt idx="982">
                  <c:v>41111</c:v>
                </c:pt>
                <c:pt idx="983">
                  <c:v>41110</c:v>
                </c:pt>
                <c:pt idx="984">
                  <c:v>41109</c:v>
                </c:pt>
                <c:pt idx="985">
                  <c:v>41108</c:v>
                </c:pt>
                <c:pt idx="986">
                  <c:v>41107</c:v>
                </c:pt>
                <c:pt idx="987">
                  <c:v>41106</c:v>
                </c:pt>
                <c:pt idx="988">
                  <c:v>41105</c:v>
                </c:pt>
                <c:pt idx="989">
                  <c:v>41104</c:v>
                </c:pt>
                <c:pt idx="990">
                  <c:v>41103</c:v>
                </c:pt>
                <c:pt idx="991">
                  <c:v>41102</c:v>
                </c:pt>
                <c:pt idx="992">
                  <c:v>41101</c:v>
                </c:pt>
                <c:pt idx="993">
                  <c:v>41100</c:v>
                </c:pt>
                <c:pt idx="994">
                  <c:v>41099</c:v>
                </c:pt>
                <c:pt idx="995">
                  <c:v>41098</c:v>
                </c:pt>
                <c:pt idx="996">
                  <c:v>41097</c:v>
                </c:pt>
                <c:pt idx="997">
                  <c:v>41096</c:v>
                </c:pt>
                <c:pt idx="998">
                  <c:v>41095</c:v>
                </c:pt>
                <c:pt idx="999">
                  <c:v>41094</c:v>
                </c:pt>
                <c:pt idx="1000">
                  <c:v>41093</c:v>
                </c:pt>
                <c:pt idx="1001">
                  <c:v>41092</c:v>
                </c:pt>
                <c:pt idx="1002">
                  <c:v>41091</c:v>
                </c:pt>
                <c:pt idx="1003">
                  <c:v>41090</c:v>
                </c:pt>
                <c:pt idx="1004">
                  <c:v>41089</c:v>
                </c:pt>
                <c:pt idx="1005">
                  <c:v>41088</c:v>
                </c:pt>
                <c:pt idx="1006">
                  <c:v>41087</c:v>
                </c:pt>
                <c:pt idx="1007">
                  <c:v>41086</c:v>
                </c:pt>
                <c:pt idx="1008">
                  <c:v>41085</c:v>
                </c:pt>
                <c:pt idx="1009">
                  <c:v>41084</c:v>
                </c:pt>
                <c:pt idx="1010">
                  <c:v>41083</c:v>
                </c:pt>
                <c:pt idx="1011">
                  <c:v>41082</c:v>
                </c:pt>
                <c:pt idx="1012">
                  <c:v>41081</c:v>
                </c:pt>
                <c:pt idx="1013">
                  <c:v>41080</c:v>
                </c:pt>
                <c:pt idx="1014">
                  <c:v>41079</c:v>
                </c:pt>
                <c:pt idx="1015">
                  <c:v>41078</c:v>
                </c:pt>
                <c:pt idx="1016">
                  <c:v>41077</c:v>
                </c:pt>
                <c:pt idx="1017">
                  <c:v>41076</c:v>
                </c:pt>
                <c:pt idx="1018">
                  <c:v>41075</c:v>
                </c:pt>
                <c:pt idx="1019">
                  <c:v>41074</c:v>
                </c:pt>
                <c:pt idx="1020">
                  <c:v>41073</c:v>
                </c:pt>
                <c:pt idx="1021">
                  <c:v>41072</c:v>
                </c:pt>
                <c:pt idx="1022">
                  <c:v>41071</c:v>
                </c:pt>
                <c:pt idx="1023">
                  <c:v>41070</c:v>
                </c:pt>
                <c:pt idx="1024">
                  <c:v>41069</c:v>
                </c:pt>
                <c:pt idx="1025">
                  <c:v>41068</c:v>
                </c:pt>
                <c:pt idx="1026">
                  <c:v>41067</c:v>
                </c:pt>
                <c:pt idx="1027">
                  <c:v>41066</c:v>
                </c:pt>
                <c:pt idx="1028">
                  <c:v>41065</c:v>
                </c:pt>
                <c:pt idx="1029">
                  <c:v>41064</c:v>
                </c:pt>
                <c:pt idx="1030">
                  <c:v>41063</c:v>
                </c:pt>
                <c:pt idx="1031">
                  <c:v>41062</c:v>
                </c:pt>
                <c:pt idx="1032">
                  <c:v>41061</c:v>
                </c:pt>
                <c:pt idx="1033">
                  <c:v>41060</c:v>
                </c:pt>
                <c:pt idx="1034">
                  <c:v>41059</c:v>
                </c:pt>
                <c:pt idx="1035">
                  <c:v>41058</c:v>
                </c:pt>
                <c:pt idx="1036">
                  <c:v>41057</c:v>
                </c:pt>
                <c:pt idx="1037">
                  <c:v>41056</c:v>
                </c:pt>
                <c:pt idx="1038">
                  <c:v>41055</c:v>
                </c:pt>
                <c:pt idx="1039">
                  <c:v>41054</c:v>
                </c:pt>
                <c:pt idx="1040">
                  <c:v>41053</c:v>
                </c:pt>
                <c:pt idx="1041">
                  <c:v>41052</c:v>
                </c:pt>
                <c:pt idx="1042">
                  <c:v>41051</c:v>
                </c:pt>
                <c:pt idx="1043">
                  <c:v>41050</c:v>
                </c:pt>
                <c:pt idx="1044">
                  <c:v>41049</c:v>
                </c:pt>
                <c:pt idx="1045">
                  <c:v>41048</c:v>
                </c:pt>
                <c:pt idx="1046">
                  <c:v>41047</c:v>
                </c:pt>
                <c:pt idx="1047">
                  <c:v>41046</c:v>
                </c:pt>
                <c:pt idx="1048">
                  <c:v>41045</c:v>
                </c:pt>
                <c:pt idx="1049">
                  <c:v>41044</c:v>
                </c:pt>
                <c:pt idx="1050">
                  <c:v>41043</c:v>
                </c:pt>
                <c:pt idx="1051">
                  <c:v>41042</c:v>
                </c:pt>
                <c:pt idx="1052">
                  <c:v>41041</c:v>
                </c:pt>
                <c:pt idx="1053">
                  <c:v>41040</c:v>
                </c:pt>
                <c:pt idx="1054">
                  <c:v>41039</c:v>
                </c:pt>
                <c:pt idx="1055">
                  <c:v>41038</c:v>
                </c:pt>
                <c:pt idx="1056">
                  <c:v>41037</c:v>
                </c:pt>
                <c:pt idx="1057">
                  <c:v>41036</c:v>
                </c:pt>
                <c:pt idx="1058">
                  <c:v>41034</c:v>
                </c:pt>
                <c:pt idx="1059">
                  <c:v>41033</c:v>
                </c:pt>
                <c:pt idx="1060">
                  <c:v>41032</c:v>
                </c:pt>
                <c:pt idx="1061">
                  <c:v>41031</c:v>
                </c:pt>
                <c:pt idx="1062">
                  <c:v>41030</c:v>
                </c:pt>
                <c:pt idx="1063">
                  <c:v>41029</c:v>
                </c:pt>
                <c:pt idx="1064">
                  <c:v>41028</c:v>
                </c:pt>
                <c:pt idx="1065">
                  <c:v>41027</c:v>
                </c:pt>
                <c:pt idx="1066">
                  <c:v>41026</c:v>
                </c:pt>
                <c:pt idx="1067">
                  <c:v>41025</c:v>
                </c:pt>
                <c:pt idx="1068">
                  <c:v>41024</c:v>
                </c:pt>
                <c:pt idx="1069">
                  <c:v>41023</c:v>
                </c:pt>
                <c:pt idx="1070">
                  <c:v>41022</c:v>
                </c:pt>
                <c:pt idx="1071">
                  <c:v>41021</c:v>
                </c:pt>
                <c:pt idx="1072">
                  <c:v>41020</c:v>
                </c:pt>
                <c:pt idx="1073">
                  <c:v>41019</c:v>
                </c:pt>
                <c:pt idx="1074">
                  <c:v>41018</c:v>
                </c:pt>
                <c:pt idx="1075">
                  <c:v>41017</c:v>
                </c:pt>
                <c:pt idx="1076">
                  <c:v>41016</c:v>
                </c:pt>
                <c:pt idx="1077">
                  <c:v>41015</c:v>
                </c:pt>
                <c:pt idx="1078">
                  <c:v>41014</c:v>
                </c:pt>
                <c:pt idx="1079">
                  <c:v>41013</c:v>
                </c:pt>
                <c:pt idx="1080">
                  <c:v>41012</c:v>
                </c:pt>
                <c:pt idx="1081">
                  <c:v>41011</c:v>
                </c:pt>
                <c:pt idx="1082">
                  <c:v>41010</c:v>
                </c:pt>
                <c:pt idx="1083">
                  <c:v>41009</c:v>
                </c:pt>
                <c:pt idx="1084">
                  <c:v>41008</c:v>
                </c:pt>
                <c:pt idx="1085">
                  <c:v>41007</c:v>
                </c:pt>
                <c:pt idx="1086">
                  <c:v>41006</c:v>
                </c:pt>
                <c:pt idx="1087">
                  <c:v>41005</c:v>
                </c:pt>
                <c:pt idx="1088">
                  <c:v>41004</c:v>
                </c:pt>
                <c:pt idx="1089">
                  <c:v>41003</c:v>
                </c:pt>
                <c:pt idx="1090">
                  <c:v>41002</c:v>
                </c:pt>
                <c:pt idx="1091">
                  <c:v>41001</c:v>
                </c:pt>
                <c:pt idx="1092">
                  <c:v>41000</c:v>
                </c:pt>
                <c:pt idx="1093">
                  <c:v>40999</c:v>
                </c:pt>
                <c:pt idx="1094">
                  <c:v>40998</c:v>
                </c:pt>
                <c:pt idx="1095">
                  <c:v>40997</c:v>
                </c:pt>
                <c:pt idx="1096">
                  <c:v>40996</c:v>
                </c:pt>
                <c:pt idx="1097">
                  <c:v>40995</c:v>
                </c:pt>
                <c:pt idx="1098">
                  <c:v>40994</c:v>
                </c:pt>
                <c:pt idx="1099">
                  <c:v>40992</c:v>
                </c:pt>
                <c:pt idx="1100">
                  <c:v>40991</c:v>
                </c:pt>
                <c:pt idx="1101">
                  <c:v>40990</c:v>
                </c:pt>
                <c:pt idx="1102">
                  <c:v>40989</c:v>
                </c:pt>
                <c:pt idx="1103">
                  <c:v>40988</c:v>
                </c:pt>
                <c:pt idx="1104">
                  <c:v>40987</c:v>
                </c:pt>
                <c:pt idx="1105">
                  <c:v>40986</c:v>
                </c:pt>
                <c:pt idx="1106">
                  <c:v>40985</c:v>
                </c:pt>
                <c:pt idx="1107">
                  <c:v>40984</c:v>
                </c:pt>
                <c:pt idx="1108">
                  <c:v>40983</c:v>
                </c:pt>
                <c:pt idx="1109">
                  <c:v>40982</c:v>
                </c:pt>
                <c:pt idx="1110">
                  <c:v>40981</c:v>
                </c:pt>
                <c:pt idx="1111">
                  <c:v>40980</c:v>
                </c:pt>
                <c:pt idx="1112">
                  <c:v>40979</c:v>
                </c:pt>
                <c:pt idx="1113">
                  <c:v>40978</c:v>
                </c:pt>
                <c:pt idx="1114">
                  <c:v>40977</c:v>
                </c:pt>
                <c:pt idx="1115">
                  <c:v>40976</c:v>
                </c:pt>
                <c:pt idx="1116">
                  <c:v>40975</c:v>
                </c:pt>
                <c:pt idx="1117">
                  <c:v>40974</c:v>
                </c:pt>
                <c:pt idx="1118">
                  <c:v>40973</c:v>
                </c:pt>
                <c:pt idx="1119">
                  <c:v>40972</c:v>
                </c:pt>
                <c:pt idx="1120">
                  <c:v>40971</c:v>
                </c:pt>
                <c:pt idx="1121">
                  <c:v>40970</c:v>
                </c:pt>
                <c:pt idx="1122">
                  <c:v>40969</c:v>
                </c:pt>
                <c:pt idx="1123">
                  <c:v>40968</c:v>
                </c:pt>
                <c:pt idx="1124">
                  <c:v>40967</c:v>
                </c:pt>
                <c:pt idx="1125">
                  <c:v>40966</c:v>
                </c:pt>
                <c:pt idx="1126">
                  <c:v>40965</c:v>
                </c:pt>
                <c:pt idx="1127">
                  <c:v>40964</c:v>
                </c:pt>
                <c:pt idx="1128">
                  <c:v>40963</c:v>
                </c:pt>
                <c:pt idx="1129">
                  <c:v>40962</c:v>
                </c:pt>
                <c:pt idx="1130">
                  <c:v>40961</c:v>
                </c:pt>
                <c:pt idx="1131">
                  <c:v>40960</c:v>
                </c:pt>
                <c:pt idx="1132">
                  <c:v>40959</c:v>
                </c:pt>
                <c:pt idx="1133">
                  <c:v>40958</c:v>
                </c:pt>
                <c:pt idx="1134">
                  <c:v>40957</c:v>
                </c:pt>
                <c:pt idx="1135">
                  <c:v>40956</c:v>
                </c:pt>
                <c:pt idx="1136">
                  <c:v>40955</c:v>
                </c:pt>
                <c:pt idx="1137">
                  <c:v>40954</c:v>
                </c:pt>
                <c:pt idx="1138">
                  <c:v>40953</c:v>
                </c:pt>
                <c:pt idx="1139">
                  <c:v>40952</c:v>
                </c:pt>
                <c:pt idx="1140">
                  <c:v>40951</c:v>
                </c:pt>
                <c:pt idx="1141">
                  <c:v>40950</c:v>
                </c:pt>
                <c:pt idx="1142">
                  <c:v>40949</c:v>
                </c:pt>
                <c:pt idx="1143">
                  <c:v>40948</c:v>
                </c:pt>
                <c:pt idx="1144">
                  <c:v>40947</c:v>
                </c:pt>
                <c:pt idx="1145">
                  <c:v>40946</c:v>
                </c:pt>
                <c:pt idx="1146">
                  <c:v>40945</c:v>
                </c:pt>
                <c:pt idx="1147">
                  <c:v>40944</c:v>
                </c:pt>
                <c:pt idx="1148">
                  <c:v>40943</c:v>
                </c:pt>
                <c:pt idx="1149">
                  <c:v>40942</c:v>
                </c:pt>
                <c:pt idx="1150">
                  <c:v>40941</c:v>
                </c:pt>
                <c:pt idx="1151">
                  <c:v>40940</c:v>
                </c:pt>
                <c:pt idx="1152">
                  <c:v>40939</c:v>
                </c:pt>
                <c:pt idx="1153">
                  <c:v>40938</c:v>
                </c:pt>
                <c:pt idx="1154">
                  <c:v>40937</c:v>
                </c:pt>
                <c:pt idx="1155">
                  <c:v>40936</c:v>
                </c:pt>
                <c:pt idx="1156">
                  <c:v>40935</c:v>
                </c:pt>
                <c:pt idx="1157">
                  <c:v>40934</c:v>
                </c:pt>
                <c:pt idx="1158">
                  <c:v>40933</c:v>
                </c:pt>
                <c:pt idx="1159">
                  <c:v>40932</c:v>
                </c:pt>
                <c:pt idx="1160">
                  <c:v>40931</c:v>
                </c:pt>
                <c:pt idx="1161">
                  <c:v>40930</c:v>
                </c:pt>
                <c:pt idx="1162">
                  <c:v>40929</c:v>
                </c:pt>
                <c:pt idx="1163">
                  <c:v>40928</c:v>
                </c:pt>
                <c:pt idx="1164">
                  <c:v>40927</c:v>
                </c:pt>
                <c:pt idx="1165">
                  <c:v>40926</c:v>
                </c:pt>
                <c:pt idx="1166">
                  <c:v>40925</c:v>
                </c:pt>
                <c:pt idx="1167">
                  <c:v>40924</c:v>
                </c:pt>
                <c:pt idx="1168">
                  <c:v>40923</c:v>
                </c:pt>
                <c:pt idx="1169">
                  <c:v>40922</c:v>
                </c:pt>
                <c:pt idx="1170">
                  <c:v>40921</c:v>
                </c:pt>
                <c:pt idx="1171">
                  <c:v>40920</c:v>
                </c:pt>
                <c:pt idx="1172">
                  <c:v>40919</c:v>
                </c:pt>
                <c:pt idx="1173">
                  <c:v>40918</c:v>
                </c:pt>
                <c:pt idx="1174">
                  <c:v>40917</c:v>
                </c:pt>
                <c:pt idx="1175">
                  <c:v>40916</c:v>
                </c:pt>
                <c:pt idx="1176">
                  <c:v>40915</c:v>
                </c:pt>
                <c:pt idx="1177">
                  <c:v>40914</c:v>
                </c:pt>
                <c:pt idx="1178">
                  <c:v>40913</c:v>
                </c:pt>
                <c:pt idx="1179">
                  <c:v>40912</c:v>
                </c:pt>
                <c:pt idx="1180">
                  <c:v>40911</c:v>
                </c:pt>
                <c:pt idx="1181">
                  <c:v>40910</c:v>
                </c:pt>
                <c:pt idx="1182">
                  <c:v>40909</c:v>
                </c:pt>
                <c:pt idx="1183">
                  <c:v>40908</c:v>
                </c:pt>
                <c:pt idx="1184">
                  <c:v>40907</c:v>
                </c:pt>
                <c:pt idx="1185">
                  <c:v>40906</c:v>
                </c:pt>
                <c:pt idx="1186">
                  <c:v>40905</c:v>
                </c:pt>
                <c:pt idx="1187">
                  <c:v>40904</c:v>
                </c:pt>
                <c:pt idx="1188">
                  <c:v>40903</c:v>
                </c:pt>
                <c:pt idx="1189">
                  <c:v>40902</c:v>
                </c:pt>
                <c:pt idx="1190">
                  <c:v>40901</c:v>
                </c:pt>
                <c:pt idx="1191">
                  <c:v>40900</c:v>
                </c:pt>
                <c:pt idx="1192">
                  <c:v>40899</c:v>
                </c:pt>
                <c:pt idx="1193">
                  <c:v>40898</c:v>
                </c:pt>
                <c:pt idx="1194">
                  <c:v>40897</c:v>
                </c:pt>
                <c:pt idx="1195">
                  <c:v>40896</c:v>
                </c:pt>
                <c:pt idx="1196">
                  <c:v>40895</c:v>
                </c:pt>
                <c:pt idx="1197">
                  <c:v>40894</c:v>
                </c:pt>
                <c:pt idx="1198">
                  <c:v>40893</c:v>
                </c:pt>
                <c:pt idx="1199">
                  <c:v>40892</c:v>
                </c:pt>
                <c:pt idx="1200">
                  <c:v>40891</c:v>
                </c:pt>
                <c:pt idx="1201">
                  <c:v>40890</c:v>
                </c:pt>
                <c:pt idx="1202">
                  <c:v>40889</c:v>
                </c:pt>
                <c:pt idx="1203">
                  <c:v>40888</c:v>
                </c:pt>
                <c:pt idx="1204">
                  <c:v>40887</c:v>
                </c:pt>
                <c:pt idx="1205">
                  <c:v>40886</c:v>
                </c:pt>
                <c:pt idx="1206">
                  <c:v>40885</c:v>
                </c:pt>
                <c:pt idx="1207">
                  <c:v>40884</c:v>
                </c:pt>
                <c:pt idx="1208">
                  <c:v>40883</c:v>
                </c:pt>
                <c:pt idx="1209">
                  <c:v>40882</c:v>
                </c:pt>
                <c:pt idx="1210">
                  <c:v>40881</c:v>
                </c:pt>
                <c:pt idx="1211">
                  <c:v>40880</c:v>
                </c:pt>
                <c:pt idx="1212">
                  <c:v>40879</c:v>
                </c:pt>
                <c:pt idx="1213">
                  <c:v>40878</c:v>
                </c:pt>
                <c:pt idx="1214">
                  <c:v>40877</c:v>
                </c:pt>
                <c:pt idx="1215">
                  <c:v>40876</c:v>
                </c:pt>
                <c:pt idx="1216">
                  <c:v>40875</c:v>
                </c:pt>
                <c:pt idx="1217">
                  <c:v>40874</c:v>
                </c:pt>
                <c:pt idx="1218">
                  <c:v>40873</c:v>
                </c:pt>
                <c:pt idx="1219">
                  <c:v>40872</c:v>
                </c:pt>
                <c:pt idx="1220">
                  <c:v>40871</c:v>
                </c:pt>
                <c:pt idx="1221">
                  <c:v>40870</c:v>
                </c:pt>
                <c:pt idx="1222">
                  <c:v>40869</c:v>
                </c:pt>
                <c:pt idx="1223">
                  <c:v>40868</c:v>
                </c:pt>
                <c:pt idx="1224">
                  <c:v>40867</c:v>
                </c:pt>
                <c:pt idx="1225">
                  <c:v>40866</c:v>
                </c:pt>
                <c:pt idx="1226">
                  <c:v>40865</c:v>
                </c:pt>
                <c:pt idx="1227">
                  <c:v>40864</c:v>
                </c:pt>
                <c:pt idx="1228">
                  <c:v>40863</c:v>
                </c:pt>
                <c:pt idx="1229">
                  <c:v>40862</c:v>
                </c:pt>
                <c:pt idx="1230">
                  <c:v>40861</c:v>
                </c:pt>
                <c:pt idx="1231">
                  <c:v>40860</c:v>
                </c:pt>
                <c:pt idx="1232">
                  <c:v>40859</c:v>
                </c:pt>
                <c:pt idx="1233">
                  <c:v>40858</c:v>
                </c:pt>
                <c:pt idx="1234">
                  <c:v>40857</c:v>
                </c:pt>
                <c:pt idx="1235">
                  <c:v>40856</c:v>
                </c:pt>
                <c:pt idx="1236">
                  <c:v>40855</c:v>
                </c:pt>
                <c:pt idx="1237">
                  <c:v>40854</c:v>
                </c:pt>
                <c:pt idx="1238">
                  <c:v>40853</c:v>
                </c:pt>
                <c:pt idx="1239">
                  <c:v>40852</c:v>
                </c:pt>
                <c:pt idx="1240">
                  <c:v>40851</c:v>
                </c:pt>
                <c:pt idx="1241">
                  <c:v>40850</c:v>
                </c:pt>
                <c:pt idx="1242">
                  <c:v>40849</c:v>
                </c:pt>
                <c:pt idx="1243">
                  <c:v>40848</c:v>
                </c:pt>
                <c:pt idx="1244">
                  <c:v>40847</c:v>
                </c:pt>
                <c:pt idx="1245">
                  <c:v>40846</c:v>
                </c:pt>
                <c:pt idx="1246">
                  <c:v>40845</c:v>
                </c:pt>
                <c:pt idx="1247">
                  <c:v>40844</c:v>
                </c:pt>
                <c:pt idx="1248">
                  <c:v>40843</c:v>
                </c:pt>
                <c:pt idx="1249">
                  <c:v>40842</c:v>
                </c:pt>
                <c:pt idx="1250">
                  <c:v>40841</c:v>
                </c:pt>
                <c:pt idx="1251">
                  <c:v>40840</c:v>
                </c:pt>
                <c:pt idx="1252">
                  <c:v>40839</c:v>
                </c:pt>
                <c:pt idx="1253">
                  <c:v>40838</c:v>
                </c:pt>
                <c:pt idx="1254">
                  <c:v>40837</c:v>
                </c:pt>
                <c:pt idx="1255">
                  <c:v>40836</c:v>
                </c:pt>
                <c:pt idx="1256">
                  <c:v>40835</c:v>
                </c:pt>
                <c:pt idx="1257">
                  <c:v>40834</c:v>
                </c:pt>
                <c:pt idx="1258">
                  <c:v>40833</c:v>
                </c:pt>
                <c:pt idx="1259">
                  <c:v>40832</c:v>
                </c:pt>
                <c:pt idx="1260">
                  <c:v>40831</c:v>
                </c:pt>
                <c:pt idx="1261">
                  <c:v>40830</c:v>
                </c:pt>
                <c:pt idx="1262">
                  <c:v>40829</c:v>
                </c:pt>
                <c:pt idx="1263">
                  <c:v>40828</c:v>
                </c:pt>
                <c:pt idx="1264">
                  <c:v>40827</c:v>
                </c:pt>
                <c:pt idx="1265">
                  <c:v>40826</c:v>
                </c:pt>
                <c:pt idx="1266">
                  <c:v>40825</c:v>
                </c:pt>
                <c:pt idx="1267">
                  <c:v>40824</c:v>
                </c:pt>
                <c:pt idx="1268">
                  <c:v>40823</c:v>
                </c:pt>
                <c:pt idx="1269">
                  <c:v>40822</c:v>
                </c:pt>
                <c:pt idx="1270">
                  <c:v>40821</c:v>
                </c:pt>
                <c:pt idx="1271">
                  <c:v>40820</c:v>
                </c:pt>
                <c:pt idx="1272">
                  <c:v>40819</c:v>
                </c:pt>
                <c:pt idx="1273">
                  <c:v>40818</c:v>
                </c:pt>
                <c:pt idx="1274">
                  <c:v>40817</c:v>
                </c:pt>
                <c:pt idx="1275">
                  <c:v>40816</c:v>
                </c:pt>
                <c:pt idx="1276">
                  <c:v>40815</c:v>
                </c:pt>
                <c:pt idx="1277">
                  <c:v>40814</c:v>
                </c:pt>
                <c:pt idx="1278">
                  <c:v>40813</c:v>
                </c:pt>
                <c:pt idx="1279">
                  <c:v>40812</c:v>
                </c:pt>
                <c:pt idx="1280">
                  <c:v>40811</c:v>
                </c:pt>
                <c:pt idx="1281">
                  <c:v>40810</c:v>
                </c:pt>
                <c:pt idx="1282">
                  <c:v>40809</c:v>
                </c:pt>
                <c:pt idx="1283">
                  <c:v>40808</c:v>
                </c:pt>
                <c:pt idx="1284">
                  <c:v>40807</c:v>
                </c:pt>
                <c:pt idx="1285">
                  <c:v>40806</c:v>
                </c:pt>
                <c:pt idx="1286">
                  <c:v>40805</c:v>
                </c:pt>
                <c:pt idx="1287">
                  <c:v>40804</c:v>
                </c:pt>
                <c:pt idx="1288">
                  <c:v>40803</c:v>
                </c:pt>
                <c:pt idx="1289">
                  <c:v>40802</c:v>
                </c:pt>
                <c:pt idx="1290">
                  <c:v>40801</c:v>
                </c:pt>
                <c:pt idx="1291">
                  <c:v>40800</c:v>
                </c:pt>
                <c:pt idx="1292">
                  <c:v>40799</c:v>
                </c:pt>
                <c:pt idx="1293">
                  <c:v>40798</c:v>
                </c:pt>
                <c:pt idx="1294">
                  <c:v>40797</c:v>
                </c:pt>
                <c:pt idx="1295">
                  <c:v>40796</c:v>
                </c:pt>
                <c:pt idx="1296">
                  <c:v>40795</c:v>
                </c:pt>
                <c:pt idx="1297">
                  <c:v>40794</c:v>
                </c:pt>
                <c:pt idx="1298">
                  <c:v>40793</c:v>
                </c:pt>
                <c:pt idx="1299">
                  <c:v>40792</c:v>
                </c:pt>
                <c:pt idx="1300">
                  <c:v>40791</c:v>
                </c:pt>
                <c:pt idx="1301">
                  <c:v>40790</c:v>
                </c:pt>
                <c:pt idx="1302">
                  <c:v>40789</c:v>
                </c:pt>
                <c:pt idx="1303">
                  <c:v>40788</c:v>
                </c:pt>
                <c:pt idx="1304">
                  <c:v>40787</c:v>
                </c:pt>
                <c:pt idx="1305">
                  <c:v>40786</c:v>
                </c:pt>
                <c:pt idx="1306">
                  <c:v>40785</c:v>
                </c:pt>
                <c:pt idx="1307">
                  <c:v>40784</c:v>
                </c:pt>
                <c:pt idx="1308">
                  <c:v>40783</c:v>
                </c:pt>
                <c:pt idx="1309">
                  <c:v>40782</c:v>
                </c:pt>
                <c:pt idx="1310">
                  <c:v>40781</c:v>
                </c:pt>
                <c:pt idx="1311">
                  <c:v>40780</c:v>
                </c:pt>
                <c:pt idx="1312">
                  <c:v>40779</c:v>
                </c:pt>
                <c:pt idx="1313">
                  <c:v>40778</c:v>
                </c:pt>
                <c:pt idx="1314">
                  <c:v>40777</c:v>
                </c:pt>
                <c:pt idx="1315">
                  <c:v>40776</c:v>
                </c:pt>
                <c:pt idx="1316">
                  <c:v>40775</c:v>
                </c:pt>
                <c:pt idx="1317">
                  <c:v>40774</c:v>
                </c:pt>
                <c:pt idx="1318">
                  <c:v>40773</c:v>
                </c:pt>
                <c:pt idx="1319">
                  <c:v>40772</c:v>
                </c:pt>
                <c:pt idx="1320">
                  <c:v>40771</c:v>
                </c:pt>
                <c:pt idx="1321">
                  <c:v>40770</c:v>
                </c:pt>
                <c:pt idx="1322">
                  <c:v>40769</c:v>
                </c:pt>
                <c:pt idx="1323">
                  <c:v>40768</c:v>
                </c:pt>
                <c:pt idx="1324">
                  <c:v>40767</c:v>
                </c:pt>
                <c:pt idx="1325">
                  <c:v>40766</c:v>
                </c:pt>
                <c:pt idx="1326">
                  <c:v>40765</c:v>
                </c:pt>
                <c:pt idx="1327">
                  <c:v>40764</c:v>
                </c:pt>
                <c:pt idx="1328">
                  <c:v>40763</c:v>
                </c:pt>
                <c:pt idx="1329">
                  <c:v>40762</c:v>
                </c:pt>
                <c:pt idx="1330">
                  <c:v>40761</c:v>
                </c:pt>
                <c:pt idx="1331">
                  <c:v>40760</c:v>
                </c:pt>
                <c:pt idx="1332">
                  <c:v>40759</c:v>
                </c:pt>
                <c:pt idx="1333">
                  <c:v>40758</c:v>
                </c:pt>
                <c:pt idx="1334">
                  <c:v>40757</c:v>
                </c:pt>
                <c:pt idx="1335">
                  <c:v>40756</c:v>
                </c:pt>
                <c:pt idx="1336">
                  <c:v>40755</c:v>
                </c:pt>
                <c:pt idx="1337">
                  <c:v>40754</c:v>
                </c:pt>
                <c:pt idx="1338">
                  <c:v>40753</c:v>
                </c:pt>
                <c:pt idx="1339">
                  <c:v>40752</c:v>
                </c:pt>
                <c:pt idx="1340">
                  <c:v>40751</c:v>
                </c:pt>
                <c:pt idx="1341">
                  <c:v>40750</c:v>
                </c:pt>
                <c:pt idx="1342">
                  <c:v>40749</c:v>
                </c:pt>
                <c:pt idx="1343">
                  <c:v>40748</c:v>
                </c:pt>
                <c:pt idx="1344">
                  <c:v>40747</c:v>
                </c:pt>
                <c:pt idx="1345">
                  <c:v>40746</c:v>
                </c:pt>
                <c:pt idx="1346">
                  <c:v>40745</c:v>
                </c:pt>
                <c:pt idx="1347">
                  <c:v>40744</c:v>
                </c:pt>
                <c:pt idx="1348">
                  <c:v>40743</c:v>
                </c:pt>
                <c:pt idx="1349">
                  <c:v>40742</c:v>
                </c:pt>
                <c:pt idx="1350">
                  <c:v>40741</c:v>
                </c:pt>
                <c:pt idx="1351">
                  <c:v>40740</c:v>
                </c:pt>
                <c:pt idx="1352">
                  <c:v>40739</c:v>
                </c:pt>
                <c:pt idx="1353">
                  <c:v>40738</c:v>
                </c:pt>
                <c:pt idx="1354">
                  <c:v>40737</c:v>
                </c:pt>
                <c:pt idx="1355">
                  <c:v>40736</c:v>
                </c:pt>
                <c:pt idx="1356">
                  <c:v>40735</c:v>
                </c:pt>
                <c:pt idx="1357">
                  <c:v>40734</c:v>
                </c:pt>
                <c:pt idx="1358">
                  <c:v>40733</c:v>
                </c:pt>
                <c:pt idx="1359">
                  <c:v>40732</c:v>
                </c:pt>
                <c:pt idx="1360">
                  <c:v>40731</c:v>
                </c:pt>
                <c:pt idx="1361">
                  <c:v>40730</c:v>
                </c:pt>
                <c:pt idx="1362">
                  <c:v>40729</c:v>
                </c:pt>
                <c:pt idx="1363">
                  <c:v>40728</c:v>
                </c:pt>
                <c:pt idx="1364">
                  <c:v>40727</c:v>
                </c:pt>
                <c:pt idx="1365">
                  <c:v>40726</c:v>
                </c:pt>
                <c:pt idx="1366">
                  <c:v>40725</c:v>
                </c:pt>
                <c:pt idx="1367">
                  <c:v>40724</c:v>
                </c:pt>
                <c:pt idx="1368">
                  <c:v>40723</c:v>
                </c:pt>
                <c:pt idx="1369">
                  <c:v>40722</c:v>
                </c:pt>
                <c:pt idx="1370">
                  <c:v>40721</c:v>
                </c:pt>
                <c:pt idx="1371">
                  <c:v>40720</c:v>
                </c:pt>
                <c:pt idx="1372">
                  <c:v>40719</c:v>
                </c:pt>
                <c:pt idx="1373">
                  <c:v>40718</c:v>
                </c:pt>
                <c:pt idx="1374">
                  <c:v>40717</c:v>
                </c:pt>
                <c:pt idx="1375">
                  <c:v>40716</c:v>
                </c:pt>
                <c:pt idx="1376">
                  <c:v>40715</c:v>
                </c:pt>
                <c:pt idx="1377">
                  <c:v>40714</c:v>
                </c:pt>
                <c:pt idx="1378">
                  <c:v>40713</c:v>
                </c:pt>
                <c:pt idx="1379">
                  <c:v>40712</c:v>
                </c:pt>
                <c:pt idx="1380">
                  <c:v>40711</c:v>
                </c:pt>
                <c:pt idx="1381">
                  <c:v>40710</c:v>
                </c:pt>
                <c:pt idx="1382">
                  <c:v>40709</c:v>
                </c:pt>
                <c:pt idx="1383">
                  <c:v>40708</c:v>
                </c:pt>
                <c:pt idx="1384">
                  <c:v>40707</c:v>
                </c:pt>
                <c:pt idx="1385">
                  <c:v>40706</c:v>
                </c:pt>
                <c:pt idx="1386">
                  <c:v>40705</c:v>
                </c:pt>
                <c:pt idx="1387">
                  <c:v>40704</c:v>
                </c:pt>
                <c:pt idx="1388">
                  <c:v>40703</c:v>
                </c:pt>
                <c:pt idx="1389">
                  <c:v>40702</c:v>
                </c:pt>
                <c:pt idx="1390">
                  <c:v>40701</c:v>
                </c:pt>
                <c:pt idx="1391">
                  <c:v>40700</c:v>
                </c:pt>
                <c:pt idx="1392">
                  <c:v>40699</c:v>
                </c:pt>
                <c:pt idx="1393">
                  <c:v>40698</c:v>
                </c:pt>
                <c:pt idx="1394">
                  <c:v>40697</c:v>
                </c:pt>
                <c:pt idx="1395">
                  <c:v>40696</c:v>
                </c:pt>
                <c:pt idx="1396">
                  <c:v>40695</c:v>
                </c:pt>
                <c:pt idx="1397">
                  <c:v>40694</c:v>
                </c:pt>
                <c:pt idx="1398">
                  <c:v>40693</c:v>
                </c:pt>
                <c:pt idx="1399">
                  <c:v>40692</c:v>
                </c:pt>
                <c:pt idx="1400">
                  <c:v>40691</c:v>
                </c:pt>
                <c:pt idx="1401">
                  <c:v>40690</c:v>
                </c:pt>
                <c:pt idx="1402">
                  <c:v>40689</c:v>
                </c:pt>
                <c:pt idx="1403">
                  <c:v>40688</c:v>
                </c:pt>
                <c:pt idx="1404">
                  <c:v>40687</c:v>
                </c:pt>
                <c:pt idx="1405">
                  <c:v>40686</c:v>
                </c:pt>
                <c:pt idx="1406">
                  <c:v>40685</c:v>
                </c:pt>
                <c:pt idx="1407">
                  <c:v>40684</c:v>
                </c:pt>
                <c:pt idx="1408">
                  <c:v>40683</c:v>
                </c:pt>
                <c:pt idx="1409">
                  <c:v>40682</c:v>
                </c:pt>
                <c:pt idx="1410">
                  <c:v>40681</c:v>
                </c:pt>
                <c:pt idx="1411">
                  <c:v>40680</c:v>
                </c:pt>
                <c:pt idx="1412">
                  <c:v>40679</c:v>
                </c:pt>
                <c:pt idx="1413">
                  <c:v>40678</c:v>
                </c:pt>
                <c:pt idx="1414">
                  <c:v>40677</c:v>
                </c:pt>
                <c:pt idx="1415">
                  <c:v>40676</c:v>
                </c:pt>
                <c:pt idx="1416">
                  <c:v>40675</c:v>
                </c:pt>
                <c:pt idx="1417">
                  <c:v>40674</c:v>
                </c:pt>
                <c:pt idx="1418">
                  <c:v>40673</c:v>
                </c:pt>
                <c:pt idx="1419">
                  <c:v>40672</c:v>
                </c:pt>
                <c:pt idx="1420">
                  <c:v>40671</c:v>
                </c:pt>
                <c:pt idx="1421">
                  <c:v>40670</c:v>
                </c:pt>
                <c:pt idx="1422">
                  <c:v>40669</c:v>
                </c:pt>
                <c:pt idx="1423">
                  <c:v>40668</c:v>
                </c:pt>
                <c:pt idx="1424">
                  <c:v>40667</c:v>
                </c:pt>
                <c:pt idx="1425">
                  <c:v>40666</c:v>
                </c:pt>
                <c:pt idx="1426">
                  <c:v>40665</c:v>
                </c:pt>
                <c:pt idx="1427">
                  <c:v>40664</c:v>
                </c:pt>
                <c:pt idx="1428">
                  <c:v>40663</c:v>
                </c:pt>
                <c:pt idx="1429">
                  <c:v>40662</c:v>
                </c:pt>
                <c:pt idx="1430">
                  <c:v>40661</c:v>
                </c:pt>
                <c:pt idx="1431">
                  <c:v>40660</c:v>
                </c:pt>
                <c:pt idx="1432">
                  <c:v>40659</c:v>
                </c:pt>
                <c:pt idx="1433">
                  <c:v>40658</c:v>
                </c:pt>
                <c:pt idx="1434">
                  <c:v>40657</c:v>
                </c:pt>
                <c:pt idx="1435">
                  <c:v>40656</c:v>
                </c:pt>
                <c:pt idx="1436">
                  <c:v>40655</c:v>
                </c:pt>
                <c:pt idx="1437">
                  <c:v>40654</c:v>
                </c:pt>
                <c:pt idx="1438">
                  <c:v>40653</c:v>
                </c:pt>
                <c:pt idx="1439">
                  <c:v>40652</c:v>
                </c:pt>
                <c:pt idx="1440">
                  <c:v>40651</c:v>
                </c:pt>
                <c:pt idx="1441">
                  <c:v>40650</c:v>
                </c:pt>
                <c:pt idx="1442">
                  <c:v>40649</c:v>
                </c:pt>
                <c:pt idx="1443">
                  <c:v>40648</c:v>
                </c:pt>
                <c:pt idx="1444">
                  <c:v>40647</c:v>
                </c:pt>
                <c:pt idx="1445">
                  <c:v>40646</c:v>
                </c:pt>
                <c:pt idx="1446">
                  <c:v>40645</c:v>
                </c:pt>
                <c:pt idx="1447">
                  <c:v>40644</c:v>
                </c:pt>
                <c:pt idx="1448">
                  <c:v>40643</c:v>
                </c:pt>
                <c:pt idx="1449">
                  <c:v>40642</c:v>
                </c:pt>
                <c:pt idx="1450">
                  <c:v>40641</c:v>
                </c:pt>
                <c:pt idx="1451">
                  <c:v>40640</c:v>
                </c:pt>
                <c:pt idx="1452">
                  <c:v>40639</c:v>
                </c:pt>
                <c:pt idx="1453">
                  <c:v>40638</c:v>
                </c:pt>
                <c:pt idx="1454">
                  <c:v>40637</c:v>
                </c:pt>
                <c:pt idx="1455">
                  <c:v>40636</c:v>
                </c:pt>
                <c:pt idx="1456">
                  <c:v>40635</c:v>
                </c:pt>
                <c:pt idx="1457">
                  <c:v>40634</c:v>
                </c:pt>
                <c:pt idx="1458">
                  <c:v>40633</c:v>
                </c:pt>
                <c:pt idx="1459">
                  <c:v>40632</c:v>
                </c:pt>
                <c:pt idx="1460">
                  <c:v>40631</c:v>
                </c:pt>
                <c:pt idx="1461">
                  <c:v>40630</c:v>
                </c:pt>
                <c:pt idx="1462">
                  <c:v>40629</c:v>
                </c:pt>
                <c:pt idx="1463">
                  <c:v>40628</c:v>
                </c:pt>
                <c:pt idx="1464">
                  <c:v>40627</c:v>
                </c:pt>
                <c:pt idx="1465">
                  <c:v>40626</c:v>
                </c:pt>
                <c:pt idx="1466">
                  <c:v>40625</c:v>
                </c:pt>
                <c:pt idx="1467">
                  <c:v>40624</c:v>
                </c:pt>
                <c:pt idx="1468">
                  <c:v>40623</c:v>
                </c:pt>
                <c:pt idx="1469">
                  <c:v>40622</c:v>
                </c:pt>
                <c:pt idx="1470">
                  <c:v>40621</c:v>
                </c:pt>
                <c:pt idx="1471">
                  <c:v>40620</c:v>
                </c:pt>
                <c:pt idx="1472">
                  <c:v>40619</c:v>
                </c:pt>
                <c:pt idx="1473">
                  <c:v>40618</c:v>
                </c:pt>
                <c:pt idx="1474">
                  <c:v>40617</c:v>
                </c:pt>
                <c:pt idx="1475">
                  <c:v>40616</c:v>
                </c:pt>
                <c:pt idx="1476">
                  <c:v>40615</c:v>
                </c:pt>
                <c:pt idx="1477">
                  <c:v>40614</c:v>
                </c:pt>
                <c:pt idx="1478">
                  <c:v>40613</c:v>
                </c:pt>
                <c:pt idx="1479">
                  <c:v>40612</c:v>
                </c:pt>
                <c:pt idx="1480">
                  <c:v>40611</c:v>
                </c:pt>
                <c:pt idx="1481">
                  <c:v>40610</c:v>
                </c:pt>
                <c:pt idx="1482">
                  <c:v>40609</c:v>
                </c:pt>
                <c:pt idx="1483">
                  <c:v>40608</c:v>
                </c:pt>
                <c:pt idx="1484">
                  <c:v>40607</c:v>
                </c:pt>
                <c:pt idx="1485">
                  <c:v>40606</c:v>
                </c:pt>
                <c:pt idx="1486">
                  <c:v>40605</c:v>
                </c:pt>
                <c:pt idx="1487">
                  <c:v>40604</c:v>
                </c:pt>
                <c:pt idx="1488">
                  <c:v>40603</c:v>
                </c:pt>
                <c:pt idx="1489">
                  <c:v>40602</c:v>
                </c:pt>
                <c:pt idx="1490">
                  <c:v>40601</c:v>
                </c:pt>
                <c:pt idx="1491">
                  <c:v>40600</c:v>
                </c:pt>
                <c:pt idx="1492">
                  <c:v>40599</c:v>
                </c:pt>
                <c:pt idx="1493">
                  <c:v>40598</c:v>
                </c:pt>
                <c:pt idx="1494">
                  <c:v>40597</c:v>
                </c:pt>
                <c:pt idx="1495">
                  <c:v>40596</c:v>
                </c:pt>
                <c:pt idx="1496">
                  <c:v>40595</c:v>
                </c:pt>
                <c:pt idx="1497">
                  <c:v>40594</c:v>
                </c:pt>
                <c:pt idx="1498">
                  <c:v>40593</c:v>
                </c:pt>
                <c:pt idx="1499">
                  <c:v>40592</c:v>
                </c:pt>
                <c:pt idx="1500">
                  <c:v>40591</c:v>
                </c:pt>
                <c:pt idx="1501">
                  <c:v>40590</c:v>
                </c:pt>
                <c:pt idx="1502">
                  <c:v>40589</c:v>
                </c:pt>
                <c:pt idx="1503">
                  <c:v>40588</c:v>
                </c:pt>
                <c:pt idx="1504">
                  <c:v>40587</c:v>
                </c:pt>
                <c:pt idx="1505">
                  <c:v>40585</c:v>
                </c:pt>
                <c:pt idx="1506">
                  <c:v>40584</c:v>
                </c:pt>
                <c:pt idx="1507">
                  <c:v>40583</c:v>
                </c:pt>
                <c:pt idx="1508">
                  <c:v>40582</c:v>
                </c:pt>
                <c:pt idx="1509">
                  <c:v>40581</c:v>
                </c:pt>
                <c:pt idx="1510">
                  <c:v>40579</c:v>
                </c:pt>
                <c:pt idx="1511">
                  <c:v>40578</c:v>
                </c:pt>
                <c:pt idx="1512">
                  <c:v>40577</c:v>
                </c:pt>
                <c:pt idx="1513">
                  <c:v>40576</c:v>
                </c:pt>
                <c:pt idx="1514">
                  <c:v>40575</c:v>
                </c:pt>
                <c:pt idx="1515">
                  <c:v>40574</c:v>
                </c:pt>
                <c:pt idx="1516">
                  <c:v>40573</c:v>
                </c:pt>
                <c:pt idx="1517">
                  <c:v>40572</c:v>
                </c:pt>
                <c:pt idx="1518">
                  <c:v>40571</c:v>
                </c:pt>
                <c:pt idx="1519">
                  <c:v>40570</c:v>
                </c:pt>
                <c:pt idx="1520">
                  <c:v>40569</c:v>
                </c:pt>
                <c:pt idx="1521">
                  <c:v>40568</c:v>
                </c:pt>
                <c:pt idx="1522">
                  <c:v>40567</c:v>
                </c:pt>
                <c:pt idx="1523">
                  <c:v>40565</c:v>
                </c:pt>
                <c:pt idx="1524">
                  <c:v>40564</c:v>
                </c:pt>
                <c:pt idx="1525">
                  <c:v>40563</c:v>
                </c:pt>
                <c:pt idx="1526">
                  <c:v>40562</c:v>
                </c:pt>
                <c:pt idx="1527">
                  <c:v>40561</c:v>
                </c:pt>
                <c:pt idx="1528">
                  <c:v>40560</c:v>
                </c:pt>
                <c:pt idx="1529">
                  <c:v>40559</c:v>
                </c:pt>
                <c:pt idx="1530">
                  <c:v>40558</c:v>
                </c:pt>
                <c:pt idx="1531">
                  <c:v>40557</c:v>
                </c:pt>
                <c:pt idx="1532">
                  <c:v>40556</c:v>
                </c:pt>
                <c:pt idx="1533">
                  <c:v>40555</c:v>
                </c:pt>
                <c:pt idx="1534">
                  <c:v>40554</c:v>
                </c:pt>
                <c:pt idx="1535">
                  <c:v>40553</c:v>
                </c:pt>
                <c:pt idx="1536">
                  <c:v>40552</c:v>
                </c:pt>
                <c:pt idx="1537">
                  <c:v>40551</c:v>
                </c:pt>
                <c:pt idx="1538">
                  <c:v>40550</c:v>
                </c:pt>
                <c:pt idx="1539">
                  <c:v>40549</c:v>
                </c:pt>
                <c:pt idx="1540">
                  <c:v>40548</c:v>
                </c:pt>
                <c:pt idx="1541">
                  <c:v>40547</c:v>
                </c:pt>
                <c:pt idx="1542">
                  <c:v>40546</c:v>
                </c:pt>
                <c:pt idx="1543">
                  <c:v>40545</c:v>
                </c:pt>
                <c:pt idx="1544">
                  <c:v>40544</c:v>
                </c:pt>
                <c:pt idx="1545">
                  <c:v>40543</c:v>
                </c:pt>
                <c:pt idx="1546">
                  <c:v>40542</c:v>
                </c:pt>
                <c:pt idx="1547">
                  <c:v>40541</c:v>
                </c:pt>
                <c:pt idx="1548">
                  <c:v>40540</c:v>
                </c:pt>
                <c:pt idx="1549">
                  <c:v>40539</c:v>
                </c:pt>
                <c:pt idx="1550">
                  <c:v>40538</c:v>
                </c:pt>
                <c:pt idx="1551">
                  <c:v>40537</c:v>
                </c:pt>
                <c:pt idx="1552">
                  <c:v>40536</c:v>
                </c:pt>
                <c:pt idx="1553">
                  <c:v>40535</c:v>
                </c:pt>
                <c:pt idx="1554">
                  <c:v>40534</c:v>
                </c:pt>
                <c:pt idx="1555">
                  <c:v>40533</c:v>
                </c:pt>
                <c:pt idx="1556">
                  <c:v>40532</c:v>
                </c:pt>
                <c:pt idx="1557">
                  <c:v>40531</c:v>
                </c:pt>
                <c:pt idx="1558">
                  <c:v>40530</c:v>
                </c:pt>
                <c:pt idx="1559">
                  <c:v>40529</c:v>
                </c:pt>
                <c:pt idx="1560">
                  <c:v>40528</c:v>
                </c:pt>
                <c:pt idx="1561">
                  <c:v>40527</c:v>
                </c:pt>
                <c:pt idx="1562">
                  <c:v>40526</c:v>
                </c:pt>
                <c:pt idx="1563">
                  <c:v>40525</c:v>
                </c:pt>
                <c:pt idx="1564">
                  <c:v>40523</c:v>
                </c:pt>
                <c:pt idx="1565">
                  <c:v>40522</c:v>
                </c:pt>
                <c:pt idx="1566">
                  <c:v>40521</c:v>
                </c:pt>
                <c:pt idx="1567">
                  <c:v>40520</c:v>
                </c:pt>
                <c:pt idx="1568">
                  <c:v>40519</c:v>
                </c:pt>
                <c:pt idx="1569">
                  <c:v>40518</c:v>
                </c:pt>
                <c:pt idx="1570">
                  <c:v>40516</c:v>
                </c:pt>
                <c:pt idx="1571">
                  <c:v>40515</c:v>
                </c:pt>
                <c:pt idx="1572">
                  <c:v>40514</c:v>
                </c:pt>
                <c:pt idx="1573">
                  <c:v>40513</c:v>
                </c:pt>
                <c:pt idx="1574">
                  <c:v>40512</c:v>
                </c:pt>
                <c:pt idx="1575">
                  <c:v>40511</c:v>
                </c:pt>
                <c:pt idx="1576">
                  <c:v>40510</c:v>
                </c:pt>
                <c:pt idx="1577">
                  <c:v>40508</c:v>
                </c:pt>
                <c:pt idx="1578">
                  <c:v>40507</c:v>
                </c:pt>
                <c:pt idx="1579">
                  <c:v>40506</c:v>
                </c:pt>
                <c:pt idx="1580">
                  <c:v>40505</c:v>
                </c:pt>
                <c:pt idx="1581">
                  <c:v>40504</c:v>
                </c:pt>
                <c:pt idx="1582">
                  <c:v>40502</c:v>
                </c:pt>
                <c:pt idx="1583">
                  <c:v>40501</c:v>
                </c:pt>
                <c:pt idx="1584">
                  <c:v>40500</c:v>
                </c:pt>
                <c:pt idx="1585">
                  <c:v>40499</c:v>
                </c:pt>
                <c:pt idx="1586">
                  <c:v>40498</c:v>
                </c:pt>
                <c:pt idx="1587">
                  <c:v>40497</c:v>
                </c:pt>
                <c:pt idx="1588">
                  <c:v>40495</c:v>
                </c:pt>
                <c:pt idx="1589">
                  <c:v>40494</c:v>
                </c:pt>
                <c:pt idx="1590">
                  <c:v>40493</c:v>
                </c:pt>
                <c:pt idx="1591">
                  <c:v>40492</c:v>
                </c:pt>
                <c:pt idx="1592">
                  <c:v>40491</c:v>
                </c:pt>
                <c:pt idx="1593">
                  <c:v>40490</c:v>
                </c:pt>
                <c:pt idx="1594">
                  <c:v>40489</c:v>
                </c:pt>
                <c:pt idx="1595">
                  <c:v>40488</c:v>
                </c:pt>
                <c:pt idx="1596">
                  <c:v>40487</c:v>
                </c:pt>
                <c:pt idx="1597">
                  <c:v>40486</c:v>
                </c:pt>
                <c:pt idx="1598">
                  <c:v>40485</c:v>
                </c:pt>
                <c:pt idx="1599">
                  <c:v>40484</c:v>
                </c:pt>
                <c:pt idx="1600">
                  <c:v>40483</c:v>
                </c:pt>
                <c:pt idx="1601">
                  <c:v>40482</c:v>
                </c:pt>
                <c:pt idx="1602">
                  <c:v>40481</c:v>
                </c:pt>
                <c:pt idx="1603">
                  <c:v>40480</c:v>
                </c:pt>
                <c:pt idx="1604">
                  <c:v>40479</c:v>
                </c:pt>
                <c:pt idx="1605">
                  <c:v>40478</c:v>
                </c:pt>
                <c:pt idx="1606">
                  <c:v>40477</c:v>
                </c:pt>
                <c:pt idx="1607">
                  <c:v>40476</c:v>
                </c:pt>
                <c:pt idx="1608">
                  <c:v>40475</c:v>
                </c:pt>
                <c:pt idx="1609">
                  <c:v>40473</c:v>
                </c:pt>
                <c:pt idx="1610">
                  <c:v>40472</c:v>
                </c:pt>
                <c:pt idx="1611">
                  <c:v>40471</c:v>
                </c:pt>
                <c:pt idx="1612">
                  <c:v>40470</c:v>
                </c:pt>
                <c:pt idx="1613">
                  <c:v>40469</c:v>
                </c:pt>
                <c:pt idx="1614">
                  <c:v>40467</c:v>
                </c:pt>
                <c:pt idx="1615">
                  <c:v>40466</c:v>
                </c:pt>
                <c:pt idx="1616">
                  <c:v>40465</c:v>
                </c:pt>
                <c:pt idx="1617">
                  <c:v>40464</c:v>
                </c:pt>
                <c:pt idx="1618">
                  <c:v>40463</c:v>
                </c:pt>
                <c:pt idx="1619">
                  <c:v>40462</c:v>
                </c:pt>
                <c:pt idx="1620">
                  <c:v>40461</c:v>
                </c:pt>
                <c:pt idx="1621">
                  <c:v>40460</c:v>
                </c:pt>
                <c:pt idx="1622">
                  <c:v>40459</c:v>
                </c:pt>
                <c:pt idx="1623">
                  <c:v>40458</c:v>
                </c:pt>
                <c:pt idx="1624">
                  <c:v>40457</c:v>
                </c:pt>
                <c:pt idx="1625">
                  <c:v>40456</c:v>
                </c:pt>
                <c:pt idx="1626">
                  <c:v>40455</c:v>
                </c:pt>
                <c:pt idx="1627">
                  <c:v>40454</c:v>
                </c:pt>
                <c:pt idx="1628">
                  <c:v>40452</c:v>
                </c:pt>
                <c:pt idx="1629">
                  <c:v>40451</c:v>
                </c:pt>
                <c:pt idx="1630">
                  <c:v>40450</c:v>
                </c:pt>
                <c:pt idx="1631">
                  <c:v>40449</c:v>
                </c:pt>
                <c:pt idx="1632">
                  <c:v>40448</c:v>
                </c:pt>
                <c:pt idx="1633">
                  <c:v>40447</c:v>
                </c:pt>
                <c:pt idx="1634">
                  <c:v>40446</c:v>
                </c:pt>
                <c:pt idx="1635">
                  <c:v>40445</c:v>
                </c:pt>
                <c:pt idx="1636">
                  <c:v>40444</c:v>
                </c:pt>
                <c:pt idx="1637">
                  <c:v>40443</c:v>
                </c:pt>
                <c:pt idx="1638">
                  <c:v>40442</c:v>
                </c:pt>
                <c:pt idx="1639">
                  <c:v>40441</c:v>
                </c:pt>
                <c:pt idx="1640">
                  <c:v>40438</c:v>
                </c:pt>
                <c:pt idx="1641">
                  <c:v>40437</c:v>
                </c:pt>
                <c:pt idx="1642">
                  <c:v>40436</c:v>
                </c:pt>
                <c:pt idx="1643">
                  <c:v>40435</c:v>
                </c:pt>
                <c:pt idx="1644">
                  <c:v>40434</c:v>
                </c:pt>
                <c:pt idx="1645">
                  <c:v>40431</c:v>
                </c:pt>
                <c:pt idx="1646">
                  <c:v>40430</c:v>
                </c:pt>
                <c:pt idx="1647">
                  <c:v>40429</c:v>
                </c:pt>
                <c:pt idx="1648">
                  <c:v>40428</c:v>
                </c:pt>
                <c:pt idx="1649">
                  <c:v>40427</c:v>
                </c:pt>
                <c:pt idx="1650">
                  <c:v>40424</c:v>
                </c:pt>
                <c:pt idx="1651">
                  <c:v>40423</c:v>
                </c:pt>
                <c:pt idx="1652">
                  <c:v>40422</c:v>
                </c:pt>
                <c:pt idx="1653">
                  <c:v>40421</c:v>
                </c:pt>
                <c:pt idx="1654">
                  <c:v>40420</c:v>
                </c:pt>
                <c:pt idx="1655">
                  <c:v>40417</c:v>
                </c:pt>
                <c:pt idx="1656">
                  <c:v>40416</c:v>
                </c:pt>
                <c:pt idx="1657">
                  <c:v>40415</c:v>
                </c:pt>
                <c:pt idx="1658">
                  <c:v>40414</c:v>
                </c:pt>
                <c:pt idx="1659">
                  <c:v>40413</c:v>
                </c:pt>
                <c:pt idx="1660">
                  <c:v>40410</c:v>
                </c:pt>
                <c:pt idx="1661">
                  <c:v>40409</c:v>
                </c:pt>
                <c:pt idx="1662">
                  <c:v>40408</c:v>
                </c:pt>
                <c:pt idx="1663">
                  <c:v>40407</c:v>
                </c:pt>
                <c:pt idx="1664">
                  <c:v>40406</c:v>
                </c:pt>
                <c:pt idx="1665">
                  <c:v>40403</c:v>
                </c:pt>
                <c:pt idx="1666">
                  <c:v>40402</c:v>
                </c:pt>
                <c:pt idx="1667">
                  <c:v>40401</c:v>
                </c:pt>
                <c:pt idx="1668">
                  <c:v>40400</c:v>
                </c:pt>
                <c:pt idx="1669">
                  <c:v>40399</c:v>
                </c:pt>
                <c:pt idx="1670">
                  <c:v>40396</c:v>
                </c:pt>
                <c:pt idx="1671">
                  <c:v>40395</c:v>
                </c:pt>
                <c:pt idx="1672">
                  <c:v>40394</c:v>
                </c:pt>
                <c:pt idx="1673">
                  <c:v>40393</c:v>
                </c:pt>
                <c:pt idx="1674">
                  <c:v>40392</c:v>
                </c:pt>
                <c:pt idx="1675">
                  <c:v>40389</c:v>
                </c:pt>
                <c:pt idx="1676">
                  <c:v>40388</c:v>
                </c:pt>
                <c:pt idx="1677">
                  <c:v>40387</c:v>
                </c:pt>
                <c:pt idx="1678">
                  <c:v>40386</c:v>
                </c:pt>
                <c:pt idx="1679">
                  <c:v>40385</c:v>
                </c:pt>
                <c:pt idx="1680">
                  <c:v>40382</c:v>
                </c:pt>
                <c:pt idx="1681">
                  <c:v>40381</c:v>
                </c:pt>
                <c:pt idx="1682">
                  <c:v>40380</c:v>
                </c:pt>
                <c:pt idx="1683">
                  <c:v>40379</c:v>
                </c:pt>
                <c:pt idx="1684">
                  <c:v>40378</c:v>
                </c:pt>
                <c:pt idx="1685">
                  <c:v>40375</c:v>
                </c:pt>
                <c:pt idx="1686">
                  <c:v>40374</c:v>
                </c:pt>
                <c:pt idx="1687">
                  <c:v>40373</c:v>
                </c:pt>
                <c:pt idx="1688">
                  <c:v>40372</c:v>
                </c:pt>
                <c:pt idx="1689">
                  <c:v>40371</c:v>
                </c:pt>
                <c:pt idx="1690">
                  <c:v>40368</c:v>
                </c:pt>
                <c:pt idx="1691">
                  <c:v>40367</c:v>
                </c:pt>
                <c:pt idx="1692">
                  <c:v>40366</c:v>
                </c:pt>
                <c:pt idx="1693">
                  <c:v>40365</c:v>
                </c:pt>
                <c:pt idx="1694">
                  <c:v>40364</c:v>
                </c:pt>
                <c:pt idx="1695">
                  <c:v>40363</c:v>
                </c:pt>
                <c:pt idx="1696">
                  <c:v>40362</c:v>
                </c:pt>
                <c:pt idx="1697">
                  <c:v>40361</c:v>
                </c:pt>
                <c:pt idx="1698">
                  <c:v>40360</c:v>
                </c:pt>
                <c:pt idx="1699">
                  <c:v>40359</c:v>
                </c:pt>
                <c:pt idx="1700">
                  <c:v>40358</c:v>
                </c:pt>
                <c:pt idx="1701">
                  <c:v>40357</c:v>
                </c:pt>
                <c:pt idx="1702">
                  <c:v>40356</c:v>
                </c:pt>
                <c:pt idx="1703">
                  <c:v>40355</c:v>
                </c:pt>
                <c:pt idx="1704">
                  <c:v>40354</c:v>
                </c:pt>
                <c:pt idx="1705">
                  <c:v>40353</c:v>
                </c:pt>
                <c:pt idx="1706">
                  <c:v>40352</c:v>
                </c:pt>
                <c:pt idx="1707">
                  <c:v>40351</c:v>
                </c:pt>
                <c:pt idx="1708">
                  <c:v>40350</c:v>
                </c:pt>
                <c:pt idx="1709">
                  <c:v>40349</c:v>
                </c:pt>
                <c:pt idx="1710">
                  <c:v>40348</c:v>
                </c:pt>
                <c:pt idx="1711">
                  <c:v>40347</c:v>
                </c:pt>
                <c:pt idx="1712">
                  <c:v>40346</c:v>
                </c:pt>
                <c:pt idx="1713">
                  <c:v>40345</c:v>
                </c:pt>
                <c:pt idx="1714">
                  <c:v>40344</c:v>
                </c:pt>
                <c:pt idx="1715">
                  <c:v>40343</c:v>
                </c:pt>
                <c:pt idx="1716">
                  <c:v>40342</c:v>
                </c:pt>
                <c:pt idx="1717">
                  <c:v>40341</c:v>
                </c:pt>
                <c:pt idx="1718">
                  <c:v>40340</c:v>
                </c:pt>
                <c:pt idx="1719">
                  <c:v>40339</c:v>
                </c:pt>
                <c:pt idx="1720">
                  <c:v>40338</c:v>
                </c:pt>
                <c:pt idx="1721">
                  <c:v>40337</c:v>
                </c:pt>
                <c:pt idx="1722">
                  <c:v>40336</c:v>
                </c:pt>
                <c:pt idx="1723">
                  <c:v>40335</c:v>
                </c:pt>
                <c:pt idx="1724">
                  <c:v>40334</c:v>
                </c:pt>
                <c:pt idx="1725">
                  <c:v>40333</c:v>
                </c:pt>
                <c:pt idx="1726">
                  <c:v>40332</c:v>
                </c:pt>
                <c:pt idx="1727">
                  <c:v>40331</c:v>
                </c:pt>
                <c:pt idx="1728">
                  <c:v>40330</c:v>
                </c:pt>
                <c:pt idx="1729">
                  <c:v>40329</c:v>
                </c:pt>
                <c:pt idx="1730">
                  <c:v>40328</c:v>
                </c:pt>
                <c:pt idx="1731">
                  <c:v>40327</c:v>
                </c:pt>
                <c:pt idx="1732">
                  <c:v>40326</c:v>
                </c:pt>
                <c:pt idx="1733">
                  <c:v>40325</c:v>
                </c:pt>
                <c:pt idx="1734">
                  <c:v>40324</c:v>
                </c:pt>
                <c:pt idx="1735">
                  <c:v>40323</c:v>
                </c:pt>
                <c:pt idx="1736">
                  <c:v>40322</c:v>
                </c:pt>
                <c:pt idx="1737">
                  <c:v>40321</c:v>
                </c:pt>
                <c:pt idx="1738">
                  <c:v>40320</c:v>
                </c:pt>
                <c:pt idx="1739">
                  <c:v>40319</c:v>
                </c:pt>
                <c:pt idx="1740">
                  <c:v>40318</c:v>
                </c:pt>
                <c:pt idx="1741">
                  <c:v>40317</c:v>
                </c:pt>
                <c:pt idx="1742">
                  <c:v>40316</c:v>
                </c:pt>
                <c:pt idx="1743">
                  <c:v>40315</c:v>
                </c:pt>
                <c:pt idx="1744">
                  <c:v>40314</c:v>
                </c:pt>
                <c:pt idx="1745">
                  <c:v>40313</c:v>
                </c:pt>
                <c:pt idx="1746">
                  <c:v>40312</c:v>
                </c:pt>
                <c:pt idx="1747">
                  <c:v>40311</c:v>
                </c:pt>
                <c:pt idx="1748">
                  <c:v>40310</c:v>
                </c:pt>
                <c:pt idx="1749">
                  <c:v>40309</c:v>
                </c:pt>
                <c:pt idx="1750">
                  <c:v>40308</c:v>
                </c:pt>
                <c:pt idx="1751">
                  <c:v>40305</c:v>
                </c:pt>
                <c:pt idx="1752">
                  <c:v>40304</c:v>
                </c:pt>
                <c:pt idx="1753">
                  <c:v>40303</c:v>
                </c:pt>
                <c:pt idx="1754">
                  <c:v>40302</c:v>
                </c:pt>
                <c:pt idx="1755">
                  <c:v>40301</c:v>
                </c:pt>
                <c:pt idx="1756">
                  <c:v>40300</c:v>
                </c:pt>
                <c:pt idx="1757">
                  <c:v>40299</c:v>
                </c:pt>
                <c:pt idx="1758">
                  <c:v>40298</c:v>
                </c:pt>
                <c:pt idx="1759">
                  <c:v>40297</c:v>
                </c:pt>
                <c:pt idx="1760">
                  <c:v>40296</c:v>
                </c:pt>
                <c:pt idx="1761">
                  <c:v>40295</c:v>
                </c:pt>
                <c:pt idx="1762">
                  <c:v>40294</c:v>
                </c:pt>
                <c:pt idx="1763">
                  <c:v>40293</c:v>
                </c:pt>
                <c:pt idx="1764">
                  <c:v>40292</c:v>
                </c:pt>
                <c:pt idx="1765">
                  <c:v>40291</c:v>
                </c:pt>
                <c:pt idx="1766">
                  <c:v>40290</c:v>
                </c:pt>
                <c:pt idx="1767">
                  <c:v>40289</c:v>
                </c:pt>
                <c:pt idx="1768">
                  <c:v>40288</c:v>
                </c:pt>
                <c:pt idx="1769">
                  <c:v>40287</c:v>
                </c:pt>
                <c:pt idx="1770">
                  <c:v>40286</c:v>
                </c:pt>
                <c:pt idx="1771">
                  <c:v>40284</c:v>
                </c:pt>
                <c:pt idx="1772">
                  <c:v>40283</c:v>
                </c:pt>
                <c:pt idx="1773">
                  <c:v>40282</c:v>
                </c:pt>
                <c:pt idx="1774">
                  <c:v>40281</c:v>
                </c:pt>
                <c:pt idx="1775">
                  <c:v>40280</c:v>
                </c:pt>
                <c:pt idx="1776">
                  <c:v>40279</c:v>
                </c:pt>
                <c:pt idx="1777">
                  <c:v>40278</c:v>
                </c:pt>
                <c:pt idx="1778">
                  <c:v>40277</c:v>
                </c:pt>
                <c:pt idx="1779">
                  <c:v>40276</c:v>
                </c:pt>
                <c:pt idx="1780">
                  <c:v>40275</c:v>
                </c:pt>
                <c:pt idx="1781">
                  <c:v>40274</c:v>
                </c:pt>
                <c:pt idx="1782">
                  <c:v>40273</c:v>
                </c:pt>
                <c:pt idx="1783">
                  <c:v>40272</c:v>
                </c:pt>
                <c:pt idx="1784">
                  <c:v>40271</c:v>
                </c:pt>
                <c:pt idx="1785">
                  <c:v>40270</c:v>
                </c:pt>
                <c:pt idx="1786">
                  <c:v>40269</c:v>
                </c:pt>
                <c:pt idx="1787">
                  <c:v>40268</c:v>
                </c:pt>
                <c:pt idx="1788">
                  <c:v>40267</c:v>
                </c:pt>
                <c:pt idx="1789">
                  <c:v>40266</c:v>
                </c:pt>
                <c:pt idx="1790">
                  <c:v>40265</c:v>
                </c:pt>
                <c:pt idx="1791">
                  <c:v>40264</c:v>
                </c:pt>
                <c:pt idx="1792">
                  <c:v>40263</c:v>
                </c:pt>
                <c:pt idx="1793">
                  <c:v>40262</c:v>
                </c:pt>
                <c:pt idx="1794">
                  <c:v>40261</c:v>
                </c:pt>
                <c:pt idx="1795">
                  <c:v>40260</c:v>
                </c:pt>
                <c:pt idx="1796">
                  <c:v>40259</c:v>
                </c:pt>
                <c:pt idx="1797">
                  <c:v>40258</c:v>
                </c:pt>
                <c:pt idx="1798">
                  <c:v>40257</c:v>
                </c:pt>
                <c:pt idx="1799">
                  <c:v>40256</c:v>
                </c:pt>
                <c:pt idx="1800">
                  <c:v>40255</c:v>
                </c:pt>
                <c:pt idx="1801">
                  <c:v>40254</c:v>
                </c:pt>
                <c:pt idx="1802">
                  <c:v>40253</c:v>
                </c:pt>
                <c:pt idx="1803">
                  <c:v>40252</c:v>
                </c:pt>
                <c:pt idx="1804">
                  <c:v>40251</c:v>
                </c:pt>
                <c:pt idx="1805">
                  <c:v>40250</c:v>
                </c:pt>
                <c:pt idx="1806">
                  <c:v>40249</c:v>
                </c:pt>
                <c:pt idx="1807">
                  <c:v>40248</c:v>
                </c:pt>
                <c:pt idx="1808">
                  <c:v>40247</c:v>
                </c:pt>
                <c:pt idx="1809">
                  <c:v>40246</c:v>
                </c:pt>
                <c:pt idx="1810">
                  <c:v>40245</c:v>
                </c:pt>
                <c:pt idx="1811">
                  <c:v>40244</c:v>
                </c:pt>
                <c:pt idx="1812">
                  <c:v>40243</c:v>
                </c:pt>
                <c:pt idx="1813">
                  <c:v>40242</c:v>
                </c:pt>
                <c:pt idx="1814">
                  <c:v>40241</c:v>
                </c:pt>
                <c:pt idx="1815">
                  <c:v>40240</c:v>
                </c:pt>
                <c:pt idx="1816">
                  <c:v>40239</c:v>
                </c:pt>
                <c:pt idx="1817">
                  <c:v>40238</c:v>
                </c:pt>
                <c:pt idx="1818">
                  <c:v>40237</c:v>
                </c:pt>
                <c:pt idx="1819">
                  <c:v>40236</c:v>
                </c:pt>
                <c:pt idx="1820">
                  <c:v>40235</c:v>
                </c:pt>
                <c:pt idx="1821">
                  <c:v>40234</c:v>
                </c:pt>
                <c:pt idx="1822">
                  <c:v>40233</c:v>
                </c:pt>
                <c:pt idx="1823">
                  <c:v>40232</c:v>
                </c:pt>
                <c:pt idx="1824">
                  <c:v>40231</c:v>
                </c:pt>
                <c:pt idx="1825">
                  <c:v>40230</c:v>
                </c:pt>
                <c:pt idx="1826">
                  <c:v>40228</c:v>
                </c:pt>
                <c:pt idx="1827">
                  <c:v>40227</c:v>
                </c:pt>
                <c:pt idx="1828">
                  <c:v>40226</c:v>
                </c:pt>
                <c:pt idx="1829">
                  <c:v>40225</c:v>
                </c:pt>
                <c:pt idx="1830">
                  <c:v>40224</c:v>
                </c:pt>
                <c:pt idx="1831">
                  <c:v>40223</c:v>
                </c:pt>
                <c:pt idx="1832">
                  <c:v>40222</c:v>
                </c:pt>
                <c:pt idx="1833">
                  <c:v>40221</c:v>
                </c:pt>
                <c:pt idx="1834">
                  <c:v>40220</c:v>
                </c:pt>
                <c:pt idx="1835">
                  <c:v>40219</c:v>
                </c:pt>
                <c:pt idx="1836">
                  <c:v>40218</c:v>
                </c:pt>
                <c:pt idx="1837">
                  <c:v>40217</c:v>
                </c:pt>
                <c:pt idx="1838">
                  <c:v>40216</c:v>
                </c:pt>
                <c:pt idx="1839">
                  <c:v>40215</c:v>
                </c:pt>
                <c:pt idx="1840">
                  <c:v>40214</c:v>
                </c:pt>
                <c:pt idx="1841">
                  <c:v>40213</c:v>
                </c:pt>
                <c:pt idx="1842">
                  <c:v>40212</c:v>
                </c:pt>
                <c:pt idx="1843">
                  <c:v>40211</c:v>
                </c:pt>
                <c:pt idx="1844">
                  <c:v>40210</c:v>
                </c:pt>
                <c:pt idx="1845">
                  <c:v>40209</c:v>
                </c:pt>
                <c:pt idx="1846">
                  <c:v>40208</c:v>
                </c:pt>
                <c:pt idx="1847">
                  <c:v>40207</c:v>
                </c:pt>
                <c:pt idx="1848">
                  <c:v>40206</c:v>
                </c:pt>
                <c:pt idx="1849">
                  <c:v>40205</c:v>
                </c:pt>
                <c:pt idx="1850">
                  <c:v>40204</c:v>
                </c:pt>
                <c:pt idx="1851">
                  <c:v>40203</c:v>
                </c:pt>
                <c:pt idx="1852">
                  <c:v>40202</c:v>
                </c:pt>
                <c:pt idx="1853">
                  <c:v>40201</c:v>
                </c:pt>
                <c:pt idx="1854">
                  <c:v>40200</c:v>
                </c:pt>
                <c:pt idx="1855">
                  <c:v>40199</c:v>
                </c:pt>
                <c:pt idx="1856">
                  <c:v>40198</c:v>
                </c:pt>
                <c:pt idx="1857">
                  <c:v>40197</c:v>
                </c:pt>
                <c:pt idx="1858">
                  <c:v>40196</c:v>
                </c:pt>
                <c:pt idx="1859">
                  <c:v>40195</c:v>
                </c:pt>
                <c:pt idx="1860">
                  <c:v>40193</c:v>
                </c:pt>
                <c:pt idx="1861">
                  <c:v>40192</c:v>
                </c:pt>
                <c:pt idx="1862">
                  <c:v>40191</c:v>
                </c:pt>
                <c:pt idx="1863">
                  <c:v>40190</c:v>
                </c:pt>
                <c:pt idx="1864">
                  <c:v>40189</c:v>
                </c:pt>
                <c:pt idx="1865">
                  <c:v>40188</c:v>
                </c:pt>
                <c:pt idx="1866">
                  <c:v>40187</c:v>
                </c:pt>
                <c:pt idx="1867">
                  <c:v>40186</c:v>
                </c:pt>
                <c:pt idx="1868">
                  <c:v>40185</c:v>
                </c:pt>
                <c:pt idx="1869">
                  <c:v>40184</c:v>
                </c:pt>
                <c:pt idx="1870">
                  <c:v>40183</c:v>
                </c:pt>
                <c:pt idx="1871">
                  <c:v>40182</c:v>
                </c:pt>
                <c:pt idx="1872">
                  <c:v>40181</c:v>
                </c:pt>
                <c:pt idx="1873">
                  <c:v>40179</c:v>
                </c:pt>
                <c:pt idx="1874">
                  <c:v>40178</c:v>
                </c:pt>
                <c:pt idx="1875">
                  <c:v>40177</c:v>
                </c:pt>
                <c:pt idx="1876">
                  <c:v>40176</c:v>
                </c:pt>
                <c:pt idx="1877">
                  <c:v>40175</c:v>
                </c:pt>
                <c:pt idx="1878">
                  <c:v>40174</c:v>
                </c:pt>
                <c:pt idx="1879">
                  <c:v>40172</c:v>
                </c:pt>
                <c:pt idx="1880">
                  <c:v>40171</c:v>
                </c:pt>
                <c:pt idx="1881">
                  <c:v>40170</c:v>
                </c:pt>
                <c:pt idx="1882">
                  <c:v>40169</c:v>
                </c:pt>
                <c:pt idx="1883">
                  <c:v>40168</c:v>
                </c:pt>
                <c:pt idx="1884">
                  <c:v>40167</c:v>
                </c:pt>
                <c:pt idx="1885">
                  <c:v>40166</c:v>
                </c:pt>
                <c:pt idx="1886">
                  <c:v>40165</c:v>
                </c:pt>
                <c:pt idx="1887">
                  <c:v>40164</c:v>
                </c:pt>
                <c:pt idx="1888">
                  <c:v>40163</c:v>
                </c:pt>
                <c:pt idx="1889">
                  <c:v>40162</c:v>
                </c:pt>
                <c:pt idx="1890">
                  <c:v>40161</c:v>
                </c:pt>
                <c:pt idx="1891">
                  <c:v>40160</c:v>
                </c:pt>
                <c:pt idx="1892">
                  <c:v>40159</c:v>
                </c:pt>
                <c:pt idx="1893">
                  <c:v>40158</c:v>
                </c:pt>
                <c:pt idx="1894">
                  <c:v>40157</c:v>
                </c:pt>
                <c:pt idx="1895">
                  <c:v>40156</c:v>
                </c:pt>
                <c:pt idx="1896">
                  <c:v>40155</c:v>
                </c:pt>
                <c:pt idx="1897">
                  <c:v>40154</c:v>
                </c:pt>
                <c:pt idx="1898">
                  <c:v>40153</c:v>
                </c:pt>
                <c:pt idx="1899">
                  <c:v>40152</c:v>
                </c:pt>
                <c:pt idx="1900">
                  <c:v>40151</c:v>
                </c:pt>
                <c:pt idx="1901">
                  <c:v>40150</c:v>
                </c:pt>
                <c:pt idx="1902">
                  <c:v>40149</c:v>
                </c:pt>
                <c:pt idx="1903">
                  <c:v>40148</c:v>
                </c:pt>
                <c:pt idx="1904">
                  <c:v>40147</c:v>
                </c:pt>
                <c:pt idx="1905">
                  <c:v>40146</c:v>
                </c:pt>
                <c:pt idx="1906">
                  <c:v>40145</c:v>
                </c:pt>
                <c:pt idx="1907">
                  <c:v>40144</c:v>
                </c:pt>
                <c:pt idx="1908">
                  <c:v>40143</c:v>
                </c:pt>
                <c:pt idx="1909">
                  <c:v>40142</c:v>
                </c:pt>
                <c:pt idx="1910">
                  <c:v>40141</c:v>
                </c:pt>
                <c:pt idx="1911">
                  <c:v>40140</c:v>
                </c:pt>
                <c:pt idx="1912">
                  <c:v>40139</c:v>
                </c:pt>
                <c:pt idx="1913">
                  <c:v>40138</c:v>
                </c:pt>
                <c:pt idx="1914">
                  <c:v>40137</c:v>
                </c:pt>
                <c:pt idx="1915">
                  <c:v>40136</c:v>
                </c:pt>
                <c:pt idx="1916">
                  <c:v>40135</c:v>
                </c:pt>
                <c:pt idx="1917">
                  <c:v>40134</c:v>
                </c:pt>
                <c:pt idx="1918">
                  <c:v>40133</c:v>
                </c:pt>
                <c:pt idx="1919">
                  <c:v>40132</c:v>
                </c:pt>
                <c:pt idx="1920">
                  <c:v>40131</c:v>
                </c:pt>
                <c:pt idx="1921">
                  <c:v>40130</c:v>
                </c:pt>
                <c:pt idx="1922">
                  <c:v>40129</c:v>
                </c:pt>
                <c:pt idx="1923">
                  <c:v>40128</c:v>
                </c:pt>
                <c:pt idx="1924">
                  <c:v>40127</c:v>
                </c:pt>
                <c:pt idx="1925">
                  <c:v>40126</c:v>
                </c:pt>
                <c:pt idx="1926">
                  <c:v>40125</c:v>
                </c:pt>
                <c:pt idx="1927">
                  <c:v>40124</c:v>
                </c:pt>
                <c:pt idx="1928">
                  <c:v>40123</c:v>
                </c:pt>
                <c:pt idx="1929">
                  <c:v>40122</c:v>
                </c:pt>
                <c:pt idx="1930">
                  <c:v>40121</c:v>
                </c:pt>
                <c:pt idx="1931">
                  <c:v>40120</c:v>
                </c:pt>
                <c:pt idx="1932">
                  <c:v>40119</c:v>
                </c:pt>
                <c:pt idx="1933">
                  <c:v>40118</c:v>
                </c:pt>
                <c:pt idx="1934">
                  <c:v>40116</c:v>
                </c:pt>
                <c:pt idx="1935">
                  <c:v>40115</c:v>
                </c:pt>
                <c:pt idx="1936">
                  <c:v>40114</c:v>
                </c:pt>
                <c:pt idx="1937">
                  <c:v>40113</c:v>
                </c:pt>
                <c:pt idx="1938">
                  <c:v>40112</c:v>
                </c:pt>
                <c:pt idx="1939">
                  <c:v>40111</c:v>
                </c:pt>
                <c:pt idx="1940">
                  <c:v>40109</c:v>
                </c:pt>
                <c:pt idx="1941">
                  <c:v>40108</c:v>
                </c:pt>
                <c:pt idx="1942">
                  <c:v>40107</c:v>
                </c:pt>
                <c:pt idx="1943">
                  <c:v>40106</c:v>
                </c:pt>
                <c:pt idx="1944">
                  <c:v>40105</c:v>
                </c:pt>
                <c:pt idx="1945">
                  <c:v>40104</c:v>
                </c:pt>
                <c:pt idx="1946">
                  <c:v>40102</c:v>
                </c:pt>
                <c:pt idx="1947">
                  <c:v>40101</c:v>
                </c:pt>
                <c:pt idx="1948">
                  <c:v>40100</c:v>
                </c:pt>
                <c:pt idx="1949">
                  <c:v>40099</c:v>
                </c:pt>
                <c:pt idx="1950">
                  <c:v>40098</c:v>
                </c:pt>
                <c:pt idx="1951">
                  <c:v>40097</c:v>
                </c:pt>
                <c:pt idx="1952">
                  <c:v>40095</c:v>
                </c:pt>
                <c:pt idx="1953">
                  <c:v>40094</c:v>
                </c:pt>
                <c:pt idx="1954">
                  <c:v>40093</c:v>
                </c:pt>
                <c:pt idx="1955">
                  <c:v>40092</c:v>
                </c:pt>
                <c:pt idx="1956">
                  <c:v>40091</c:v>
                </c:pt>
                <c:pt idx="1957">
                  <c:v>40090</c:v>
                </c:pt>
                <c:pt idx="1958">
                  <c:v>40088</c:v>
                </c:pt>
                <c:pt idx="1959">
                  <c:v>40087</c:v>
                </c:pt>
                <c:pt idx="1960">
                  <c:v>40086</c:v>
                </c:pt>
                <c:pt idx="1961">
                  <c:v>40085</c:v>
                </c:pt>
                <c:pt idx="1962">
                  <c:v>40084</c:v>
                </c:pt>
                <c:pt idx="1963">
                  <c:v>40083</c:v>
                </c:pt>
                <c:pt idx="1964">
                  <c:v>40081</c:v>
                </c:pt>
                <c:pt idx="1965">
                  <c:v>40080</c:v>
                </c:pt>
                <c:pt idx="1966">
                  <c:v>40079</c:v>
                </c:pt>
                <c:pt idx="1967">
                  <c:v>40078</c:v>
                </c:pt>
                <c:pt idx="1968">
                  <c:v>40077</c:v>
                </c:pt>
                <c:pt idx="1969">
                  <c:v>40074</c:v>
                </c:pt>
                <c:pt idx="1970">
                  <c:v>40073</c:v>
                </c:pt>
                <c:pt idx="1971">
                  <c:v>40072</c:v>
                </c:pt>
                <c:pt idx="1972">
                  <c:v>40071</c:v>
                </c:pt>
                <c:pt idx="1973">
                  <c:v>40070</c:v>
                </c:pt>
                <c:pt idx="1974">
                  <c:v>40069</c:v>
                </c:pt>
                <c:pt idx="1975">
                  <c:v>40067</c:v>
                </c:pt>
                <c:pt idx="1976">
                  <c:v>40066</c:v>
                </c:pt>
                <c:pt idx="1977">
                  <c:v>40065</c:v>
                </c:pt>
                <c:pt idx="1978">
                  <c:v>40064</c:v>
                </c:pt>
                <c:pt idx="1979">
                  <c:v>40063</c:v>
                </c:pt>
                <c:pt idx="1980">
                  <c:v>40060</c:v>
                </c:pt>
                <c:pt idx="1981">
                  <c:v>40059</c:v>
                </c:pt>
                <c:pt idx="1982">
                  <c:v>40058</c:v>
                </c:pt>
                <c:pt idx="1983">
                  <c:v>40057</c:v>
                </c:pt>
                <c:pt idx="1984">
                  <c:v>40056</c:v>
                </c:pt>
                <c:pt idx="1985">
                  <c:v>40053</c:v>
                </c:pt>
                <c:pt idx="1986">
                  <c:v>40052</c:v>
                </c:pt>
                <c:pt idx="1987">
                  <c:v>40051</c:v>
                </c:pt>
                <c:pt idx="1988">
                  <c:v>40050</c:v>
                </c:pt>
                <c:pt idx="1989">
                  <c:v>40049</c:v>
                </c:pt>
                <c:pt idx="1990">
                  <c:v>40046</c:v>
                </c:pt>
                <c:pt idx="1991">
                  <c:v>40045</c:v>
                </c:pt>
                <c:pt idx="1992">
                  <c:v>40044</c:v>
                </c:pt>
                <c:pt idx="1993">
                  <c:v>40043</c:v>
                </c:pt>
                <c:pt idx="1994">
                  <c:v>40042</c:v>
                </c:pt>
                <c:pt idx="1995">
                  <c:v>40039</c:v>
                </c:pt>
                <c:pt idx="1996">
                  <c:v>40038</c:v>
                </c:pt>
                <c:pt idx="1997">
                  <c:v>40037</c:v>
                </c:pt>
                <c:pt idx="1998">
                  <c:v>40036</c:v>
                </c:pt>
                <c:pt idx="1999">
                  <c:v>40035</c:v>
                </c:pt>
                <c:pt idx="2000">
                  <c:v>40032</c:v>
                </c:pt>
                <c:pt idx="2001">
                  <c:v>40031</c:v>
                </c:pt>
                <c:pt idx="2002">
                  <c:v>40030</c:v>
                </c:pt>
                <c:pt idx="2003">
                  <c:v>40029</c:v>
                </c:pt>
                <c:pt idx="2004">
                  <c:v>40028</c:v>
                </c:pt>
                <c:pt idx="2005">
                  <c:v>40025</c:v>
                </c:pt>
                <c:pt idx="2006">
                  <c:v>40024</c:v>
                </c:pt>
                <c:pt idx="2007">
                  <c:v>40023</c:v>
                </c:pt>
                <c:pt idx="2008">
                  <c:v>40022</c:v>
                </c:pt>
                <c:pt idx="2009">
                  <c:v>40021</c:v>
                </c:pt>
                <c:pt idx="2010">
                  <c:v>40018</c:v>
                </c:pt>
                <c:pt idx="2011">
                  <c:v>40017</c:v>
                </c:pt>
                <c:pt idx="2012">
                  <c:v>40016</c:v>
                </c:pt>
                <c:pt idx="2013">
                  <c:v>40015</c:v>
                </c:pt>
                <c:pt idx="2014">
                  <c:v>40014</c:v>
                </c:pt>
                <c:pt idx="2015">
                  <c:v>40011</c:v>
                </c:pt>
                <c:pt idx="2016">
                  <c:v>40010</c:v>
                </c:pt>
                <c:pt idx="2017">
                  <c:v>40009</c:v>
                </c:pt>
                <c:pt idx="2018">
                  <c:v>40008</c:v>
                </c:pt>
                <c:pt idx="2019">
                  <c:v>40007</c:v>
                </c:pt>
                <c:pt idx="2020">
                  <c:v>40004</c:v>
                </c:pt>
                <c:pt idx="2021">
                  <c:v>40003</c:v>
                </c:pt>
                <c:pt idx="2022">
                  <c:v>40002</c:v>
                </c:pt>
                <c:pt idx="2023">
                  <c:v>40001</c:v>
                </c:pt>
                <c:pt idx="2024">
                  <c:v>40000</c:v>
                </c:pt>
                <c:pt idx="2025">
                  <c:v>39997</c:v>
                </c:pt>
                <c:pt idx="2026">
                  <c:v>39996</c:v>
                </c:pt>
                <c:pt idx="2027">
                  <c:v>39995</c:v>
                </c:pt>
                <c:pt idx="2028">
                  <c:v>39994</c:v>
                </c:pt>
                <c:pt idx="2029">
                  <c:v>39993</c:v>
                </c:pt>
                <c:pt idx="2030">
                  <c:v>39990</c:v>
                </c:pt>
                <c:pt idx="2031">
                  <c:v>39989</c:v>
                </c:pt>
                <c:pt idx="2032">
                  <c:v>39988</c:v>
                </c:pt>
                <c:pt idx="2033">
                  <c:v>39987</c:v>
                </c:pt>
                <c:pt idx="2034">
                  <c:v>39986</c:v>
                </c:pt>
                <c:pt idx="2035">
                  <c:v>39983</c:v>
                </c:pt>
                <c:pt idx="2036">
                  <c:v>39982</c:v>
                </c:pt>
                <c:pt idx="2037">
                  <c:v>39981</c:v>
                </c:pt>
                <c:pt idx="2038">
                  <c:v>39980</c:v>
                </c:pt>
                <c:pt idx="2039">
                  <c:v>39979</c:v>
                </c:pt>
                <c:pt idx="2040">
                  <c:v>39976</c:v>
                </c:pt>
                <c:pt idx="2041">
                  <c:v>39975</c:v>
                </c:pt>
                <c:pt idx="2042">
                  <c:v>39974</c:v>
                </c:pt>
                <c:pt idx="2043">
                  <c:v>39973</c:v>
                </c:pt>
                <c:pt idx="2044">
                  <c:v>39972</c:v>
                </c:pt>
                <c:pt idx="2045">
                  <c:v>39969</c:v>
                </c:pt>
                <c:pt idx="2046">
                  <c:v>39968</c:v>
                </c:pt>
                <c:pt idx="2047">
                  <c:v>39967</c:v>
                </c:pt>
                <c:pt idx="2048">
                  <c:v>39966</c:v>
                </c:pt>
                <c:pt idx="2049">
                  <c:v>39965</c:v>
                </c:pt>
                <c:pt idx="2050">
                  <c:v>39962</c:v>
                </c:pt>
                <c:pt idx="2051">
                  <c:v>39961</c:v>
                </c:pt>
                <c:pt idx="2052">
                  <c:v>39960</c:v>
                </c:pt>
                <c:pt idx="2053">
                  <c:v>39959</c:v>
                </c:pt>
                <c:pt idx="2054">
                  <c:v>39958</c:v>
                </c:pt>
                <c:pt idx="2055">
                  <c:v>39955</c:v>
                </c:pt>
                <c:pt idx="2056">
                  <c:v>39954</c:v>
                </c:pt>
                <c:pt idx="2057">
                  <c:v>39953</c:v>
                </c:pt>
                <c:pt idx="2058">
                  <c:v>39952</c:v>
                </c:pt>
                <c:pt idx="2059">
                  <c:v>39951</c:v>
                </c:pt>
                <c:pt idx="2060">
                  <c:v>39948</c:v>
                </c:pt>
                <c:pt idx="2061">
                  <c:v>39947</c:v>
                </c:pt>
                <c:pt idx="2062">
                  <c:v>39946</c:v>
                </c:pt>
                <c:pt idx="2063">
                  <c:v>39945</c:v>
                </c:pt>
                <c:pt idx="2064">
                  <c:v>39944</c:v>
                </c:pt>
                <c:pt idx="2065">
                  <c:v>39941</c:v>
                </c:pt>
                <c:pt idx="2066">
                  <c:v>39940</c:v>
                </c:pt>
                <c:pt idx="2067">
                  <c:v>39939</c:v>
                </c:pt>
                <c:pt idx="2068">
                  <c:v>39938</c:v>
                </c:pt>
                <c:pt idx="2069">
                  <c:v>39937</c:v>
                </c:pt>
                <c:pt idx="2070">
                  <c:v>39934</c:v>
                </c:pt>
                <c:pt idx="2071">
                  <c:v>39933</c:v>
                </c:pt>
                <c:pt idx="2072">
                  <c:v>39932</c:v>
                </c:pt>
                <c:pt idx="2073">
                  <c:v>39931</c:v>
                </c:pt>
                <c:pt idx="2074">
                  <c:v>39930</c:v>
                </c:pt>
                <c:pt idx="2075">
                  <c:v>39927</c:v>
                </c:pt>
                <c:pt idx="2076">
                  <c:v>39926</c:v>
                </c:pt>
                <c:pt idx="2077">
                  <c:v>39925</c:v>
                </c:pt>
                <c:pt idx="2078">
                  <c:v>39924</c:v>
                </c:pt>
                <c:pt idx="2079">
                  <c:v>39923</c:v>
                </c:pt>
                <c:pt idx="2080">
                  <c:v>39920</c:v>
                </c:pt>
                <c:pt idx="2081">
                  <c:v>39919</c:v>
                </c:pt>
                <c:pt idx="2082">
                  <c:v>39918</c:v>
                </c:pt>
                <c:pt idx="2083">
                  <c:v>39917</c:v>
                </c:pt>
                <c:pt idx="2084">
                  <c:v>39916</c:v>
                </c:pt>
                <c:pt idx="2085">
                  <c:v>39913</c:v>
                </c:pt>
                <c:pt idx="2086">
                  <c:v>39912</c:v>
                </c:pt>
                <c:pt idx="2087">
                  <c:v>39911</c:v>
                </c:pt>
                <c:pt idx="2088">
                  <c:v>39910</c:v>
                </c:pt>
                <c:pt idx="2089">
                  <c:v>39909</c:v>
                </c:pt>
                <c:pt idx="2090">
                  <c:v>39906</c:v>
                </c:pt>
                <c:pt idx="2091">
                  <c:v>39905</c:v>
                </c:pt>
                <c:pt idx="2092">
                  <c:v>39904</c:v>
                </c:pt>
                <c:pt idx="2093">
                  <c:v>39903</c:v>
                </c:pt>
                <c:pt idx="2094">
                  <c:v>39902</c:v>
                </c:pt>
                <c:pt idx="2095">
                  <c:v>39899</c:v>
                </c:pt>
                <c:pt idx="2096">
                  <c:v>39898</c:v>
                </c:pt>
                <c:pt idx="2097">
                  <c:v>39897</c:v>
                </c:pt>
                <c:pt idx="2098">
                  <c:v>39896</c:v>
                </c:pt>
                <c:pt idx="2099">
                  <c:v>39895</c:v>
                </c:pt>
                <c:pt idx="2100">
                  <c:v>39892</c:v>
                </c:pt>
                <c:pt idx="2101">
                  <c:v>39891</c:v>
                </c:pt>
                <c:pt idx="2102">
                  <c:v>39890</c:v>
                </c:pt>
                <c:pt idx="2103">
                  <c:v>39889</c:v>
                </c:pt>
                <c:pt idx="2104">
                  <c:v>39888</c:v>
                </c:pt>
                <c:pt idx="2105">
                  <c:v>39885</c:v>
                </c:pt>
                <c:pt idx="2106">
                  <c:v>39884</c:v>
                </c:pt>
                <c:pt idx="2107">
                  <c:v>39883</c:v>
                </c:pt>
                <c:pt idx="2108">
                  <c:v>39882</c:v>
                </c:pt>
                <c:pt idx="2109">
                  <c:v>39881</c:v>
                </c:pt>
                <c:pt idx="2110">
                  <c:v>39878</c:v>
                </c:pt>
                <c:pt idx="2111">
                  <c:v>39877</c:v>
                </c:pt>
                <c:pt idx="2112">
                  <c:v>39876</c:v>
                </c:pt>
                <c:pt idx="2113">
                  <c:v>39875</c:v>
                </c:pt>
                <c:pt idx="2114">
                  <c:v>39874</c:v>
                </c:pt>
                <c:pt idx="2115">
                  <c:v>39871</c:v>
                </c:pt>
                <c:pt idx="2116">
                  <c:v>39870</c:v>
                </c:pt>
                <c:pt idx="2117">
                  <c:v>39869</c:v>
                </c:pt>
                <c:pt idx="2118">
                  <c:v>39868</c:v>
                </c:pt>
                <c:pt idx="2119">
                  <c:v>39867</c:v>
                </c:pt>
                <c:pt idx="2120">
                  <c:v>39864</c:v>
                </c:pt>
                <c:pt idx="2121">
                  <c:v>39863</c:v>
                </c:pt>
                <c:pt idx="2122">
                  <c:v>39862</c:v>
                </c:pt>
                <c:pt idx="2123">
                  <c:v>39861</c:v>
                </c:pt>
                <c:pt idx="2124">
                  <c:v>39860</c:v>
                </c:pt>
                <c:pt idx="2125">
                  <c:v>39857</c:v>
                </c:pt>
                <c:pt idx="2126">
                  <c:v>39856</c:v>
                </c:pt>
                <c:pt idx="2127">
                  <c:v>39855</c:v>
                </c:pt>
                <c:pt idx="2128">
                  <c:v>39854</c:v>
                </c:pt>
                <c:pt idx="2129">
                  <c:v>39853</c:v>
                </c:pt>
                <c:pt idx="2130">
                  <c:v>39850</c:v>
                </c:pt>
                <c:pt idx="2131">
                  <c:v>39849</c:v>
                </c:pt>
                <c:pt idx="2132">
                  <c:v>39848</c:v>
                </c:pt>
                <c:pt idx="2133">
                  <c:v>39847</c:v>
                </c:pt>
                <c:pt idx="2134">
                  <c:v>39846</c:v>
                </c:pt>
                <c:pt idx="2135">
                  <c:v>39843</c:v>
                </c:pt>
                <c:pt idx="2136">
                  <c:v>39842</c:v>
                </c:pt>
                <c:pt idx="2137">
                  <c:v>39841</c:v>
                </c:pt>
                <c:pt idx="2138">
                  <c:v>39840</c:v>
                </c:pt>
                <c:pt idx="2139">
                  <c:v>39839</c:v>
                </c:pt>
                <c:pt idx="2140">
                  <c:v>39836</c:v>
                </c:pt>
                <c:pt idx="2141">
                  <c:v>39835</c:v>
                </c:pt>
                <c:pt idx="2142">
                  <c:v>39834</c:v>
                </c:pt>
                <c:pt idx="2143">
                  <c:v>39833</c:v>
                </c:pt>
                <c:pt idx="2144">
                  <c:v>39832</c:v>
                </c:pt>
                <c:pt idx="2145">
                  <c:v>39829</c:v>
                </c:pt>
                <c:pt idx="2146">
                  <c:v>39828</c:v>
                </c:pt>
                <c:pt idx="2147">
                  <c:v>39827</c:v>
                </c:pt>
                <c:pt idx="2148">
                  <c:v>39826</c:v>
                </c:pt>
                <c:pt idx="2149">
                  <c:v>39825</c:v>
                </c:pt>
                <c:pt idx="2150">
                  <c:v>39822</c:v>
                </c:pt>
                <c:pt idx="2151">
                  <c:v>39821</c:v>
                </c:pt>
                <c:pt idx="2152">
                  <c:v>39820</c:v>
                </c:pt>
                <c:pt idx="2153">
                  <c:v>39819</c:v>
                </c:pt>
                <c:pt idx="2154">
                  <c:v>39818</c:v>
                </c:pt>
                <c:pt idx="2155">
                  <c:v>39815</c:v>
                </c:pt>
                <c:pt idx="2156">
                  <c:v>39814</c:v>
                </c:pt>
                <c:pt idx="2157">
                  <c:v>39813</c:v>
                </c:pt>
                <c:pt idx="2158">
                  <c:v>39812</c:v>
                </c:pt>
                <c:pt idx="2159">
                  <c:v>39811</c:v>
                </c:pt>
                <c:pt idx="2160">
                  <c:v>39808</c:v>
                </c:pt>
                <c:pt idx="2161">
                  <c:v>39807</c:v>
                </c:pt>
                <c:pt idx="2162">
                  <c:v>39806</c:v>
                </c:pt>
                <c:pt idx="2163">
                  <c:v>39805</c:v>
                </c:pt>
                <c:pt idx="2164">
                  <c:v>39804</c:v>
                </c:pt>
                <c:pt idx="2165">
                  <c:v>39801</c:v>
                </c:pt>
                <c:pt idx="2166">
                  <c:v>39800</c:v>
                </c:pt>
                <c:pt idx="2167">
                  <c:v>39799</c:v>
                </c:pt>
                <c:pt idx="2168">
                  <c:v>39798</c:v>
                </c:pt>
                <c:pt idx="2169">
                  <c:v>39797</c:v>
                </c:pt>
                <c:pt idx="2170">
                  <c:v>39794</c:v>
                </c:pt>
                <c:pt idx="2171">
                  <c:v>39793</c:v>
                </c:pt>
                <c:pt idx="2172">
                  <c:v>39792</c:v>
                </c:pt>
                <c:pt idx="2173">
                  <c:v>39791</c:v>
                </c:pt>
                <c:pt idx="2174">
                  <c:v>39790</c:v>
                </c:pt>
                <c:pt idx="2175">
                  <c:v>39787</c:v>
                </c:pt>
                <c:pt idx="2176">
                  <c:v>39786</c:v>
                </c:pt>
                <c:pt idx="2177">
                  <c:v>39785</c:v>
                </c:pt>
                <c:pt idx="2178">
                  <c:v>39784</c:v>
                </c:pt>
                <c:pt idx="2179">
                  <c:v>39783</c:v>
                </c:pt>
                <c:pt idx="2180">
                  <c:v>39780</c:v>
                </c:pt>
                <c:pt idx="2181">
                  <c:v>39779</c:v>
                </c:pt>
                <c:pt idx="2182">
                  <c:v>39778</c:v>
                </c:pt>
                <c:pt idx="2183">
                  <c:v>39777</c:v>
                </c:pt>
                <c:pt idx="2184">
                  <c:v>39776</c:v>
                </c:pt>
                <c:pt idx="2185">
                  <c:v>39773</c:v>
                </c:pt>
                <c:pt idx="2186">
                  <c:v>39772</c:v>
                </c:pt>
                <c:pt idx="2187">
                  <c:v>39771</c:v>
                </c:pt>
                <c:pt idx="2188">
                  <c:v>39770</c:v>
                </c:pt>
                <c:pt idx="2189">
                  <c:v>39769</c:v>
                </c:pt>
                <c:pt idx="2190">
                  <c:v>39766</c:v>
                </c:pt>
                <c:pt idx="2191">
                  <c:v>39765</c:v>
                </c:pt>
                <c:pt idx="2192">
                  <c:v>39764</c:v>
                </c:pt>
                <c:pt idx="2193">
                  <c:v>39763</c:v>
                </c:pt>
                <c:pt idx="2194">
                  <c:v>39762</c:v>
                </c:pt>
                <c:pt idx="2195">
                  <c:v>39759</c:v>
                </c:pt>
                <c:pt idx="2196">
                  <c:v>39758</c:v>
                </c:pt>
                <c:pt idx="2197">
                  <c:v>39757</c:v>
                </c:pt>
                <c:pt idx="2198">
                  <c:v>39756</c:v>
                </c:pt>
                <c:pt idx="2199">
                  <c:v>39755</c:v>
                </c:pt>
                <c:pt idx="2200">
                  <c:v>39752</c:v>
                </c:pt>
                <c:pt idx="2201">
                  <c:v>39751</c:v>
                </c:pt>
                <c:pt idx="2202">
                  <c:v>39750</c:v>
                </c:pt>
                <c:pt idx="2203">
                  <c:v>39749</c:v>
                </c:pt>
                <c:pt idx="2204">
                  <c:v>39748</c:v>
                </c:pt>
                <c:pt idx="2205">
                  <c:v>39745</c:v>
                </c:pt>
                <c:pt idx="2206">
                  <c:v>39744</c:v>
                </c:pt>
                <c:pt idx="2207">
                  <c:v>39743</c:v>
                </c:pt>
                <c:pt idx="2208">
                  <c:v>39742</c:v>
                </c:pt>
                <c:pt idx="2209">
                  <c:v>39741</c:v>
                </c:pt>
                <c:pt idx="2210">
                  <c:v>39738</c:v>
                </c:pt>
                <c:pt idx="2211">
                  <c:v>39737</c:v>
                </c:pt>
                <c:pt idx="2212">
                  <c:v>39736</c:v>
                </c:pt>
                <c:pt idx="2213">
                  <c:v>39735</c:v>
                </c:pt>
                <c:pt idx="2214">
                  <c:v>39734</c:v>
                </c:pt>
                <c:pt idx="2215">
                  <c:v>39731</c:v>
                </c:pt>
                <c:pt idx="2216">
                  <c:v>39730</c:v>
                </c:pt>
                <c:pt idx="2217">
                  <c:v>39729</c:v>
                </c:pt>
                <c:pt idx="2218">
                  <c:v>39728</c:v>
                </c:pt>
                <c:pt idx="2219">
                  <c:v>39727</c:v>
                </c:pt>
                <c:pt idx="2220">
                  <c:v>39724</c:v>
                </c:pt>
                <c:pt idx="2221">
                  <c:v>39723</c:v>
                </c:pt>
                <c:pt idx="2222">
                  <c:v>39722</c:v>
                </c:pt>
                <c:pt idx="2223">
                  <c:v>39721</c:v>
                </c:pt>
                <c:pt idx="2224">
                  <c:v>39720</c:v>
                </c:pt>
                <c:pt idx="2225">
                  <c:v>39717</c:v>
                </c:pt>
                <c:pt idx="2226">
                  <c:v>39716</c:v>
                </c:pt>
                <c:pt idx="2227">
                  <c:v>39715</c:v>
                </c:pt>
                <c:pt idx="2228">
                  <c:v>39714</c:v>
                </c:pt>
                <c:pt idx="2229">
                  <c:v>39713</c:v>
                </c:pt>
                <c:pt idx="2230">
                  <c:v>39710</c:v>
                </c:pt>
                <c:pt idx="2231">
                  <c:v>39709</c:v>
                </c:pt>
                <c:pt idx="2232">
                  <c:v>39708</c:v>
                </c:pt>
                <c:pt idx="2233">
                  <c:v>39707</c:v>
                </c:pt>
                <c:pt idx="2234">
                  <c:v>39706</c:v>
                </c:pt>
                <c:pt idx="2235">
                  <c:v>39703</c:v>
                </c:pt>
                <c:pt idx="2236">
                  <c:v>39702</c:v>
                </c:pt>
                <c:pt idx="2237">
                  <c:v>39701</c:v>
                </c:pt>
                <c:pt idx="2238">
                  <c:v>39700</c:v>
                </c:pt>
                <c:pt idx="2239">
                  <c:v>39699</c:v>
                </c:pt>
                <c:pt idx="2240">
                  <c:v>39696</c:v>
                </c:pt>
                <c:pt idx="2241">
                  <c:v>39695</c:v>
                </c:pt>
                <c:pt idx="2242">
                  <c:v>39694</c:v>
                </c:pt>
                <c:pt idx="2243">
                  <c:v>39693</c:v>
                </c:pt>
                <c:pt idx="2244">
                  <c:v>39692</c:v>
                </c:pt>
                <c:pt idx="2245">
                  <c:v>39689</c:v>
                </c:pt>
                <c:pt idx="2246">
                  <c:v>39688</c:v>
                </c:pt>
                <c:pt idx="2247">
                  <c:v>39687</c:v>
                </c:pt>
                <c:pt idx="2248">
                  <c:v>39686</c:v>
                </c:pt>
                <c:pt idx="2249">
                  <c:v>39685</c:v>
                </c:pt>
                <c:pt idx="2250">
                  <c:v>39682</c:v>
                </c:pt>
                <c:pt idx="2251">
                  <c:v>39681</c:v>
                </c:pt>
                <c:pt idx="2252">
                  <c:v>39680</c:v>
                </c:pt>
                <c:pt idx="2253">
                  <c:v>39679</c:v>
                </c:pt>
                <c:pt idx="2254">
                  <c:v>39678</c:v>
                </c:pt>
                <c:pt idx="2255">
                  <c:v>39675</c:v>
                </c:pt>
                <c:pt idx="2256">
                  <c:v>39674</c:v>
                </c:pt>
                <c:pt idx="2257">
                  <c:v>39673</c:v>
                </c:pt>
                <c:pt idx="2258">
                  <c:v>39672</c:v>
                </c:pt>
                <c:pt idx="2259">
                  <c:v>39671</c:v>
                </c:pt>
                <c:pt idx="2260">
                  <c:v>39668</c:v>
                </c:pt>
                <c:pt idx="2261">
                  <c:v>39667</c:v>
                </c:pt>
                <c:pt idx="2262">
                  <c:v>39666</c:v>
                </c:pt>
                <c:pt idx="2263">
                  <c:v>39665</c:v>
                </c:pt>
                <c:pt idx="2264">
                  <c:v>39664</c:v>
                </c:pt>
                <c:pt idx="2265">
                  <c:v>39661</c:v>
                </c:pt>
                <c:pt idx="2266">
                  <c:v>39660</c:v>
                </c:pt>
                <c:pt idx="2267">
                  <c:v>39659</c:v>
                </c:pt>
                <c:pt idx="2268">
                  <c:v>39658</c:v>
                </c:pt>
                <c:pt idx="2269">
                  <c:v>39657</c:v>
                </c:pt>
                <c:pt idx="2270">
                  <c:v>39654</c:v>
                </c:pt>
                <c:pt idx="2271">
                  <c:v>39653</c:v>
                </c:pt>
                <c:pt idx="2272">
                  <c:v>39652</c:v>
                </c:pt>
                <c:pt idx="2273">
                  <c:v>39651</c:v>
                </c:pt>
                <c:pt idx="2274">
                  <c:v>39650</c:v>
                </c:pt>
                <c:pt idx="2275">
                  <c:v>39647</c:v>
                </c:pt>
                <c:pt idx="2276">
                  <c:v>39646</c:v>
                </c:pt>
                <c:pt idx="2277">
                  <c:v>39645</c:v>
                </c:pt>
                <c:pt idx="2278">
                  <c:v>39644</c:v>
                </c:pt>
                <c:pt idx="2279">
                  <c:v>39643</c:v>
                </c:pt>
                <c:pt idx="2280">
                  <c:v>39640</c:v>
                </c:pt>
                <c:pt idx="2281">
                  <c:v>39639</c:v>
                </c:pt>
                <c:pt idx="2282">
                  <c:v>39638</c:v>
                </c:pt>
                <c:pt idx="2283">
                  <c:v>39637</c:v>
                </c:pt>
                <c:pt idx="2284">
                  <c:v>39636</c:v>
                </c:pt>
                <c:pt idx="2285">
                  <c:v>39633</c:v>
                </c:pt>
                <c:pt idx="2286">
                  <c:v>39632</c:v>
                </c:pt>
                <c:pt idx="2287">
                  <c:v>39631</c:v>
                </c:pt>
                <c:pt idx="2288">
                  <c:v>39630</c:v>
                </c:pt>
                <c:pt idx="2289">
                  <c:v>39629</c:v>
                </c:pt>
                <c:pt idx="2290">
                  <c:v>39626</c:v>
                </c:pt>
                <c:pt idx="2291">
                  <c:v>39625</c:v>
                </c:pt>
                <c:pt idx="2292">
                  <c:v>39624</c:v>
                </c:pt>
                <c:pt idx="2293">
                  <c:v>39623</c:v>
                </c:pt>
                <c:pt idx="2294">
                  <c:v>39622</c:v>
                </c:pt>
                <c:pt idx="2295">
                  <c:v>39619</c:v>
                </c:pt>
                <c:pt idx="2296">
                  <c:v>39618</c:v>
                </c:pt>
                <c:pt idx="2297">
                  <c:v>39617</c:v>
                </c:pt>
                <c:pt idx="2298">
                  <c:v>39616</c:v>
                </c:pt>
                <c:pt idx="2299">
                  <c:v>39615</c:v>
                </c:pt>
                <c:pt idx="2300">
                  <c:v>39612</c:v>
                </c:pt>
                <c:pt idx="2301">
                  <c:v>39611</c:v>
                </c:pt>
                <c:pt idx="2302">
                  <c:v>39610</c:v>
                </c:pt>
                <c:pt idx="2303">
                  <c:v>39609</c:v>
                </c:pt>
                <c:pt idx="2304">
                  <c:v>39608</c:v>
                </c:pt>
                <c:pt idx="2305">
                  <c:v>39605</c:v>
                </c:pt>
                <c:pt idx="2306">
                  <c:v>39604</c:v>
                </c:pt>
                <c:pt idx="2307">
                  <c:v>39603</c:v>
                </c:pt>
                <c:pt idx="2308">
                  <c:v>39602</c:v>
                </c:pt>
                <c:pt idx="2309">
                  <c:v>39601</c:v>
                </c:pt>
                <c:pt idx="2310">
                  <c:v>39598</c:v>
                </c:pt>
                <c:pt idx="2311">
                  <c:v>39597</c:v>
                </c:pt>
                <c:pt idx="2312">
                  <c:v>39596</c:v>
                </c:pt>
                <c:pt idx="2313">
                  <c:v>39595</c:v>
                </c:pt>
                <c:pt idx="2314">
                  <c:v>39594</c:v>
                </c:pt>
                <c:pt idx="2315">
                  <c:v>39591</c:v>
                </c:pt>
                <c:pt idx="2316">
                  <c:v>39590</c:v>
                </c:pt>
                <c:pt idx="2317">
                  <c:v>39589</c:v>
                </c:pt>
                <c:pt idx="2318">
                  <c:v>39588</c:v>
                </c:pt>
                <c:pt idx="2319">
                  <c:v>39587</c:v>
                </c:pt>
                <c:pt idx="2320">
                  <c:v>39584</c:v>
                </c:pt>
                <c:pt idx="2321">
                  <c:v>39583</c:v>
                </c:pt>
                <c:pt idx="2322">
                  <c:v>39582</c:v>
                </c:pt>
                <c:pt idx="2323">
                  <c:v>39581</c:v>
                </c:pt>
                <c:pt idx="2324">
                  <c:v>39580</c:v>
                </c:pt>
                <c:pt idx="2325">
                  <c:v>39577</c:v>
                </c:pt>
                <c:pt idx="2326">
                  <c:v>39576</c:v>
                </c:pt>
                <c:pt idx="2327">
                  <c:v>39575</c:v>
                </c:pt>
                <c:pt idx="2328">
                  <c:v>39574</c:v>
                </c:pt>
                <c:pt idx="2329">
                  <c:v>39573</c:v>
                </c:pt>
                <c:pt idx="2330">
                  <c:v>39570</c:v>
                </c:pt>
                <c:pt idx="2331">
                  <c:v>39569</c:v>
                </c:pt>
                <c:pt idx="2332">
                  <c:v>39568</c:v>
                </c:pt>
                <c:pt idx="2333">
                  <c:v>39567</c:v>
                </c:pt>
                <c:pt idx="2334">
                  <c:v>39566</c:v>
                </c:pt>
                <c:pt idx="2335">
                  <c:v>39563</c:v>
                </c:pt>
                <c:pt idx="2336">
                  <c:v>39562</c:v>
                </c:pt>
                <c:pt idx="2337">
                  <c:v>39561</c:v>
                </c:pt>
                <c:pt idx="2338">
                  <c:v>39560</c:v>
                </c:pt>
                <c:pt idx="2339">
                  <c:v>39559</c:v>
                </c:pt>
                <c:pt idx="2340">
                  <c:v>39556</c:v>
                </c:pt>
                <c:pt idx="2341">
                  <c:v>39555</c:v>
                </c:pt>
                <c:pt idx="2342">
                  <c:v>39554</c:v>
                </c:pt>
                <c:pt idx="2343">
                  <c:v>39553</c:v>
                </c:pt>
                <c:pt idx="2344">
                  <c:v>39552</c:v>
                </c:pt>
                <c:pt idx="2345">
                  <c:v>39549</c:v>
                </c:pt>
                <c:pt idx="2346">
                  <c:v>39548</c:v>
                </c:pt>
                <c:pt idx="2347">
                  <c:v>39547</c:v>
                </c:pt>
                <c:pt idx="2348">
                  <c:v>39546</c:v>
                </c:pt>
                <c:pt idx="2349">
                  <c:v>39545</c:v>
                </c:pt>
                <c:pt idx="2350">
                  <c:v>39542</c:v>
                </c:pt>
                <c:pt idx="2351">
                  <c:v>39541</c:v>
                </c:pt>
                <c:pt idx="2352">
                  <c:v>39540</c:v>
                </c:pt>
                <c:pt idx="2353">
                  <c:v>39539</c:v>
                </c:pt>
                <c:pt idx="2354">
                  <c:v>39538</c:v>
                </c:pt>
                <c:pt idx="2355">
                  <c:v>39535</c:v>
                </c:pt>
                <c:pt idx="2356">
                  <c:v>39534</c:v>
                </c:pt>
                <c:pt idx="2357">
                  <c:v>39533</c:v>
                </c:pt>
                <c:pt idx="2358">
                  <c:v>39532</c:v>
                </c:pt>
                <c:pt idx="2359">
                  <c:v>39531</c:v>
                </c:pt>
                <c:pt idx="2360">
                  <c:v>39528</c:v>
                </c:pt>
                <c:pt idx="2361">
                  <c:v>39527</c:v>
                </c:pt>
                <c:pt idx="2362">
                  <c:v>39526</c:v>
                </c:pt>
                <c:pt idx="2363">
                  <c:v>39525</c:v>
                </c:pt>
                <c:pt idx="2364">
                  <c:v>39524</c:v>
                </c:pt>
                <c:pt idx="2365">
                  <c:v>39521</c:v>
                </c:pt>
                <c:pt idx="2366">
                  <c:v>39520</c:v>
                </c:pt>
                <c:pt idx="2367">
                  <c:v>39519</c:v>
                </c:pt>
                <c:pt idx="2368">
                  <c:v>39518</c:v>
                </c:pt>
                <c:pt idx="2369">
                  <c:v>39517</c:v>
                </c:pt>
                <c:pt idx="2370">
                  <c:v>39514</c:v>
                </c:pt>
                <c:pt idx="2371">
                  <c:v>39513</c:v>
                </c:pt>
                <c:pt idx="2372">
                  <c:v>39512</c:v>
                </c:pt>
                <c:pt idx="2373">
                  <c:v>39511</c:v>
                </c:pt>
                <c:pt idx="2374">
                  <c:v>39510</c:v>
                </c:pt>
                <c:pt idx="2375">
                  <c:v>39507</c:v>
                </c:pt>
                <c:pt idx="2376">
                  <c:v>39506</c:v>
                </c:pt>
                <c:pt idx="2377">
                  <c:v>39505</c:v>
                </c:pt>
                <c:pt idx="2378">
                  <c:v>39504</c:v>
                </c:pt>
                <c:pt idx="2379">
                  <c:v>39503</c:v>
                </c:pt>
                <c:pt idx="2380">
                  <c:v>39500</c:v>
                </c:pt>
                <c:pt idx="2381">
                  <c:v>39499</c:v>
                </c:pt>
                <c:pt idx="2382">
                  <c:v>39498</c:v>
                </c:pt>
                <c:pt idx="2383">
                  <c:v>39497</c:v>
                </c:pt>
                <c:pt idx="2384">
                  <c:v>39496</c:v>
                </c:pt>
                <c:pt idx="2385">
                  <c:v>39493</c:v>
                </c:pt>
                <c:pt idx="2386">
                  <c:v>39492</c:v>
                </c:pt>
                <c:pt idx="2387">
                  <c:v>39491</c:v>
                </c:pt>
                <c:pt idx="2388">
                  <c:v>39490</c:v>
                </c:pt>
                <c:pt idx="2389">
                  <c:v>39489</c:v>
                </c:pt>
                <c:pt idx="2390">
                  <c:v>39486</c:v>
                </c:pt>
                <c:pt idx="2391">
                  <c:v>39485</c:v>
                </c:pt>
                <c:pt idx="2392">
                  <c:v>39484</c:v>
                </c:pt>
                <c:pt idx="2393">
                  <c:v>39483</c:v>
                </c:pt>
                <c:pt idx="2394">
                  <c:v>39482</c:v>
                </c:pt>
                <c:pt idx="2395">
                  <c:v>39479</c:v>
                </c:pt>
                <c:pt idx="2396">
                  <c:v>39478</c:v>
                </c:pt>
                <c:pt idx="2397">
                  <c:v>39477</c:v>
                </c:pt>
                <c:pt idx="2398">
                  <c:v>39476</c:v>
                </c:pt>
                <c:pt idx="2399">
                  <c:v>39475</c:v>
                </c:pt>
                <c:pt idx="2400">
                  <c:v>39472</c:v>
                </c:pt>
                <c:pt idx="2401">
                  <c:v>39471</c:v>
                </c:pt>
                <c:pt idx="2402">
                  <c:v>39470</c:v>
                </c:pt>
                <c:pt idx="2403">
                  <c:v>39469</c:v>
                </c:pt>
                <c:pt idx="2404">
                  <c:v>39468</c:v>
                </c:pt>
                <c:pt idx="2405">
                  <c:v>39465</c:v>
                </c:pt>
                <c:pt idx="2406">
                  <c:v>39464</c:v>
                </c:pt>
                <c:pt idx="2407">
                  <c:v>39463</c:v>
                </c:pt>
                <c:pt idx="2408">
                  <c:v>39462</c:v>
                </c:pt>
                <c:pt idx="2409">
                  <c:v>39461</c:v>
                </c:pt>
                <c:pt idx="2410">
                  <c:v>39458</c:v>
                </c:pt>
                <c:pt idx="2411">
                  <c:v>39457</c:v>
                </c:pt>
                <c:pt idx="2412">
                  <c:v>39456</c:v>
                </c:pt>
                <c:pt idx="2413">
                  <c:v>39455</c:v>
                </c:pt>
                <c:pt idx="2414">
                  <c:v>39454</c:v>
                </c:pt>
                <c:pt idx="2415">
                  <c:v>39451</c:v>
                </c:pt>
                <c:pt idx="2416">
                  <c:v>39450</c:v>
                </c:pt>
                <c:pt idx="2417">
                  <c:v>39449</c:v>
                </c:pt>
                <c:pt idx="2418">
                  <c:v>39448</c:v>
                </c:pt>
                <c:pt idx="2419">
                  <c:v>39447</c:v>
                </c:pt>
                <c:pt idx="2420">
                  <c:v>39444</c:v>
                </c:pt>
                <c:pt idx="2421">
                  <c:v>39443</c:v>
                </c:pt>
                <c:pt idx="2422">
                  <c:v>39442</c:v>
                </c:pt>
                <c:pt idx="2423">
                  <c:v>39441</c:v>
                </c:pt>
                <c:pt idx="2424">
                  <c:v>39440</c:v>
                </c:pt>
                <c:pt idx="2425">
                  <c:v>39437</c:v>
                </c:pt>
                <c:pt idx="2426">
                  <c:v>39436</c:v>
                </c:pt>
                <c:pt idx="2427">
                  <c:v>39435</c:v>
                </c:pt>
                <c:pt idx="2428">
                  <c:v>39434</c:v>
                </c:pt>
                <c:pt idx="2429">
                  <c:v>39433</c:v>
                </c:pt>
                <c:pt idx="2430">
                  <c:v>39430</c:v>
                </c:pt>
                <c:pt idx="2431">
                  <c:v>39429</c:v>
                </c:pt>
                <c:pt idx="2432">
                  <c:v>39428</c:v>
                </c:pt>
                <c:pt idx="2433">
                  <c:v>39427</c:v>
                </c:pt>
                <c:pt idx="2434">
                  <c:v>39426</c:v>
                </c:pt>
                <c:pt idx="2435">
                  <c:v>39423</c:v>
                </c:pt>
                <c:pt idx="2436">
                  <c:v>39422</c:v>
                </c:pt>
                <c:pt idx="2437">
                  <c:v>39421</c:v>
                </c:pt>
                <c:pt idx="2438">
                  <c:v>39420</c:v>
                </c:pt>
                <c:pt idx="2439">
                  <c:v>39419</c:v>
                </c:pt>
                <c:pt idx="2440">
                  <c:v>39416</c:v>
                </c:pt>
                <c:pt idx="2441">
                  <c:v>39415</c:v>
                </c:pt>
                <c:pt idx="2442">
                  <c:v>39414</c:v>
                </c:pt>
                <c:pt idx="2443">
                  <c:v>39413</c:v>
                </c:pt>
                <c:pt idx="2444">
                  <c:v>39412</c:v>
                </c:pt>
                <c:pt idx="2445">
                  <c:v>39409</c:v>
                </c:pt>
                <c:pt idx="2446">
                  <c:v>39408</c:v>
                </c:pt>
                <c:pt idx="2447">
                  <c:v>39407</c:v>
                </c:pt>
                <c:pt idx="2448">
                  <c:v>39406</c:v>
                </c:pt>
                <c:pt idx="2449">
                  <c:v>39405</c:v>
                </c:pt>
                <c:pt idx="2450">
                  <c:v>39402</c:v>
                </c:pt>
                <c:pt idx="2451">
                  <c:v>39401</c:v>
                </c:pt>
                <c:pt idx="2452">
                  <c:v>39400</c:v>
                </c:pt>
                <c:pt idx="2453">
                  <c:v>39399</c:v>
                </c:pt>
                <c:pt idx="2454">
                  <c:v>39398</c:v>
                </c:pt>
                <c:pt idx="2455">
                  <c:v>39395</c:v>
                </c:pt>
                <c:pt idx="2456">
                  <c:v>39394</c:v>
                </c:pt>
                <c:pt idx="2457">
                  <c:v>39393</c:v>
                </c:pt>
                <c:pt idx="2458">
                  <c:v>39392</c:v>
                </c:pt>
                <c:pt idx="2459">
                  <c:v>39391</c:v>
                </c:pt>
                <c:pt idx="2460">
                  <c:v>39388</c:v>
                </c:pt>
                <c:pt idx="2461">
                  <c:v>39387</c:v>
                </c:pt>
                <c:pt idx="2462">
                  <c:v>39386</c:v>
                </c:pt>
                <c:pt idx="2463">
                  <c:v>39385</c:v>
                </c:pt>
                <c:pt idx="2464">
                  <c:v>39384</c:v>
                </c:pt>
                <c:pt idx="2465">
                  <c:v>39381</c:v>
                </c:pt>
                <c:pt idx="2466">
                  <c:v>39380</c:v>
                </c:pt>
                <c:pt idx="2467">
                  <c:v>39379</c:v>
                </c:pt>
                <c:pt idx="2468">
                  <c:v>39378</c:v>
                </c:pt>
                <c:pt idx="2469">
                  <c:v>39377</c:v>
                </c:pt>
                <c:pt idx="2470">
                  <c:v>39374</c:v>
                </c:pt>
                <c:pt idx="2471">
                  <c:v>39373</c:v>
                </c:pt>
                <c:pt idx="2472">
                  <c:v>39372</c:v>
                </c:pt>
                <c:pt idx="2473">
                  <c:v>39371</c:v>
                </c:pt>
                <c:pt idx="2474">
                  <c:v>39370</c:v>
                </c:pt>
                <c:pt idx="2475">
                  <c:v>39367</c:v>
                </c:pt>
                <c:pt idx="2476">
                  <c:v>39366</c:v>
                </c:pt>
                <c:pt idx="2477">
                  <c:v>39365</c:v>
                </c:pt>
                <c:pt idx="2478">
                  <c:v>39364</c:v>
                </c:pt>
                <c:pt idx="2479">
                  <c:v>39363</c:v>
                </c:pt>
                <c:pt idx="2480">
                  <c:v>39360</c:v>
                </c:pt>
                <c:pt idx="2481">
                  <c:v>39359</c:v>
                </c:pt>
                <c:pt idx="2482">
                  <c:v>39358</c:v>
                </c:pt>
                <c:pt idx="2483">
                  <c:v>39357</c:v>
                </c:pt>
                <c:pt idx="2484">
                  <c:v>39356</c:v>
                </c:pt>
                <c:pt idx="2485">
                  <c:v>39353</c:v>
                </c:pt>
                <c:pt idx="2486">
                  <c:v>39352</c:v>
                </c:pt>
                <c:pt idx="2487">
                  <c:v>39351</c:v>
                </c:pt>
                <c:pt idx="2488">
                  <c:v>39350</c:v>
                </c:pt>
                <c:pt idx="2489">
                  <c:v>39349</c:v>
                </c:pt>
                <c:pt idx="2490">
                  <c:v>39346</c:v>
                </c:pt>
                <c:pt idx="2491">
                  <c:v>39345</c:v>
                </c:pt>
                <c:pt idx="2492">
                  <c:v>39344</c:v>
                </c:pt>
                <c:pt idx="2493">
                  <c:v>39343</c:v>
                </c:pt>
                <c:pt idx="2494">
                  <c:v>39342</c:v>
                </c:pt>
                <c:pt idx="2495">
                  <c:v>39339</c:v>
                </c:pt>
                <c:pt idx="2496">
                  <c:v>39338</c:v>
                </c:pt>
                <c:pt idx="2497">
                  <c:v>39337</c:v>
                </c:pt>
                <c:pt idx="2498">
                  <c:v>39336</c:v>
                </c:pt>
                <c:pt idx="2499">
                  <c:v>39335</c:v>
                </c:pt>
                <c:pt idx="2500">
                  <c:v>39332</c:v>
                </c:pt>
                <c:pt idx="2501">
                  <c:v>39331</c:v>
                </c:pt>
                <c:pt idx="2502">
                  <c:v>39330</c:v>
                </c:pt>
                <c:pt idx="2503">
                  <c:v>39329</c:v>
                </c:pt>
                <c:pt idx="2504">
                  <c:v>39328</c:v>
                </c:pt>
                <c:pt idx="2505">
                  <c:v>39325</c:v>
                </c:pt>
                <c:pt idx="2506">
                  <c:v>39324</c:v>
                </c:pt>
                <c:pt idx="2507">
                  <c:v>39323</c:v>
                </c:pt>
                <c:pt idx="2508">
                  <c:v>39322</c:v>
                </c:pt>
                <c:pt idx="2509">
                  <c:v>39321</c:v>
                </c:pt>
                <c:pt idx="2510">
                  <c:v>39318</c:v>
                </c:pt>
                <c:pt idx="2511">
                  <c:v>39317</c:v>
                </c:pt>
                <c:pt idx="2512">
                  <c:v>39316</c:v>
                </c:pt>
                <c:pt idx="2513">
                  <c:v>39315</c:v>
                </c:pt>
                <c:pt idx="2514">
                  <c:v>39314</c:v>
                </c:pt>
                <c:pt idx="2515">
                  <c:v>39311</c:v>
                </c:pt>
                <c:pt idx="2516">
                  <c:v>39310</c:v>
                </c:pt>
                <c:pt idx="2517">
                  <c:v>39309</c:v>
                </c:pt>
                <c:pt idx="2518">
                  <c:v>39308</c:v>
                </c:pt>
                <c:pt idx="2519">
                  <c:v>39307</c:v>
                </c:pt>
                <c:pt idx="2520">
                  <c:v>39304</c:v>
                </c:pt>
                <c:pt idx="2521">
                  <c:v>39303</c:v>
                </c:pt>
                <c:pt idx="2522">
                  <c:v>39302</c:v>
                </c:pt>
                <c:pt idx="2523">
                  <c:v>39301</c:v>
                </c:pt>
                <c:pt idx="2524">
                  <c:v>39300</c:v>
                </c:pt>
                <c:pt idx="2525">
                  <c:v>39297</c:v>
                </c:pt>
                <c:pt idx="2526">
                  <c:v>39296</c:v>
                </c:pt>
                <c:pt idx="2527">
                  <c:v>39295</c:v>
                </c:pt>
                <c:pt idx="2528">
                  <c:v>39294</c:v>
                </c:pt>
                <c:pt idx="2529">
                  <c:v>39293</c:v>
                </c:pt>
                <c:pt idx="2530">
                  <c:v>39290</c:v>
                </c:pt>
                <c:pt idx="2531">
                  <c:v>39289</c:v>
                </c:pt>
                <c:pt idx="2532">
                  <c:v>39288</c:v>
                </c:pt>
                <c:pt idx="2533">
                  <c:v>39287</c:v>
                </c:pt>
                <c:pt idx="2534">
                  <c:v>39286</c:v>
                </c:pt>
                <c:pt idx="2535">
                  <c:v>39283</c:v>
                </c:pt>
                <c:pt idx="2536">
                  <c:v>39282</c:v>
                </c:pt>
                <c:pt idx="2537">
                  <c:v>39281</c:v>
                </c:pt>
                <c:pt idx="2538">
                  <c:v>39280</c:v>
                </c:pt>
                <c:pt idx="2539">
                  <c:v>39279</c:v>
                </c:pt>
                <c:pt idx="2540">
                  <c:v>39276</c:v>
                </c:pt>
                <c:pt idx="2541">
                  <c:v>39275</c:v>
                </c:pt>
                <c:pt idx="2542">
                  <c:v>39274</c:v>
                </c:pt>
                <c:pt idx="2543">
                  <c:v>39273</c:v>
                </c:pt>
                <c:pt idx="2544">
                  <c:v>39272</c:v>
                </c:pt>
                <c:pt idx="2545">
                  <c:v>39269</c:v>
                </c:pt>
                <c:pt idx="2546">
                  <c:v>39268</c:v>
                </c:pt>
                <c:pt idx="2547">
                  <c:v>39267</c:v>
                </c:pt>
                <c:pt idx="2548">
                  <c:v>39266</c:v>
                </c:pt>
                <c:pt idx="2549">
                  <c:v>39265</c:v>
                </c:pt>
                <c:pt idx="2550">
                  <c:v>39262</c:v>
                </c:pt>
                <c:pt idx="2551">
                  <c:v>39261</c:v>
                </c:pt>
                <c:pt idx="2552">
                  <c:v>39260</c:v>
                </c:pt>
                <c:pt idx="2553">
                  <c:v>39259</c:v>
                </c:pt>
                <c:pt idx="2554">
                  <c:v>39258</c:v>
                </c:pt>
                <c:pt idx="2555">
                  <c:v>39255</c:v>
                </c:pt>
                <c:pt idx="2556">
                  <c:v>39254</c:v>
                </c:pt>
                <c:pt idx="2557">
                  <c:v>39253</c:v>
                </c:pt>
                <c:pt idx="2558">
                  <c:v>39252</c:v>
                </c:pt>
                <c:pt idx="2559">
                  <c:v>39251</c:v>
                </c:pt>
                <c:pt idx="2560">
                  <c:v>39248</c:v>
                </c:pt>
                <c:pt idx="2561">
                  <c:v>39247</c:v>
                </c:pt>
                <c:pt idx="2562">
                  <c:v>39246</c:v>
                </c:pt>
                <c:pt idx="2563">
                  <c:v>39245</c:v>
                </c:pt>
                <c:pt idx="2564">
                  <c:v>39244</c:v>
                </c:pt>
                <c:pt idx="2565">
                  <c:v>39241</c:v>
                </c:pt>
                <c:pt idx="2566">
                  <c:v>39240</c:v>
                </c:pt>
                <c:pt idx="2567">
                  <c:v>39239</c:v>
                </c:pt>
                <c:pt idx="2568">
                  <c:v>39238</c:v>
                </c:pt>
                <c:pt idx="2569">
                  <c:v>39237</c:v>
                </c:pt>
                <c:pt idx="2570">
                  <c:v>39234</c:v>
                </c:pt>
                <c:pt idx="2571">
                  <c:v>39233</c:v>
                </c:pt>
                <c:pt idx="2572">
                  <c:v>39232</c:v>
                </c:pt>
                <c:pt idx="2573">
                  <c:v>39231</c:v>
                </c:pt>
                <c:pt idx="2574">
                  <c:v>39230</c:v>
                </c:pt>
                <c:pt idx="2575">
                  <c:v>39227</c:v>
                </c:pt>
                <c:pt idx="2576">
                  <c:v>39226</c:v>
                </c:pt>
                <c:pt idx="2577">
                  <c:v>39225</c:v>
                </c:pt>
                <c:pt idx="2578">
                  <c:v>39224</c:v>
                </c:pt>
                <c:pt idx="2579">
                  <c:v>39223</c:v>
                </c:pt>
                <c:pt idx="2580">
                  <c:v>39220</c:v>
                </c:pt>
                <c:pt idx="2581">
                  <c:v>39219</c:v>
                </c:pt>
                <c:pt idx="2582">
                  <c:v>39218</c:v>
                </c:pt>
                <c:pt idx="2583">
                  <c:v>39217</c:v>
                </c:pt>
                <c:pt idx="2584">
                  <c:v>39216</c:v>
                </c:pt>
                <c:pt idx="2585">
                  <c:v>39213</c:v>
                </c:pt>
                <c:pt idx="2586">
                  <c:v>39212</c:v>
                </c:pt>
                <c:pt idx="2587">
                  <c:v>39211</c:v>
                </c:pt>
                <c:pt idx="2588">
                  <c:v>39210</c:v>
                </c:pt>
                <c:pt idx="2589">
                  <c:v>39209</c:v>
                </c:pt>
                <c:pt idx="2590">
                  <c:v>39206</c:v>
                </c:pt>
                <c:pt idx="2591">
                  <c:v>39205</c:v>
                </c:pt>
                <c:pt idx="2592">
                  <c:v>39204</c:v>
                </c:pt>
                <c:pt idx="2593">
                  <c:v>39203</c:v>
                </c:pt>
                <c:pt idx="2594">
                  <c:v>39202</c:v>
                </c:pt>
                <c:pt idx="2595">
                  <c:v>39199</c:v>
                </c:pt>
                <c:pt idx="2596">
                  <c:v>39198</c:v>
                </c:pt>
                <c:pt idx="2597">
                  <c:v>39197</c:v>
                </c:pt>
                <c:pt idx="2598">
                  <c:v>39196</c:v>
                </c:pt>
                <c:pt idx="2599">
                  <c:v>39195</c:v>
                </c:pt>
                <c:pt idx="2600">
                  <c:v>39192</c:v>
                </c:pt>
                <c:pt idx="2601">
                  <c:v>39191</c:v>
                </c:pt>
                <c:pt idx="2602">
                  <c:v>39190</c:v>
                </c:pt>
                <c:pt idx="2603">
                  <c:v>39189</c:v>
                </c:pt>
                <c:pt idx="2604">
                  <c:v>39188</c:v>
                </c:pt>
                <c:pt idx="2605">
                  <c:v>39185</c:v>
                </c:pt>
                <c:pt idx="2606">
                  <c:v>39184</c:v>
                </c:pt>
                <c:pt idx="2607">
                  <c:v>39183</c:v>
                </c:pt>
                <c:pt idx="2608">
                  <c:v>39182</c:v>
                </c:pt>
                <c:pt idx="2609">
                  <c:v>39181</c:v>
                </c:pt>
                <c:pt idx="2610">
                  <c:v>39178</c:v>
                </c:pt>
                <c:pt idx="2611">
                  <c:v>39177</c:v>
                </c:pt>
                <c:pt idx="2612">
                  <c:v>39176</c:v>
                </c:pt>
                <c:pt idx="2613">
                  <c:v>39175</c:v>
                </c:pt>
                <c:pt idx="2614">
                  <c:v>39174</c:v>
                </c:pt>
                <c:pt idx="2615">
                  <c:v>39171</c:v>
                </c:pt>
                <c:pt idx="2616">
                  <c:v>39170</c:v>
                </c:pt>
                <c:pt idx="2617">
                  <c:v>39169</c:v>
                </c:pt>
                <c:pt idx="2618">
                  <c:v>39168</c:v>
                </c:pt>
                <c:pt idx="2619">
                  <c:v>39167</c:v>
                </c:pt>
                <c:pt idx="2620">
                  <c:v>39164</c:v>
                </c:pt>
                <c:pt idx="2621">
                  <c:v>39163</c:v>
                </c:pt>
                <c:pt idx="2622">
                  <c:v>39162</c:v>
                </c:pt>
                <c:pt idx="2623">
                  <c:v>39161</c:v>
                </c:pt>
                <c:pt idx="2624">
                  <c:v>39160</c:v>
                </c:pt>
                <c:pt idx="2625">
                  <c:v>39157</c:v>
                </c:pt>
                <c:pt idx="2626">
                  <c:v>39156</c:v>
                </c:pt>
                <c:pt idx="2627">
                  <c:v>39155</c:v>
                </c:pt>
                <c:pt idx="2628">
                  <c:v>39154</c:v>
                </c:pt>
                <c:pt idx="2629">
                  <c:v>39153</c:v>
                </c:pt>
                <c:pt idx="2630">
                  <c:v>39150</c:v>
                </c:pt>
                <c:pt idx="2631">
                  <c:v>39149</c:v>
                </c:pt>
                <c:pt idx="2632">
                  <c:v>39148</c:v>
                </c:pt>
                <c:pt idx="2633">
                  <c:v>39147</c:v>
                </c:pt>
                <c:pt idx="2634">
                  <c:v>39146</c:v>
                </c:pt>
                <c:pt idx="2635">
                  <c:v>39143</c:v>
                </c:pt>
                <c:pt idx="2636">
                  <c:v>39142</c:v>
                </c:pt>
                <c:pt idx="2637">
                  <c:v>39141</c:v>
                </c:pt>
                <c:pt idx="2638">
                  <c:v>39140</c:v>
                </c:pt>
                <c:pt idx="2639">
                  <c:v>39139</c:v>
                </c:pt>
                <c:pt idx="2640">
                  <c:v>39136</c:v>
                </c:pt>
                <c:pt idx="2641">
                  <c:v>39135</c:v>
                </c:pt>
                <c:pt idx="2642">
                  <c:v>39134</c:v>
                </c:pt>
                <c:pt idx="2643">
                  <c:v>39133</c:v>
                </c:pt>
                <c:pt idx="2644">
                  <c:v>39132</c:v>
                </c:pt>
                <c:pt idx="2645">
                  <c:v>39129</c:v>
                </c:pt>
                <c:pt idx="2646">
                  <c:v>39128</c:v>
                </c:pt>
                <c:pt idx="2647">
                  <c:v>39127</c:v>
                </c:pt>
                <c:pt idx="2648">
                  <c:v>39126</c:v>
                </c:pt>
                <c:pt idx="2649">
                  <c:v>39125</c:v>
                </c:pt>
                <c:pt idx="2650">
                  <c:v>39122</c:v>
                </c:pt>
                <c:pt idx="2651">
                  <c:v>39121</c:v>
                </c:pt>
                <c:pt idx="2652">
                  <c:v>39120</c:v>
                </c:pt>
                <c:pt idx="2653">
                  <c:v>39119</c:v>
                </c:pt>
                <c:pt idx="2654">
                  <c:v>39118</c:v>
                </c:pt>
                <c:pt idx="2655">
                  <c:v>39115</c:v>
                </c:pt>
                <c:pt idx="2656">
                  <c:v>39114</c:v>
                </c:pt>
                <c:pt idx="2657">
                  <c:v>39113</c:v>
                </c:pt>
                <c:pt idx="2658">
                  <c:v>39112</c:v>
                </c:pt>
                <c:pt idx="2659">
                  <c:v>39111</c:v>
                </c:pt>
                <c:pt idx="2660">
                  <c:v>39108</c:v>
                </c:pt>
                <c:pt idx="2661">
                  <c:v>39107</c:v>
                </c:pt>
                <c:pt idx="2662">
                  <c:v>39106</c:v>
                </c:pt>
                <c:pt idx="2663">
                  <c:v>39105</c:v>
                </c:pt>
                <c:pt idx="2664">
                  <c:v>39104</c:v>
                </c:pt>
                <c:pt idx="2665">
                  <c:v>39101</c:v>
                </c:pt>
                <c:pt idx="2666">
                  <c:v>39100</c:v>
                </c:pt>
                <c:pt idx="2667">
                  <c:v>39099</c:v>
                </c:pt>
                <c:pt idx="2668">
                  <c:v>39098</c:v>
                </c:pt>
                <c:pt idx="2669">
                  <c:v>39097</c:v>
                </c:pt>
                <c:pt idx="2670">
                  <c:v>39094</c:v>
                </c:pt>
                <c:pt idx="2671">
                  <c:v>39093</c:v>
                </c:pt>
                <c:pt idx="2672">
                  <c:v>39092</c:v>
                </c:pt>
                <c:pt idx="2673">
                  <c:v>39091</c:v>
                </c:pt>
                <c:pt idx="2674">
                  <c:v>39090</c:v>
                </c:pt>
                <c:pt idx="2675">
                  <c:v>39087</c:v>
                </c:pt>
                <c:pt idx="2676">
                  <c:v>39086</c:v>
                </c:pt>
                <c:pt idx="2677">
                  <c:v>39085</c:v>
                </c:pt>
                <c:pt idx="2678">
                  <c:v>39084</c:v>
                </c:pt>
                <c:pt idx="2679">
                  <c:v>39083</c:v>
                </c:pt>
                <c:pt idx="2680">
                  <c:v>39080</c:v>
                </c:pt>
                <c:pt idx="2681">
                  <c:v>39079</c:v>
                </c:pt>
                <c:pt idx="2682">
                  <c:v>39078</c:v>
                </c:pt>
                <c:pt idx="2683">
                  <c:v>39077</c:v>
                </c:pt>
                <c:pt idx="2684">
                  <c:v>39076</c:v>
                </c:pt>
                <c:pt idx="2685">
                  <c:v>39073</c:v>
                </c:pt>
                <c:pt idx="2686">
                  <c:v>39072</c:v>
                </c:pt>
                <c:pt idx="2687">
                  <c:v>39071</c:v>
                </c:pt>
                <c:pt idx="2688">
                  <c:v>39070</c:v>
                </c:pt>
                <c:pt idx="2689">
                  <c:v>39069</c:v>
                </c:pt>
                <c:pt idx="2690">
                  <c:v>39066</c:v>
                </c:pt>
                <c:pt idx="2691">
                  <c:v>39065</c:v>
                </c:pt>
                <c:pt idx="2692">
                  <c:v>39064</c:v>
                </c:pt>
                <c:pt idx="2693">
                  <c:v>39063</c:v>
                </c:pt>
                <c:pt idx="2694">
                  <c:v>39062</c:v>
                </c:pt>
                <c:pt idx="2695">
                  <c:v>39059</c:v>
                </c:pt>
                <c:pt idx="2696">
                  <c:v>39058</c:v>
                </c:pt>
                <c:pt idx="2697">
                  <c:v>39057</c:v>
                </c:pt>
                <c:pt idx="2698">
                  <c:v>39056</c:v>
                </c:pt>
                <c:pt idx="2699">
                  <c:v>39055</c:v>
                </c:pt>
                <c:pt idx="2700">
                  <c:v>39052</c:v>
                </c:pt>
                <c:pt idx="2701">
                  <c:v>39051</c:v>
                </c:pt>
                <c:pt idx="2702">
                  <c:v>39050</c:v>
                </c:pt>
                <c:pt idx="2703">
                  <c:v>39049</c:v>
                </c:pt>
                <c:pt idx="2704">
                  <c:v>39048</c:v>
                </c:pt>
                <c:pt idx="2705">
                  <c:v>39045</c:v>
                </c:pt>
                <c:pt idx="2706">
                  <c:v>39044</c:v>
                </c:pt>
                <c:pt idx="2707">
                  <c:v>39043</c:v>
                </c:pt>
                <c:pt idx="2708">
                  <c:v>39042</c:v>
                </c:pt>
                <c:pt idx="2709">
                  <c:v>39041</c:v>
                </c:pt>
                <c:pt idx="2710">
                  <c:v>39038</c:v>
                </c:pt>
                <c:pt idx="2711">
                  <c:v>39037</c:v>
                </c:pt>
                <c:pt idx="2712">
                  <c:v>39036</c:v>
                </c:pt>
                <c:pt idx="2713">
                  <c:v>39035</c:v>
                </c:pt>
                <c:pt idx="2714">
                  <c:v>39034</c:v>
                </c:pt>
                <c:pt idx="2715">
                  <c:v>39031</c:v>
                </c:pt>
                <c:pt idx="2716">
                  <c:v>39030</c:v>
                </c:pt>
                <c:pt idx="2717">
                  <c:v>39029</c:v>
                </c:pt>
                <c:pt idx="2718">
                  <c:v>39028</c:v>
                </c:pt>
                <c:pt idx="2719">
                  <c:v>39027</c:v>
                </c:pt>
                <c:pt idx="2720">
                  <c:v>39024</c:v>
                </c:pt>
                <c:pt idx="2721">
                  <c:v>39023</c:v>
                </c:pt>
                <c:pt idx="2722">
                  <c:v>39022</c:v>
                </c:pt>
                <c:pt idx="2723">
                  <c:v>39021</c:v>
                </c:pt>
                <c:pt idx="2724">
                  <c:v>39020</c:v>
                </c:pt>
                <c:pt idx="2725">
                  <c:v>39017</c:v>
                </c:pt>
                <c:pt idx="2726">
                  <c:v>39016</c:v>
                </c:pt>
                <c:pt idx="2727">
                  <c:v>39015</c:v>
                </c:pt>
                <c:pt idx="2728">
                  <c:v>39014</c:v>
                </c:pt>
                <c:pt idx="2729">
                  <c:v>39013</c:v>
                </c:pt>
                <c:pt idx="2730">
                  <c:v>39010</c:v>
                </c:pt>
                <c:pt idx="2731">
                  <c:v>39009</c:v>
                </c:pt>
                <c:pt idx="2732">
                  <c:v>39008</c:v>
                </c:pt>
                <c:pt idx="2733">
                  <c:v>39007</c:v>
                </c:pt>
                <c:pt idx="2734">
                  <c:v>39006</c:v>
                </c:pt>
                <c:pt idx="2735">
                  <c:v>39003</c:v>
                </c:pt>
                <c:pt idx="2736">
                  <c:v>39002</c:v>
                </c:pt>
                <c:pt idx="2737">
                  <c:v>39001</c:v>
                </c:pt>
                <c:pt idx="2738">
                  <c:v>39000</c:v>
                </c:pt>
                <c:pt idx="2739">
                  <c:v>38999</c:v>
                </c:pt>
                <c:pt idx="2740">
                  <c:v>38996</c:v>
                </c:pt>
                <c:pt idx="2741">
                  <c:v>38995</c:v>
                </c:pt>
                <c:pt idx="2742">
                  <c:v>38994</c:v>
                </c:pt>
                <c:pt idx="2743">
                  <c:v>38993</c:v>
                </c:pt>
                <c:pt idx="2744">
                  <c:v>38992</c:v>
                </c:pt>
                <c:pt idx="2745">
                  <c:v>38989</c:v>
                </c:pt>
                <c:pt idx="2746">
                  <c:v>38988</c:v>
                </c:pt>
                <c:pt idx="2747">
                  <c:v>38987</c:v>
                </c:pt>
                <c:pt idx="2748">
                  <c:v>38986</c:v>
                </c:pt>
                <c:pt idx="2749">
                  <c:v>38985</c:v>
                </c:pt>
                <c:pt idx="2750">
                  <c:v>38982</c:v>
                </c:pt>
                <c:pt idx="2751">
                  <c:v>38981</c:v>
                </c:pt>
                <c:pt idx="2752">
                  <c:v>38980</c:v>
                </c:pt>
                <c:pt idx="2753">
                  <c:v>38979</c:v>
                </c:pt>
                <c:pt idx="2754">
                  <c:v>38978</c:v>
                </c:pt>
                <c:pt idx="2755">
                  <c:v>38975</c:v>
                </c:pt>
                <c:pt idx="2756">
                  <c:v>38974</c:v>
                </c:pt>
                <c:pt idx="2757">
                  <c:v>38973</c:v>
                </c:pt>
                <c:pt idx="2758">
                  <c:v>38972</c:v>
                </c:pt>
                <c:pt idx="2759">
                  <c:v>38971</c:v>
                </c:pt>
                <c:pt idx="2760">
                  <c:v>38968</c:v>
                </c:pt>
                <c:pt idx="2761">
                  <c:v>38967</c:v>
                </c:pt>
                <c:pt idx="2762">
                  <c:v>38966</c:v>
                </c:pt>
                <c:pt idx="2763">
                  <c:v>38965</c:v>
                </c:pt>
                <c:pt idx="2764">
                  <c:v>38964</c:v>
                </c:pt>
                <c:pt idx="2765">
                  <c:v>38961</c:v>
                </c:pt>
                <c:pt idx="2766">
                  <c:v>38960</c:v>
                </c:pt>
                <c:pt idx="2767">
                  <c:v>38959</c:v>
                </c:pt>
                <c:pt idx="2768">
                  <c:v>38958</c:v>
                </c:pt>
                <c:pt idx="2769">
                  <c:v>38957</c:v>
                </c:pt>
                <c:pt idx="2770">
                  <c:v>38954</c:v>
                </c:pt>
                <c:pt idx="2771">
                  <c:v>38953</c:v>
                </c:pt>
                <c:pt idx="2772">
                  <c:v>38952</c:v>
                </c:pt>
                <c:pt idx="2773">
                  <c:v>38951</c:v>
                </c:pt>
                <c:pt idx="2774">
                  <c:v>38950</c:v>
                </c:pt>
                <c:pt idx="2775">
                  <c:v>38947</c:v>
                </c:pt>
                <c:pt idx="2776">
                  <c:v>38946</c:v>
                </c:pt>
                <c:pt idx="2777">
                  <c:v>38945</c:v>
                </c:pt>
                <c:pt idx="2778">
                  <c:v>38944</c:v>
                </c:pt>
                <c:pt idx="2779">
                  <c:v>38943</c:v>
                </c:pt>
                <c:pt idx="2780">
                  <c:v>38940</c:v>
                </c:pt>
                <c:pt idx="2781">
                  <c:v>38939</c:v>
                </c:pt>
                <c:pt idx="2782">
                  <c:v>38938</c:v>
                </c:pt>
                <c:pt idx="2783">
                  <c:v>38937</c:v>
                </c:pt>
                <c:pt idx="2784">
                  <c:v>38936</c:v>
                </c:pt>
                <c:pt idx="2785">
                  <c:v>38933</c:v>
                </c:pt>
                <c:pt idx="2786">
                  <c:v>38932</c:v>
                </c:pt>
                <c:pt idx="2787">
                  <c:v>38931</c:v>
                </c:pt>
                <c:pt idx="2788">
                  <c:v>38930</c:v>
                </c:pt>
                <c:pt idx="2789">
                  <c:v>38929</c:v>
                </c:pt>
                <c:pt idx="2790">
                  <c:v>38926</c:v>
                </c:pt>
                <c:pt idx="2791">
                  <c:v>38925</c:v>
                </c:pt>
                <c:pt idx="2792">
                  <c:v>38924</c:v>
                </c:pt>
                <c:pt idx="2793">
                  <c:v>38923</c:v>
                </c:pt>
                <c:pt idx="2794">
                  <c:v>38922</c:v>
                </c:pt>
                <c:pt idx="2795">
                  <c:v>38919</c:v>
                </c:pt>
                <c:pt idx="2796">
                  <c:v>38918</c:v>
                </c:pt>
                <c:pt idx="2797">
                  <c:v>38917</c:v>
                </c:pt>
                <c:pt idx="2798">
                  <c:v>38916</c:v>
                </c:pt>
                <c:pt idx="2799">
                  <c:v>38915</c:v>
                </c:pt>
                <c:pt idx="2800">
                  <c:v>38912</c:v>
                </c:pt>
                <c:pt idx="2801">
                  <c:v>38911</c:v>
                </c:pt>
                <c:pt idx="2802">
                  <c:v>38910</c:v>
                </c:pt>
                <c:pt idx="2803">
                  <c:v>38909</c:v>
                </c:pt>
                <c:pt idx="2804">
                  <c:v>38908</c:v>
                </c:pt>
                <c:pt idx="2805">
                  <c:v>38905</c:v>
                </c:pt>
                <c:pt idx="2806">
                  <c:v>38904</c:v>
                </c:pt>
                <c:pt idx="2807">
                  <c:v>38903</c:v>
                </c:pt>
                <c:pt idx="2808">
                  <c:v>38902</c:v>
                </c:pt>
                <c:pt idx="2809">
                  <c:v>38901</c:v>
                </c:pt>
                <c:pt idx="2810">
                  <c:v>38898</c:v>
                </c:pt>
                <c:pt idx="2811">
                  <c:v>38897</c:v>
                </c:pt>
                <c:pt idx="2812">
                  <c:v>38896</c:v>
                </c:pt>
                <c:pt idx="2813">
                  <c:v>38895</c:v>
                </c:pt>
                <c:pt idx="2814">
                  <c:v>38894</c:v>
                </c:pt>
                <c:pt idx="2815">
                  <c:v>38891</c:v>
                </c:pt>
                <c:pt idx="2816">
                  <c:v>38890</c:v>
                </c:pt>
                <c:pt idx="2817">
                  <c:v>38889</c:v>
                </c:pt>
                <c:pt idx="2818">
                  <c:v>38888</c:v>
                </c:pt>
                <c:pt idx="2819">
                  <c:v>38887</c:v>
                </c:pt>
                <c:pt idx="2820">
                  <c:v>38884</c:v>
                </c:pt>
                <c:pt idx="2821">
                  <c:v>38883</c:v>
                </c:pt>
                <c:pt idx="2822">
                  <c:v>38882</c:v>
                </c:pt>
                <c:pt idx="2823">
                  <c:v>38881</c:v>
                </c:pt>
                <c:pt idx="2824">
                  <c:v>38880</c:v>
                </c:pt>
                <c:pt idx="2825">
                  <c:v>38877</c:v>
                </c:pt>
                <c:pt idx="2826">
                  <c:v>38876</c:v>
                </c:pt>
                <c:pt idx="2827">
                  <c:v>38875</c:v>
                </c:pt>
                <c:pt idx="2828">
                  <c:v>38874</c:v>
                </c:pt>
                <c:pt idx="2829">
                  <c:v>38873</c:v>
                </c:pt>
                <c:pt idx="2830">
                  <c:v>38870</c:v>
                </c:pt>
                <c:pt idx="2831">
                  <c:v>38869</c:v>
                </c:pt>
                <c:pt idx="2832">
                  <c:v>38868</c:v>
                </c:pt>
                <c:pt idx="2833">
                  <c:v>38867</c:v>
                </c:pt>
                <c:pt idx="2834">
                  <c:v>38866</c:v>
                </c:pt>
                <c:pt idx="2835">
                  <c:v>38863</c:v>
                </c:pt>
                <c:pt idx="2836">
                  <c:v>38862</c:v>
                </c:pt>
                <c:pt idx="2837">
                  <c:v>38861</c:v>
                </c:pt>
                <c:pt idx="2838">
                  <c:v>38860</c:v>
                </c:pt>
                <c:pt idx="2839">
                  <c:v>38859</c:v>
                </c:pt>
                <c:pt idx="2840">
                  <c:v>38856</c:v>
                </c:pt>
                <c:pt idx="2841">
                  <c:v>38855</c:v>
                </c:pt>
                <c:pt idx="2842">
                  <c:v>38854</c:v>
                </c:pt>
                <c:pt idx="2843">
                  <c:v>38853</c:v>
                </c:pt>
                <c:pt idx="2844">
                  <c:v>38852</c:v>
                </c:pt>
                <c:pt idx="2845">
                  <c:v>38849</c:v>
                </c:pt>
                <c:pt idx="2846">
                  <c:v>38848</c:v>
                </c:pt>
                <c:pt idx="2847">
                  <c:v>38847</c:v>
                </c:pt>
                <c:pt idx="2848">
                  <c:v>38846</c:v>
                </c:pt>
                <c:pt idx="2849">
                  <c:v>38845</c:v>
                </c:pt>
                <c:pt idx="2850">
                  <c:v>38842</c:v>
                </c:pt>
                <c:pt idx="2851">
                  <c:v>38841</c:v>
                </c:pt>
                <c:pt idx="2852">
                  <c:v>38840</c:v>
                </c:pt>
                <c:pt idx="2853">
                  <c:v>38839</c:v>
                </c:pt>
                <c:pt idx="2854">
                  <c:v>38838</c:v>
                </c:pt>
                <c:pt idx="2855">
                  <c:v>38835</c:v>
                </c:pt>
                <c:pt idx="2856">
                  <c:v>38834</c:v>
                </c:pt>
                <c:pt idx="2857">
                  <c:v>38833</c:v>
                </c:pt>
                <c:pt idx="2858">
                  <c:v>38832</c:v>
                </c:pt>
                <c:pt idx="2859">
                  <c:v>38831</c:v>
                </c:pt>
                <c:pt idx="2860">
                  <c:v>38828</c:v>
                </c:pt>
                <c:pt idx="2861">
                  <c:v>38827</c:v>
                </c:pt>
                <c:pt idx="2862">
                  <c:v>38826</c:v>
                </c:pt>
                <c:pt idx="2863">
                  <c:v>38825</c:v>
                </c:pt>
                <c:pt idx="2864">
                  <c:v>38824</c:v>
                </c:pt>
                <c:pt idx="2865">
                  <c:v>38821</c:v>
                </c:pt>
                <c:pt idx="2866">
                  <c:v>38820</c:v>
                </c:pt>
                <c:pt idx="2867">
                  <c:v>38819</c:v>
                </c:pt>
                <c:pt idx="2868">
                  <c:v>38818</c:v>
                </c:pt>
                <c:pt idx="2869">
                  <c:v>38817</c:v>
                </c:pt>
                <c:pt idx="2870">
                  <c:v>38814</c:v>
                </c:pt>
                <c:pt idx="2871">
                  <c:v>38813</c:v>
                </c:pt>
                <c:pt idx="2872">
                  <c:v>38812</c:v>
                </c:pt>
                <c:pt idx="2873">
                  <c:v>38811</c:v>
                </c:pt>
                <c:pt idx="2874">
                  <c:v>38810</c:v>
                </c:pt>
                <c:pt idx="2875">
                  <c:v>38807</c:v>
                </c:pt>
                <c:pt idx="2876">
                  <c:v>38806</c:v>
                </c:pt>
                <c:pt idx="2877">
                  <c:v>38805</c:v>
                </c:pt>
                <c:pt idx="2878">
                  <c:v>38804</c:v>
                </c:pt>
                <c:pt idx="2879">
                  <c:v>38803</c:v>
                </c:pt>
                <c:pt idx="2880">
                  <c:v>38800</c:v>
                </c:pt>
                <c:pt idx="2881">
                  <c:v>38799</c:v>
                </c:pt>
                <c:pt idx="2882">
                  <c:v>38798</c:v>
                </c:pt>
                <c:pt idx="2883">
                  <c:v>38797</c:v>
                </c:pt>
                <c:pt idx="2884">
                  <c:v>38796</c:v>
                </c:pt>
                <c:pt idx="2885">
                  <c:v>38793</c:v>
                </c:pt>
                <c:pt idx="2886">
                  <c:v>38792</c:v>
                </c:pt>
                <c:pt idx="2887">
                  <c:v>38791</c:v>
                </c:pt>
                <c:pt idx="2888">
                  <c:v>38790</c:v>
                </c:pt>
                <c:pt idx="2889">
                  <c:v>38789</c:v>
                </c:pt>
                <c:pt idx="2890">
                  <c:v>38786</c:v>
                </c:pt>
                <c:pt idx="2891">
                  <c:v>38785</c:v>
                </c:pt>
                <c:pt idx="2892">
                  <c:v>38784</c:v>
                </c:pt>
                <c:pt idx="2893">
                  <c:v>38783</c:v>
                </c:pt>
                <c:pt idx="2894">
                  <c:v>38782</c:v>
                </c:pt>
                <c:pt idx="2895">
                  <c:v>38779</c:v>
                </c:pt>
                <c:pt idx="2896">
                  <c:v>38778</c:v>
                </c:pt>
                <c:pt idx="2897">
                  <c:v>38777</c:v>
                </c:pt>
                <c:pt idx="2898">
                  <c:v>38776</c:v>
                </c:pt>
                <c:pt idx="2899">
                  <c:v>38775</c:v>
                </c:pt>
                <c:pt idx="2900">
                  <c:v>38772</c:v>
                </c:pt>
                <c:pt idx="2901">
                  <c:v>38771</c:v>
                </c:pt>
                <c:pt idx="2902">
                  <c:v>38770</c:v>
                </c:pt>
                <c:pt idx="2903">
                  <c:v>38769</c:v>
                </c:pt>
                <c:pt idx="2904">
                  <c:v>38768</c:v>
                </c:pt>
                <c:pt idx="2905">
                  <c:v>38765</c:v>
                </c:pt>
                <c:pt idx="2906">
                  <c:v>38764</c:v>
                </c:pt>
                <c:pt idx="2907">
                  <c:v>38763</c:v>
                </c:pt>
                <c:pt idx="2908">
                  <c:v>38762</c:v>
                </c:pt>
                <c:pt idx="2909">
                  <c:v>38761</c:v>
                </c:pt>
                <c:pt idx="2910">
                  <c:v>38758</c:v>
                </c:pt>
                <c:pt idx="2911">
                  <c:v>38757</c:v>
                </c:pt>
                <c:pt idx="2912">
                  <c:v>38756</c:v>
                </c:pt>
                <c:pt idx="2913">
                  <c:v>38755</c:v>
                </c:pt>
                <c:pt idx="2914">
                  <c:v>38754</c:v>
                </c:pt>
                <c:pt idx="2915">
                  <c:v>38751</c:v>
                </c:pt>
                <c:pt idx="2916">
                  <c:v>38750</c:v>
                </c:pt>
                <c:pt idx="2917">
                  <c:v>38749</c:v>
                </c:pt>
                <c:pt idx="2918">
                  <c:v>38748</c:v>
                </c:pt>
                <c:pt idx="2919">
                  <c:v>38747</c:v>
                </c:pt>
                <c:pt idx="2920">
                  <c:v>38744</c:v>
                </c:pt>
                <c:pt idx="2921">
                  <c:v>38743</c:v>
                </c:pt>
                <c:pt idx="2922">
                  <c:v>38742</c:v>
                </c:pt>
                <c:pt idx="2923">
                  <c:v>38741</c:v>
                </c:pt>
                <c:pt idx="2924">
                  <c:v>38740</c:v>
                </c:pt>
                <c:pt idx="2925">
                  <c:v>38737</c:v>
                </c:pt>
                <c:pt idx="2926">
                  <c:v>38736</c:v>
                </c:pt>
                <c:pt idx="2927">
                  <c:v>38735</c:v>
                </c:pt>
                <c:pt idx="2928">
                  <c:v>38734</c:v>
                </c:pt>
                <c:pt idx="2929">
                  <c:v>38733</c:v>
                </c:pt>
                <c:pt idx="2930">
                  <c:v>38730</c:v>
                </c:pt>
                <c:pt idx="2931">
                  <c:v>38729</c:v>
                </c:pt>
                <c:pt idx="2932">
                  <c:v>38728</c:v>
                </c:pt>
                <c:pt idx="2933">
                  <c:v>38727</c:v>
                </c:pt>
                <c:pt idx="2934">
                  <c:v>38726</c:v>
                </c:pt>
                <c:pt idx="2935">
                  <c:v>38723</c:v>
                </c:pt>
                <c:pt idx="2936">
                  <c:v>38722</c:v>
                </c:pt>
                <c:pt idx="2937">
                  <c:v>38721</c:v>
                </c:pt>
                <c:pt idx="2938">
                  <c:v>38720</c:v>
                </c:pt>
                <c:pt idx="2939">
                  <c:v>38719</c:v>
                </c:pt>
                <c:pt idx="2940">
                  <c:v>38716</c:v>
                </c:pt>
                <c:pt idx="2941">
                  <c:v>38715</c:v>
                </c:pt>
                <c:pt idx="2942">
                  <c:v>38714</c:v>
                </c:pt>
                <c:pt idx="2943">
                  <c:v>38713</c:v>
                </c:pt>
                <c:pt idx="2944">
                  <c:v>38712</c:v>
                </c:pt>
                <c:pt idx="2945">
                  <c:v>38709</c:v>
                </c:pt>
                <c:pt idx="2946">
                  <c:v>38708</c:v>
                </c:pt>
                <c:pt idx="2947">
                  <c:v>38707</c:v>
                </c:pt>
                <c:pt idx="2948">
                  <c:v>38706</c:v>
                </c:pt>
                <c:pt idx="2949">
                  <c:v>38705</c:v>
                </c:pt>
                <c:pt idx="2950">
                  <c:v>38702</c:v>
                </c:pt>
                <c:pt idx="2951">
                  <c:v>38701</c:v>
                </c:pt>
                <c:pt idx="2952">
                  <c:v>38700</c:v>
                </c:pt>
                <c:pt idx="2953">
                  <c:v>38699</c:v>
                </c:pt>
                <c:pt idx="2954">
                  <c:v>38698</c:v>
                </c:pt>
                <c:pt idx="2955">
                  <c:v>38695</c:v>
                </c:pt>
                <c:pt idx="2956">
                  <c:v>38694</c:v>
                </c:pt>
                <c:pt idx="2957">
                  <c:v>38693</c:v>
                </c:pt>
                <c:pt idx="2958">
                  <c:v>38692</c:v>
                </c:pt>
                <c:pt idx="2959">
                  <c:v>38691</c:v>
                </c:pt>
                <c:pt idx="2960">
                  <c:v>38688</c:v>
                </c:pt>
                <c:pt idx="2961">
                  <c:v>38687</c:v>
                </c:pt>
                <c:pt idx="2962">
                  <c:v>38686</c:v>
                </c:pt>
                <c:pt idx="2963">
                  <c:v>38685</c:v>
                </c:pt>
                <c:pt idx="2964">
                  <c:v>38684</c:v>
                </c:pt>
                <c:pt idx="2965">
                  <c:v>38681</c:v>
                </c:pt>
                <c:pt idx="2966">
                  <c:v>38680</c:v>
                </c:pt>
                <c:pt idx="2967">
                  <c:v>38679</c:v>
                </c:pt>
                <c:pt idx="2968">
                  <c:v>38678</c:v>
                </c:pt>
                <c:pt idx="2969">
                  <c:v>38677</c:v>
                </c:pt>
                <c:pt idx="2970">
                  <c:v>38674</c:v>
                </c:pt>
                <c:pt idx="2971">
                  <c:v>38673</c:v>
                </c:pt>
                <c:pt idx="2972">
                  <c:v>38672</c:v>
                </c:pt>
                <c:pt idx="2973">
                  <c:v>38671</c:v>
                </c:pt>
                <c:pt idx="2974">
                  <c:v>38670</c:v>
                </c:pt>
                <c:pt idx="2975">
                  <c:v>38667</c:v>
                </c:pt>
                <c:pt idx="2976">
                  <c:v>38666</c:v>
                </c:pt>
                <c:pt idx="2977">
                  <c:v>38665</c:v>
                </c:pt>
                <c:pt idx="2978">
                  <c:v>38664</c:v>
                </c:pt>
                <c:pt idx="2979">
                  <c:v>38663</c:v>
                </c:pt>
                <c:pt idx="2980">
                  <c:v>38660</c:v>
                </c:pt>
                <c:pt idx="2981">
                  <c:v>38659</c:v>
                </c:pt>
                <c:pt idx="2982">
                  <c:v>38658</c:v>
                </c:pt>
                <c:pt idx="2983">
                  <c:v>38657</c:v>
                </c:pt>
                <c:pt idx="2984">
                  <c:v>38656</c:v>
                </c:pt>
                <c:pt idx="2985">
                  <c:v>38653</c:v>
                </c:pt>
                <c:pt idx="2986">
                  <c:v>38652</c:v>
                </c:pt>
                <c:pt idx="2987">
                  <c:v>38651</c:v>
                </c:pt>
                <c:pt idx="2988">
                  <c:v>38650</c:v>
                </c:pt>
                <c:pt idx="2989">
                  <c:v>38649</c:v>
                </c:pt>
                <c:pt idx="2990">
                  <c:v>38646</c:v>
                </c:pt>
                <c:pt idx="2991">
                  <c:v>38645</c:v>
                </c:pt>
                <c:pt idx="2992">
                  <c:v>38644</c:v>
                </c:pt>
                <c:pt idx="2993">
                  <c:v>38643</c:v>
                </c:pt>
                <c:pt idx="2994">
                  <c:v>38642</c:v>
                </c:pt>
                <c:pt idx="2995">
                  <c:v>38639</c:v>
                </c:pt>
                <c:pt idx="2996">
                  <c:v>38638</c:v>
                </c:pt>
                <c:pt idx="2997">
                  <c:v>38637</c:v>
                </c:pt>
                <c:pt idx="2998">
                  <c:v>38636</c:v>
                </c:pt>
                <c:pt idx="2999">
                  <c:v>38635</c:v>
                </c:pt>
                <c:pt idx="3000">
                  <c:v>38632</c:v>
                </c:pt>
                <c:pt idx="3001">
                  <c:v>38631</c:v>
                </c:pt>
                <c:pt idx="3002">
                  <c:v>38630</c:v>
                </c:pt>
                <c:pt idx="3003">
                  <c:v>38629</c:v>
                </c:pt>
                <c:pt idx="3004">
                  <c:v>38628</c:v>
                </c:pt>
                <c:pt idx="3005">
                  <c:v>38625</c:v>
                </c:pt>
                <c:pt idx="3006">
                  <c:v>38624</c:v>
                </c:pt>
                <c:pt idx="3007">
                  <c:v>38623</c:v>
                </c:pt>
                <c:pt idx="3008">
                  <c:v>38622</c:v>
                </c:pt>
                <c:pt idx="3009">
                  <c:v>38621</c:v>
                </c:pt>
                <c:pt idx="3010">
                  <c:v>38618</c:v>
                </c:pt>
                <c:pt idx="3011">
                  <c:v>38617</c:v>
                </c:pt>
                <c:pt idx="3012">
                  <c:v>38616</c:v>
                </c:pt>
                <c:pt idx="3013">
                  <c:v>38615</c:v>
                </c:pt>
                <c:pt idx="3014">
                  <c:v>38614</c:v>
                </c:pt>
                <c:pt idx="3015">
                  <c:v>38611</c:v>
                </c:pt>
                <c:pt idx="3016">
                  <c:v>38610</c:v>
                </c:pt>
                <c:pt idx="3017">
                  <c:v>38609</c:v>
                </c:pt>
                <c:pt idx="3018">
                  <c:v>38608</c:v>
                </c:pt>
                <c:pt idx="3019">
                  <c:v>38607</c:v>
                </c:pt>
                <c:pt idx="3020">
                  <c:v>38604</c:v>
                </c:pt>
                <c:pt idx="3021">
                  <c:v>38603</c:v>
                </c:pt>
                <c:pt idx="3022">
                  <c:v>38602</c:v>
                </c:pt>
                <c:pt idx="3023">
                  <c:v>38601</c:v>
                </c:pt>
                <c:pt idx="3024">
                  <c:v>38600</c:v>
                </c:pt>
                <c:pt idx="3025">
                  <c:v>38597</c:v>
                </c:pt>
                <c:pt idx="3026">
                  <c:v>38596</c:v>
                </c:pt>
                <c:pt idx="3027">
                  <c:v>38595</c:v>
                </c:pt>
                <c:pt idx="3028">
                  <c:v>38594</c:v>
                </c:pt>
                <c:pt idx="3029">
                  <c:v>38593</c:v>
                </c:pt>
                <c:pt idx="3030">
                  <c:v>38590</c:v>
                </c:pt>
                <c:pt idx="3031">
                  <c:v>38589</c:v>
                </c:pt>
                <c:pt idx="3032">
                  <c:v>38588</c:v>
                </c:pt>
                <c:pt idx="3033">
                  <c:v>38587</c:v>
                </c:pt>
                <c:pt idx="3034">
                  <c:v>38586</c:v>
                </c:pt>
                <c:pt idx="3035">
                  <c:v>38583</c:v>
                </c:pt>
                <c:pt idx="3036">
                  <c:v>38582</c:v>
                </c:pt>
                <c:pt idx="3037">
                  <c:v>38581</c:v>
                </c:pt>
                <c:pt idx="3038">
                  <c:v>38580</c:v>
                </c:pt>
                <c:pt idx="3039">
                  <c:v>38579</c:v>
                </c:pt>
                <c:pt idx="3040">
                  <c:v>38576</c:v>
                </c:pt>
                <c:pt idx="3041">
                  <c:v>38575</c:v>
                </c:pt>
                <c:pt idx="3042">
                  <c:v>38574</c:v>
                </c:pt>
                <c:pt idx="3043">
                  <c:v>38573</c:v>
                </c:pt>
                <c:pt idx="3044">
                  <c:v>38572</c:v>
                </c:pt>
                <c:pt idx="3045">
                  <c:v>38569</c:v>
                </c:pt>
                <c:pt idx="3046">
                  <c:v>38568</c:v>
                </c:pt>
                <c:pt idx="3047">
                  <c:v>38567</c:v>
                </c:pt>
                <c:pt idx="3048">
                  <c:v>38566</c:v>
                </c:pt>
                <c:pt idx="3049">
                  <c:v>38565</c:v>
                </c:pt>
                <c:pt idx="3050">
                  <c:v>38562</c:v>
                </c:pt>
                <c:pt idx="3051">
                  <c:v>38561</c:v>
                </c:pt>
                <c:pt idx="3052">
                  <c:v>38560</c:v>
                </c:pt>
                <c:pt idx="3053">
                  <c:v>38559</c:v>
                </c:pt>
                <c:pt idx="3054">
                  <c:v>38558</c:v>
                </c:pt>
                <c:pt idx="3055">
                  <c:v>38555</c:v>
                </c:pt>
                <c:pt idx="3056">
                  <c:v>38554</c:v>
                </c:pt>
                <c:pt idx="3057">
                  <c:v>38553</c:v>
                </c:pt>
                <c:pt idx="3058">
                  <c:v>38552</c:v>
                </c:pt>
                <c:pt idx="3059">
                  <c:v>38551</c:v>
                </c:pt>
                <c:pt idx="3060">
                  <c:v>38548</c:v>
                </c:pt>
                <c:pt idx="3061">
                  <c:v>38547</c:v>
                </c:pt>
                <c:pt idx="3062">
                  <c:v>38546</c:v>
                </c:pt>
                <c:pt idx="3063">
                  <c:v>38545</c:v>
                </c:pt>
                <c:pt idx="3064">
                  <c:v>38544</c:v>
                </c:pt>
                <c:pt idx="3065">
                  <c:v>38541</c:v>
                </c:pt>
                <c:pt idx="3066">
                  <c:v>38540</c:v>
                </c:pt>
                <c:pt idx="3067">
                  <c:v>38539</c:v>
                </c:pt>
                <c:pt idx="3068">
                  <c:v>38538</c:v>
                </c:pt>
                <c:pt idx="3069">
                  <c:v>38537</c:v>
                </c:pt>
                <c:pt idx="3070">
                  <c:v>38534</c:v>
                </c:pt>
                <c:pt idx="3071">
                  <c:v>38533</c:v>
                </c:pt>
                <c:pt idx="3072">
                  <c:v>38532</c:v>
                </c:pt>
                <c:pt idx="3073">
                  <c:v>38531</c:v>
                </c:pt>
                <c:pt idx="3074">
                  <c:v>38530</c:v>
                </c:pt>
                <c:pt idx="3075">
                  <c:v>38527</c:v>
                </c:pt>
                <c:pt idx="3076">
                  <c:v>38526</c:v>
                </c:pt>
                <c:pt idx="3077">
                  <c:v>38525</c:v>
                </c:pt>
                <c:pt idx="3078">
                  <c:v>38524</c:v>
                </c:pt>
                <c:pt idx="3079">
                  <c:v>38523</c:v>
                </c:pt>
                <c:pt idx="3080">
                  <c:v>38520</c:v>
                </c:pt>
                <c:pt idx="3081">
                  <c:v>38519</c:v>
                </c:pt>
                <c:pt idx="3082">
                  <c:v>38518</c:v>
                </c:pt>
                <c:pt idx="3083">
                  <c:v>38517</c:v>
                </c:pt>
                <c:pt idx="3084">
                  <c:v>38516</c:v>
                </c:pt>
                <c:pt idx="3085">
                  <c:v>38513</c:v>
                </c:pt>
                <c:pt idx="3086">
                  <c:v>38512</c:v>
                </c:pt>
                <c:pt idx="3087">
                  <c:v>38511</c:v>
                </c:pt>
                <c:pt idx="3088">
                  <c:v>38510</c:v>
                </c:pt>
                <c:pt idx="3089">
                  <c:v>38509</c:v>
                </c:pt>
                <c:pt idx="3090">
                  <c:v>38506</c:v>
                </c:pt>
                <c:pt idx="3091">
                  <c:v>38505</c:v>
                </c:pt>
                <c:pt idx="3092">
                  <c:v>38504</c:v>
                </c:pt>
                <c:pt idx="3093">
                  <c:v>38503</c:v>
                </c:pt>
                <c:pt idx="3094">
                  <c:v>38502</c:v>
                </c:pt>
                <c:pt idx="3095">
                  <c:v>38499</c:v>
                </c:pt>
                <c:pt idx="3096">
                  <c:v>38498</c:v>
                </c:pt>
                <c:pt idx="3097">
                  <c:v>38497</c:v>
                </c:pt>
                <c:pt idx="3098">
                  <c:v>38496</c:v>
                </c:pt>
                <c:pt idx="3099">
                  <c:v>38495</c:v>
                </c:pt>
                <c:pt idx="3100">
                  <c:v>38492</c:v>
                </c:pt>
                <c:pt idx="3101">
                  <c:v>38491</c:v>
                </c:pt>
                <c:pt idx="3102">
                  <c:v>38490</c:v>
                </c:pt>
                <c:pt idx="3103">
                  <c:v>38489</c:v>
                </c:pt>
                <c:pt idx="3104">
                  <c:v>38488</c:v>
                </c:pt>
                <c:pt idx="3105">
                  <c:v>38485</c:v>
                </c:pt>
                <c:pt idx="3106">
                  <c:v>38484</c:v>
                </c:pt>
                <c:pt idx="3107">
                  <c:v>38483</c:v>
                </c:pt>
                <c:pt idx="3108">
                  <c:v>38482</c:v>
                </c:pt>
                <c:pt idx="3109">
                  <c:v>38481</c:v>
                </c:pt>
                <c:pt idx="3110">
                  <c:v>38478</c:v>
                </c:pt>
                <c:pt idx="3111">
                  <c:v>38477</c:v>
                </c:pt>
                <c:pt idx="3112">
                  <c:v>38476</c:v>
                </c:pt>
                <c:pt idx="3113">
                  <c:v>38475</c:v>
                </c:pt>
                <c:pt idx="3114">
                  <c:v>38474</c:v>
                </c:pt>
                <c:pt idx="3115">
                  <c:v>38471</c:v>
                </c:pt>
                <c:pt idx="3116">
                  <c:v>38470</c:v>
                </c:pt>
                <c:pt idx="3117">
                  <c:v>38469</c:v>
                </c:pt>
                <c:pt idx="3118">
                  <c:v>38468</c:v>
                </c:pt>
                <c:pt idx="3119">
                  <c:v>38467</c:v>
                </c:pt>
                <c:pt idx="3120">
                  <c:v>38464</c:v>
                </c:pt>
                <c:pt idx="3121">
                  <c:v>38463</c:v>
                </c:pt>
                <c:pt idx="3122">
                  <c:v>38462</c:v>
                </c:pt>
                <c:pt idx="3123">
                  <c:v>38461</c:v>
                </c:pt>
                <c:pt idx="3124">
                  <c:v>38460</c:v>
                </c:pt>
                <c:pt idx="3125">
                  <c:v>38457</c:v>
                </c:pt>
                <c:pt idx="3126">
                  <c:v>38456</c:v>
                </c:pt>
                <c:pt idx="3127">
                  <c:v>38455</c:v>
                </c:pt>
                <c:pt idx="3128">
                  <c:v>38454</c:v>
                </c:pt>
                <c:pt idx="3129">
                  <c:v>38453</c:v>
                </c:pt>
                <c:pt idx="3130">
                  <c:v>38450</c:v>
                </c:pt>
                <c:pt idx="3131">
                  <c:v>38449</c:v>
                </c:pt>
                <c:pt idx="3132">
                  <c:v>38448</c:v>
                </c:pt>
                <c:pt idx="3133">
                  <c:v>38447</c:v>
                </c:pt>
                <c:pt idx="3134">
                  <c:v>38446</c:v>
                </c:pt>
                <c:pt idx="3135">
                  <c:v>38443</c:v>
                </c:pt>
                <c:pt idx="3136">
                  <c:v>38442</c:v>
                </c:pt>
                <c:pt idx="3137">
                  <c:v>38441</c:v>
                </c:pt>
                <c:pt idx="3138">
                  <c:v>38440</c:v>
                </c:pt>
                <c:pt idx="3139">
                  <c:v>38439</c:v>
                </c:pt>
                <c:pt idx="3140">
                  <c:v>38436</c:v>
                </c:pt>
                <c:pt idx="3141">
                  <c:v>38435</c:v>
                </c:pt>
                <c:pt idx="3142">
                  <c:v>38434</c:v>
                </c:pt>
                <c:pt idx="3143">
                  <c:v>38433</c:v>
                </c:pt>
                <c:pt idx="3144">
                  <c:v>38432</c:v>
                </c:pt>
                <c:pt idx="3145">
                  <c:v>38429</c:v>
                </c:pt>
                <c:pt idx="3146">
                  <c:v>38428</c:v>
                </c:pt>
                <c:pt idx="3147">
                  <c:v>38427</c:v>
                </c:pt>
                <c:pt idx="3148">
                  <c:v>38426</c:v>
                </c:pt>
                <c:pt idx="3149">
                  <c:v>38425</c:v>
                </c:pt>
                <c:pt idx="3150">
                  <c:v>38422</c:v>
                </c:pt>
                <c:pt idx="3151">
                  <c:v>38421</c:v>
                </c:pt>
                <c:pt idx="3152">
                  <c:v>38420</c:v>
                </c:pt>
                <c:pt idx="3153">
                  <c:v>38419</c:v>
                </c:pt>
                <c:pt idx="3154">
                  <c:v>38418</c:v>
                </c:pt>
                <c:pt idx="3155">
                  <c:v>38415</c:v>
                </c:pt>
                <c:pt idx="3156">
                  <c:v>38414</c:v>
                </c:pt>
                <c:pt idx="3157">
                  <c:v>38413</c:v>
                </c:pt>
                <c:pt idx="3158">
                  <c:v>38412</c:v>
                </c:pt>
                <c:pt idx="3159">
                  <c:v>38411</c:v>
                </c:pt>
                <c:pt idx="3160">
                  <c:v>38408</c:v>
                </c:pt>
                <c:pt idx="3161">
                  <c:v>38407</c:v>
                </c:pt>
                <c:pt idx="3162">
                  <c:v>38406</c:v>
                </c:pt>
                <c:pt idx="3163">
                  <c:v>38405</c:v>
                </c:pt>
                <c:pt idx="3164">
                  <c:v>38404</c:v>
                </c:pt>
                <c:pt idx="3165">
                  <c:v>38401</c:v>
                </c:pt>
                <c:pt idx="3166">
                  <c:v>38400</c:v>
                </c:pt>
                <c:pt idx="3167">
                  <c:v>38399</c:v>
                </c:pt>
                <c:pt idx="3168">
                  <c:v>38398</c:v>
                </c:pt>
                <c:pt idx="3169">
                  <c:v>38397</c:v>
                </c:pt>
                <c:pt idx="3170">
                  <c:v>38394</c:v>
                </c:pt>
                <c:pt idx="3171">
                  <c:v>38393</c:v>
                </c:pt>
                <c:pt idx="3172">
                  <c:v>38392</c:v>
                </c:pt>
                <c:pt idx="3173">
                  <c:v>38391</c:v>
                </c:pt>
                <c:pt idx="3174">
                  <c:v>38390</c:v>
                </c:pt>
                <c:pt idx="3175">
                  <c:v>38387</c:v>
                </c:pt>
                <c:pt idx="3176">
                  <c:v>38386</c:v>
                </c:pt>
                <c:pt idx="3177">
                  <c:v>38385</c:v>
                </c:pt>
                <c:pt idx="3178">
                  <c:v>38384</c:v>
                </c:pt>
                <c:pt idx="3179">
                  <c:v>38383</c:v>
                </c:pt>
                <c:pt idx="3180">
                  <c:v>38380</c:v>
                </c:pt>
                <c:pt idx="3181">
                  <c:v>38379</c:v>
                </c:pt>
                <c:pt idx="3182">
                  <c:v>38378</c:v>
                </c:pt>
                <c:pt idx="3183">
                  <c:v>38377</c:v>
                </c:pt>
                <c:pt idx="3184">
                  <c:v>38376</c:v>
                </c:pt>
                <c:pt idx="3185">
                  <c:v>38373</c:v>
                </c:pt>
                <c:pt idx="3186">
                  <c:v>38372</c:v>
                </c:pt>
                <c:pt idx="3187">
                  <c:v>38371</c:v>
                </c:pt>
                <c:pt idx="3188">
                  <c:v>38370</c:v>
                </c:pt>
                <c:pt idx="3189">
                  <c:v>38369</c:v>
                </c:pt>
                <c:pt idx="3190">
                  <c:v>38366</c:v>
                </c:pt>
                <c:pt idx="3191">
                  <c:v>38365</c:v>
                </c:pt>
                <c:pt idx="3192">
                  <c:v>38364</c:v>
                </c:pt>
                <c:pt idx="3193">
                  <c:v>38363</c:v>
                </c:pt>
                <c:pt idx="3194">
                  <c:v>38362</c:v>
                </c:pt>
                <c:pt idx="3195">
                  <c:v>38359</c:v>
                </c:pt>
                <c:pt idx="3196">
                  <c:v>38358</c:v>
                </c:pt>
                <c:pt idx="3197">
                  <c:v>38357</c:v>
                </c:pt>
                <c:pt idx="3198">
                  <c:v>38356</c:v>
                </c:pt>
                <c:pt idx="3199">
                  <c:v>38355</c:v>
                </c:pt>
                <c:pt idx="3200">
                  <c:v>38352</c:v>
                </c:pt>
                <c:pt idx="3201">
                  <c:v>38351</c:v>
                </c:pt>
                <c:pt idx="3202">
                  <c:v>38350</c:v>
                </c:pt>
                <c:pt idx="3203">
                  <c:v>38349</c:v>
                </c:pt>
                <c:pt idx="3204">
                  <c:v>38348</c:v>
                </c:pt>
                <c:pt idx="3205">
                  <c:v>38345</c:v>
                </c:pt>
                <c:pt idx="3206">
                  <c:v>38344</c:v>
                </c:pt>
                <c:pt idx="3207">
                  <c:v>38343</c:v>
                </c:pt>
                <c:pt idx="3208">
                  <c:v>38342</c:v>
                </c:pt>
                <c:pt idx="3209">
                  <c:v>38341</c:v>
                </c:pt>
                <c:pt idx="3210">
                  <c:v>38338</c:v>
                </c:pt>
                <c:pt idx="3211">
                  <c:v>38337</c:v>
                </c:pt>
                <c:pt idx="3212">
                  <c:v>38336</c:v>
                </c:pt>
                <c:pt idx="3213">
                  <c:v>38335</c:v>
                </c:pt>
                <c:pt idx="3214">
                  <c:v>38334</c:v>
                </c:pt>
                <c:pt idx="3215">
                  <c:v>38331</c:v>
                </c:pt>
                <c:pt idx="3216">
                  <c:v>38330</c:v>
                </c:pt>
                <c:pt idx="3217">
                  <c:v>38329</c:v>
                </c:pt>
                <c:pt idx="3218">
                  <c:v>38328</c:v>
                </c:pt>
                <c:pt idx="3219">
                  <c:v>38327</c:v>
                </c:pt>
                <c:pt idx="3220">
                  <c:v>38324</c:v>
                </c:pt>
                <c:pt idx="3221">
                  <c:v>38323</c:v>
                </c:pt>
                <c:pt idx="3222">
                  <c:v>38322</c:v>
                </c:pt>
                <c:pt idx="3223">
                  <c:v>38321</c:v>
                </c:pt>
                <c:pt idx="3224">
                  <c:v>38320</c:v>
                </c:pt>
                <c:pt idx="3225">
                  <c:v>38317</c:v>
                </c:pt>
                <c:pt idx="3226">
                  <c:v>38316</c:v>
                </c:pt>
                <c:pt idx="3227">
                  <c:v>38315</c:v>
                </c:pt>
                <c:pt idx="3228">
                  <c:v>38314</c:v>
                </c:pt>
                <c:pt idx="3229">
                  <c:v>38313</c:v>
                </c:pt>
                <c:pt idx="3230">
                  <c:v>38310</c:v>
                </c:pt>
                <c:pt idx="3231">
                  <c:v>38309</c:v>
                </c:pt>
                <c:pt idx="3232">
                  <c:v>38308</c:v>
                </c:pt>
                <c:pt idx="3233">
                  <c:v>38307</c:v>
                </c:pt>
                <c:pt idx="3234">
                  <c:v>38306</c:v>
                </c:pt>
                <c:pt idx="3235">
                  <c:v>38303</c:v>
                </c:pt>
                <c:pt idx="3236">
                  <c:v>38302</c:v>
                </c:pt>
                <c:pt idx="3237">
                  <c:v>38301</c:v>
                </c:pt>
                <c:pt idx="3238">
                  <c:v>38300</c:v>
                </c:pt>
                <c:pt idx="3239">
                  <c:v>38299</c:v>
                </c:pt>
                <c:pt idx="3240">
                  <c:v>38296</c:v>
                </c:pt>
                <c:pt idx="3241">
                  <c:v>38295</c:v>
                </c:pt>
                <c:pt idx="3242">
                  <c:v>38294</c:v>
                </c:pt>
                <c:pt idx="3243">
                  <c:v>38293</c:v>
                </c:pt>
                <c:pt idx="3244">
                  <c:v>38292</c:v>
                </c:pt>
                <c:pt idx="3245">
                  <c:v>38289</c:v>
                </c:pt>
                <c:pt idx="3246">
                  <c:v>38288</c:v>
                </c:pt>
                <c:pt idx="3247">
                  <c:v>38287</c:v>
                </c:pt>
                <c:pt idx="3248">
                  <c:v>38286</c:v>
                </c:pt>
                <c:pt idx="3249">
                  <c:v>38285</c:v>
                </c:pt>
                <c:pt idx="3250">
                  <c:v>38282</c:v>
                </c:pt>
                <c:pt idx="3251">
                  <c:v>38281</c:v>
                </c:pt>
                <c:pt idx="3252">
                  <c:v>38280</c:v>
                </c:pt>
                <c:pt idx="3253">
                  <c:v>38279</c:v>
                </c:pt>
                <c:pt idx="3254">
                  <c:v>38278</c:v>
                </c:pt>
                <c:pt idx="3255">
                  <c:v>38275</c:v>
                </c:pt>
                <c:pt idx="3256">
                  <c:v>38274</c:v>
                </c:pt>
                <c:pt idx="3257">
                  <c:v>38273</c:v>
                </c:pt>
                <c:pt idx="3258">
                  <c:v>38272</c:v>
                </c:pt>
                <c:pt idx="3259">
                  <c:v>38271</c:v>
                </c:pt>
                <c:pt idx="3260">
                  <c:v>38268</c:v>
                </c:pt>
                <c:pt idx="3261">
                  <c:v>38267</c:v>
                </c:pt>
                <c:pt idx="3262">
                  <c:v>38266</c:v>
                </c:pt>
                <c:pt idx="3263">
                  <c:v>38265</c:v>
                </c:pt>
                <c:pt idx="3264">
                  <c:v>38264</c:v>
                </c:pt>
                <c:pt idx="3265">
                  <c:v>38261</c:v>
                </c:pt>
                <c:pt idx="3266">
                  <c:v>38260</c:v>
                </c:pt>
                <c:pt idx="3267">
                  <c:v>38259</c:v>
                </c:pt>
                <c:pt idx="3268">
                  <c:v>38258</c:v>
                </c:pt>
                <c:pt idx="3269">
                  <c:v>38257</c:v>
                </c:pt>
                <c:pt idx="3270">
                  <c:v>38254</c:v>
                </c:pt>
                <c:pt idx="3271">
                  <c:v>38253</c:v>
                </c:pt>
                <c:pt idx="3272">
                  <c:v>38252</c:v>
                </c:pt>
                <c:pt idx="3273">
                  <c:v>38251</c:v>
                </c:pt>
                <c:pt idx="3274">
                  <c:v>38250</c:v>
                </c:pt>
                <c:pt idx="3275">
                  <c:v>38247</c:v>
                </c:pt>
                <c:pt idx="3276">
                  <c:v>38246</c:v>
                </c:pt>
                <c:pt idx="3277">
                  <c:v>38245</c:v>
                </c:pt>
                <c:pt idx="3278">
                  <c:v>38244</c:v>
                </c:pt>
                <c:pt idx="3279">
                  <c:v>38243</c:v>
                </c:pt>
                <c:pt idx="3280">
                  <c:v>38240</c:v>
                </c:pt>
                <c:pt idx="3281">
                  <c:v>38239</c:v>
                </c:pt>
                <c:pt idx="3282">
                  <c:v>38238</c:v>
                </c:pt>
                <c:pt idx="3283">
                  <c:v>38237</c:v>
                </c:pt>
                <c:pt idx="3284">
                  <c:v>38236</c:v>
                </c:pt>
                <c:pt idx="3285">
                  <c:v>38233</c:v>
                </c:pt>
                <c:pt idx="3286">
                  <c:v>38232</c:v>
                </c:pt>
                <c:pt idx="3287">
                  <c:v>38231</c:v>
                </c:pt>
                <c:pt idx="3288">
                  <c:v>38230</c:v>
                </c:pt>
                <c:pt idx="3289">
                  <c:v>38229</c:v>
                </c:pt>
                <c:pt idx="3290">
                  <c:v>38226</c:v>
                </c:pt>
                <c:pt idx="3291">
                  <c:v>38225</c:v>
                </c:pt>
                <c:pt idx="3292">
                  <c:v>38224</c:v>
                </c:pt>
                <c:pt idx="3293">
                  <c:v>38223</c:v>
                </c:pt>
                <c:pt idx="3294">
                  <c:v>38222</c:v>
                </c:pt>
                <c:pt idx="3295">
                  <c:v>38219</c:v>
                </c:pt>
                <c:pt idx="3296">
                  <c:v>38218</c:v>
                </c:pt>
                <c:pt idx="3297">
                  <c:v>38217</c:v>
                </c:pt>
                <c:pt idx="3298">
                  <c:v>38216</c:v>
                </c:pt>
                <c:pt idx="3299">
                  <c:v>38215</c:v>
                </c:pt>
                <c:pt idx="3300">
                  <c:v>38212</c:v>
                </c:pt>
                <c:pt idx="3301">
                  <c:v>38211</c:v>
                </c:pt>
                <c:pt idx="3302">
                  <c:v>38210</c:v>
                </c:pt>
                <c:pt idx="3303">
                  <c:v>38209</c:v>
                </c:pt>
                <c:pt idx="3304">
                  <c:v>38208</c:v>
                </c:pt>
                <c:pt idx="3305">
                  <c:v>38205</c:v>
                </c:pt>
                <c:pt idx="3306">
                  <c:v>38204</c:v>
                </c:pt>
                <c:pt idx="3307">
                  <c:v>38203</c:v>
                </c:pt>
                <c:pt idx="3308">
                  <c:v>38202</c:v>
                </c:pt>
                <c:pt idx="3309">
                  <c:v>38201</c:v>
                </c:pt>
                <c:pt idx="3310">
                  <c:v>38198</c:v>
                </c:pt>
                <c:pt idx="3311">
                  <c:v>38197</c:v>
                </c:pt>
                <c:pt idx="3312">
                  <c:v>38196</c:v>
                </c:pt>
                <c:pt idx="3313">
                  <c:v>38195</c:v>
                </c:pt>
                <c:pt idx="3314">
                  <c:v>38194</c:v>
                </c:pt>
                <c:pt idx="3315">
                  <c:v>38191</c:v>
                </c:pt>
                <c:pt idx="3316">
                  <c:v>38190</c:v>
                </c:pt>
                <c:pt idx="3317">
                  <c:v>38189</c:v>
                </c:pt>
                <c:pt idx="3318">
                  <c:v>38188</c:v>
                </c:pt>
                <c:pt idx="3319">
                  <c:v>38187</c:v>
                </c:pt>
                <c:pt idx="3320">
                  <c:v>38184</c:v>
                </c:pt>
                <c:pt idx="3321">
                  <c:v>38183</c:v>
                </c:pt>
                <c:pt idx="3322">
                  <c:v>38182</c:v>
                </c:pt>
                <c:pt idx="3323">
                  <c:v>38181</c:v>
                </c:pt>
                <c:pt idx="3324">
                  <c:v>38180</c:v>
                </c:pt>
                <c:pt idx="3325">
                  <c:v>38177</c:v>
                </c:pt>
                <c:pt idx="3326">
                  <c:v>38176</c:v>
                </c:pt>
                <c:pt idx="3327">
                  <c:v>38175</c:v>
                </c:pt>
                <c:pt idx="3328">
                  <c:v>38174</c:v>
                </c:pt>
                <c:pt idx="3329">
                  <c:v>38173</c:v>
                </c:pt>
                <c:pt idx="3330">
                  <c:v>38170</c:v>
                </c:pt>
                <c:pt idx="3331">
                  <c:v>38169</c:v>
                </c:pt>
                <c:pt idx="3332">
                  <c:v>38168</c:v>
                </c:pt>
                <c:pt idx="3333">
                  <c:v>38167</c:v>
                </c:pt>
                <c:pt idx="3334">
                  <c:v>38166</c:v>
                </c:pt>
                <c:pt idx="3335">
                  <c:v>38163</c:v>
                </c:pt>
                <c:pt idx="3336">
                  <c:v>38162</c:v>
                </c:pt>
                <c:pt idx="3337">
                  <c:v>38161</c:v>
                </c:pt>
                <c:pt idx="3338">
                  <c:v>38160</c:v>
                </c:pt>
                <c:pt idx="3339">
                  <c:v>38159</c:v>
                </c:pt>
                <c:pt idx="3340">
                  <c:v>38156</c:v>
                </c:pt>
                <c:pt idx="3341">
                  <c:v>38155</c:v>
                </c:pt>
                <c:pt idx="3342">
                  <c:v>38154</c:v>
                </c:pt>
                <c:pt idx="3343">
                  <c:v>38153</c:v>
                </c:pt>
                <c:pt idx="3344">
                  <c:v>38152</c:v>
                </c:pt>
                <c:pt idx="3345">
                  <c:v>38149</c:v>
                </c:pt>
                <c:pt idx="3346">
                  <c:v>38148</c:v>
                </c:pt>
                <c:pt idx="3347">
                  <c:v>38147</c:v>
                </c:pt>
                <c:pt idx="3348">
                  <c:v>38146</c:v>
                </c:pt>
                <c:pt idx="3349">
                  <c:v>38145</c:v>
                </c:pt>
                <c:pt idx="3350">
                  <c:v>38142</c:v>
                </c:pt>
                <c:pt idx="3351">
                  <c:v>38141</c:v>
                </c:pt>
                <c:pt idx="3352">
                  <c:v>38140</c:v>
                </c:pt>
                <c:pt idx="3353">
                  <c:v>38139</c:v>
                </c:pt>
                <c:pt idx="3354">
                  <c:v>38138</c:v>
                </c:pt>
                <c:pt idx="3355">
                  <c:v>38135</c:v>
                </c:pt>
                <c:pt idx="3356">
                  <c:v>38134</c:v>
                </c:pt>
                <c:pt idx="3357">
                  <c:v>38133</c:v>
                </c:pt>
                <c:pt idx="3358">
                  <c:v>38132</c:v>
                </c:pt>
                <c:pt idx="3359">
                  <c:v>38131</c:v>
                </c:pt>
                <c:pt idx="3360">
                  <c:v>38128</c:v>
                </c:pt>
                <c:pt idx="3361">
                  <c:v>38127</c:v>
                </c:pt>
                <c:pt idx="3362">
                  <c:v>38126</c:v>
                </c:pt>
                <c:pt idx="3363">
                  <c:v>38125</c:v>
                </c:pt>
                <c:pt idx="3364">
                  <c:v>38124</c:v>
                </c:pt>
                <c:pt idx="3365">
                  <c:v>38121</c:v>
                </c:pt>
                <c:pt idx="3366">
                  <c:v>38120</c:v>
                </c:pt>
                <c:pt idx="3367">
                  <c:v>38119</c:v>
                </c:pt>
                <c:pt idx="3368">
                  <c:v>38118</c:v>
                </c:pt>
                <c:pt idx="3369">
                  <c:v>38117</c:v>
                </c:pt>
                <c:pt idx="3370">
                  <c:v>38114</c:v>
                </c:pt>
                <c:pt idx="3371">
                  <c:v>38113</c:v>
                </c:pt>
                <c:pt idx="3372">
                  <c:v>38112</c:v>
                </c:pt>
                <c:pt idx="3373">
                  <c:v>38111</c:v>
                </c:pt>
                <c:pt idx="3374">
                  <c:v>38110</c:v>
                </c:pt>
                <c:pt idx="3375">
                  <c:v>38107</c:v>
                </c:pt>
                <c:pt idx="3376">
                  <c:v>38106</c:v>
                </c:pt>
                <c:pt idx="3377">
                  <c:v>38105</c:v>
                </c:pt>
                <c:pt idx="3378">
                  <c:v>38104</c:v>
                </c:pt>
                <c:pt idx="3379">
                  <c:v>38103</c:v>
                </c:pt>
                <c:pt idx="3380">
                  <c:v>38100</c:v>
                </c:pt>
                <c:pt idx="3381">
                  <c:v>38099</c:v>
                </c:pt>
                <c:pt idx="3382">
                  <c:v>38098</c:v>
                </c:pt>
                <c:pt idx="3383">
                  <c:v>38097</c:v>
                </c:pt>
                <c:pt idx="3384">
                  <c:v>38096</c:v>
                </c:pt>
                <c:pt idx="3385">
                  <c:v>38093</c:v>
                </c:pt>
                <c:pt idx="3386">
                  <c:v>38092</c:v>
                </c:pt>
                <c:pt idx="3387">
                  <c:v>38091</c:v>
                </c:pt>
                <c:pt idx="3388">
                  <c:v>38090</c:v>
                </c:pt>
                <c:pt idx="3389">
                  <c:v>38089</c:v>
                </c:pt>
                <c:pt idx="3390">
                  <c:v>38086</c:v>
                </c:pt>
                <c:pt idx="3391">
                  <c:v>38085</c:v>
                </c:pt>
                <c:pt idx="3392">
                  <c:v>38084</c:v>
                </c:pt>
                <c:pt idx="3393">
                  <c:v>38083</c:v>
                </c:pt>
                <c:pt idx="3394">
                  <c:v>38082</c:v>
                </c:pt>
                <c:pt idx="3395">
                  <c:v>38079</c:v>
                </c:pt>
                <c:pt idx="3396">
                  <c:v>38078</c:v>
                </c:pt>
                <c:pt idx="3397">
                  <c:v>38077</c:v>
                </c:pt>
                <c:pt idx="3398">
                  <c:v>38076</c:v>
                </c:pt>
                <c:pt idx="3399">
                  <c:v>38075</c:v>
                </c:pt>
                <c:pt idx="3400">
                  <c:v>38072</c:v>
                </c:pt>
                <c:pt idx="3401">
                  <c:v>38071</c:v>
                </c:pt>
                <c:pt idx="3402">
                  <c:v>38070</c:v>
                </c:pt>
                <c:pt idx="3403">
                  <c:v>38069</c:v>
                </c:pt>
                <c:pt idx="3404">
                  <c:v>38068</c:v>
                </c:pt>
                <c:pt idx="3405">
                  <c:v>38065</c:v>
                </c:pt>
                <c:pt idx="3406">
                  <c:v>38064</c:v>
                </c:pt>
                <c:pt idx="3407">
                  <c:v>38063</c:v>
                </c:pt>
                <c:pt idx="3408">
                  <c:v>38062</c:v>
                </c:pt>
                <c:pt idx="3409">
                  <c:v>38061</c:v>
                </c:pt>
                <c:pt idx="3410">
                  <c:v>38058</c:v>
                </c:pt>
                <c:pt idx="3411">
                  <c:v>38057</c:v>
                </c:pt>
                <c:pt idx="3412">
                  <c:v>38056</c:v>
                </c:pt>
                <c:pt idx="3413">
                  <c:v>38055</c:v>
                </c:pt>
                <c:pt idx="3414">
                  <c:v>38054</c:v>
                </c:pt>
                <c:pt idx="3415">
                  <c:v>38051</c:v>
                </c:pt>
                <c:pt idx="3416">
                  <c:v>38050</c:v>
                </c:pt>
                <c:pt idx="3417">
                  <c:v>38049</c:v>
                </c:pt>
                <c:pt idx="3418">
                  <c:v>38048</c:v>
                </c:pt>
                <c:pt idx="3419">
                  <c:v>38047</c:v>
                </c:pt>
                <c:pt idx="3420">
                  <c:v>38044</c:v>
                </c:pt>
                <c:pt idx="3421">
                  <c:v>38043</c:v>
                </c:pt>
                <c:pt idx="3422">
                  <c:v>38042</c:v>
                </c:pt>
                <c:pt idx="3423">
                  <c:v>38041</c:v>
                </c:pt>
                <c:pt idx="3424">
                  <c:v>38040</c:v>
                </c:pt>
                <c:pt idx="3425">
                  <c:v>38037</c:v>
                </c:pt>
                <c:pt idx="3426">
                  <c:v>38036</c:v>
                </c:pt>
                <c:pt idx="3427">
                  <c:v>38035</c:v>
                </c:pt>
                <c:pt idx="3428">
                  <c:v>38034</c:v>
                </c:pt>
                <c:pt idx="3429">
                  <c:v>38033</c:v>
                </c:pt>
                <c:pt idx="3430">
                  <c:v>38030</c:v>
                </c:pt>
                <c:pt idx="3431">
                  <c:v>38029</c:v>
                </c:pt>
                <c:pt idx="3432">
                  <c:v>38028</c:v>
                </c:pt>
                <c:pt idx="3433">
                  <c:v>38027</c:v>
                </c:pt>
                <c:pt idx="3434">
                  <c:v>38026</c:v>
                </c:pt>
                <c:pt idx="3435">
                  <c:v>38023</c:v>
                </c:pt>
                <c:pt idx="3436">
                  <c:v>38022</c:v>
                </c:pt>
                <c:pt idx="3437">
                  <c:v>38021</c:v>
                </c:pt>
                <c:pt idx="3438">
                  <c:v>38020</c:v>
                </c:pt>
                <c:pt idx="3439">
                  <c:v>38019</c:v>
                </c:pt>
                <c:pt idx="3440">
                  <c:v>38016</c:v>
                </c:pt>
                <c:pt idx="3441">
                  <c:v>38015</c:v>
                </c:pt>
                <c:pt idx="3442">
                  <c:v>38014</c:v>
                </c:pt>
                <c:pt idx="3443">
                  <c:v>38013</c:v>
                </c:pt>
                <c:pt idx="3444">
                  <c:v>38012</c:v>
                </c:pt>
                <c:pt idx="3445">
                  <c:v>38009</c:v>
                </c:pt>
                <c:pt idx="3446">
                  <c:v>38008</c:v>
                </c:pt>
                <c:pt idx="3447">
                  <c:v>38007</c:v>
                </c:pt>
                <c:pt idx="3448">
                  <c:v>38006</c:v>
                </c:pt>
                <c:pt idx="3449">
                  <c:v>38005</c:v>
                </c:pt>
                <c:pt idx="3450">
                  <c:v>38002</c:v>
                </c:pt>
                <c:pt idx="3451">
                  <c:v>38001</c:v>
                </c:pt>
                <c:pt idx="3452">
                  <c:v>38000</c:v>
                </c:pt>
                <c:pt idx="3453">
                  <c:v>37999</c:v>
                </c:pt>
                <c:pt idx="3454">
                  <c:v>37998</c:v>
                </c:pt>
                <c:pt idx="3455">
                  <c:v>37995</c:v>
                </c:pt>
                <c:pt idx="3456">
                  <c:v>37994</c:v>
                </c:pt>
                <c:pt idx="3457">
                  <c:v>37993</c:v>
                </c:pt>
                <c:pt idx="3458">
                  <c:v>37992</c:v>
                </c:pt>
                <c:pt idx="3459">
                  <c:v>37991</c:v>
                </c:pt>
                <c:pt idx="3460">
                  <c:v>37988</c:v>
                </c:pt>
                <c:pt idx="3461">
                  <c:v>37987</c:v>
                </c:pt>
                <c:pt idx="3462">
                  <c:v>37986</c:v>
                </c:pt>
                <c:pt idx="3463">
                  <c:v>37985</c:v>
                </c:pt>
                <c:pt idx="3464">
                  <c:v>37984</c:v>
                </c:pt>
                <c:pt idx="3465">
                  <c:v>37981</c:v>
                </c:pt>
                <c:pt idx="3466">
                  <c:v>37980</c:v>
                </c:pt>
                <c:pt idx="3467">
                  <c:v>37979</c:v>
                </c:pt>
                <c:pt idx="3468">
                  <c:v>37978</c:v>
                </c:pt>
                <c:pt idx="3469">
                  <c:v>37977</c:v>
                </c:pt>
                <c:pt idx="3470">
                  <c:v>37974</c:v>
                </c:pt>
                <c:pt idx="3471">
                  <c:v>37973</c:v>
                </c:pt>
                <c:pt idx="3472">
                  <c:v>37972</c:v>
                </c:pt>
                <c:pt idx="3473">
                  <c:v>37971</c:v>
                </c:pt>
                <c:pt idx="3474">
                  <c:v>37970</c:v>
                </c:pt>
                <c:pt idx="3475">
                  <c:v>37967</c:v>
                </c:pt>
                <c:pt idx="3476">
                  <c:v>37966</c:v>
                </c:pt>
                <c:pt idx="3477">
                  <c:v>37965</c:v>
                </c:pt>
                <c:pt idx="3478">
                  <c:v>37964</c:v>
                </c:pt>
                <c:pt idx="3479">
                  <c:v>37963</c:v>
                </c:pt>
                <c:pt idx="3480">
                  <c:v>37960</c:v>
                </c:pt>
                <c:pt idx="3481">
                  <c:v>37959</c:v>
                </c:pt>
                <c:pt idx="3482">
                  <c:v>37958</c:v>
                </c:pt>
                <c:pt idx="3483">
                  <c:v>37957</c:v>
                </c:pt>
                <c:pt idx="3484">
                  <c:v>37956</c:v>
                </c:pt>
                <c:pt idx="3485">
                  <c:v>37953</c:v>
                </c:pt>
                <c:pt idx="3486">
                  <c:v>37952</c:v>
                </c:pt>
                <c:pt idx="3487">
                  <c:v>37951</c:v>
                </c:pt>
                <c:pt idx="3488">
                  <c:v>37950</c:v>
                </c:pt>
                <c:pt idx="3489">
                  <c:v>37949</c:v>
                </c:pt>
                <c:pt idx="3490">
                  <c:v>37946</c:v>
                </c:pt>
                <c:pt idx="3491">
                  <c:v>37945</c:v>
                </c:pt>
                <c:pt idx="3492">
                  <c:v>37944</c:v>
                </c:pt>
                <c:pt idx="3493">
                  <c:v>37943</c:v>
                </c:pt>
                <c:pt idx="3494">
                  <c:v>37942</c:v>
                </c:pt>
                <c:pt idx="3495">
                  <c:v>37939</c:v>
                </c:pt>
                <c:pt idx="3496">
                  <c:v>37938</c:v>
                </c:pt>
                <c:pt idx="3497">
                  <c:v>37937</c:v>
                </c:pt>
                <c:pt idx="3498">
                  <c:v>37936</c:v>
                </c:pt>
                <c:pt idx="3499">
                  <c:v>37935</c:v>
                </c:pt>
                <c:pt idx="3500">
                  <c:v>37932</c:v>
                </c:pt>
                <c:pt idx="3501">
                  <c:v>37931</c:v>
                </c:pt>
                <c:pt idx="3502">
                  <c:v>37930</c:v>
                </c:pt>
                <c:pt idx="3503">
                  <c:v>37929</c:v>
                </c:pt>
                <c:pt idx="3504">
                  <c:v>37928</c:v>
                </c:pt>
                <c:pt idx="3505">
                  <c:v>37925</c:v>
                </c:pt>
                <c:pt idx="3506">
                  <c:v>37924</c:v>
                </c:pt>
                <c:pt idx="3507">
                  <c:v>37923</c:v>
                </c:pt>
                <c:pt idx="3508">
                  <c:v>37922</c:v>
                </c:pt>
                <c:pt idx="3509">
                  <c:v>37921</c:v>
                </c:pt>
                <c:pt idx="3510">
                  <c:v>37918</c:v>
                </c:pt>
                <c:pt idx="3511">
                  <c:v>37917</c:v>
                </c:pt>
                <c:pt idx="3512">
                  <c:v>37916</c:v>
                </c:pt>
                <c:pt idx="3513">
                  <c:v>37915</c:v>
                </c:pt>
                <c:pt idx="3514">
                  <c:v>37914</c:v>
                </c:pt>
                <c:pt idx="3515">
                  <c:v>37911</c:v>
                </c:pt>
                <c:pt idx="3516">
                  <c:v>37910</c:v>
                </c:pt>
                <c:pt idx="3517">
                  <c:v>37909</c:v>
                </c:pt>
                <c:pt idx="3518">
                  <c:v>37908</c:v>
                </c:pt>
                <c:pt idx="3519">
                  <c:v>37907</c:v>
                </c:pt>
                <c:pt idx="3520">
                  <c:v>37904</c:v>
                </c:pt>
                <c:pt idx="3521">
                  <c:v>37903</c:v>
                </c:pt>
                <c:pt idx="3522">
                  <c:v>37902</c:v>
                </c:pt>
                <c:pt idx="3523">
                  <c:v>37901</c:v>
                </c:pt>
                <c:pt idx="3524">
                  <c:v>37900</c:v>
                </c:pt>
                <c:pt idx="3525">
                  <c:v>37897</c:v>
                </c:pt>
                <c:pt idx="3526">
                  <c:v>37896</c:v>
                </c:pt>
                <c:pt idx="3527">
                  <c:v>37895</c:v>
                </c:pt>
                <c:pt idx="3528">
                  <c:v>37894</c:v>
                </c:pt>
                <c:pt idx="3529">
                  <c:v>37893</c:v>
                </c:pt>
                <c:pt idx="3530">
                  <c:v>37890</c:v>
                </c:pt>
                <c:pt idx="3531">
                  <c:v>37889</c:v>
                </c:pt>
                <c:pt idx="3532">
                  <c:v>37888</c:v>
                </c:pt>
                <c:pt idx="3533">
                  <c:v>37887</c:v>
                </c:pt>
                <c:pt idx="3534">
                  <c:v>37886</c:v>
                </c:pt>
                <c:pt idx="3535">
                  <c:v>37883</c:v>
                </c:pt>
                <c:pt idx="3536">
                  <c:v>37882</c:v>
                </c:pt>
                <c:pt idx="3537">
                  <c:v>37881</c:v>
                </c:pt>
                <c:pt idx="3538">
                  <c:v>37880</c:v>
                </c:pt>
                <c:pt idx="3539">
                  <c:v>37879</c:v>
                </c:pt>
                <c:pt idx="3540">
                  <c:v>37876</c:v>
                </c:pt>
                <c:pt idx="3541">
                  <c:v>37875</c:v>
                </c:pt>
                <c:pt idx="3542">
                  <c:v>37874</c:v>
                </c:pt>
                <c:pt idx="3543">
                  <c:v>37873</c:v>
                </c:pt>
                <c:pt idx="3544">
                  <c:v>37872</c:v>
                </c:pt>
                <c:pt idx="3545">
                  <c:v>37869</c:v>
                </c:pt>
                <c:pt idx="3546">
                  <c:v>37868</c:v>
                </c:pt>
                <c:pt idx="3547">
                  <c:v>37867</c:v>
                </c:pt>
                <c:pt idx="3548">
                  <c:v>37866</c:v>
                </c:pt>
                <c:pt idx="3549">
                  <c:v>37865</c:v>
                </c:pt>
                <c:pt idx="3550">
                  <c:v>37862</c:v>
                </c:pt>
                <c:pt idx="3551">
                  <c:v>37861</c:v>
                </c:pt>
                <c:pt idx="3552">
                  <c:v>37860</c:v>
                </c:pt>
                <c:pt idx="3553">
                  <c:v>37859</c:v>
                </c:pt>
                <c:pt idx="3554">
                  <c:v>37858</c:v>
                </c:pt>
                <c:pt idx="3555">
                  <c:v>37855</c:v>
                </c:pt>
                <c:pt idx="3556">
                  <c:v>37854</c:v>
                </c:pt>
                <c:pt idx="3557">
                  <c:v>37853</c:v>
                </c:pt>
                <c:pt idx="3558">
                  <c:v>37852</c:v>
                </c:pt>
                <c:pt idx="3559">
                  <c:v>37851</c:v>
                </c:pt>
                <c:pt idx="3560">
                  <c:v>37848</c:v>
                </c:pt>
                <c:pt idx="3561">
                  <c:v>37847</c:v>
                </c:pt>
                <c:pt idx="3562">
                  <c:v>37846</c:v>
                </c:pt>
                <c:pt idx="3563">
                  <c:v>37845</c:v>
                </c:pt>
                <c:pt idx="3564">
                  <c:v>37844</c:v>
                </c:pt>
                <c:pt idx="3565">
                  <c:v>37841</c:v>
                </c:pt>
                <c:pt idx="3566">
                  <c:v>37840</c:v>
                </c:pt>
                <c:pt idx="3567">
                  <c:v>37839</c:v>
                </c:pt>
                <c:pt idx="3568">
                  <c:v>37838</c:v>
                </c:pt>
                <c:pt idx="3569">
                  <c:v>37837</c:v>
                </c:pt>
                <c:pt idx="3570">
                  <c:v>37834</c:v>
                </c:pt>
                <c:pt idx="3571">
                  <c:v>37833</c:v>
                </c:pt>
                <c:pt idx="3572">
                  <c:v>37832</c:v>
                </c:pt>
                <c:pt idx="3573">
                  <c:v>37831</c:v>
                </c:pt>
                <c:pt idx="3574">
                  <c:v>37830</c:v>
                </c:pt>
                <c:pt idx="3575">
                  <c:v>37827</c:v>
                </c:pt>
                <c:pt idx="3576">
                  <c:v>37826</c:v>
                </c:pt>
                <c:pt idx="3577">
                  <c:v>37825</c:v>
                </c:pt>
                <c:pt idx="3578">
                  <c:v>37824</c:v>
                </c:pt>
                <c:pt idx="3579">
                  <c:v>37823</c:v>
                </c:pt>
                <c:pt idx="3580">
                  <c:v>37820</c:v>
                </c:pt>
                <c:pt idx="3581">
                  <c:v>37819</c:v>
                </c:pt>
                <c:pt idx="3582">
                  <c:v>37818</c:v>
                </c:pt>
                <c:pt idx="3583">
                  <c:v>37817</c:v>
                </c:pt>
                <c:pt idx="3584">
                  <c:v>37816</c:v>
                </c:pt>
                <c:pt idx="3585">
                  <c:v>37813</c:v>
                </c:pt>
                <c:pt idx="3586">
                  <c:v>37812</c:v>
                </c:pt>
                <c:pt idx="3587">
                  <c:v>37811</c:v>
                </c:pt>
                <c:pt idx="3588">
                  <c:v>37810</c:v>
                </c:pt>
                <c:pt idx="3589">
                  <c:v>37809</c:v>
                </c:pt>
                <c:pt idx="3590">
                  <c:v>37806</c:v>
                </c:pt>
                <c:pt idx="3591">
                  <c:v>37805</c:v>
                </c:pt>
                <c:pt idx="3592">
                  <c:v>37804</c:v>
                </c:pt>
                <c:pt idx="3593">
                  <c:v>37803</c:v>
                </c:pt>
                <c:pt idx="3594">
                  <c:v>37802</c:v>
                </c:pt>
                <c:pt idx="3595">
                  <c:v>37799</c:v>
                </c:pt>
                <c:pt idx="3596">
                  <c:v>37798</c:v>
                </c:pt>
                <c:pt idx="3597">
                  <c:v>37797</c:v>
                </c:pt>
                <c:pt idx="3598">
                  <c:v>37796</c:v>
                </c:pt>
                <c:pt idx="3599">
                  <c:v>37795</c:v>
                </c:pt>
                <c:pt idx="3600">
                  <c:v>37792</c:v>
                </c:pt>
                <c:pt idx="3601">
                  <c:v>37791</c:v>
                </c:pt>
                <c:pt idx="3602">
                  <c:v>37790</c:v>
                </c:pt>
                <c:pt idx="3603">
                  <c:v>37789</c:v>
                </c:pt>
                <c:pt idx="3604">
                  <c:v>37788</c:v>
                </c:pt>
                <c:pt idx="3605">
                  <c:v>37785</c:v>
                </c:pt>
                <c:pt idx="3606">
                  <c:v>37784</c:v>
                </c:pt>
                <c:pt idx="3607">
                  <c:v>37783</c:v>
                </c:pt>
                <c:pt idx="3608">
                  <c:v>37782</c:v>
                </c:pt>
                <c:pt idx="3609">
                  <c:v>37781</c:v>
                </c:pt>
                <c:pt idx="3610">
                  <c:v>37778</c:v>
                </c:pt>
                <c:pt idx="3611">
                  <c:v>37777</c:v>
                </c:pt>
                <c:pt idx="3612">
                  <c:v>37776</c:v>
                </c:pt>
                <c:pt idx="3613">
                  <c:v>37775</c:v>
                </c:pt>
                <c:pt idx="3614">
                  <c:v>37774</c:v>
                </c:pt>
                <c:pt idx="3615">
                  <c:v>37771</c:v>
                </c:pt>
                <c:pt idx="3616">
                  <c:v>37770</c:v>
                </c:pt>
                <c:pt idx="3617">
                  <c:v>37769</c:v>
                </c:pt>
                <c:pt idx="3618">
                  <c:v>37768</c:v>
                </c:pt>
                <c:pt idx="3619">
                  <c:v>37767</c:v>
                </c:pt>
                <c:pt idx="3620">
                  <c:v>37764</c:v>
                </c:pt>
                <c:pt idx="3621">
                  <c:v>37763</c:v>
                </c:pt>
                <c:pt idx="3622">
                  <c:v>37762</c:v>
                </c:pt>
                <c:pt idx="3623">
                  <c:v>37761</c:v>
                </c:pt>
                <c:pt idx="3624">
                  <c:v>37760</c:v>
                </c:pt>
                <c:pt idx="3625">
                  <c:v>37757</c:v>
                </c:pt>
                <c:pt idx="3626">
                  <c:v>37756</c:v>
                </c:pt>
                <c:pt idx="3627">
                  <c:v>37755</c:v>
                </c:pt>
                <c:pt idx="3628">
                  <c:v>37754</c:v>
                </c:pt>
                <c:pt idx="3629">
                  <c:v>37753</c:v>
                </c:pt>
                <c:pt idx="3630">
                  <c:v>37750</c:v>
                </c:pt>
                <c:pt idx="3631">
                  <c:v>37749</c:v>
                </c:pt>
                <c:pt idx="3632">
                  <c:v>37748</c:v>
                </c:pt>
                <c:pt idx="3633">
                  <c:v>37747</c:v>
                </c:pt>
                <c:pt idx="3634">
                  <c:v>37746</c:v>
                </c:pt>
                <c:pt idx="3635">
                  <c:v>37743</c:v>
                </c:pt>
                <c:pt idx="3636">
                  <c:v>37742</c:v>
                </c:pt>
                <c:pt idx="3637">
                  <c:v>37741</c:v>
                </c:pt>
                <c:pt idx="3638">
                  <c:v>37740</c:v>
                </c:pt>
                <c:pt idx="3639">
                  <c:v>37739</c:v>
                </c:pt>
                <c:pt idx="3640">
                  <c:v>37736</c:v>
                </c:pt>
                <c:pt idx="3641">
                  <c:v>37735</c:v>
                </c:pt>
                <c:pt idx="3642">
                  <c:v>37734</c:v>
                </c:pt>
                <c:pt idx="3643">
                  <c:v>37733</c:v>
                </c:pt>
                <c:pt idx="3644">
                  <c:v>37732</c:v>
                </c:pt>
                <c:pt idx="3645">
                  <c:v>37729</c:v>
                </c:pt>
                <c:pt idx="3646">
                  <c:v>37728</c:v>
                </c:pt>
                <c:pt idx="3647">
                  <c:v>37727</c:v>
                </c:pt>
                <c:pt idx="3648">
                  <c:v>37726</c:v>
                </c:pt>
                <c:pt idx="3649">
                  <c:v>37725</c:v>
                </c:pt>
                <c:pt idx="3650">
                  <c:v>37722</c:v>
                </c:pt>
                <c:pt idx="3651">
                  <c:v>37721</c:v>
                </c:pt>
                <c:pt idx="3652">
                  <c:v>37720</c:v>
                </c:pt>
                <c:pt idx="3653">
                  <c:v>37719</c:v>
                </c:pt>
                <c:pt idx="3654">
                  <c:v>37718</c:v>
                </c:pt>
                <c:pt idx="3655">
                  <c:v>37715</c:v>
                </c:pt>
                <c:pt idx="3656">
                  <c:v>37714</c:v>
                </c:pt>
                <c:pt idx="3657">
                  <c:v>37713</c:v>
                </c:pt>
                <c:pt idx="3658">
                  <c:v>37712</c:v>
                </c:pt>
                <c:pt idx="3659">
                  <c:v>37711</c:v>
                </c:pt>
                <c:pt idx="3660">
                  <c:v>37708</c:v>
                </c:pt>
                <c:pt idx="3661">
                  <c:v>37707</c:v>
                </c:pt>
                <c:pt idx="3662">
                  <c:v>37706</c:v>
                </c:pt>
                <c:pt idx="3663">
                  <c:v>37705</c:v>
                </c:pt>
                <c:pt idx="3664">
                  <c:v>37704</c:v>
                </c:pt>
                <c:pt idx="3665">
                  <c:v>37701</c:v>
                </c:pt>
                <c:pt idx="3666">
                  <c:v>37700</c:v>
                </c:pt>
                <c:pt idx="3667">
                  <c:v>37699</c:v>
                </c:pt>
                <c:pt idx="3668">
                  <c:v>37698</c:v>
                </c:pt>
                <c:pt idx="3669">
                  <c:v>37697</c:v>
                </c:pt>
                <c:pt idx="3670">
                  <c:v>37694</c:v>
                </c:pt>
                <c:pt idx="3671">
                  <c:v>37693</c:v>
                </c:pt>
                <c:pt idx="3672">
                  <c:v>37692</c:v>
                </c:pt>
                <c:pt idx="3673">
                  <c:v>37691</c:v>
                </c:pt>
                <c:pt idx="3674">
                  <c:v>37690</c:v>
                </c:pt>
                <c:pt idx="3675">
                  <c:v>37687</c:v>
                </c:pt>
                <c:pt idx="3676">
                  <c:v>37686</c:v>
                </c:pt>
                <c:pt idx="3677">
                  <c:v>37685</c:v>
                </c:pt>
                <c:pt idx="3678">
                  <c:v>37684</c:v>
                </c:pt>
                <c:pt idx="3679">
                  <c:v>37683</c:v>
                </c:pt>
                <c:pt idx="3680">
                  <c:v>37680</c:v>
                </c:pt>
                <c:pt idx="3681">
                  <c:v>37679</c:v>
                </c:pt>
                <c:pt idx="3682">
                  <c:v>37678</c:v>
                </c:pt>
                <c:pt idx="3683">
                  <c:v>37677</c:v>
                </c:pt>
                <c:pt idx="3684">
                  <c:v>37676</c:v>
                </c:pt>
                <c:pt idx="3685">
                  <c:v>37673</c:v>
                </c:pt>
                <c:pt idx="3686">
                  <c:v>37672</c:v>
                </c:pt>
                <c:pt idx="3687">
                  <c:v>37671</c:v>
                </c:pt>
                <c:pt idx="3688">
                  <c:v>37670</c:v>
                </c:pt>
                <c:pt idx="3689">
                  <c:v>37669</c:v>
                </c:pt>
                <c:pt idx="3690">
                  <c:v>37666</c:v>
                </c:pt>
                <c:pt idx="3691">
                  <c:v>37665</c:v>
                </c:pt>
                <c:pt idx="3692">
                  <c:v>37664</c:v>
                </c:pt>
                <c:pt idx="3693">
                  <c:v>37663</c:v>
                </c:pt>
                <c:pt idx="3694">
                  <c:v>37662</c:v>
                </c:pt>
                <c:pt idx="3695">
                  <c:v>37659</c:v>
                </c:pt>
                <c:pt idx="3696">
                  <c:v>37658</c:v>
                </c:pt>
                <c:pt idx="3697">
                  <c:v>37657</c:v>
                </c:pt>
                <c:pt idx="3698">
                  <c:v>37656</c:v>
                </c:pt>
                <c:pt idx="3699">
                  <c:v>37655</c:v>
                </c:pt>
                <c:pt idx="3700">
                  <c:v>37652</c:v>
                </c:pt>
                <c:pt idx="3701">
                  <c:v>37651</c:v>
                </c:pt>
                <c:pt idx="3702">
                  <c:v>37650</c:v>
                </c:pt>
                <c:pt idx="3703">
                  <c:v>37649</c:v>
                </c:pt>
                <c:pt idx="3704">
                  <c:v>37648</c:v>
                </c:pt>
                <c:pt idx="3705">
                  <c:v>37645</c:v>
                </c:pt>
                <c:pt idx="3706">
                  <c:v>37644</c:v>
                </c:pt>
                <c:pt idx="3707">
                  <c:v>37643</c:v>
                </c:pt>
                <c:pt idx="3708">
                  <c:v>37642</c:v>
                </c:pt>
                <c:pt idx="3709">
                  <c:v>37641</c:v>
                </c:pt>
                <c:pt idx="3710">
                  <c:v>37638</c:v>
                </c:pt>
                <c:pt idx="3711">
                  <c:v>37637</c:v>
                </c:pt>
                <c:pt idx="3712">
                  <c:v>37636</c:v>
                </c:pt>
                <c:pt idx="3713">
                  <c:v>37635</c:v>
                </c:pt>
                <c:pt idx="3714">
                  <c:v>37634</c:v>
                </c:pt>
                <c:pt idx="3715">
                  <c:v>37631</c:v>
                </c:pt>
                <c:pt idx="3716">
                  <c:v>37630</c:v>
                </c:pt>
                <c:pt idx="3717">
                  <c:v>37629</c:v>
                </c:pt>
                <c:pt idx="3718">
                  <c:v>37628</c:v>
                </c:pt>
                <c:pt idx="3719">
                  <c:v>37627</c:v>
                </c:pt>
                <c:pt idx="3720">
                  <c:v>37624</c:v>
                </c:pt>
                <c:pt idx="3721">
                  <c:v>37623</c:v>
                </c:pt>
                <c:pt idx="3722">
                  <c:v>37622</c:v>
                </c:pt>
                <c:pt idx="3723">
                  <c:v>37621</c:v>
                </c:pt>
                <c:pt idx="3724">
                  <c:v>37620</c:v>
                </c:pt>
                <c:pt idx="3725">
                  <c:v>37617</c:v>
                </c:pt>
                <c:pt idx="3726">
                  <c:v>37616</c:v>
                </c:pt>
                <c:pt idx="3727">
                  <c:v>37615</c:v>
                </c:pt>
                <c:pt idx="3728">
                  <c:v>37614</c:v>
                </c:pt>
                <c:pt idx="3729">
                  <c:v>37613</c:v>
                </c:pt>
                <c:pt idx="3730">
                  <c:v>37610</c:v>
                </c:pt>
                <c:pt idx="3731">
                  <c:v>37609</c:v>
                </c:pt>
                <c:pt idx="3732">
                  <c:v>37608</c:v>
                </c:pt>
                <c:pt idx="3733">
                  <c:v>37607</c:v>
                </c:pt>
                <c:pt idx="3734">
                  <c:v>37606</c:v>
                </c:pt>
                <c:pt idx="3735">
                  <c:v>37603</c:v>
                </c:pt>
                <c:pt idx="3736">
                  <c:v>37602</c:v>
                </c:pt>
                <c:pt idx="3737">
                  <c:v>37601</c:v>
                </c:pt>
                <c:pt idx="3738">
                  <c:v>37600</c:v>
                </c:pt>
                <c:pt idx="3739">
                  <c:v>37599</c:v>
                </c:pt>
                <c:pt idx="3740">
                  <c:v>37596</c:v>
                </c:pt>
                <c:pt idx="3741">
                  <c:v>37595</c:v>
                </c:pt>
                <c:pt idx="3742">
                  <c:v>37594</c:v>
                </c:pt>
                <c:pt idx="3743">
                  <c:v>37593</c:v>
                </c:pt>
                <c:pt idx="3744">
                  <c:v>37592</c:v>
                </c:pt>
                <c:pt idx="3745">
                  <c:v>37589</c:v>
                </c:pt>
                <c:pt idx="3746">
                  <c:v>37588</c:v>
                </c:pt>
                <c:pt idx="3747">
                  <c:v>37587</c:v>
                </c:pt>
                <c:pt idx="3748">
                  <c:v>37586</c:v>
                </c:pt>
                <c:pt idx="3749">
                  <c:v>37585</c:v>
                </c:pt>
                <c:pt idx="3750">
                  <c:v>37582</c:v>
                </c:pt>
                <c:pt idx="3751">
                  <c:v>37581</c:v>
                </c:pt>
                <c:pt idx="3752">
                  <c:v>37580</c:v>
                </c:pt>
                <c:pt idx="3753">
                  <c:v>37579</c:v>
                </c:pt>
                <c:pt idx="3754">
                  <c:v>37578</c:v>
                </c:pt>
                <c:pt idx="3755">
                  <c:v>37575</c:v>
                </c:pt>
                <c:pt idx="3756">
                  <c:v>37574</c:v>
                </c:pt>
                <c:pt idx="3757">
                  <c:v>37573</c:v>
                </c:pt>
                <c:pt idx="3758">
                  <c:v>37572</c:v>
                </c:pt>
                <c:pt idx="3759">
                  <c:v>37571</c:v>
                </c:pt>
                <c:pt idx="3760">
                  <c:v>37568</c:v>
                </c:pt>
                <c:pt idx="3761">
                  <c:v>37567</c:v>
                </c:pt>
                <c:pt idx="3762">
                  <c:v>37566</c:v>
                </c:pt>
                <c:pt idx="3763">
                  <c:v>37565</c:v>
                </c:pt>
                <c:pt idx="3764">
                  <c:v>37564</c:v>
                </c:pt>
                <c:pt idx="3765">
                  <c:v>37561</c:v>
                </c:pt>
                <c:pt idx="3766">
                  <c:v>37560</c:v>
                </c:pt>
                <c:pt idx="3767">
                  <c:v>37559</c:v>
                </c:pt>
                <c:pt idx="3768">
                  <c:v>37558</c:v>
                </c:pt>
                <c:pt idx="3769">
                  <c:v>37557</c:v>
                </c:pt>
                <c:pt idx="3770">
                  <c:v>37554</c:v>
                </c:pt>
                <c:pt idx="3771">
                  <c:v>37553</c:v>
                </c:pt>
                <c:pt idx="3772">
                  <c:v>37552</c:v>
                </c:pt>
                <c:pt idx="3773">
                  <c:v>37551</c:v>
                </c:pt>
                <c:pt idx="3774">
                  <c:v>37550</c:v>
                </c:pt>
                <c:pt idx="3775">
                  <c:v>37547</c:v>
                </c:pt>
                <c:pt idx="3776">
                  <c:v>37546</c:v>
                </c:pt>
                <c:pt idx="3777">
                  <c:v>37545</c:v>
                </c:pt>
                <c:pt idx="3778">
                  <c:v>37544</c:v>
                </c:pt>
                <c:pt idx="3779">
                  <c:v>37543</c:v>
                </c:pt>
                <c:pt idx="3780">
                  <c:v>37540</c:v>
                </c:pt>
                <c:pt idx="3781">
                  <c:v>37539</c:v>
                </c:pt>
                <c:pt idx="3782">
                  <c:v>37538</c:v>
                </c:pt>
                <c:pt idx="3783">
                  <c:v>37537</c:v>
                </c:pt>
                <c:pt idx="3784">
                  <c:v>37536</c:v>
                </c:pt>
                <c:pt idx="3785">
                  <c:v>37533</c:v>
                </c:pt>
                <c:pt idx="3786">
                  <c:v>37532</c:v>
                </c:pt>
                <c:pt idx="3787">
                  <c:v>37531</c:v>
                </c:pt>
                <c:pt idx="3788">
                  <c:v>37530</c:v>
                </c:pt>
                <c:pt idx="3789">
                  <c:v>37529</c:v>
                </c:pt>
                <c:pt idx="3790">
                  <c:v>37526</c:v>
                </c:pt>
                <c:pt idx="3791">
                  <c:v>37525</c:v>
                </c:pt>
                <c:pt idx="3792">
                  <c:v>37524</c:v>
                </c:pt>
                <c:pt idx="3793">
                  <c:v>37523</c:v>
                </c:pt>
                <c:pt idx="3794">
                  <c:v>37522</c:v>
                </c:pt>
                <c:pt idx="3795">
                  <c:v>37519</c:v>
                </c:pt>
                <c:pt idx="3796">
                  <c:v>37518</c:v>
                </c:pt>
                <c:pt idx="3797">
                  <c:v>37517</c:v>
                </c:pt>
                <c:pt idx="3798">
                  <c:v>37516</c:v>
                </c:pt>
                <c:pt idx="3799">
                  <c:v>37515</c:v>
                </c:pt>
                <c:pt idx="3800">
                  <c:v>37512</c:v>
                </c:pt>
                <c:pt idx="3801">
                  <c:v>37511</c:v>
                </c:pt>
                <c:pt idx="3802">
                  <c:v>37510</c:v>
                </c:pt>
                <c:pt idx="3803">
                  <c:v>37509</c:v>
                </c:pt>
                <c:pt idx="3804">
                  <c:v>37508</c:v>
                </c:pt>
                <c:pt idx="3805">
                  <c:v>37505</c:v>
                </c:pt>
                <c:pt idx="3806">
                  <c:v>37504</c:v>
                </c:pt>
                <c:pt idx="3807">
                  <c:v>37503</c:v>
                </c:pt>
                <c:pt idx="3808">
                  <c:v>37502</c:v>
                </c:pt>
                <c:pt idx="3809">
                  <c:v>37501</c:v>
                </c:pt>
                <c:pt idx="3810">
                  <c:v>37498</c:v>
                </c:pt>
                <c:pt idx="3811">
                  <c:v>37497</c:v>
                </c:pt>
                <c:pt idx="3812">
                  <c:v>37496</c:v>
                </c:pt>
                <c:pt idx="3813">
                  <c:v>37495</c:v>
                </c:pt>
                <c:pt idx="3814">
                  <c:v>37494</c:v>
                </c:pt>
                <c:pt idx="3815">
                  <c:v>37491</c:v>
                </c:pt>
                <c:pt idx="3816">
                  <c:v>37490</c:v>
                </c:pt>
                <c:pt idx="3817">
                  <c:v>37489</c:v>
                </c:pt>
                <c:pt idx="3818">
                  <c:v>37488</c:v>
                </c:pt>
                <c:pt idx="3819">
                  <c:v>37487</c:v>
                </c:pt>
                <c:pt idx="3820">
                  <c:v>37484</c:v>
                </c:pt>
                <c:pt idx="3821">
                  <c:v>37483</c:v>
                </c:pt>
                <c:pt idx="3822">
                  <c:v>37482</c:v>
                </c:pt>
                <c:pt idx="3823">
                  <c:v>37481</c:v>
                </c:pt>
                <c:pt idx="3824">
                  <c:v>37480</c:v>
                </c:pt>
                <c:pt idx="3825">
                  <c:v>37477</c:v>
                </c:pt>
                <c:pt idx="3826">
                  <c:v>37476</c:v>
                </c:pt>
                <c:pt idx="3827">
                  <c:v>37475</c:v>
                </c:pt>
                <c:pt idx="3828">
                  <c:v>37474</c:v>
                </c:pt>
                <c:pt idx="3829">
                  <c:v>37473</c:v>
                </c:pt>
                <c:pt idx="3830">
                  <c:v>37470</c:v>
                </c:pt>
                <c:pt idx="3831">
                  <c:v>37469</c:v>
                </c:pt>
                <c:pt idx="3832">
                  <c:v>37468</c:v>
                </c:pt>
                <c:pt idx="3833">
                  <c:v>37467</c:v>
                </c:pt>
                <c:pt idx="3834">
                  <c:v>37466</c:v>
                </c:pt>
                <c:pt idx="3835">
                  <c:v>37463</c:v>
                </c:pt>
                <c:pt idx="3836">
                  <c:v>37462</c:v>
                </c:pt>
                <c:pt idx="3837">
                  <c:v>37461</c:v>
                </c:pt>
                <c:pt idx="3838">
                  <c:v>37460</c:v>
                </c:pt>
                <c:pt idx="3839">
                  <c:v>37459</c:v>
                </c:pt>
                <c:pt idx="3840">
                  <c:v>37456</c:v>
                </c:pt>
                <c:pt idx="3841">
                  <c:v>37455</c:v>
                </c:pt>
                <c:pt idx="3842">
                  <c:v>37454</c:v>
                </c:pt>
                <c:pt idx="3843">
                  <c:v>37453</c:v>
                </c:pt>
                <c:pt idx="3844">
                  <c:v>37452</c:v>
                </c:pt>
                <c:pt idx="3845">
                  <c:v>37449</c:v>
                </c:pt>
                <c:pt idx="3846">
                  <c:v>37448</c:v>
                </c:pt>
                <c:pt idx="3847">
                  <c:v>37447</c:v>
                </c:pt>
                <c:pt idx="3848">
                  <c:v>37446</c:v>
                </c:pt>
                <c:pt idx="3849">
                  <c:v>37445</c:v>
                </c:pt>
                <c:pt idx="3850">
                  <c:v>37442</c:v>
                </c:pt>
                <c:pt idx="3851">
                  <c:v>37441</c:v>
                </c:pt>
                <c:pt idx="3852">
                  <c:v>37440</c:v>
                </c:pt>
                <c:pt idx="3853">
                  <c:v>37439</c:v>
                </c:pt>
                <c:pt idx="3854">
                  <c:v>37438</c:v>
                </c:pt>
                <c:pt idx="3855">
                  <c:v>37435</c:v>
                </c:pt>
                <c:pt idx="3856">
                  <c:v>37434</c:v>
                </c:pt>
                <c:pt idx="3857">
                  <c:v>37433</c:v>
                </c:pt>
                <c:pt idx="3858">
                  <c:v>37432</c:v>
                </c:pt>
                <c:pt idx="3859">
                  <c:v>37431</c:v>
                </c:pt>
                <c:pt idx="3860">
                  <c:v>37428</c:v>
                </c:pt>
                <c:pt idx="3861">
                  <c:v>37427</c:v>
                </c:pt>
                <c:pt idx="3862">
                  <c:v>37426</c:v>
                </c:pt>
                <c:pt idx="3863">
                  <c:v>37425</c:v>
                </c:pt>
                <c:pt idx="3864">
                  <c:v>37424</c:v>
                </c:pt>
                <c:pt idx="3865">
                  <c:v>37421</c:v>
                </c:pt>
                <c:pt idx="3866">
                  <c:v>37420</c:v>
                </c:pt>
                <c:pt idx="3867">
                  <c:v>37419</c:v>
                </c:pt>
                <c:pt idx="3868">
                  <c:v>37418</c:v>
                </c:pt>
                <c:pt idx="3869">
                  <c:v>37417</c:v>
                </c:pt>
                <c:pt idx="3870">
                  <c:v>37414</c:v>
                </c:pt>
                <c:pt idx="3871">
                  <c:v>37413</c:v>
                </c:pt>
                <c:pt idx="3872">
                  <c:v>37412</c:v>
                </c:pt>
                <c:pt idx="3873">
                  <c:v>37411</c:v>
                </c:pt>
                <c:pt idx="3874">
                  <c:v>37410</c:v>
                </c:pt>
                <c:pt idx="3875">
                  <c:v>37407</c:v>
                </c:pt>
                <c:pt idx="3876">
                  <c:v>37406</c:v>
                </c:pt>
                <c:pt idx="3877">
                  <c:v>37405</c:v>
                </c:pt>
                <c:pt idx="3878">
                  <c:v>37404</c:v>
                </c:pt>
                <c:pt idx="3879">
                  <c:v>37403</c:v>
                </c:pt>
                <c:pt idx="3880">
                  <c:v>37400</c:v>
                </c:pt>
                <c:pt idx="3881">
                  <c:v>37399</c:v>
                </c:pt>
                <c:pt idx="3882">
                  <c:v>37398</c:v>
                </c:pt>
                <c:pt idx="3883">
                  <c:v>37397</c:v>
                </c:pt>
                <c:pt idx="3884">
                  <c:v>37396</c:v>
                </c:pt>
                <c:pt idx="3885">
                  <c:v>37393</c:v>
                </c:pt>
                <c:pt idx="3886">
                  <c:v>37392</c:v>
                </c:pt>
                <c:pt idx="3887">
                  <c:v>37391</c:v>
                </c:pt>
                <c:pt idx="3888">
                  <c:v>37390</c:v>
                </c:pt>
                <c:pt idx="3889">
                  <c:v>37389</c:v>
                </c:pt>
                <c:pt idx="3890">
                  <c:v>37386</c:v>
                </c:pt>
                <c:pt idx="3891">
                  <c:v>37385</c:v>
                </c:pt>
                <c:pt idx="3892">
                  <c:v>37384</c:v>
                </c:pt>
                <c:pt idx="3893">
                  <c:v>37383</c:v>
                </c:pt>
                <c:pt idx="3894">
                  <c:v>37382</c:v>
                </c:pt>
                <c:pt idx="3895">
                  <c:v>37379</c:v>
                </c:pt>
                <c:pt idx="3896">
                  <c:v>37378</c:v>
                </c:pt>
                <c:pt idx="3897">
                  <c:v>37377</c:v>
                </c:pt>
                <c:pt idx="3898">
                  <c:v>37376</c:v>
                </c:pt>
                <c:pt idx="3899">
                  <c:v>37375</c:v>
                </c:pt>
                <c:pt idx="3900">
                  <c:v>37372</c:v>
                </c:pt>
                <c:pt idx="3901">
                  <c:v>37371</c:v>
                </c:pt>
                <c:pt idx="3902">
                  <c:v>37370</c:v>
                </c:pt>
                <c:pt idx="3903">
                  <c:v>37369</c:v>
                </c:pt>
                <c:pt idx="3904">
                  <c:v>37368</c:v>
                </c:pt>
                <c:pt idx="3905">
                  <c:v>37365</c:v>
                </c:pt>
                <c:pt idx="3906">
                  <c:v>37364</c:v>
                </c:pt>
                <c:pt idx="3907">
                  <c:v>37363</c:v>
                </c:pt>
                <c:pt idx="3908">
                  <c:v>37362</c:v>
                </c:pt>
                <c:pt idx="3909">
                  <c:v>37361</c:v>
                </c:pt>
                <c:pt idx="3910">
                  <c:v>37358</c:v>
                </c:pt>
                <c:pt idx="3911">
                  <c:v>37357</c:v>
                </c:pt>
                <c:pt idx="3912">
                  <c:v>37356</c:v>
                </c:pt>
                <c:pt idx="3913">
                  <c:v>37355</c:v>
                </c:pt>
                <c:pt idx="3914">
                  <c:v>37354</c:v>
                </c:pt>
                <c:pt idx="3915">
                  <c:v>37351</c:v>
                </c:pt>
                <c:pt idx="3916">
                  <c:v>37350</c:v>
                </c:pt>
                <c:pt idx="3917">
                  <c:v>37349</c:v>
                </c:pt>
                <c:pt idx="3918">
                  <c:v>37348</c:v>
                </c:pt>
                <c:pt idx="3919">
                  <c:v>37347</c:v>
                </c:pt>
                <c:pt idx="3920">
                  <c:v>37344</c:v>
                </c:pt>
                <c:pt idx="3921">
                  <c:v>37343</c:v>
                </c:pt>
                <c:pt idx="3922">
                  <c:v>37342</c:v>
                </c:pt>
                <c:pt idx="3923">
                  <c:v>37341</c:v>
                </c:pt>
                <c:pt idx="3924">
                  <c:v>37340</c:v>
                </c:pt>
                <c:pt idx="3925">
                  <c:v>37337</c:v>
                </c:pt>
                <c:pt idx="3926">
                  <c:v>37336</c:v>
                </c:pt>
                <c:pt idx="3927">
                  <c:v>37335</c:v>
                </c:pt>
                <c:pt idx="3928">
                  <c:v>37334</c:v>
                </c:pt>
                <c:pt idx="3929">
                  <c:v>37333</c:v>
                </c:pt>
                <c:pt idx="3930">
                  <c:v>37330</c:v>
                </c:pt>
                <c:pt idx="3931">
                  <c:v>37329</c:v>
                </c:pt>
                <c:pt idx="3932">
                  <c:v>37328</c:v>
                </c:pt>
                <c:pt idx="3933">
                  <c:v>37327</c:v>
                </c:pt>
                <c:pt idx="3934">
                  <c:v>37326</c:v>
                </c:pt>
                <c:pt idx="3935">
                  <c:v>37323</c:v>
                </c:pt>
                <c:pt idx="3936">
                  <c:v>37322</c:v>
                </c:pt>
                <c:pt idx="3937">
                  <c:v>37321</c:v>
                </c:pt>
                <c:pt idx="3938">
                  <c:v>37320</c:v>
                </c:pt>
                <c:pt idx="3939">
                  <c:v>37319</c:v>
                </c:pt>
                <c:pt idx="3940">
                  <c:v>37316</c:v>
                </c:pt>
                <c:pt idx="3941">
                  <c:v>37315</c:v>
                </c:pt>
                <c:pt idx="3942">
                  <c:v>37314</c:v>
                </c:pt>
                <c:pt idx="3943">
                  <c:v>37313</c:v>
                </c:pt>
                <c:pt idx="3944">
                  <c:v>37312</c:v>
                </c:pt>
                <c:pt idx="3945">
                  <c:v>37309</c:v>
                </c:pt>
                <c:pt idx="3946">
                  <c:v>37308</c:v>
                </c:pt>
                <c:pt idx="3947">
                  <c:v>37307</c:v>
                </c:pt>
                <c:pt idx="3948">
                  <c:v>37306</c:v>
                </c:pt>
                <c:pt idx="3949">
                  <c:v>37305</c:v>
                </c:pt>
                <c:pt idx="3950">
                  <c:v>37302</c:v>
                </c:pt>
                <c:pt idx="3951">
                  <c:v>37301</c:v>
                </c:pt>
                <c:pt idx="3952">
                  <c:v>37300</c:v>
                </c:pt>
                <c:pt idx="3953">
                  <c:v>37299</c:v>
                </c:pt>
                <c:pt idx="3954">
                  <c:v>37298</c:v>
                </c:pt>
                <c:pt idx="3955">
                  <c:v>37295</c:v>
                </c:pt>
                <c:pt idx="3956">
                  <c:v>37294</c:v>
                </c:pt>
                <c:pt idx="3957">
                  <c:v>37293</c:v>
                </c:pt>
                <c:pt idx="3958">
                  <c:v>37292</c:v>
                </c:pt>
                <c:pt idx="3959">
                  <c:v>37291</c:v>
                </c:pt>
                <c:pt idx="3960">
                  <c:v>37288</c:v>
                </c:pt>
                <c:pt idx="3961">
                  <c:v>37287</c:v>
                </c:pt>
                <c:pt idx="3962">
                  <c:v>37286</c:v>
                </c:pt>
                <c:pt idx="3963">
                  <c:v>37285</c:v>
                </c:pt>
                <c:pt idx="3964">
                  <c:v>37284</c:v>
                </c:pt>
                <c:pt idx="3965">
                  <c:v>37281</c:v>
                </c:pt>
                <c:pt idx="3966">
                  <c:v>37280</c:v>
                </c:pt>
                <c:pt idx="3967">
                  <c:v>37279</c:v>
                </c:pt>
                <c:pt idx="3968">
                  <c:v>37278</c:v>
                </c:pt>
                <c:pt idx="3969">
                  <c:v>37277</c:v>
                </c:pt>
                <c:pt idx="3970">
                  <c:v>37274</c:v>
                </c:pt>
                <c:pt idx="3971">
                  <c:v>37273</c:v>
                </c:pt>
                <c:pt idx="3972">
                  <c:v>37272</c:v>
                </c:pt>
                <c:pt idx="3973">
                  <c:v>37271</c:v>
                </c:pt>
                <c:pt idx="3974">
                  <c:v>37270</c:v>
                </c:pt>
                <c:pt idx="3975">
                  <c:v>37267</c:v>
                </c:pt>
                <c:pt idx="3976">
                  <c:v>37266</c:v>
                </c:pt>
                <c:pt idx="3977">
                  <c:v>37265</c:v>
                </c:pt>
                <c:pt idx="3978">
                  <c:v>37264</c:v>
                </c:pt>
                <c:pt idx="3979">
                  <c:v>37263</c:v>
                </c:pt>
                <c:pt idx="3980">
                  <c:v>37260</c:v>
                </c:pt>
                <c:pt idx="3981">
                  <c:v>37259</c:v>
                </c:pt>
                <c:pt idx="3982">
                  <c:v>37258</c:v>
                </c:pt>
                <c:pt idx="3983">
                  <c:v>37257</c:v>
                </c:pt>
                <c:pt idx="3984">
                  <c:v>37256</c:v>
                </c:pt>
                <c:pt idx="3985">
                  <c:v>37253</c:v>
                </c:pt>
                <c:pt idx="3986">
                  <c:v>37252</c:v>
                </c:pt>
                <c:pt idx="3987">
                  <c:v>37251</c:v>
                </c:pt>
                <c:pt idx="3988">
                  <c:v>37250</c:v>
                </c:pt>
                <c:pt idx="3989">
                  <c:v>37249</c:v>
                </c:pt>
                <c:pt idx="3990">
                  <c:v>37246</c:v>
                </c:pt>
                <c:pt idx="3991">
                  <c:v>37245</c:v>
                </c:pt>
                <c:pt idx="3992">
                  <c:v>37244</c:v>
                </c:pt>
                <c:pt idx="3993">
                  <c:v>37243</c:v>
                </c:pt>
                <c:pt idx="3994">
                  <c:v>37242</c:v>
                </c:pt>
                <c:pt idx="3995">
                  <c:v>37239</c:v>
                </c:pt>
                <c:pt idx="3996">
                  <c:v>37238</c:v>
                </c:pt>
                <c:pt idx="3997">
                  <c:v>37237</c:v>
                </c:pt>
                <c:pt idx="3998">
                  <c:v>37236</c:v>
                </c:pt>
                <c:pt idx="3999">
                  <c:v>37235</c:v>
                </c:pt>
                <c:pt idx="4000">
                  <c:v>37232</c:v>
                </c:pt>
                <c:pt idx="4001">
                  <c:v>37231</c:v>
                </c:pt>
                <c:pt idx="4002">
                  <c:v>37230</c:v>
                </c:pt>
                <c:pt idx="4003">
                  <c:v>37229</c:v>
                </c:pt>
                <c:pt idx="4004">
                  <c:v>37228</c:v>
                </c:pt>
                <c:pt idx="4005">
                  <c:v>37225</c:v>
                </c:pt>
                <c:pt idx="4006">
                  <c:v>37224</c:v>
                </c:pt>
                <c:pt idx="4007">
                  <c:v>37223</c:v>
                </c:pt>
                <c:pt idx="4008">
                  <c:v>37222</c:v>
                </c:pt>
                <c:pt idx="4009">
                  <c:v>37221</c:v>
                </c:pt>
                <c:pt idx="4010">
                  <c:v>37218</c:v>
                </c:pt>
                <c:pt idx="4011">
                  <c:v>37217</c:v>
                </c:pt>
                <c:pt idx="4012">
                  <c:v>37216</c:v>
                </c:pt>
                <c:pt idx="4013">
                  <c:v>37215</c:v>
                </c:pt>
                <c:pt idx="4014">
                  <c:v>37214</c:v>
                </c:pt>
                <c:pt idx="4015">
                  <c:v>37211</c:v>
                </c:pt>
                <c:pt idx="4016">
                  <c:v>37210</c:v>
                </c:pt>
                <c:pt idx="4017">
                  <c:v>37209</c:v>
                </c:pt>
                <c:pt idx="4018">
                  <c:v>37208</c:v>
                </c:pt>
                <c:pt idx="4019">
                  <c:v>37207</c:v>
                </c:pt>
                <c:pt idx="4020">
                  <c:v>37204</c:v>
                </c:pt>
                <c:pt idx="4021">
                  <c:v>37203</c:v>
                </c:pt>
                <c:pt idx="4022">
                  <c:v>37202</c:v>
                </c:pt>
                <c:pt idx="4023">
                  <c:v>37201</c:v>
                </c:pt>
                <c:pt idx="4024">
                  <c:v>37200</c:v>
                </c:pt>
                <c:pt idx="4025">
                  <c:v>37197</c:v>
                </c:pt>
                <c:pt idx="4026">
                  <c:v>37196</c:v>
                </c:pt>
                <c:pt idx="4027">
                  <c:v>37195</c:v>
                </c:pt>
                <c:pt idx="4028">
                  <c:v>37194</c:v>
                </c:pt>
                <c:pt idx="4029">
                  <c:v>37193</c:v>
                </c:pt>
                <c:pt idx="4030">
                  <c:v>37190</c:v>
                </c:pt>
                <c:pt idx="4031">
                  <c:v>37189</c:v>
                </c:pt>
                <c:pt idx="4032">
                  <c:v>37188</c:v>
                </c:pt>
                <c:pt idx="4033">
                  <c:v>37187</c:v>
                </c:pt>
                <c:pt idx="4034">
                  <c:v>37186</c:v>
                </c:pt>
                <c:pt idx="4035">
                  <c:v>37183</c:v>
                </c:pt>
                <c:pt idx="4036">
                  <c:v>37182</c:v>
                </c:pt>
                <c:pt idx="4037">
                  <c:v>37181</c:v>
                </c:pt>
                <c:pt idx="4038">
                  <c:v>37180</c:v>
                </c:pt>
                <c:pt idx="4039">
                  <c:v>37179</c:v>
                </c:pt>
                <c:pt idx="4040">
                  <c:v>37176</c:v>
                </c:pt>
                <c:pt idx="4041">
                  <c:v>37175</c:v>
                </c:pt>
                <c:pt idx="4042">
                  <c:v>37174</c:v>
                </c:pt>
                <c:pt idx="4043">
                  <c:v>37173</c:v>
                </c:pt>
                <c:pt idx="4044">
                  <c:v>37172</c:v>
                </c:pt>
                <c:pt idx="4045">
                  <c:v>37169</c:v>
                </c:pt>
                <c:pt idx="4046">
                  <c:v>37168</c:v>
                </c:pt>
                <c:pt idx="4047">
                  <c:v>37167</c:v>
                </c:pt>
                <c:pt idx="4048">
                  <c:v>37166</c:v>
                </c:pt>
                <c:pt idx="4049">
                  <c:v>37165</c:v>
                </c:pt>
                <c:pt idx="4050">
                  <c:v>37162</c:v>
                </c:pt>
                <c:pt idx="4051">
                  <c:v>37161</c:v>
                </c:pt>
                <c:pt idx="4052">
                  <c:v>37160</c:v>
                </c:pt>
                <c:pt idx="4053">
                  <c:v>37159</c:v>
                </c:pt>
                <c:pt idx="4054">
                  <c:v>37158</c:v>
                </c:pt>
                <c:pt idx="4055">
                  <c:v>37155</c:v>
                </c:pt>
                <c:pt idx="4056">
                  <c:v>37154</c:v>
                </c:pt>
                <c:pt idx="4057">
                  <c:v>37153</c:v>
                </c:pt>
                <c:pt idx="4058">
                  <c:v>37152</c:v>
                </c:pt>
                <c:pt idx="4059">
                  <c:v>37151</c:v>
                </c:pt>
                <c:pt idx="4060">
                  <c:v>37148</c:v>
                </c:pt>
                <c:pt idx="4061">
                  <c:v>37147</c:v>
                </c:pt>
                <c:pt idx="4062">
                  <c:v>37146</c:v>
                </c:pt>
                <c:pt idx="4063">
                  <c:v>37145</c:v>
                </c:pt>
                <c:pt idx="4064">
                  <c:v>37144</c:v>
                </c:pt>
                <c:pt idx="4065">
                  <c:v>37141</c:v>
                </c:pt>
                <c:pt idx="4066">
                  <c:v>37140</c:v>
                </c:pt>
                <c:pt idx="4067">
                  <c:v>37139</c:v>
                </c:pt>
                <c:pt idx="4068">
                  <c:v>37138</c:v>
                </c:pt>
                <c:pt idx="4069">
                  <c:v>37137</c:v>
                </c:pt>
                <c:pt idx="4070">
                  <c:v>37134</c:v>
                </c:pt>
                <c:pt idx="4071">
                  <c:v>37133</c:v>
                </c:pt>
                <c:pt idx="4072">
                  <c:v>37132</c:v>
                </c:pt>
                <c:pt idx="4073">
                  <c:v>37131</c:v>
                </c:pt>
                <c:pt idx="4074">
                  <c:v>37130</c:v>
                </c:pt>
                <c:pt idx="4075">
                  <c:v>37127</c:v>
                </c:pt>
                <c:pt idx="4076">
                  <c:v>37126</c:v>
                </c:pt>
                <c:pt idx="4077">
                  <c:v>37125</c:v>
                </c:pt>
                <c:pt idx="4078">
                  <c:v>37124</c:v>
                </c:pt>
                <c:pt idx="4079">
                  <c:v>37123</c:v>
                </c:pt>
                <c:pt idx="4080">
                  <c:v>37120</c:v>
                </c:pt>
                <c:pt idx="4081">
                  <c:v>37119</c:v>
                </c:pt>
                <c:pt idx="4082">
                  <c:v>37118</c:v>
                </c:pt>
                <c:pt idx="4083">
                  <c:v>37117</c:v>
                </c:pt>
                <c:pt idx="4084">
                  <c:v>37116</c:v>
                </c:pt>
                <c:pt idx="4085">
                  <c:v>37113</c:v>
                </c:pt>
                <c:pt idx="4086">
                  <c:v>37112</c:v>
                </c:pt>
                <c:pt idx="4087">
                  <c:v>37111</c:v>
                </c:pt>
                <c:pt idx="4088">
                  <c:v>37110</c:v>
                </c:pt>
                <c:pt idx="4089">
                  <c:v>37109</c:v>
                </c:pt>
                <c:pt idx="4090">
                  <c:v>37106</c:v>
                </c:pt>
                <c:pt idx="4091">
                  <c:v>37105</c:v>
                </c:pt>
                <c:pt idx="4092">
                  <c:v>37104</c:v>
                </c:pt>
                <c:pt idx="4093">
                  <c:v>37103</c:v>
                </c:pt>
                <c:pt idx="4094">
                  <c:v>37102</c:v>
                </c:pt>
                <c:pt idx="4095">
                  <c:v>37099</c:v>
                </c:pt>
                <c:pt idx="4096">
                  <c:v>37098</c:v>
                </c:pt>
                <c:pt idx="4097">
                  <c:v>37097</c:v>
                </c:pt>
                <c:pt idx="4098">
                  <c:v>37096</c:v>
                </c:pt>
                <c:pt idx="4099">
                  <c:v>37095</c:v>
                </c:pt>
                <c:pt idx="4100">
                  <c:v>37092</c:v>
                </c:pt>
                <c:pt idx="4101">
                  <c:v>37091</c:v>
                </c:pt>
                <c:pt idx="4102">
                  <c:v>37090</c:v>
                </c:pt>
                <c:pt idx="4103">
                  <c:v>37089</c:v>
                </c:pt>
                <c:pt idx="4104">
                  <c:v>37088</c:v>
                </c:pt>
                <c:pt idx="4105">
                  <c:v>37085</c:v>
                </c:pt>
                <c:pt idx="4106">
                  <c:v>37084</c:v>
                </c:pt>
                <c:pt idx="4107">
                  <c:v>37083</c:v>
                </c:pt>
                <c:pt idx="4108">
                  <c:v>37082</c:v>
                </c:pt>
                <c:pt idx="4109">
                  <c:v>37081</c:v>
                </c:pt>
                <c:pt idx="4110">
                  <c:v>37078</c:v>
                </c:pt>
                <c:pt idx="4111">
                  <c:v>37077</c:v>
                </c:pt>
                <c:pt idx="4112">
                  <c:v>37076</c:v>
                </c:pt>
                <c:pt idx="4113">
                  <c:v>37075</c:v>
                </c:pt>
                <c:pt idx="4114">
                  <c:v>37074</c:v>
                </c:pt>
                <c:pt idx="4115">
                  <c:v>37071</c:v>
                </c:pt>
                <c:pt idx="4116">
                  <c:v>37070</c:v>
                </c:pt>
                <c:pt idx="4117">
                  <c:v>37069</c:v>
                </c:pt>
                <c:pt idx="4118">
                  <c:v>37068</c:v>
                </c:pt>
                <c:pt idx="4119">
                  <c:v>37067</c:v>
                </c:pt>
                <c:pt idx="4120">
                  <c:v>37064</c:v>
                </c:pt>
                <c:pt idx="4121">
                  <c:v>37063</c:v>
                </c:pt>
                <c:pt idx="4122">
                  <c:v>37062</c:v>
                </c:pt>
                <c:pt idx="4123">
                  <c:v>37061</c:v>
                </c:pt>
                <c:pt idx="4124">
                  <c:v>37060</c:v>
                </c:pt>
                <c:pt idx="4125">
                  <c:v>37057</c:v>
                </c:pt>
                <c:pt idx="4126">
                  <c:v>37056</c:v>
                </c:pt>
                <c:pt idx="4127">
                  <c:v>37055</c:v>
                </c:pt>
                <c:pt idx="4128">
                  <c:v>37054</c:v>
                </c:pt>
                <c:pt idx="4129">
                  <c:v>37053</c:v>
                </c:pt>
                <c:pt idx="4130">
                  <c:v>37050</c:v>
                </c:pt>
                <c:pt idx="4131">
                  <c:v>37049</c:v>
                </c:pt>
                <c:pt idx="4132">
                  <c:v>37048</c:v>
                </c:pt>
                <c:pt idx="4133">
                  <c:v>37047</c:v>
                </c:pt>
                <c:pt idx="4134">
                  <c:v>37046</c:v>
                </c:pt>
                <c:pt idx="4135">
                  <c:v>37043</c:v>
                </c:pt>
                <c:pt idx="4136">
                  <c:v>37042</c:v>
                </c:pt>
                <c:pt idx="4137">
                  <c:v>37041</c:v>
                </c:pt>
                <c:pt idx="4138">
                  <c:v>37040</c:v>
                </c:pt>
                <c:pt idx="4139">
                  <c:v>37039</c:v>
                </c:pt>
                <c:pt idx="4140">
                  <c:v>37036</c:v>
                </c:pt>
                <c:pt idx="4141">
                  <c:v>37035</c:v>
                </c:pt>
                <c:pt idx="4142">
                  <c:v>37034</c:v>
                </c:pt>
                <c:pt idx="4143">
                  <c:v>37033</c:v>
                </c:pt>
                <c:pt idx="4144">
                  <c:v>37032</c:v>
                </c:pt>
                <c:pt idx="4145">
                  <c:v>37029</c:v>
                </c:pt>
                <c:pt idx="4146">
                  <c:v>37028</c:v>
                </c:pt>
                <c:pt idx="4147">
                  <c:v>37027</c:v>
                </c:pt>
                <c:pt idx="4148">
                  <c:v>37026</c:v>
                </c:pt>
                <c:pt idx="4149">
                  <c:v>37025</c:v>
                </c:pt>
                <c:pt idx="4150">
                  <c:v>37022</c:v>
                </c:pt>
                <c:pt idx="4151">
                  <c:v>37021</c:v>
                </c:pt>
                <c:pt idx="4152">
                  <c:v>37020</c:v>
                </c:pt>
                <c:pt idx="4153">
                  <c:v>37019</c:v>
                </c:pt>
                <c:pt idx="4154">
                  <c:v>37018</c:v>
                </c:pt>
                <c:pt idx="4155">
                  <c:v>37015</c:v>
                </c:pt>
                <c:pt idx="4156">
                  <c:v>37014</c:v>
                </c:pt>
                <c:pt idx="4157">
                  <c:v>37013</c:v>
                </c:pt>
                <c:pt idx="4158">
                  <c:v>37012</c:v>
                </c:pt>
                <c:pt idx="4159">
                  <c:v>37011</c:v>
                </c:pt>
                <c:pt idx="4160">
                  <c:v>37008</c:v>
                </c:pt>
                <c:pt idx="4161">
                  <c:v>37007</c:v>
                </c:pt>
                <c:pt idx="4162">
                  <c:v>37006</c:v>
                </c:pt>
                <c:pt idx="4163">
                  <c:v>37005</c:v>
                </c:pt>
                <c:pt idx="4164">
                  <c:v>37004</c:v>
                </c:pt>
                <c:pt idx="4165">
                  <c:v>37001</c:v>
                </c:pt>
                <c:pt idx="4166">
                  <c:v>37000</c:v>
                </c:pt>
                <c:pt idx="4167">
                  <c:v>36999</c:v>
                </c:pt>
                <c:pt idx="4168">
                  <c:v>36998</c:v>
                </c:pt>
                <c:pt idx="4169">
                  <c:v>36997</c:v>
                </c:pt>
                <c:pt idx="4170">
                  <c:v>36994</c:v>
                </c:pt>
                <c:pt idx="4171">
                  <c:v>36993</c:v>
                </c:pt>
                <c:pt idx="4172">
                  <c:v>36992</c:v>
                </c:pt>
                <c:pt idx="4173">
                  <c:v>36991</c:v>
                </c:pt>
                <c:pt idx="4174">
                  <c:v>36990</c:v>
                </c:pt>
                <c:pt idx="4175">
                  <c:v>36987</c:v>
                </c:pt>
                <c:pt idx="4176">
                  <c:v>36986</c:v>
                </c:pt>
                <c:pt idx="4177">
                  <c:v>36985</c:v>
                </c:pt>
                <c:pt idx="4178">
                  <c:v>36984</c:v>
                </c:pt>
                <c:pt idx="4179">
                  <c:v>36983</c:v>
                </c:pt>
                <c:pt idx="4180">
                  <c:v>36980</c:v>
                </c:pt>
                <c:pt idx="4181">
                  <c:v>36979</c:v>
                </c:pt>
                <c:pt idx="4182">
                  <c:v>36978</c:v>
                </c:pt>
                <c:pt idx="4183">
                  <c:v>36977</c:v>
                </c:pt>
                <c:pt idx="4184">
                  <c:v>36976</c:v>
                </c:pt>
                <c:pt idx="4185">
                  <c:v>36973</c:v>
                </c:pt>
                <c:pt idx="4186">
                  <c:v>36972</c:v>
                </c:pt>
                <c:pt idx="4187">
                  <c:v>36971</c:v>
                </c:pt>
                <c:pt idx="4188">
                  <c:v>36970</c:v>
                </c:pt>
                <c:pt idx="4189">
                  <c:v>36969</c:v>
                </c:pt>
                <c:pt idx="4190">
                  <c:v>36966</c:v>
                </c:pt>
                <c:pt idx="4191">
                  <c:v>36965</c:v>
                </c:pt>
                <c:pt idx="4192">
                  <c:v>36964</c:v>
                </c:pt>
                <c:pt idx="4193">
                  <c:v>36963</c:v>
                </c:pt>
                <c:pt idx="4194">
                  <c:v>36962</c:v>
                </c:pt>
                <c:pt idx="4195">
                  <c:v>36959</c:v>
                </c:pt>
                <c:pt idx="4196">
                  <c:v>36958</c:v>
                </c:pt>
                <c:pt idx="4197">
                  <c:v>36957</c:v>
                </c:pt>
                <c:pt idx="4198">
                  <c:v>36956</c:v>
                </c:pt>
                <c:pt idx="4199">
                  <c:v>36955</c:v>
                </c:pt>
                <c:pt idx="4200">
                  <c:v>36952</c:v>
                </c:pt>
                <c:pt idx="4201">
                  <c:v>36951</c:v>
                </c:pt>
                <c:pt idx="4202">
                  <c:v>36950</c:v>
                </c:pt>
                <c:pt idx="4203">
                  <c:v>36949</c:v>
                </c:pt>
                <c:pt idx="4204">
                  <c:v>36948</c:v>
                </c:pt>
                <c:pt idx="4205">
                  <c:v>36945</c:v>
                </c:pt>
                <c:pt idx="4206">
                  <c:v>36944</c:v>
                </c:pt>
                <c:pt idx="4207">
                  <c:v>36943</c:v>
                </c:pt>
                <c:pt idx="4208">
                  <c:v>36942</c:v>
                </c:pt>
                <c:pt idx="4209">
                  <c:v>36941</c:v>
                </c:pt>
                <c:pt idx="4210">
                  <c:v>36938</c:v>
                </c:pt>
                <c:pt idx="4211">
                  <c:v>36937</c:v>
                </c:pt>
                <c:pt idx="4212">
                  <c:v>36936</c:v>
                </c:pt>
                <c:pt idx="4213">
                  <c:v>36935</c:v>
                </c:pt>
                <c:pt idx="4214">
                  <c:v>36934</c:v>
                </c:pt>
                <c:pt idx="4215">
                  <c:v>36931</c:v>
                </c:pt>
                <c:pt idx="4216">
                  <c:v>36930</c:v>
                </c:pt>
                <c:pt idx="4217">
                  <c:v>36929</c:v>
                </c:pt>
                <c:pt idx="4218">
                  <c:v>36928</c:v>
                </c:pt>
                <c:pt idx="4219">
                  <c:v>36927</c:v>
                </c:pt>
                <c:pt idx="4220">
                  <c:v>36924</c:v>
                </c:pt>
                <c:pt idx="4221">
                  <c:v>36923</c:v>
                </c:pt>
                <c:pt idx="4222">
                  <c:v>36922</c:v>
                </c:pt>
                <c:pt idx="4223">
                  <c:v>36921</c:v>
                </c:pt>
                <c:pt idx="4224">
                  <c:v>36920</c:v>
                </c:pt>
                <c:pt idx="4225">
                  <c:v>36917</c:v>
                </c:pt>
                <c:pt idx="4226">
                  <c:v>36916</c:v>
                </c:pt>
                <c:pt idx="4227">
                  <c:v>36915</c:v>
                </c:pt>
                <c:pt idx="4228">
                  <c:v>36914</c:v>
                </c:pt>
                <c:pt idx="4229">
                  <c:v>36913</c:v>
                </c:pt>
                <c:pt idx="4230">
                  <c:v>36910</c:v>
                </c:pt>
                <c:pt idx="4231">
                  <c:v>36909</c:v>
                </c:pt>
                <c:pt idx="4232">
                  <c:v>36908</c:v>
                </c:pt>
                <c:pt idx="4233">
                  <c:v>36907</c:v>
                </c:pt>
                <c:pt idx="4234">
                  <c:v>36906</c:v>
                </c:pt>
                <c:pt idx="4235">
                  <c:v>36903</c:v>
                </c:pt>
                <c:pt idx="4236">
                  <c:v>36902</c:v>
                </c:pt>
                <c:pt idx="4237">
                  <c:v>36901</c:v>
                </c:pt>
                <c:pt idx="4238">
                  <c:v>36900</c:v>
                </c:pt>
                <c:pt idx="4239">
                  <c:v>36899</c:v>
                </c:pt>
                <c:pt idx="4240">
                  <c:v>36896</c:v>
                </c:pt>
                <c:pt idx="4241">
                  <c:v>36895</c:v>
                </c:pt>
                <c:pt idx="4242">
                  <c:v>36894</c:v>
                </c:pt>
                <c:pt idx="4243">
                  <c:v>36893</c:v>
                </c:pt>
                <c:pt idx="4244">
                  <c:v>36892</c:v>
                </c:pt>
                <c:pt idx="4245">
                  <c:v>36889</c:v>
                </c:pt>
                <c:pt idx="4246">
                  <c:v>36888</c:v>
                </c:pt>
                <c:pt idx="4247">
                  <c:v>36887</c:v>
                </c:pt>
                <c:pt idx="4248">
                  <c:v>36886</c:v>
                </c:pt>
                <c:pt idx="4249">
                  <c:v>36885</c:v>
                </c:pt>
                <c:pt idx="4250">
                  <c:v>36882</c:v>
                </c:pt>
                <c:pt idx="4251">
                  <c:v>36881</c:v>
                </c:pt>
                <c:pt idx="4252">
                  <c:v>36880</c:v>
                </c:pt>
                <c:pt idx="4253">
                  <c:v>36879</c:v>
                </c:pt>
                <c:pt idx="4254">
                  <c:v>36878</c:v>
                </c:pt>
                <c:pt idx="4255">
                  <c:v>36875</c:v>
                </c:pt>
                <c:pt idx="4256">
                  <c:v>36874</c:v>
                </c:pt>
                <c:pt idx="4257">
                  <c:v>36873</c:v>
                </c:pt>
                <c:pt idx="4258">
                  <c:v>36872</c:v>
                </c:pt>
                <c:pt idx="4259">
                  <c:v>36871</c:v>
                </c:pt>
                <c:pt idx="4260">
                  <c:v>36868</c:v>
                </c:pt>
                <c:pt idx="4261">
                  <c:v>36867</c:v>
                </c:pt>
                <c:pt idx="4262">
                  <c:v>36866</c:v>
                </c:pt>
                <c:pt idx="4263">
                  <c:v>36865</c:v>
                </c:pt>
                <c:pt idx="4264">
                  <c:v>36864</c:v>
                </c:pt>
                <c:pt idx="4265">
                  <c:v>36861</c:v>
                </c:pt>
                <c:pt idx="4266">
                  <c:v>36860</c:v>
                </c:pt>
                <c:pt idx="4267">
                  <c:v>36859</c:v>
                </c:pt>
                <c:pt idx="4268">
                  <c:v>36858</c:v>
                </c:pt>
                <c:pt idx="4269">
                  <c:v>36857</c:v>
                </c:pt>
                <c:pt idx="4270">
                  <c:v>36854</c:v>
                </c:pt>
                <c:pt idx="4271">
                  <c:v>36853</c:v>
                </c:pt>
                <c:pt idx="4272">
                  <c:v>36852</c:v>
                </c:pt>
                <c:pt idx="4273">
                  <c:v>36851</c:v>
                </c:pt>
                <c:pt idx="4274">
                  <c:v>36850</c:v>
                </c:pt>
                <c:pt idx="4275">
                  <c:v>36847</c:v>
                </c:pt>
                <c:pt idx="4276">
                  <c:v>36846</c:v>
                </c:pt>
                <c:pt idx="4277">
                  <c:v>36845</c:v>
                </c:pt>
                <c:pt idx="4278">
                  <c:v>36844</c:v>
                </c:pt>
                <c:pt idx="4279">
                  <c:v>36843</c:v>
                </c:pt>
                <c:pt idx="4280">
                  <c:v>36840</c:v>
                </c:pt>
                <c:pt idx="4281">
                  <c:v>36839</c:v>
                </c:pt>
                <c:pt idx="4282">
                  <c:v>36838</c:v>
                </c:pt>
                <c:pt idx="4283">
                  <c:v>36837</c:v>
                </c:pt>
                <c:pt idx="4284">
                  <c:v>36836</c:v>
                </c:pt>
                <c:pt idx="4285">
                  <c:v>36833</c:v>
                </c:pt>
                <c:pt idx="4286">
                  <c:v>36832</c:v>
                </c:pt>
                <c:pt idx="4287">
                  <c:v>36831</c:v>
                </c:pt>
                <c:pt idx="4288">
                  <c:v>36830</c:v>
                </c:pt>
                <c:pt idx="4289">
                  <c:v>36829</c:v>
                </c:pt>
                <c:pt idx="4290">
                  <c:v>36826</c:v>
                </c:pt>
                <c:pt idx="4291">
                  <c:v>36825</c:v>
                </c:pt>
                <c:pt idx="4292">
                  <c:v>36824</c:v>
                </c:pt>
                <c:pt idx="4293">
                  <c:v>36823</c:v>
                </c:pt>
                <c:pt idx="4294">
                  <c:v>36822</c:v>
                </c:pt>
                <c:pt idx="4295">
                  <c:v>36819</c:v>
                </c:pt>
                <c:pt idx="4296">
                  <c:v>36818</c:v>
                </c:pt>
                <c:pt idx="4297">
                  <c:v>36817</c:v>
                </c:pt>
                <c:pt idx="4298">
                  <c:v>36816</c:v>
                </c:pt>
                <c:pt idx="4299">
                  <c:v>36815</c:v>
                </c:pt>
                <c:pt idx="4300">
                  <c:v>36812</c:v>
                </c:pt>
                <c:pt idx="4301">
                  <c:v>36811</c:v>
                </c:pt>
                <c:pt idx="4302">
                  <c:v>36810</c:v>
                </c:pt>
                <c:pt idx="4303">
                  <c:v>36809</c:v>
                </c:pt>
                <c:pt idx="4304">
                  <c:v>36808</c:v>
                </c:pt>
                <c:pt idx="4305">
                  <c:v>36805</c:v>
                </c:pt>
                <c:pt idx="4306">
                  <c:v>36804</c:v>
                </c:pt>
                <c:pt idx="4307">
                  <c:v>36803</c:v>
                </c:pt>
                <c:pt idx="4308">
                  <c:v>36802</c:v>
                </c:pt>
                <c:pt idx="4309">
                  <c:v>36801</c:v>
                </c:pt>
                <c:pt idx="4310">
                  <c:v>36798</c:v>
                </c:pt>
                <c:pt idx="4311">
                  <c:v>36797</c:v>
                </c:pt>
                <c:pt idx="4312">
                  <c:v>36796</c:v>
                </c:pt>
                <c:pt idx="4313">
                  <c:v>36795</c:v>
                </c:pt>
                <c:pt idx="4314">
                  <c:v>36794</c:v>
                </c:pt>
                <c:pt idx="4315">
                  <c:v>36791</c:v>
                </c:pt>
                <c:pt idx="4316">
                  <c:v>36790</c:v>
                </c:pt>
                <c:pt idx="4317">
                  <c:v>36789</c:v>
                </c:pt>
                <c:pt idx="4318">
                  <c:v>36788</c:v>
                </c:pt>
                <c:pt idx="4319">
                  <c:v>36787</c:v>
                </c:pt>
                <c:pt idx="4320">
                  <c:v>36784</c:v>
                </c:pt>
                <c:pt idx="4321">
                  <c:v>36783</c:v>
                </c:pt>
                <c:pt idx="4322">
                  <c:v>36782</c:v>
                </c:pt>
                <c:pt idx="4323">
                  <c:v>36781</c:v>
                </c:pt>
                <c:pt idx="4324">
                  <c:v>36780</c:v>
                </c:pt>
                <c:pt idx="4325">
                  <c:v>36777</c:v>
                </c:pt>
                <c:pt idx="4326">
                  <c:v>36776</c:v>
                </c:pt>
                <c:pt idx="4327">
                  <c:v>36775</c:v>
                </c:pt>
                <c:pt idx="4328">
                  <c:v>36774</c:v>
                </c:pt>
                <c:pt idx="4329">
                  <c:v>36773</c:v>
                </c:pt>
                <c:pt idx="4330">
                  <c:v>36770</c:v>
                </c:pt>
                <c:pt idx="4331">
                  <c:v>36769</c:v>
                </c:pt>
                <c:pt idx="4332">
                  <c:v>36768</c:v>
                </c:pt>
                <c:pt idx="4333">
                  <c:v>36767</c:v>
                </c:pt>
                <c:pt idx="4334">
                  <c:v>36766</c:v>
                </c:pt>
                <c:pt idx="4335">
                  <c:v>36763</c:v>
                </c:pt>
                <c:pt idx="4336">
                  <c:v>36762</c:v>
                </c:pt>
                <c:pt idx="4337">
                  <c:v>36761</c:v>
                </c:pt>
                <c:pt idx="4338">
                  <c:v>36760</c:v>
                </c:pt>
                <c:pt idx="4339">
                  <c:v>36759</c:v>
                </c:pt>
                <c:pt idx="4340">
                  <c:v>36756</c:v>
                </c:pt>
                <c:pt idx="4341">
                  <c:v>36755</c:v>
                </c:pt>
                <c:pt idx="4342">
                  <c:v>36754</c:v>
                </c:pt>
                <c:pt idx="4343">
                  <c:v>36753</c:v>
                </c:pt>
                <c:pt idx="4344">
                  <c:v>36752</c:v>
                </c:pt>
                <c:pt idx="4345">
                  <c:v>36749</c:v>
                </c:pt>
                <c:pt idx="4346">
                  <c:v>36748</c:v>
                </c:pt>
                <c:pt idx="4347">
                  <c:v>36747</c:v>
                </c:pt>
                <c:pt idx="4348">
                  <c:v>36746</c:v>
                </c:pt>
                <c:pt idx="4349">
                  <c:v>36745</c:v>
                </c:pt>
                <c:pt idx="4350">
                  <c:v>36742</c:v>
                </c:pt>
                <c:pt idx="4351">
                  <c:v>36741</c:v>
                </c:pt>
                <c:pt idx="4352">
                  <c:v>36740</c:v>
                </c:pt>
                <c:pt idx="4353">
                  <c:v>36739</c:v>
                </c:pt>
                <c:pt idx="4354">
                  <c:v>36738</c:v>
                </c:pt>
                <c:pt idx="4355">
                  <c:v>36735</c:v>
                </c:pt>
                <c:pt idx="4356">
                  <c:v>36734</c:v>
                </c:pt>
                <c:pt idx="4357">
                  <c:v>36733</c:v>
                </c:pt>
                <c:pt idx="4358">
                  <c:v>36732</c:v>
                </c:pt>
                <c:pt idx="4359">
                  <c:v>36731</c:v>
                </c:pt>
                <c:pt idx="4360">
                  <c:v>36728</c:v>
                </c:pt>
                <c:pt idx="4361">
                  <c:v>36727</c:v>
                </c:pt>
                <c:pt idx="4362">
                  <c:v>36726</c:v>
                </c:pt>
                <c:pt idx="4363">
                  <c:v>36725</c:v>
                </c:pt>
                <c:pt idx="4364">
                  <c:v>36724</c:v>
                </c:pt>
                <c:pt idx="4365">
                  <c:v>36721</c:v>
                </c:pt>
                <c:pt idx="4366">
                  <c:v>36720</c:v>
                </c:pt>
                <c:pt idx="4367">
                  <c:v>36719</c:v>
                </c:pt>
                <c:pt idx="4368">
                  <c:v>36718</c:v>
                </c:pt>
                <c:pt idx="4369">
                  <c:v>36717</c:v>
                </c:pt>
                <c:pt idx="4370">
                  <c:v>36714</c:v>
                </c:pt>
                <c:pt idx="4371">
                  <c:v>36713</c:v>
                </c:pt>
                <c:pt idx="4372">
                  <c:v>36712</c:v>
                </c:pt>
                <c:pt idx="4373">
                  <c:v>36711</c:v>
                </c:pt>
                <c:pt idx="4374">
                  <c:v>36710</c:v>
                </c:pt>
                <c:pt idx="4375">
                  <c:v>36707</c:v>
                </c:pt>
                <c:pt idx="4376">
                  <c:v>36706</c:v>
                </c:pt>
                <c:pt idx="4377">
                  <c:v>36705</c:v>
                </c:pt>
                <c:pt idx="4378">
                  <c:v>36704</c:v>
                </c:pt>
                <c:pt idx="4379">
                  <c:v>36703</c:v>
                </c:pt>
                <c:pt idx="4380">
                  <c:v>36700</c:v>
                </c:pt>
                <c:pt idx="4381">
                  <c:v>36699</c:v>
                </c:pt>
                <c:pt idx="4382">
                  <c:v>36698</c:v>
                </c:pt>
                <c:pt idx="4383">
                  <c:v>36697</c:v>
                </c:pt>
                <c:pt idx="4384">
                  <c:v>36696</c:v>
                </c:pt>
                <c:pt idx="4385">
                  <c:v>36693</c:v>
                </c:pt>
                <c:pt idx="4386">
                  <c:v>36692</c:v>
                </c:pt>
                <c:pt idx="4387">
                  <c:v>36691</c:v>
                </c:pt>
                <c:pt idx="4388">
                  <c:v>36690</c:v>
                </c:pt>
                <c:pt idx="4389">
                  <c:v>36689</c:v>
                </c:pt>
                <c:pt idx="4390">
                  <c:v>36686</c:v>
                </c:pt>
                <c:pt idx="4391">
                  <c:v>36685</c:v>
                </c:pt>
                <c:pt idx="4392">
                  <c:v>36684</c:v>
                </c:pt>
                <c:pt idx="4393">
                  <c:v>36683</c:v>
                </c:pt>
                <c:pt idx="4394">
                  <c:v>36682</c:v>
                </c:pt>
                <c:pt idx="4395">
                  <c:v>36679</c:v>
                </c:pt>
                <c:pt idx="4396">
                  <c:v>36678</c:v>
                </c:pt>
                <c:pt idx="4397">
                  <c:v>36677</c:v>
                </c:pt>
                <c:pt idx="4398">
                  <c:v>36676</c:v>
                </c:pt>
                <c:pt idx="4399">
                  <c:v>36675</c:v>
                </c:pt>
                <c:pt idx="4400">
                  <c:v>36672</c:v>
                </c:pt>
                <c:pt idx="4401">
                  <c:v>36671</c:v>
                </c:pt>
                <c:pt idx="4402">
                  <c:v>36670</c:v>
                </c:pt>
                <c:pt idx="4403">
                  <c:v>36669</c:v>
                </c:pt>
                <c:pt idx="4404">
                  <c:v>36668</c:v>
                </c:pt>
                <c:pt idx="4405">
                  <c:v>36665</c:v>
                </c:pt>
                <c:pt idx="4406">
                  <c:v>36664</c:v>
                </c:pt>
                <c:pt idx="4407">
                  <c:v>36663</c:v>
                </c:pt>
                <c:pt idx="4408">
                  <c:v>36662</c:v>
                </c:pt>
                <c:pt idx="4409">
                  <c:v>36661</c:v>
                </c:pt>
                <c:pt idx="4410">
                  <c:v>36658</c:v>
                </c:pt>
                <c:pt idx="4411">
                  <c:v>36657</c:v>
                </c:pt>
                <c:pt idx="4412">
                  <c:v>36656</c:v>
                </c:pt>
                <c:pt idx="4413">
                  <c:v>36655</c:v>
                </c:pt>
                <c:pt idx="4414">
                  <c:v>36654</c:v>
                </c:pt>
                <c:pt idx="4415">
                  <c:v>36651</c:v>
                </c:pt>
                <c:pt idx="4416">
                  <c:v>36650</c:v>
                </c:pt>
                <c:pt idx="4417">
                  <c:v>36649</c:v>
                </c:pt>
                <c:pt idx="4418">
                  <c:v>36648</c:v>
                </c:pt>
                <c:pt idx="4419">
                  <c:v>36647</c:v>
                </c:pt>
                <c:pt idx="4420">
                  <c:v>36644</c:v>
                </c:pt>
                <c:pt idx="4421">
                  <c:v>36643</c:v>
                </c:pt>
                <c:pt idx="4422">
                  <c:v>36642</c:v>
                </c:pt>
                <c:pt idx="4423">
                  <c:v>36641</c:v>
                </c:pt>
                <c:pt idx="4424">
                  <c:v>36640</c:v>
                </c:pt>
                <c:pt idx="4425">
                  <c:v>36637</c:v>
                </c:pt>
                <c:pt idx="4426">
                  <c:v>36636</c:v>
                </c:pt>
                <c:pt idx="4427">
                  <c:v>36635</c:v>
                </c:pt>
                <c:pt idx="4428">
                  <c:v>36634</c:v>
                </c:pt>
                <c:pt idx="4429">
                  <c:v>36633</c:v>
                </c:pt>
                <c:pt idx="4430">
                  <c:v>36630</c:v>
                </c:pt>
                <c:pt idx="4431">
                  <c:v>36629</c:v>
                </c:pt>
                <c:pt idx="4432">
                  <c:v>36628</c:v>
                </c:pt>
                <c:pt idx="4433">
                  <c:v>36627</c:v>
                </c:pt>
                <c:pt idx="4434">
                  <c:v>36626</c:v>
                </c:pt>
                <c:pt idx="4435">
                  <c:v>36623</c:v>
                </c:pt>
                <c:pt idx="4436">
                  <c:v>36622</c:v>
                </c:pt>
                <c:pt idx="4437">
                  <c:v>36621</c:v>
                </c:pt>
                <c:pt idx="4438">
                  <c:v>36620</c:v>
                </c:pt>
                <c:pt idx="4439">
                  <c:v>36619</c:v>
                </c:pt>
                <c:pt idx="4440">
                  <c:v>36616</c:v>
                </c:pt>
                <c:pt idx="4441">
                  <c:v>36615</c:v>
                </c:pt>
                <c:pt idx="4442">
                  <c:v>36614</c:v>
                </c:pt>
                <c:pt idx="4443">
                  <c:v>36613</c:v>
                </c:pt>
                <c:pt idx="4444">
                  <c:v>36612</c:v>
                </c:pt>
                <c:pt idx="4445">
                  <c:v>36609</c:v>
                </c:pt>
                <c:pt idx="4446">
                  <c:v>36608</c:v>
                </c:pt>
                <c:pt idx="4447">
                  <c:v>36607</c:v>
                </c:pt>
                <c:pt idx="4448">
                  <c:v>36606</c:v>
                </c:pt>
                <c:pt idx="4449">
                  <c:v>36605</c:v>
                </c:pt>
                <c:pt idx="4450">
                  <c:v>36602</c:v>
                </c:pt>
                <c:pt idx="4451">
                  <c:v>36601</c:v>
                </c:pt>
                <c:pt idx="4452">
                  <c:v>36600</c:v>
                </c:pt>
                <c:pt idx="4453">
                  <c:v>36599</c:v>
                </c:pt>
                <c:pt idx="4454">
                  <c:v>36598</c:v>
                </c:pt>
                <c:pt idx="4455">
                  <c:v>36595</c:v>
                </c:pt>
                <c:pt idx="4456">
                  <c:v>36594</c:v>
                </c:pt>
                <c:pt idx="4457">
                  <c:v>36593</c:v>
                </c:pt>
                <c:pt idx="4458">
                  <c:v>36592</c:v>
                </c:pt>
                <c:pt idx="4459">
                  <c:v>36591</c:v>
                </c:pt>
                <c:pt idx="4460">
                  <c:v>36588</c:v>
                </c:pt>
                <c:pt idx="4461">
                  <c:v>36587</c:v>
                </c:pt>
                <c:pt idx="4462">
                  <c:v>36586</c:v>
                </c:pt>
                <c:pt idx="4463">
                  <c:v>36585</c:v>
                </c:pt>
                <c:pt idx="4464">
                  <c:v>36584</c:v>
                </c:pt>
                <c:pt idx="4465">
                  <c:v>36581</c:v>
                </c:pt>
                <c:pt idx="4466">
                  <c:v>36580</c:v>
                </c:pt>
                <c:pt idx="4467">
                  <c:v>36579</c:v>
                </c:pt>
                <c:pt idx="4468">
                  <c:v>36578</c:v>
                </c:pt>
                <c:pt idx="4469">
                  <c:v>36577</c:v>
                </c:pt>
                <c:pt idx="4470">
                  <c:v>36574</c:v>
                </c:pt>
                <c:pt idx="4471">
                  <c:v>36573</c:v>
                </c:pt>
                <c:pt idx="4472">
                  <c:v>36572</c:v>
                </c:pt>
                <c:pt idx="4473">
                  <c:v>36571</c:v>
                </c:pt>
                <c:pt idx="4474">
                  <c:v>36570</c:v>
                </c:pt>
                <c:pt idx="4475">
                  <c:v>36567</c:v>
                </c:pt>
                <c:pt idx="4476">
                  <c:v>36566</c:v>
                </c:pt>
                <c:pt idx="4477">
                  <c:v>36565</c:v>
                </c:pt>
                <c:pt idx="4478">
                  <c:v>36564</c:v>
                </c:pt>
                <c:pt idx="4479">
                  <c:v>36563</c:v>
                </c:pt>
                <c:pt idx="4480">
                  <c:v>36560</c:v>
                </c:pt>
                <c:pt idx="4481">
                  <c:v>36559</c:v>
                </c:pt>
                <c:pt idx="4482">
                  <c:v>36558</c:v>
                </c:pt>
                <c:pt idx="4483">
                  <c:v>36557</c:v>
                </c:pt>
                <c:pt idx="4484">
                  <c:v>36556</c:v>
                </c:pt>
                <c:pt idx="4485">
                  <c:v>36553</c:v>
                </c:pt>
                <c:pt idx="4486">
                  <c:v>36552</c:v>
                </c:pt>
                <c:pt idx="4487">
                  <c:v>36551</c:v>
                </c:pt>
                <c:pt idx="4488">
                  <c:v>36550</c:v>
                </c:pt>
                <c:pt idx="4489">
                  <c:v>36549</c:v>
                </c:pt>
                <c:pt idx="4490">
                  <c:v>36546</c:v>
                </c:pt>
                <c:pt idx="4491">
                  <c:v>36545</c:v>
                </c:pt>
                <c:pt idx="4492">
                  <c:v>36544</c:v>
                </c:pt>
                <c:pt idx="4493">
                  <c:v>36543</c:v>
                </c:pt>
                <c:pt idx="4494">
                  <c:v>36542</c:v>
                </c:pt>
                <c:pt idx="4495">
                  <c:v>36539</c:v>
                </c:pt>
                <c:pt idx="4496">
                  <c:v>36538</c:v>
                </c:pt>
                <c:pt idx="4497">
                  <c:v>36537</c:v>
                </c:pt>
                <c:pt idx="4498">
                  <c:v>36536</c:v>
                </c:pt>
                <c:pt idx="4499">
                  <c:v>36535</c:v>
                </c:pt>
                <c:pt idx="4500">
                  <c:v>36532</c:v>
                </c:pt>
                <c:pt idx="4501">
                  <c:v>36531</c:v>
                </c:pt>
                <c:pt idx="4502">
                  <c:v>36530</c:v>
                </c:pt>
                <c:pt idx="4503">
                  <c:v>36529</c:v>
                </c:pt>
                <c:pt idx="4504">
                  <c:v>36528</c:v>
                </c:pt>
                <c:pt idx="4505">
                  <c:v>36525</c:v>
                </c:pt>
                <c:pt idx="4506">
                  <c:v>36524</c:v>
                </c:pt>
                <c:pt idx="4507">
                  <c:v>36523</c:v>
                </c:pt>
                <c:pt idx="4508">
                  <c:v>36522</c:v>
                </c:pt>
                <c:pt idx="4509">
                  <c:v>36521</c:v>
                </c:pt>
                <c:pt idx="4510">
                  <c:v>36518</c:v>
                </c:pt>
                <c:pt idx="4511">
                  <c:v>36517</c:v>
                </c:pt>
                <c:pt idx="4512">
                  <c:v>36516</c:v>
                </c:pt>
                <c:pt idx="4513">
                  <c:v>36515</c:v>
                </c:pt>
                <c:pt idx="4514">
                  <c:v>36514</c:v>
                </c:pt>
                <c:pt idx="4515">
                  <c:v>36511</c:v>
                </c:pt>
                <c:pt idx="4516">
                  <c:v>36510</c:v>
                </c:pt>
                <c:pt idx="4517">
                  <c:v>36509</c:v>
                </c:pt>
                <c:pt idx="4518">
                  <c:v>36508</c:v>
                </c:pt>
                <c:pt idx="4519">
                  <c:v>36507</c:v>
                </c:pt>
                <c:pt idx="4520">
                  <c:v>36504</c:v>
                </c:pt>
                <c:pt idx="4521">
                  <c:v>36503</c:v>
                </c:pt>
                <c:pt idx="4522">
                  <c:v>36502</c:v>
                </c:pt>
                <c:pt idx="4523">
                  <c:v>36501</c:v>
                </c:pt>
                <c:pt idx="4524">
                  <c:v>36500</c:v>
                </c:pt>
                <c:pt idx="4525">
                  <c:v>36497</c:v>
                </c:pt>
                <c:pt idx="4526">
                  <c:v>36496</c:v>
                </c:pt>
                <c:pt idx="4527">
                  <c:v>36495</c:v>
                </c:pt>
                <c:pt idx="4528">
                  <c:v>36494</c:v>
                </c:pt>
                <c:pt idx="4529">
                  <c:v>36493</c:v>
                </c:pt>
                <c:pt idx="4530">
                  <c:v>36490</c:v>
                </c:pt>
                <c:pt idx="4531">
                  <c:v>36489</c:v>
                </c:pt>
                <c:pt idx="4532">
                  <c:v>36488</c:v>
                </c:pt>
                <c:pt idx="4533">
                  <c:v>36487</c:v>
                </c:pt>
                <c:pt idx="4534">
                  <c:v>36486</c:v>
                </c:pt>
                <c:pt idx="4535">
                  <c:v>36483</c:v>
                </c:pt>
                <c:pt idx="4536">
                  <c:v>36482</c:v>
                </c:pt>
                <c:pt idx="4537">
                  <c:v>36481</c:v>
                </c:pt>
                <c:pt idx="4538">
                  <c:v>36480</c:v>
                </c:pt>
                <c:pt idx="4539">
                  <c:v>36479</c:v>
                </c:pt>
                <c:pt idx="4540">
                  <c:v>36476</c:v>
                </c:pt>
                <c:pt idx="4541">
                  <c:v>36475</c:v>
                </c:pt>
                <c:pt idx="4542">
                  <c:v>36474</c:v>
                </c:pt>
                <c:pt idx="4543">
                  <c:v>36473</c:v>
                </c:pt>
                <c:pt idx="4544">
                  <c:v>36472</c:v>
                </c:pt>
                <c:pt idx="4545">
                  <c:v>36469</c:v>
                </c:pt>
                <c:pt idx="4546">
                  <c:v>36468</c:v>
                </c:pt>
                <c:pt idx="4547">
                  <c:v>36467</c:v>
                </c:pt>
                <c:pt idx="4548">
                  <c:v>36466</c:v>
                </c:pt>
                <c:pt idx="4549">
                  <c:v>36465</c:v>
                </c:pt>
                <c:pt idx="4550">
                  <c:v>36462</c:v>
                </c:pt>
                <c:pt idx="4551">
                  <c:v>36461</c:v>
                </c:pt>
                <c:pt idx="4552">
                  <c:v>36460</c:v>
                </c:pt>
                <c:pt idx="4553">
                  <c:v>36459</c:v>
                </c:pt>
                <c:pt idx="4554">
                  <c:v>36458</c:v>
                </c:pt>
                <c:pt idx="4555">
                  <c:v>36455</c:v>
                </c:pt>
                <c:pt idx="4556">
                  <c:v>36454</c:v>
                </c:pt>
                <c:pt idx="4557">
                  <c:v>36453</c:v>
                </c:pt>
                <c:pt idx="4558">
                  <c:v>36452</c:v>
                </c:pt>
                <c:pt idx="4559">
                  <c:v>36451</c:v>
                </c:pt>
                <c:pt idx="4560">
                  <c:v>36448</c:v>
                </c:pt>
                <c:pt idx="4561">
                  <c:v>36447</c:v>
                </c:pt>
                <c:pt idx="4562">
                  <c:v>36446</c:v>
                </c:pt>
                <c:pt idx="4563">
                  <c:v>36445</c:v>
                </c:pt>
                <c:pt idx="4564">
                  <c:v>36444</c:v>
                </c:pt>
                <c:pt idx="4565">
                  <c:v>36441</c:v>
                </c:pt>
                <c:pt idx="4566">
                  <c:v>36440</c:v>
                </c:pt>
                <c:pt idx="4567">
                  <c:v>36439</c:v>
                </c:pt>
                <c:pt idx="4568">
                  <c:v>36438</c:v>
                </c:pt>
                <c:pt idx="4569">
                  <c:v>36437</c:v>
                </c:pt>
                <c:pt idx="4570">
                  <c:v>36434</c:v>
                </c:pt>
                <c:pt idx="4571">
                  <c:v>36433</c:v>
                </c:pt>
                <c:pt idx="4572">
                  <c:v>36432</c:v>
                </c:pt>
                <c:pt idx="4573">
                  <c:v>36431</c:v>
                </c:pt>
                <c:pt idx="4574">
                  <c:v>36430</c:v>
                </c:pt>
                <c:pt idx="4575">
                  <c:v>36427</c:v>
                </c:pt>
                <c:pt idx="4576">
                  <c:v>36426</c:v>
                </c:pt>
                <c:pt idx="4577">
                  <c:v>36425</c:v>
                </c:pt>
                <c:pt idx="4578">
                  <c:v>36424</c:v>
                </c:pt>
                <c:pt idx="4579">
                  <c:v>36423</c:v>
                </c:pt>
                <c:pt idx="4580">
                  <c:v>36420</c:v>
                </c:pt>
                <c:pt idx="4581">
                  <c:v>36419</c:v>
                </c:pt>
                <c:pt idx="4582">
                  <c:v>36418</c:v>
                </c:pt>
                <c:pt idx="4583">
                  <c:v>36417</c:v>
                </c:pt>
                <c:pt idx="4584">
                  <c:v>36416</c:v>
                </c:pt>
                <c:pt idx="4585">
                  <c:v>36413</c:v>
                </c:pt>
                <c:pt idx="4586">
                  <c:v>36412</c:v>
                </c:pt>
                <c:pt idx="4587">
                  <c:v>36411</c:v>
                </c:pt>
                <c:pt idx="4588">
                  <c:v>36410</c:v>
                </c:pt>
                <c:pt idx="4589">
                  <c:v>36409</c:v>
                </c:pt>
                <c:pt idx="4590">
                  <c:v>36406</c:v>
                </c:pt>
                <c:pt idx="4591">
                  <c:v>36405</c:v>
                </c:pt>
                <c:pt idx="4592">
                  <c:v>36404</c:v>
                </c:pt>
                <c:pt idx="4593">
                  <c:v>36403</c:v>
                </c:pt>
                <c:pt idx="4594">
                  <c:v>36402</c:v>
                </c:pt>
                <c:pt idx="4595">
                  <c:v>36399</c:v>
                </c:pt>
                <c:pt idx="4596">
                  <c:v>36398</c:v>
                </c:pt>
                <c:pt idx="4597">
                  <c:v>36397</c:v>
                </c:pt>
                <c:pt idx="4598">
                  <c:v>36396</c:v>
                </c:pt>
                <c:pt idx="4599">
                  <c:v>36395</c:v>
                </c:pt>
                <c:pt idx="4600">
                  <c:v>36392</c:v>
                </c:pt>
                <c:pt idx="4601">
                  <c:v>36391</c:v>
                </c:pt>
                <c:pt idx="4602">
                  <c:v>36390</c:v>
                </c:pt>
                <c:pt idx="4603">
                  <c:v>36389</c:v>
                </c:pt>
                <c:pt idx="4604">
                  <c:v>36388</c:v>
                </c:pt>
                <c:pt idx="4605">
                  <c:v>36385</c:v>
                </c:pt>
                <c:pt idx="4606">
                  <c:v>36384</c:v>
                </c:pt>
                <c:pt idx="4607">
                  <c:v>36383</c:v>
                </c:pt>
                <c:pt idx="4608">
                  <c:v>36382</c:v>
                </c:pt>
                <c:pt idx="4609">
                  <c:v>36381</c:v>
                </c:pt>
                <c:pt idx="4610">
                  <c:v>36378</c:v>
                </c:pt>
                <c:pt idx="4611">
                  <c:v>36377</c:v>
                </c:pt>
                <c:pt idx="4612">
                  <c:v>36376</c:v>
                </c:pt>
                <c:pt idx="4613">
                  <c:v>36375</c:v>
                </c:pt>
                <c:pt idx="4614">
                  <c:v>36374</c:v>
                </c:pt>
                <c:pt idx="4615">
                  <c:v>36371</c:v>
                </c:pt>
                <c:pt idx="4616">
                  <c:v>36370</c:v>
                </c:pt>
                <c:pt idx="4617">
                  <c:v>36369</c:v>
                </c:pt>
                <c:pt idx="4618">
                  <c:v>36368</c:v>
                </c:pt>
                <c:pt idx="4619">
                  <c:v>36367</c:v>
                </c:pt>
                <c:pt idx="4620">
                  <c:v>36364</c:v>
                </c:pt>
                <c:pt idx="4621">
                  <c:v>36363</c:v>
                </c:pt>
                <c:pt idx="4622">
                  <c:v>36362</c:v>
                </c:pt>
                <c:pt idx="4623">
                  <c:v>36361</c:v>
                </c:pt>
                <c:pt idx="4624">
                  <c:v>36360</c:v>
                </c:pt>
                <c:pt idx="4625">
                  <c:v>36357</c:v>
                </c:pt>
                <c:pt idx="4626">
                  <c:v>36356</c:v>
                </c:pt>
                <c:pt idx="4627">
                  <c:v>36355</c:v>
                </c:pt>
                <c:pt idx="4628">
                  <c:v>36354</c:v>
                </c:pt>
                <c:pt idx="4629">
                  <c:v>36353</c:v>
                </c:pt>
                <c:pt idx="4630">
                  <c:v>36350</c:v>
                </c:pt>
                <c:pt idx="4631">
                  <c:v>36349</c:v>
                </c:pt>
                <c:pt idx="4632">
                  <c:v>36348</c:v>
                </c:pt>
                <c:pt idx="4633">
                  <c:v>36347</c:v>
                </c:pt>
                <c:pt idx="4634">
                  <c:v>36346</c:v>
                </c:pt>
                <c:pt idx="4635">
                  <c:v>36343</c:v>
                </c:pt>
                <c:pt idx="4636">
                  <c:v>36342</c:v>
                </c:pt>
                <c:pt idx="4637">
                  <c:v>36341</c:v>
                </c:pt>
                <c:pt idx="4638">
                  <c:v>36340</c:v>
                </c:pt>
                <c:pt idx="4639">
                  <c:v>36339</c:v>
                </c:pt>
                <c:pt idx="4640">
                  <c:v>36336</c:v>
                </c:pt>
                <c:pt idx="4641">
                  <c:v>36335</c:v>
                </c:pt>
                <c:pt idx="4642">
                  <c:v>36334</c:v>
                </c:pt>
                <c:pt idx="4643">
                  <c:v>36333</c:v>
                </c:pt>
                <c:pt idx="4644">
                  <c:v>36332</c:v>
                </c:pt>
                <c:pt idx="4645">
                  <c:v>36329</c:v>
                </c:pt>
                <c:pt idx="4646">
                  <c:v>36328</c:v>
                </c:pt>
                <c:pt idx="4647">
                  <c:v>36327</c:v>
                </c:pt>
                <c:pt idx="4648">
                  <c:v>36326</c:v>
                </c:pt>
                <c:pt idx="4649">
                  <c:v>36325</c:v>
                </c:pt>
                <c:pt idx="4650">
                  <c:v>36322</c:v>
                </c:pt>
                <c:pt idx="4651">
                  <c:v>36321</c:v>
                </c:pt>
                <c:pt idx="4652">
                  <c:v>36320</c:v>
                </c:pt>
                <c:pt idx="4653">
                  <c:v>36319</c:v>
                </c:pt>
                <c:pt idx="4654">
                  <c:v>36318</c:v>
                </c:pt>
                <c:pt idx="4655">
                  <c:v>36315</c:v>
                </c:pt>
                <c:pt idx="4656">
                  <c:v>36314</c:v>
                </c:pt>
                <c:pt idx="4657">
                  <c:v>36313</c:v>
                </c:pt>
                <c:pt idx="4658">
                  <c:v>36312</c:v>
                </c:pt>
                <c:pt idx="4659">
                  <c:v>36311</c:v>
                </c:pt>
                <c:pt idx="4660">
                  <c:v>36308</c:v>
                </c:pt>
                <c:pt idx="4661">
                  <c:v>36307</c:v>
                </c:pt>
                <c:pt idx="4662">
                  <c:v>36306</c:v>
                </c:pt>
                <c:pt idx="4663">
                  <c:v>36305</c:v>
                </c:pt>
                <c:pt idx="4664">
                  <c:v>36304</c:v>
                </c:pt>
                <c:pt idx="4665">
                  <c:v>36301</c:v>
                </c:pt>
                <c:pt idx="4666">
                  <c:v>36300</c:v>
                </c:pt>
                <c:pt idx="4667">
                  <c:v>36299</c:v>
                </c:pt>
                <c:pt idx="4668">
                  <c:v>36298</c:v>
                </c:pt>
                <c:pt idx="4669">
                  <c:v>36297</c:v>
                </c:pt>
                <c:pt idx="4670">
                  <c:v>36294</c:v>
                </c:pt>
                <c:pt idx="4671">
                  <c:v>36293</c:v>
                </c:pt>
                <c:pt idx="4672">
                  <c:v>36292</c:v>
                </c:pt>
                <c:pt idx="4673">
                  <c:v>36291</c:v>
                </c:pt>
                <c:pt idx="4674">
                  <c:v>36290</c:v>
                </c:pt>
                <c:pt idx="4675">
                  <c:v>36287</c:v>
                </c:pt>
                <c:pt idx="4676">
                  <c:v>36286</c:v>
                </c:pt>
                <c:pt idx="4677">
                  <c:v>36285</c:v>
                </c:pt>
                <c:pt idx="4678">
                  <c:v>36284</c:v>
                </c:pt>
                <c:pt idx="4679">
                  <c:v>36283</c:v>
                </c:pt>
                <c:pt idx="4680">
                  <c:v>36280</c:v>
                </c:pt>
                <c:pt idx="4681">
                  <c:v>36279</c:v>
                </c:pt>
                <c:pt idx="4682">
                  <c:v>36278</c:v>
                </c:pt>
                <c:pt idx="4683">
                  <c:v>36277</c:v>
                </c:pt>
                <c:pt idx="4684">
                  <c:v>36276</c:v>
                </c:pt>
                <c:pt idx="4685">
                  <c:v>36273</c:v>
                </c:pt>
                <c:pt idx="4686">
                  <c:v>36272</c:v>
                </c:pt>
                <c:pt idx="4687">
                  <c:v>36271</c:v>
                </c:pt>
                <c:pt idx="4688">
                  <c:v>36270</c:v>
                </c:pt>
                <c:pt idx="4689">
                  <c:v>36269</c:v>
                </c:pt>
                <c:pt idx="4690">
                  <c:v>36266</c:v>
                </c:pt>
                <c:pt idx="4691">
                  <c:v>36265</c:v>
                </c:pt>
                <c:pt idx="4692">
                  <c:v>36264</c:v>
                </c:pt>
                <c:pt idx="4693">
                  <c:v>36263</c:v>
                </c:pt>
                <c:pt idx="4694">
                  <c:v>36262</c:v>
                </c:pt>
                <c:pt idx="4695">
                  <c:v>36259</c:v>
                </c:pt>
                <c:pt idx="4696">
                  <c:v>36258</c:v>
                </c:pt>
                <c:pt idx="4697">
                  <c:v>36257</c:v>
                </c:pt>
                <c:pt idx="4698">
                  <c:v>36256</c:v>
                </c:pt>
                <c:pt idx="4699">
                  <c:v>36255</c:v>
                </c:pt>
                <c:pt idx="4700">
                  <c:v>36252</c:v>
                </c:pt>
                <c:pt idx="4701">
                  <c:v>36251</c:v>
                </c:pt>
                <c:pt idx="4702">
                  <c:v>36250</c:v>
                </c:pt>
                <c:pt idx="4703">
                  <c:v>36249</c:v>
                </c:pt>
                <c:pt idx="4704">
                  <c:v>36248</c:v>
                </c:pt>
                <c:pt idx="4705">
                  <c:v>36245</c:v>
                </c:pt>
                <c:pt idx="4706">
                  <c:v>36244</c:v>
                </c:pt>
                <c:pt idx="4707">
                  <c:v>36243</c:v>
                </c:pt>
                <c:pt idx="4708">
                  <c:v>36242</c:v>
                </c:pt>
                <c:pt idx="4709">
                  <c:v>36241</c:v>
                </c:pt>
                <c:pt idx="4710">
                  <c:v>36238</c:v>
                </c:pt>
                <c:pt idx="4711">
                  <c:v>36237</c:v>
                </c:pt>
                <c:pt idx="4712">
                  <c:v>36236</c:v>
                </c:pt>
                <c:pt idx="4713">
                  <c:v>36235</c:v>
                </c:pt>
                <c:pt idx="4714">
                  <c:v>36234</c:v>
                </c:pt>
                <c:pt idx="4715">
                  <c:v>36231</c:v>
                </c:pt>
                <c:pt idx="4716">
                  <c:v>36230</c:v>
                </c:pt>
                <c:pt idx="4717">
                  <c:v>36229</c:v>
                </c:pt>
                <c:pt idx="4718">
                  <c:v>36228</c:v>
                </c:pt>
                <c:pt idx="4719">
                  <c:v>36227</c:v>
                </c:pt>
                <c:pt idx="4720">
                  <c:v>36224</c:v>
                </c:pt>
                <c:pt idx="4721">
                  <c:v>36223</c:v>
                </c:pt>
                <c:pt idx="4722">
                  <c:v>36222</c:v>
                </c:pt>
                <c:pt idx="4723">
                  <c:v>36221</c:v>
                </c:pt>
                <c:pt idx="4724">
                  <c:v>36220</c:v>
                </c:pt>
                <c:pt idx="4725">
                  <c:v>36217</c:v>
                </c:pt>
                <c:pt idx="4726">
                  <c:v>36216</c:v>
                </c:pt>
                <c:pt idx="4727">
                  <c:v>36215</c:v>
                </c:pt>
                <c:pt idx="4728">
                  <c:v>36214</c:v>
                </c:pt>
                <c:pt idx="4729">
                  <c:v>36213</c:v>
                </c:pt>
                <c:pt idx="4730">
                  <c:v>36210</c:v>
                </c:pt>
                <c:pt idx="4731">
                  <c:v>36209</c:v>
                </c:pt>
                <c:pt idx="4732">
                  <c:v>36208</c:v>
                </c:pt>
                <c:pt idx="4733">
                  <c:v>36207</c:v>
                </c:pt>
                <c:pt idx="4734">
                  <c:v>36206</c:v>
                </c:pt>
                <c:pt idx="4735">
                  <c:v>36203</c:v>
                </c:pt>
                <c:pt idx="4736">
                  <c:v>36202</c:v>
                </c:pt>
                <c:pt idx="4737">
                  <c:v>36201</c:v>
                </c:pt>
                <c:pt idx="4738">
                  <c:v>36200</c:v>
                </c:pt>
                <c:pt idx="4739">
                  <c:v>36199</c:v>
                </c:pt>
                <c:pt idx="4740">
                  <c:v>36196</c:v>
                </c:pt>
                <c:pt idx="4741">
                  <c:v>36195</c:v>
                </c:pt>
                <c:pt idx="4742">
                  <c:v>36194</c:v>
                </c:pt>
                <c:pt idx="4743">
                  <c:v>36193</c:v>
                </c:pt>
                <c:pt idx="4744">
                  <c:v>36192</c:v>
                </c:pt>
                <c:pt idx="4745">
                  <c:v>36189</c:v>
                </c:pt>
                <c:pt idx="4746">
                  <c:v>36188</c:v>
                </c:pt>
                <c:pt idx="4747">
                  <c:v>36187</c:v>
                </c:pt>
                <c:pt idx="4748">
                  <c:v>36186</c:v>
                </c:pt>
                <c:pt idx="4749">
                  <c:v>36185</c:v>
                </c:pt>
                <c:pt idx="4750">
                  <c:v>36182</c:v>
                </c:pt>
                <c:pt idx="4751">
                  <c:v>36181</c:v>
                </c:pt>
                <c:pt idx="4752">
                  <c:v>36180</c:v>
                </c:pt>
                <c:pt idx="4753">
                  <c:v>36179</c:v>
                </c:pt>
                <c:pt idx="4754">
                  <c:v>36178</c:v>
                </c:pt>
                <c:pt idx="4755">
                  <c:v>36175</c:v>
                </c:pt>
                <c:pt idx="4756">
                  <c:v>36174</c:v>
                </c:pt>
                <c:pt idx="4757">
                  <c:v>36173</c:v>
                </c:pt>
                <c:pt idx="4758">
                  <c:v>36172</c:v>
                </c:pt>
                <c:pt idx="4759">
                  <c:v>36171</c:v>
                </c:pt>
                <c:pt idx="4760">
                  <c:v>36168</c:v>
                </c:pt>
                <c:pt idx="4761">
                  <c:v>36167</c:v>
                </c:pt>
                <c:pt idx="4762">
                  <c:v>36166</c:v>
                </c:pt>
                <c:pt idx="4763">
                  <c:v>36165</c:v>
                </c:pt>
                <c:pt idx="4764">
                  <c:v>36164</c:v>
                </c:pt>
                <c:pt idx="4765">
                  <c:v>36161</c:v>
                </c:pt>
                <c:pt idx="4766">
                  <c:v>36160</c:v>
                </c:pt>
                <c:pt idx="4767">
                  <c:v>36159</c:v>
                </c:pt>
                <c:pt idx="4768">
                  <c:v>36158</c:v>
                </c:pt>
                <c:pt idx="4769">
                  <c:v>36157</c:v>
                </c:pt>
                <c:pt idx="4770">
                  <c:v>36154</c:v>
                </c:pt>
                <c:pt idx="4771">
                  <c:v>36153</c:v>
                </c:pt>
                <c:pt idx="4772">
                  <c:v>36152</c:v>
                </c:pt>
                <c:pt idx="4773">
                  <c:v>36151</c:v>
                </c:pt>
                <c:pt idx="4774">
                  <c:v>36150</c:v>
                </c:pt>
                <c:pt idx="4775">
                  <c:v>36147</c:v>
                </c:pt>
                <c:pt idx="4776">
                  <c:v>36146</c:v>
                </c:pt>
                <c:pt idx="4777">
                  <c:v>36145</c:v>
                </c:pt>
                <c:pt idx="4778">
                  <c:v>36144</c:v>
                </c:pt>
                <c:pt idx="4779">
                  <c:v>36143</c:v>
                </c:pt>
                <c:pt idx="4780">
                  <c:v>36140</c:v>
                </c:pt>
                <c:pt idx="4781">
                  <c:v>36139</c:v>
                </c:pt>
                <c:pt idx="4782">
                  <c:v>36138</c:v>
                </c:pt>
                <c:pt idx="4783">
                  <c:v>36137</c:v>
                </c:pt>
                <c:pt idx="4784">
                  <c:v>36136</c:v>
                </c:pt>
                <c:pt idx="4785">
                  <c:v>36133</c:v>
                </c:pt>
                <c:pt idx="4786">
                  <c:v>36132</c:v>
                </c:pt>
                <c:pt idx="4787">
                  <c:v>36131</c:v>
                </c:pt>
                <c:pt idx="4788">
                  <c:v>36130</c:v>
                </c:pt>
                <c:pt idx="4789">
                  <c:v>36129</c:v>
                </c:pt>
                <c:pt idx="4790">
                  <c:v>36126</c:v>
                </c:pt>
                <c:pt idx="4791">
                  <c:v>36125</c:v>
                </c:pt>
                <c:pt idx="4792">
                  <c:v>36124</c:v>
                </c:pt>
                <c:pt idx="4793">
                  <c:v>36123</c:v>
                </c:pt>
                <c:pt idx="4794">
                  <c:v>36122</c:v>
                </c:pt>
                <c:pt idx="4795">
                  <c:v>36119</c:v>
                </c:pt>
                <c:pt idx="4796">
                  <c:v>36118</c:v>
                </c:pt>
                <c:pt idx="4797">
                  <c:v>36117</c:v>
                </c:pt>
                <c:pt idx="4798">
                  <c:v>36116</c:v>
                </c:pt>
                <c:pt idx="4799">
                  <c:v>36115</c:v>
                </c:pt>
                <c:pt idx="4800">
                  <c:v>36112</c:v>
                </c:pt>
                <c:pt idx="4801">
                  <c:v>36111</c:v>
                </c:pt>
                <c:pt idx="4802">
                  <c:v>36110</c:v>
                </c:pt>
                <c:pt idx="4803">
                  <c:v>36109</c:v>
                </c:pt>
                <c:pt idx="4804">
                  <c:v>36108</c:v>
                </c:pt>
                <c:pt idx="4805">
                  <c:v>36105</c:v>
                </c:pt>
                <c:pt idx="4806">
                  <c:v>36104</c:v>
                </c:pt>
                <c:pt idx="4807">
                  <c:v>36103</c:v>
                </c:pt>
                <c:pt idx="4808">
                  <c:v>36102</c:v>
                </c:pt>
                <c:pt idx="4809">
                  <c:v>36101</c:v>
                </c:pt>
                <c:pt idx="4810">
                  <c:v>36098</c:v>
                </c:pt>
                <c:pt idx="4811">
                  <c:v>36097</c:v>
                </c:pt>
                <c:pt idx="4812">
                  <c:v>36096</c:v>
                </c:pt>
                <c:pt idx="4813">
                  <c:v>36095</c:v>
                </c:pt>
                <c:pt idx="4814">
                  <c:v>36094</c:v>
                </c:pt>
                <c:pt idx="4815">
                  <c:v>36091</c:v>
                </c:pt>
                <c:pt idx="4816">
                  <c:v>36090</c:v>
                </c:pt>
                <c:pt idx="4817">
                  <c:v>36089</c:v>
                </c:pt>
                <c:pt idx="4818">
                  <c:v>36088</c:v>
                </c:pt>
                <c:pt idx="4819">
                  <c:v>36087</c:v>
                </c:pt>
                <c:pt idx="4820">
                  <c:v>36084</c:v>
                </c:pt>
                <c:pt idx="4821">
                  <c:v>36083</c:v>
                </c:pt>
                <c:pt idx="4822">
                  <c:v>36082</c:v>
                </c:pt>
                <c:pt idx="4823">
                  <c:v>36081</c:v>
                </c:pt>
                <c:pt idx="4824">
                  <c:v>36080</c:v>
                </c:pt>
                <c:pt idx="4825">
                  <c:v>36077</c:v>
                </c:pt>
                <c:pt idx="4826">
                  <c:v>36076</c:v>
                </c:pt>
                <c:pt idx="4827">
                  <c:v>36075</c:v>
                </c:pt>
                <c:pt idx="4828">
                  <c:v>36074</c:v>
                </c:pt>
                <c:pt idx="4829">
                  <c:v>36073</c:v>
                </c:pt>
                <c:pt idx="4830">
                  <c:v>36070</c:v>
                </c:pt>
                <c:pt idx="4831">
                  <c:v>36069</c:v>
                </c:pt>
                <c:pt idx="4832">
                  <c:v>36068</c:v>
                </c:pt>
                <c:pt idx="4833">
                  <c:v>36067</c:v>
                </c:pt>
                <c:pt idx="4834">
                  <c:v>36066</c:v>
                </c:pt>
                <c:pt idx="4835">
                  <c:v>36063</c:v>
                </c:pt>
                <c:pt idx="4836">
                  <c:v>36062</c:v>
                </c:pt>
                <c:pt idx="4837">
                  <c:v>36061</c:v>
                </c:pt>
                <c:pt idx="4838">
                  <c:v>36060</c:v>
                </c:pt>
                <c:pt idx="4839">
                  <c:v>36059</c:v>
                </c:pt>
                <c:pt idx="4840">
                  <c:v>36056</c:v>
                </c:pt>
                <c:pt idx="4841">
                  <c:v>36055</c:v>
                </c:pt>
                <c:pt idx="4842">
                  <c:v>36054</c:v>
                </c:pt>
                <c:pt idx="4843">
                  <c:v>36053</c:v>
                </c:pt>
                <c:pt idx="4844">
                  <c:v>36052</c:v>
                </c:pt>
                <c:pt idx="4845">
                  <c:v>36049</c:v>
                </c:pt>
                <c:pt idx="4846">
                  <c:v>36048</c:v>
                </c:pt>
                <c:pt idx="4847">
                  <c:v>36047</c:v>
                </c:pt>
                <c:pt idx="4848">
                  <c:v>36046</c:v>
                </c:pt>
                <c:pt idx="4849">
                  <c:v>36045</c:v>
                </c:pt>
                <c:pt idx="4850">
                  <c:v>36042</c:v>
                </c:pt>
                <c:pt idx="4851">
                  <c:v>36041</c:v>
                </c:pt>
                <c:pt idx="4852">
                  <c:v>36040</c:v>
                </c:pt>
                <c:pt idx="4853">
                  <c:v>36039</c:v>
                </c:pt>
                <c:pt idx="4854">
                  <c:v>36038</c:v>
                </c:pt>
                <c:pt idx="4855">
                  <c:v>36035</c:v>
                </c:pt>
                <c:pt idx="4856">
                  <c:v>36034</c:v>
                </c:pt>
                <c:pt idx="4857">
                  <c:v>36033</c:v>
                </c:pt>
                <c:pt idx="4858">
                  <c:v>36032</c:v>
                </c:pt>
                <c:pt idx="4859">
                  <c:v>36031</c:v>
                </c:pt>
                <c:pt idx="4860">
                  <c:v>36028</c:v>
                </c:pt>
                <c:pt idx="4861">
                  <c:v>36027</c:v>
                </c:pt>
                <c:pt idx="4862">
                  <c:v>36026</c:v>
                </c:pt>
                <c:pt idx="4863">
                  <c:v>36025</c:v>
                </c:pt>
                <c:pt idx="4864">
                  <c:v>36024</c:v>
                </c:pt>
                <c:pt idx="4865">
                  <c:v>36021</c:v>
                </c:pt>
                <c:pt idx="4866">
                  <c:v>36020</c:v>
                </c:pt>
                <c:pt idx="4867">
                  <c:v>36019</c:v>
                </c:pt>
                <c:pt idx="4868">
                  <c:v>36018</c:v>
                </c:pt>
                <c:pt idx="4869">
                  <c:v>36017</c:v>
                </c:pt>
                <c:pt idx="4870">
                  <c:v>36014</c:v>
                </c:pt>
                <c:pt idx="4871">
                  <c:v>36013</c:v>
                </c:pt>
                <c:pt idx="4872">
                  <c:v>36012</c:v>
                </c:pt>
                <c:pt idx="4873">
                  <c:v>36011</c:v>
                </c:pt>
                <c:pt idx="4874">
                  <c:v>36010</c:v>
                </c:pt>
                <c:pt idx="4875">
                  <c:v>36007</c:v>
                </c:pt>
                <c:pt idx="4876">
                  <c:v>36006</c:v>
                </c:pt>
                <c:pt idx="4877">
                  <c:v>36005</c:v>
                </c:pt>
                <c:pt idx="4878">
                  <c:v>36004</c:v>
                </c:pt>
                <c:pt idx="4879">
                  <c:v>36003</c:v>
                </c:pt>
                <c:pt idx="4880">
                  <c:v>36000</c:v>
                </c:pt>
                <c:pt idx="4881">
                  <c:v>35999</c:v>
                </c:pt>
                <c:pt idx="4882">
                  <c:v>35998</c:v>
                </c:pt>
                <c:pt idx="4883">
                  <c:v>35997</c:v>
                </c:pt>
                <c:pt idx="4884">
                  <c:v>35996</c:v>
                </c:pt>
                <c:pt idx="4885">
                  <c:v>35993</c:v>
                </c:pt>
                <c:pt idx="4886">
                  <c:v>35992</c:v>
                </c:pt>
                <c:pt idx="4887">
                  <c:v>35991</c:v>
                </c:pt>
                <c:pt idx="4888">
                  <c:v>35990</c:v>
                </c:pt>
                <c:pt idx="4889">
                  <c:v>35989</c:v>
                </c:pt>
                <c:pt idx="4890">
                  <c:v>35986</c:v>
                </c:pt>
                <c:pt idx="4891">
                  <c:v>35985</c:v>
                </c:pt>
                <c:pt idx="4892">
                  <c:v>35984</c:v>
                </c:pt>
                <c:pt idx="4893">
                  <c:v>35983</c:v>
                </c:pt>
                <c:pt idx="4894">
                  <c:v>35982</c:v>
                </c:pt>
                <c:pt idx="4895">
                  <c:v>35979</c:v>
                </c:pt>
                <c:pt idx="4896">
                  <c:v>35978</c:v>
                </c:pt>
                <c:pt idx="4897">
                  <c:v>35977</c:v>
                </c:pt>
                <c:pt idx="4898">
                  <c:v>35976</c:v>
                </c:pt>
                <c:pt idx="4899">
                  <c:v>35975</c:v>
                </c:pt>
                <c:pt idx="4900">
                  <c:v>35972</c:v>
                </c:pt>
                <c:pt idx="4901">
                  <c:v>35971</c:v>
                </c:pt>
                <c:pt idx="4902">
                  <c:v>35970</c:v>
                </c:pt>
                <c:pt idx="4903">
                  <c:v>35969</c:v>
                </c:pt>
                <c:pt idx="4904">
                  <c:v>35968</c:v>
                </c:pt>
                <c:pt idx="4905">
                  <c:v>35965</c:v>
                </c:pt>
                <c:pt idx="4906">
                  <c:v>35964</c:v>
                </c:pt>
                <c:pt idx="4907">
                  <c:v>35963</c:v>
                </c:pt>
                <c:pt idx="4908">
                  <c:v>35962</c:v>
                </c:pt>
                <c:pt idx="4909">
                  <c:v>35961</c:v>
                </c:pt>
                <c:pt idx="4910">
                  <c:v>35958</c:v>
                </c:pt>
                <c:pt idx="4911">
                  <c:v>35957</c:v>
                </c:pt>
                <c:pt idx="4912">
                  <c:v>35956</c:v>
                </c:pt>
                <c:pt idx="4913">
                  <c:v>35955</c:v>
                </c:pt>
                <c:pt idx="4914">
                  <c:v>35954</c:v>
                </c:pt>
                <c:pt idx="4915">
                  <c:v>35951</c:v>
                </c:pt>
                <c:pt idx="4916">
                  <c:v>35950</c:v>
                </c:pt>
                <c:pt idx="4917">
                  <c:v>35949</c:v>
                </c:pt>
                <c:pt idx="4918">
                  <c:v>35948</c:v>
                </c:pt>
                <c:pt idx="4919">
                  <c:v>35947</c:v>
                </c:pt>
                <c:pt idx="4920">
                  <c:v>35944</c:v>
                </c:pt>
                <c:pt idx="4921">
                  <c:v>35943</c:v>
                </c:pt>
                <c:pt idx="4922">
                  <c:v>35942</c:v>
                </c:pt>
                <c:pt idx="4923">
                  <c:v>35941</c:v>
                </c:pt>
                <c:pt idx="4924">
                  <c:v>35940</c:v>
                </c:pt>
                <c:pt idx="4925">
                  <c:v>35937</c:v>
                </c:pt>
                <c:pt idx="4926">
                  <c:v>35936</c:v>
                </c:pt>
                <c:pt idx="4927">
                  <c:v>35935</c:v>
                </c:pt>
                <c:pt idx="4928">
                  <c:v>35934</c:v>
                </c:pt>
                <c:pt idx="4929">
                  <c:v>35933</c:v>
                </c:pt>
                <c:pt idx="4930">
                  <c:v>35930</c:v>
                </c:pt>
                <c:pt idx="4931">
                  <c:v>35929</c:v>
                </c:pt>
                <c:pt idx="4932">
                  <c:v>35928</c:v>
                </c:pt>
                <c:pt idx="4933">
                  <c:v>35927</c:v>
                </c:pt>
                <c:pt idx="4934">
                  <c:v>35926</c:v>
                </c:pt>
                <c:pt idx="4935">
                  <c:v>35923</c:v>
                </c:pt>
                <c:pt idx="4936">
                  <c:v>35922</c:v>
                </c:pt>
                <c:pt idx="4937">
                  <c:v>35921</c:v>
                </c:pt>
                <c:pt idx="4938">
                  <c:v>35920</c:v>
                </c:pt>
                <c:pt idx="4939">
                  <c:v>35919</c:v>
                </c:pt>
                <c:pt idx="4940">
                  <c:v>35916</c:v>
                </c:pt>
                <c:pt idx="4941">
                  <c:v>35915</c:v>
                </c:pt>
                <c:pt idx="4942">
                  <c:v>35914</c:v>
                </c:pt>
                <c:pt idx="4943">
                  <c:v>35913</c:v>
                </c:pt>
                <c:pt idx="4944">
                  <c:v>35912</c:v>
                </c:pt>
                <c:pt idx="4945">
                  <c:v>35909</c:v>
                </c:pt>
                <c:pt idx="4946">
                  <c:v>35908</c:v>
                </c:pt>
                <c:pt idx="4947">
                  <c:v>35907</c:v>
                </c:pt>
                <c:pt idx="4948">
                  <c:v>35906</c:v>
                </c:pt>
                <c:pt idx="4949">
                  <c:v>35905</c:v>
                </c:pt>
                <c:pt idx="4950">
                  <c:v>35902</c:v>
                </c:pt>
                <c:pt idx="4951">
                  <c:v>35901</c:v>
                </c:pt>
                <c:pt idx="4952">
                  <c:v>35900</c:v>
                </c:pt>
                <c:pt idx="4953">
                  <c:v>35899</c:v>
                </c:pt>
                <c:pt idx="4954">
                  <c:v>35898</c:v>
                </c:pt>
                <c:pt idx="4955">
                  <c:v>35895</c:v>
                </c:pt>
                <c:pt idx="4956">
                  <c:v>35894</c:v>
                </c:pt>
                <c:pt idx="4957">
                  <c:v>35893</c:v>
                </c:pt>
                <c:pt idx="4958">
                  <c:v>35892</c:v>
                </c:pt>
                <c:pt idx="4959">
                  <c:v>35891</c:v>
                </c:pt>
                <c:pt idx="4960">
                  <c:v>35888</c:v>
                </c:pt>
                <c:pt idx="4961">
                  <c:v>35887</c:v>
                </c:pt>
                <c:pt idx="4962">
                  <c:v>35886</c:v>
                </c:pt>
                <c:pt idx="4963">
                  <c:v>35885</c:v>
                </c:pt>
                <c:pt idx="4964">
                  <c:v>35884</c:v>
                </c:pt>
                <c:pt idx="4965">
                  <c:v>35881</c:v>
                </c:pt>
                <c:pt idx="4966">
                  <c:v>35880</c:v>
                </c:pt>
                <c:pt idx="4967">
                  <c:v>35879</c:v>
                </c:pt>
                <c:pt idx="4968">
                  <c:v>35878</c:v>
                </c:pt>
                <c:pt idx="4969">
                  <c:v>35877</c:v>
                </c:pt>
                <c:pt idx="4970">
                  <c:v>35874</c:v>
                </c:pt>
                <c:pt idx="4971">
                  <c:v>35873</c:v>
                </c:pt>
                <c:pt idx="4972">
                  <c:v>35872</c:v>
                </c:pt>
                <c:pt idx="4973">
                  <c:v>35871</c:v>
                </c:pt>
                <c:pt idx="4974">
                  <c:v>35870</c:v>
                </c:pt>
                <c:pt idx="4975">
                  <c:v>35867</c:v>
                </c:pt>
                <c:pt idx="4976">
                  <c:v>35866</c:v>
                </c:pt>
                <c:pt idx="4977">
                  <c:v>35865</c:v>
                </c:pt>
                <c:pt idx="4978">
                  <c:v>35864</c:v>
                </c:pt>
                <c:pt idx="4979">
                  <c:v>35863</c:v>
                </c:pt>
                <c:pt idx="4980">
                  <c:v>35860</c:v>
                </c:pt>
                <c:pt idx="4981">
                  <c:v>35859</c:v>
                </c:pt>
                <c:pt idx="4982">
                  <c:v>35858</c:v>
                </c:pt>
                <c:pt idx="4983">
                  <c:v>35857</c:v>
                </c:pt>
                <c:pt idx="4984">
                  <c:v>35856</c:v>
                </c:pt>
                <c:pt idx="4985">
                  <c:v>35853</c:v>
                </c:pt>
                <c:pt idx="4986">
                  <c:v>35852</c:v>
                </c:pt>
                <c:pt idx="4987">
                  <c:v>35851</c:v>
                </c:pt>
                <c:pt idx="4988">
                  <c:v>35850</c:v>
                </c:pt>
                <c:pt idx="4989">
                  <c:v>35849</c:v>
                </c:pt>
                <c:pt idx="4990">
                  <c:v>35846</c:v>
                </c:pt>
                <c:pt idx="4991">
                  <c:v>35845</c:v>
                </c:pt>
                <c:pt idx="4992">
                  <c:v>35844</c:v>
                </c:pt>
                <c:pt idx="4993">
                  <c:v>35843</c:v>
                </c:pt>
                <c:pt idx="4994">
                  <c:v>35842</c:v>
                </c:pt>
                <c:pt idx="4995">
                  <c:v>35839</c:v>
                </c:pt>
                <c:pt idx="4996">
                  <c:v>35838</c:v>
                </c:pt>
                <c:pt idx="4997">
                  <c:v>35837</c:v>
                </c:pt>
                <c:pt idx="4998">
                  <c:v>35836</c:v>
                </c:pt>
                <c:pt idx="4999">
                  <c:v>35835</c:v>
                </c:pt>
                <c:pt idx="5000">
                  <c:v>35832</c:v>
                </c:pt>
                <c:pt idx="5001">
                  <c:v>35831</c:v>
                </c:pt>
                <c:pt idx="5002">
                  <c:v>35830</c:v>
                </c:pt>
                <c:pt idx="5003">
                  <c:v>35829</c:v>
                </c:pt>
                <c:pt idx="5004">
                  <c:v>35828</c:v>
                </c:pt>
                <c:pt idx="5005">
                  <c:v>35825</c:v>
                </c:pt>
                <c:pt idx="5006">
                  <c:v>35824</c:v>
                </c:pt>
                <c:pt idx="5007">
                  <c:v>35823</c:v>
                </c:pt>
                <c:pt idx="5008">
                  <c:v>35822</c:v>
                </c:pt>
                <c:pt idx="5009">
                  <c:v>35821</c:v>
                </c:pt>
                <c:pt idx="5010">
                  <c:v>35818</c:v>
                </c:pt>
                <c:pt idx="5011">
                  <c:v>35817</c:v>
                </c:pt>
                <c:pt idx="5012">
                  <c:v>35816</c:v>
                </c:pt>
                <c:pt idx="5013">
                  <c:v>35815</c:v>
                </c:pt>
                <c:pt idx="5014">
                  <c:v>35814</c:v>
                </c:pt>
                <c:pt idx="5015">
                  <c:v>35811</c:v>
                </c:pt>
                <c:pt idx="5016">
                  <c:v>35810</c:v>
                </c:pt>
                <c:pt idx="5017">
                  <c:v>35809</c:v>
                </c:pt>
                <c:pt idx="5018">
                  <c:v>35808</c:v>
                </c:pt>
                <c:pt idx="5019">
                  <c:v>35807</c:v>
                </c:pt>
                <c:pt idx="5020">
                  <c:v>35804</c:v>
                </c:pt>
                <c:pt idx="5021">
                  <c:v>35803</c:v>
                </c:pt>
                <c:pt idx="5022">
                  <c:v>35802</c:v>
                </c:pt>
                <c:pt idx="5023">
                  <c:v>35801</c:v>
                </c:pt>
                <c:pt idx="5024">
                  <c:v>35800</c:v>
                </c:pt>
                <c:pt idx="5025">
                  <c:v>35797</c:v>
                </c:pt>
                <c:pt idx="5026">
                  <c:v>35796</c:v>
                </c:pt>
                <c:pt idx="5027">
                  <c:v>35795</c:v>
                </c:pt>
                <c:pt idx="5028">
                  <c:v>35794</c:v>
                </c:pt>
                <c:pt idx="5029">
                  <c:v>35793</c:v>
                </c:pt>
                <c:pt idx="5030">
                  <c:v>35790</c:v>
                </c:pt>
                <c:pt idx="5031">
                  <c:v>35789</c:v>
                </c:pt>
                <c:pt idx="5032">
                  <c:v>35788</c:v>
                </c:pt>
                <c:pt idx="5033">
                  <c:v>35787</c:v>
                </c:pt>
                <c:pt idx="5034">
                  <c:v>35786</c:v>
                </c:pt>
                <c:pt idx="5035">
                  <c:v>35783</c:v>
                </c:pt>
                <c:pt idx="5036">
                  <c:v>35782</c:v>
                </c:pt>
                <c:pt idx="5037">
                  <c:v>35781</c:v>
                </c:pt>
                <c:pt idx="5038">
                  <c:v>35780</c:v>
                </c:pt>
                <c:pt idx="5039">
                  <c:v>35779</c:v>
                </c:pt>
                <c:pt idx="5040">
                  <c:v>35776</c:v>
                </c:pt>
                <c:pt idx="5041">
                  <c:v>35775</c:v>
                </c:pt>
                <c:pt idx="5042">
                  <c:v>35774</c:v>
                </c:pt>
                <c:pt idx="5043">
                  <c:v>35773</c:v>
                </c:pt>
                <c:pt idx="5044">
                  <c:v>35772</c:v>
                </c:pt>
                <c:pt idx="5045">
                  <c:v>35769</c:v>
                </c:pt>
                <c:pt idx="5046">
                  <c:v>35768</c:v>
                </c:pt>
                <c:pt idx="5047">
                  <c:v>35767</c:v>
                </c:pt>
                <c:pt idx="5048">
                  <c:v>35766</c:v>
                </c:pt>
                <c:pt idx="5049">
                  <c:v>35765</c:v>
                </c:pt>
                <c:pt idx="5050">
                  <c:v>35762</c:v>
                </c:pt>
                <c:pt idx="5051">
                  <c:v>35761</c:v>
                </c:pt>
                <c:pt idx="5052">
                  <c:v>35760</c:v>
                </c:pt>
                <c:pt idx="5053">
                  <c:v>35759</c:v>
                </c:pt>
                <c:pt idx="5054">
                  <c:v>35758</c:v>
                </c:pt>
                <c:pt idx="5055">
                  <c:v>35755</c:v>
                </c:pt>
                <c:pt idx="5056">
                  <c:v>35754</c:v>
                </c:pt>
                <c:pt idx="5057">
                  <c:v>35753</c:v>
                </c:pt>
                <c:pt idx="5058">
                  <c:v>35752</c:v>
                </c:pt>
                <c:pt idx="5059">
                  <c:v>35751</c:v>
                </c:pt>
                <c:pt idx="5060">
                  <c:v>35748</c:v>
                </c:pt>
                <c:pt idx="5061">
                  <c:v>35747</c:v>
                </c:pt>
                <c:pt idx="5062">
                  <c:v>35746</c:v>
                </c:pt>
                <c:pt idx="5063">
                  <c:v>35745</c:v>
                </c:pt>
                <c:pt idx="5064">
                  <c:v>35744</c:v>
                </c:pt>
                <c:pt idx="5065">
                  <c:v>35741</c:v>
                </c:pt>
                <c:pt idx="5066">
                  <c:v>35740</c:v>
                </c:pt>
                <c:pt idx="5067">
                  <c:v>35739</c:v>
                </c:pt>
                <c:pt idx="5068">
                  <c:v>35738</c:v>
                </c:pt>
                <c:pt idx="5069">
                  <c:v>35737</c:v>
                </c:pt>
                <c:pt idx="5070">
                  <c:v>35734</c:v>
                </c:pt>
                <c:pt idx="5071">
                  <c:v>35733</c:v>
                </c:pt>
                <c:pt idx="5072">
                  <c:v>35732</c:v>
                </c:pt>
                <c:pt idx="5073">
                  <c:v>35731</c:v>
                </c:pt>
                <c:pt idx="5074">
                  <c:v>35730</c:v>
                </c:pt>
                <c:pt idx="5075">
                  <c:v>35727</c:v>
                </c:pt>
                <c:pt idx="5076">
                  <c:v>35726</c:v>
                </c:pt>
                <c:pt idx="5077">
                  <c:v>35725</c:v>
                </c:pt>
                <c:pt idx="5078">
                  <c:v>35724</c:v>
                </c:pt>
                <c:pt idx="5079">
                  <c:v>35723</c:v>
                </c:pt>
                <c:pt idx="5080">
                  <c:v>35720</c:v>
                </c:pt>
                <c:pt idx="5081">
                  <c:v>35719</c:v>
                </c:pt>
                <c:pt idx="5082">
                  <c:v>35718</c:v>
                </c:pt>
                <c:pt idx="5083">
                  <c:v>35717</c:v>
                </c:pt>
                <c:pt idx="5084">
                  <c:v>35716</c:v>
                </c:pt>
                <c:pt idx="5085">
                  <c:v>35713</c:v>
                </c:pt>
                <c:pt idx="5086">
                  <c:v>35712</c:v>
                </c:pt>
                <c:pt idx="5087">
                  <c:v>35711</c:v>
                </c:pt>
                <c:pt idx="5088">
                  <c:v>35710</c:v>
                </c:pt>
                <c:pt idx="5089">
                  <c:v>35709</c:v>
                </c:pt>
                <c:pt idx="5090">
                  <c:v>35706</c:v>
                </c:pt>
                <c:pt idx="5091">
                  <c:v>35705</c:v>
                </c:pt>
                <c:pt idx="5092">
                  <c:v>35704</c:v>
                </c:pt>
                <c:pt idx="5093">
                  <c:v>35703</c:v>
                </c:pt>
                <c:pt idx="5094">
                  <c:v>35702</c:v>
                </c:pt>
                <c:pt idx="5095">
                  <c:v>35699</c:v>
                </c:pt>
                <c:pt idx="5096">
                  <c:v>35698</c:v>
                </c:pt>
                <c:pt idx="5097">
                  <c:v>35697</c:v>
                </c:pt>
                <c:pt idx="5098">
                  <c:v>35696</c:v>
                </c:pt>
                <c:pt idx="5099">
                  <c:v>35695</c:v>
                </c:pt>
                <c:pt idx="5100">
                  <c:v>35692</c:v>
                </c:pt>
                <c:pt idx="5101">
                  <c:v>35691</c:v>
                </c:pt>
                <c:pt idx="5102">
                  <c:v>35690</c:v>
                </c:pt>
                <c:pt idx="5103">
                  <c:v>35689</c:v>
                </c:pt>
                <c:pt idx="5104">
                  <c:v>35688</c:v>
                </c:pt>
                <c:pt idx="5105">
                  <c:v>35685</c:v>
                </c:pt>
                <c:pt idx="5106">
                  <c:v>35684</c:v>
                </c:pt>
                <c:pt idx="5107">
                  <c:v>35683</c:v>
                </c:pt>
                <c:pt idx="5108">
                  <c:v>35682</c:v>
                </c:pt>
                <c:pt idx="5109">
                  <c:v>35681</c:v>
                </c:pt>
                <c:pt idx="5110">
                  <c:v>35678</c:v>
                </c:pt>
                <c:pt idx="5111">
                  <c:v>35677</c:v>
                </c:pt>
                <c:pt idx="5112">
                  <c:v>35676</c:v>
                </c:pt>
                <c:pt idx="5113">
                  <c:v>35675</c:v>
                </c:pt>
                <c:pt idx="5114">
                  <c:v>35674</c:v>
                </c:pt>
                <c:pt idx="5115">
                  <c:v>35671</c:v>
                </c:pt>
                <c:pt idx="5116">
                  <c:v>35670</c:v>
                </c:pt>
                <c:pt idx="5117">
                  <c:v>35669</c:v>
                </c:pt>
                <c:pt idx="5118">
                  <c:v>35668</c:v>
                </c:pt>
                <c:pt idx="5119">
                  <c:v>35667</c:v>
                </c:pt>
                <c:pt idx="5120">
                  <c:v>35664</c:v>
                </c:pt>
                <c:pt idx="5121">
                  <c:v>35663</c:v>
                </c:pt>
                <c:pt idx="5122">
                  <c:v>35662</c:v>
                </c:pt>
                <c:pt idx="5123">
                  <c:v>35661</c:v>
                </c:pt>
                <c:pt idx="5124">
                  <c:v>35660</c:v>
                </c:pt>
                <c:pt idx="5125">
                  <c:v>35657</c:v>
                </c:pt>
                <c:pt idx="5126">
                  <c:v>35656</c:v>
                </c:pt>
                <c:pt idx="5127">
                  <c:v>35655</c:v>
                </c:pt>
                <c:pt idx="5128">
                  <c:v>35654</c:v>
                </c:pt>
                <c:pt idx="5129">
                  <c:v>35653</c:v>
                </c:pt>
                <c:pt idx="5130">
                  <c:v>35650</c:v>
                </c:pt>
                <c:pt idx="5131">
                  <c:v>35649</c:v>
                </c:pt>
                <c:pt idx="5132">
                  <c:v>35648</c:v>
                </c:pt>
                <c:pt idx="5133">
                  <c:v>35647</c:v>
                </c:pt>
                <c:pt idx="5134">
                  <c:v>35646</c:v>
                </c:pt>
                <c:pt idx="5135">
                  <c:v>35643</c:v>
                </c:pt>
                <c:pt idx="5136">
                  <c:v>35642</c:v>
                </c:pt>
                <c:pt idx="5137">
                  <c:v>35641</c:v>
                </c:pt>
                <c:pt idx="5138">
                  <c:v>35640</c:v>
                </c:pt>
                <c:pt idx="5139">
                  <c:v>35639</c:v>
                </c:pt>
                <c:pt idx="5140">
                  <c:v>35636</c:v>
                </c:pt>
                <c:pt idx="5141">
                  <c:v>35635</c:v>
                </c:pt>
                <c:pt idx="5142">
                  <c:v>35634</c:v>
                </c:pt>
                <c:pt idx="5143">
                  <c:v>35633</c:v>
                </c:pt>
                <c:pt idx="5144">
                  <c:v>35632</c:v>
                </c:pt>
                <c:pt idx="5145">
                  <c:v>35629</c:v>
                </c:pt>
                <c:pt idx="5146">
                  <c:v>35628</c:v>
                </c:pt>
                <c:pt idx="5147">
                  <c:v>35627</c:v>
                </c:pt>
                <c:pt idx="5148">
                  <c:v>35626</c:v>
                </c:pt>
                <c:pt idx="5149">
                  <c:v>35625</c:v>
                </c:pt>
                <c:pt idx="5150">
                  <c:v>35622</c:v>
                </c:pt>
                <c:pt idx="5151">
                  <c:v>35621</c:v>
                </c:pt>
                <c:pt idx="5152">
                  <c:v>35620</c:v>
                </c:pt>
                <c:pt idx="5153">
                  <c:v>35619</c:v>
                </c:pt>
                <c:pt idx="5154">
                  <c:v>35618</c:v>
                </c:pt>
                <c:pt idx="5155">
                  <c:v>35615</c:v>
                </c:pt>
                <c:pt idx="5156">
                  <c:v>35614</c:v>
                </c:pt>
                <c:pt idx="5157">
                  <c:v>35613</c:v>
                </c:pt>
                <c:pt idx="5158">
                  <c:v>35612</c:v>
                </c:pt>
                <c:pt idx="5159">
                  <c:v>35611</c:v>
                </c:pt>
                <c:pt idx="5160">
                  <c:v>35608</c:v>
                </c:pt>
                <c:pt idx="5161">
                  <c:v>35607</c:v>
                </c:pt>
                <c:pt idx="5162">
                  <c:v>35606</c:v>
                </c:pt>
                <c:pt idx="5163">
                  <c:v>35605</c:v>
                </c:pt>
                <c:pt idx="5164">
                  <c:v>35604</c:v>
                </c:pt>
                <c:pt idx="5165">
                  <c:v>35601</c:v>
                </c:pt>
                <c:pt idx="5166">
                  <c:v>35600</c:v>
                </c:pt>
                <c:pt idx="5167">
                  <c:v>35599</c:v>
                </c:pt>
                <c:pt idx="5168">
                  <c:v>35598</c:v>
                </c:pt>
                <c:pt idx="5169">
                  <c:v>35597</c:v>
                </c:pt>
                <c:pt idx="5170">
                  <c:v>35594</c:v>
                </c:pt>
                <c:pt idx="5171">
                  <c:v>35593</c:v>
                </c:pt>
                <c:pt idx="5172">
                  <c:v>35592</c:v>
                </c:pt>
                <c:pt idx="5173">
                  <c:v>35591</c:v>
                </c:pt>
                <c:pt idx="5174">
                  <c:v>35590</c:v>
                </c:pt>
                <c:pt idx="5175">
                  <c:v>35587</c:v>
                </c:pt>
                <c:pt idx="5176">
                  <c:v>35586</c:v>
                </c:pt>
                <c:pt idx="5177">
                  <c:v>35585</c:v>
                </c:pt>
                <c:pt idx="5178">
                  <c:v>35584</c:v>
                </c:pt>
                <c:pt idx="5179">
                  <c:v>35583</c:v>
                </c:pt>
                <c:pt idx="5180">
                  <c:v>35580</c:v>
                </c:pt>
                <c:pt idx="5181">
                  <c:v>35579</c:v>
                </c:pt>
                <c:pt idx="5182">
                  <c:v>35578</c:v>
                </c:pt>
                <c:pt idx="5183">
                  <c:v>35577</c:v>
                </c:pt>
                <c:pt idx="5184">
                  <c:v>35576</c:v>
                </c:pt>
                <c:pt idx="5185">
                  <c:v>35573</c:v>
                </c:pt>
                <c:pt idx="5186">
                  <c:v>35572</c:v>
                </c:pt>
                <c:pt idx="5187">
                  <c:v>35571</c:v>
                </c:pt>
                <c:pt idx="5188">
                  <c:v>35570</c:v>
                </c:pt>
                <c:pt idx="5189">
                  <c:v>35569</c:v>
                </c:pt>
                <c:pt idx="5190">
                  <c:v>35566</c:v>
                </c:pt>
                <c:pt idx="5191">
                  <c:v>35565</c:v>
                </c:pt>
                <c:pt idx="5192">
                  <c:v>35564</c:v>
                </c:pt>
                <c:pt idx="5193">
                  <c:v>35563</c:v>
                </c:pt>
                <c:pt idx="5194">
                  <c:v>35562</c:v>
                </c:pt>
                <c:pt idx="5195">
                  <c:v>35559</c:v>
                </c:pt>
                <c:pt idx="5196">
                  <c:v>35558</c:v>
                </c:pt>
                <c:pt idx="5197">
                  <c:v>35557</c:v>
                </c:pt>
                <c:pt idx="5198">
                  <c:v>35556</c:v>
                </c:pt>
                <c:pt idx="5199">
                  <c:v>35555</c:v>
                </c:pt>
                <c:pt idx="5200">
                  <c:v>35552</c:v>
                </c:pt>
                <c:pt idx="5201">
                  <c:v>35551</c:v>
                </c:pt>
                <c:pt idx="5202">
                  <c:v>35550</c:v>
                </c:pt>
                <c:pt idx="5203">
                  <c:v>35549</c:v>
                </c:pt>
                <c:pt idx="5204">
                  <c:v>35548</c:v>
                </c:pt>
                <c:pt idx="5205">
                  <c:v>35545</c:v>
                </c:pt>
                <c:pt idx="5206">
                  <c:v>35544</c:v>
                </c:pt>
                <c:pt idx="5207">
                  <c:v>35543</c:v>
                </c:pt>
                <c:pt idx="5208">
                  <c:v>35542</c:v>
                </c:pt>
                <c:pt idx="5209">
                  <c:v>35541</c:v>
                </c:pt>
                <c:pt idx="5210">
                  <c:v>35538</c:v>
                </c:pt>
                <c:pt idx="5211">
                  <c:v>35537</c:v>
                </c:pt>
                <c:pt idx="5212">
                  <c:v>35536</c:v>
                </c:pt>
                <c:pt idx="5213">
                  <c:v>35535</c:v>
                </c:pt>
                <c:pt idx="5214">
                  <c:v>35534</c:v>
                </c:pt>
                <c:pt idx="5215">
                  <c:v>35531</c:v>
                </c:pt>
                <c:pt idx="5216">
                  <c:v>35530</c:v>
                </c:pt>
                <c:pt idx="5217">
                  <c:v>35529</c:v>
                </c:pt>
                <c:pt idx="5218">
                  <c:v>35528</c:v>
                </c:pt>
                <c:pt idx="5219">
                  <c:v>35527</c:v>
                </c:pt>
                <c:pt idx="5220">
                  <c:v>35524</c:v>
                </c:pt>
                <c:pt idx="5221">
                  <c:v>35523</c:v>
                </c:pt>
                <c:pt idx="5222">
                  <c:v>35522</c:v>
                </c:pt>
                <c:pt idx="5223">
                  <c:v>35521</c:v>
                </c:pt>
                <c:pt idx="5224">
                  <c:v>35520</c:v>
                </c:pt>
                <c:pt idx="5225">
                  <c:v>35517</c:v>
                </c:pt>
                <c:pt idx="5226">
                  <c:v>35516</c:v>
                </c:pt>
                <c:pt idx="5227">
                  <c:v>35515</c:v>
                </c:pt>
                <c:pt idx="5228">
                  <c:v>35514</c:v>
                </c:pt>
                <c:pt idx="5229">
                  <c:v>35513</c:v>
                </c:pt>
                <c:pt idx="5230">
                  <c:v>35510</c:v>
                </c:pt>
                <c:pt idx="5231">
                  <c:v>35509</c:v>
                </c:pt>
                <c:pt idx="5232">
                  <c:v>35508</c:v>
                </c:pt>
                <c:pt idx="5233">
                  <c:v>35507</c:v>
                </c:pt>
                <c:pt idx="5234">
                  <c:v>35506</c:v>
                </c:pt>
                <c:pt idx="5235">
                  <c:v>35503</c:v>
                </c:pt>
                <c:pt idx="5236">
                  <c:v>35502</c:v>
                </c:pt>
                <c:pt idx="5237">
                  <c:v>35501</c:v>
                </c:pt>
                <c:pt idx="5238">
                  <c:v>35500</c:v>
                </c:pt>
                <c:pt idx="5239">
                  <c:v>35499</c:v>
                </c:pt>
                <c:pt idx="5240">
                  <c:v>35496</c:v>
                </c:pt>
                <c:pt idx="5241">
                  <c:v>35495</c:v>
                </c:pt>
                <c:pt idx="5242">
                  <c:v>35494</c:v>
                </c:pt>
                <c:pt idx="5243">
                  <c:v>35493</c:v>
                </c:pt>
                <c:pt idx="5244">
                  <c:v>35492</c:v>
                </c:pt>
                <c:pt idx="5245">
                  <c:v>35489</c:v>
                </c:pt>
                <c:pt idx="5246">
                  <c:v>35488</c:v>
                </c:pt>
                <c:pt idx="5247">
                  <c:v>35487</c:v>
                </c:pt>
                <c:pt idx="5248">
                  <c:v>35486</c:v>
                </c:pt>
                <c:pt idx="5249">
                  <c:v>35485</c:v>
                </c:pt>
                <c:pt idx="5250">
                  <c:v>35482</c:v>
                </c:pt>
                <c:pt idx="5251">
                  <c:v>35481</c:v>
                </c:pt>
                <c:pt idx="5252">
                  <c:v>35480</c:v>
                </c:pt>
                <c:pt idx="5253">
                  <c:v>35479</c:v>
                </c:pt>
                <c:pt idx="5254">
                  <c:v>35478</c:v>
                </c:pt>
                <c:pt idx="5255">
                  <c:v>35475</c:v>
                </c:pt>
                <c:pt idx="5256">
                  <c:v>35474</c:v>
                </c:pt>
                <c:pt idx="5257">
                  <c:v>35473</c:v>
                </c:pt>
                <c:pt idx="5258">
                  <c:v>35472</c:v>
                </c:pt>
                <c:pt idx="5259">
                  <c:v>35471</c:v>
                </c:pt>
                <c:pt idx="5260">
                  <c:v>35468</c:v>
                </c:pt>
                <c:pt idx="5261">
                  <c:v>35467</c:v>
                </c:pt>
                <c:pt idx="5262">
                  <c:v>35466</c:v>
                </c:pt>
                <c:pt idx="5263">
                  <c:v>35465</c:v>
                </c:pt>
                <c:pt idx="5264">
                  <c:v>35464</c:v>
                </c:pt>
                <c:pt idx="5265">
                  <c:v>35461</c:v>
                </c:pt>
                <c:pt idx="5266">
                  <c:v>35460</c:v>
                </c:pt>
                <c:pt idx="5267">
                  <c:v>35459</c:v>
                </c:pt>
                <c:pt idx="5268">
                  <c:v>35458</c:v>
                </c:pt>
                <c:pt idx="5269">
                  <c:v>35457</c:v>
                </c:pt>
                <c:pt idx="5270">
                  <c:v>35454</c:v>
                </c:pt>
                <c:pt idx="5271">
                  <c:v>35453</c:v>
                </c:pt>
                <c:pt idx="5272">
                  <c:v>35452</c:v>
                </c:pt>
                <c:pt idx="5273">
                  <c:v>35451</c:v>
                </c:pt>
                <c:pt idx="5274">
                  <c:v>35450</c:v>
                </c:pt>
                <c:pt idx="5275">
                  <c:v>35447</c:v>
                </c:pt>
                <c:pt idx="5276">
                  <c:v>35446</c:v>
                </c:pt>
                <c:pt idx="5277">
                  <c:v>35445</c:v>
                </c:pt>
                <c:pt idx="5278">
                  <c:v>35444</c:v>
                </c:pt>
                <c:pt idx="5279">
                  <c:v>35443</c:v>
                </c:pt>
                <c:pt idx="5280">
                  <c:v>35440</c:v>
                </c:pt>
                <c:pt idx="5281">
                  <c:v>35439</c:v>
                </c:pt>
                <c:pt idx="5282">
                  <c:v>35438</c:v>
                </c:pt>
                <c:pt idx="5283">
                  <c:v>35437</c:v>
                </c:pt>
                <c:pt idx="5284">
                  <c:v>35436</c:v>
                </c:pt>
                <c:pt idx="5285">
                  <c:v>35433</c:v>
                </c:pt>
                <c:pt idx="5286">
                  <c:v>35432</c:v>
                </c:pt>
                <c:pt idx="5287">
                  <c:v>35431</c:v>
                </c:pt>
                <c:pt idx="5288">
                  <c:v>35430</c:v>
                </c:pt>
                <c:pt idx="5289">
                  <c:v>35429</c:v>
                </c:pt>
                <c:pt idx="5290">
                  <c:v>35426</c:v>
                </c:pt>
                <c:pt idx="5291">
                  <c:v>35425</c:v>
                </c:pt>
                <c:pt idx="5292">
                  <c:v>35424</c:v>
                </c:pt>
                <c:pt idx="5293">
                  <c:v>35423</c:v>
                </c:pt>
                <c:pt idx="5294">
                  <c:v>35422</c:v>
                </c:pt>
                <c:pt idx="5295">
                  <c:v>35419</c:v>
                </c:pt>
                <c:pt idx="5296">
                  <c:v>35418</c:v>
                </c:pt>
                <c:pt idx="5297">
                  <c:v>35417</c:v>
                </c:pt>
                <c:pt idx="5298">
                  <c:v>35416</c:v>
                </c:pt>
                <c:pt idx="5299">
                  <c:v>35415</c:v>
                </c:pt>
                <c:pt idx="5300">
                  <c:v>35412</c:v>
                </c:pt>
                <c:pt idx="5301">
                  <c:v>35411</c:v>
                </c:pt>
                <c:pt idx="5302">
                  <c:v>35410</c:v>
                </c:pt>
                <c:pt idx="5303">
                  <c:v>35409</c:v>
                </c:pt>
                <c:pt idx="5304">
                  <c:v>35408</c:v>
                </c:pt>
                <c:pt idx="5305">
                  <c:v>35405</c:v>
                </c:pt>
                <c:pt idx="5306">
                  <c:v>35404</c:v>
                </c:pt>
                <c:pt idx="5307">
                  <c:v>35403</c:v>
                </c:pt>
                <c:pt idx="5308">
                  <c:v>35402</c:v>
                </c:pt>
                <c:pt idx="5309">
                  <c:v>35401</c:v>
                </c:pt>
                <c:pt idx="5310">
                  <c:v>35398</c:v>
                </c:pt>
                <c:pt idx="5311">
                  <c:v>35397</c:v>
                </c:pt>
                <c:pt idx="5312">
                  <c:v>35396</c:v>
                </c:pt>
                <c:pt idx="5313">
                  <c:v>35395</c:v>
                </c:pt>
                <c:pt idx="5314">
                  <c:v>35394</c:v>
                </c:pt>
                <c:pt idx="5315">
                  <c:v>35391</c:v>
                </c:pt>
                <c:pt idx="5316">
                  <c:v>35390</c:v>
                </c:pt>
                <c:pt idx="5317">
                  <c:v>35389</c:v>
                </c:pt>
                <c:pt idx="5318">
                  <c:v>35388</c:v>
                </c:pt>
                <c:pt idx="5319">
                  <c:v>35387</c:v>
                </c:pt>
                <c:pt idx="5320">
                  <c:v>35384</c:v>
                </c:pt>
                <c:pt idx="5321">
                  <c:v>35383</c:v>
                </c:pt>
                <c:pt idx="5322">
                  <c:v>35382</c:v>
                </c:pt>
                <c:pt idx="5323">
                  <c:v>35381</c:v>
                </c:pt>
                <c:pt idx="5324">
                  <c:v>35380</c:v>
                </c:pt>
                <c:pt idx="5325">
                  <c:v>35377</c:v>
                </c:pt>
                <c:pt idx="5326">
                  <c:v>35376</c:v>
                </c:pt>
                <c:pt idx="5327">
                  <c:v>35375</c:v>
                </c:pt>
                <c:pt idx="5328">
                  <c:v>35374</c:v>
                </c:pt>
                <c:pt idx="5329">
                  <c:v>35373</c:v>
                </c:pt>
                <c:pt idx="5330">
                  <c:v>35370</c:v>
                </c:pt>
                <c:pt idx="5331">
                  <c:v>35369</c:v>
                </c:pt>
                <c:pt idx="5332">
                  <c:v>35368</c:v>
                </c:pt>
                <c:pt idx="5333">
                  <c:v>35367</c:v>
                </c:pt>
                <c:pt idx="5334">
                  <c:v>35366</c:v>
                </c:pt>
                <c:pt idx="5335">
                  <c:v>35363</c:v>
                </c:pt>
                <c:pt idx="5336">
                  <c:v>35362</c:v>
                </c:pt>
                <c:pt idx="5337">
                  <c:v>35361</c:v>
                </c:pt>
                <c:pt idx="5338">
                  <c:v>35360</c:v>
                </c:pt>
                <c:pt idx="5339">
                  <c:v>35359</c:v>
                </c:pt>
                <c:pt idx="5340">
                  <c:v>35356</c:v>
                </c:pt>
                <c:pt idx="5341">
                  <c:v>35355</c:v>
                </c:pt>
                <c:pt idx="5342">
                  <c:v>35354</c:v>
                </c:pt>
                <c:pt idx="5343">
                  <c:v>35353</c:v>
                </c:pt>
                <c:pt idx="5344">
                  <c:v>35352</c:v>
                </c:pt>
                <c:pt idx="5345">
                  <c:v>35349</c:v>
                </c:pt>
                <c:pt idx="5346">
                  <c:v>35348</c:v>
                </c:pt>
                <c:pt idx="5347">
                  <c:v>35347</c:v>
                </c:pt>
                <c:pt idx="5348">
                  <c:v>35346</c:v>
                </c:pt>
                <c:pt idx="5349">
                  <c:v>35345</c:v>
                </c:pt>
                <c:pt idx="5350">
                  <c:v>35342</c:v>
                </c:pt>
                <c:pt idx="5351">
                  <c:v>35341</c:v>
                </c:pt>
                <c:pt idx="5352">
                  <c:v>35340</c:v>
                </c:pt>
                <c:pt idx="5353">
                  <c:v>35339</c:v>
                </c:pt>
                <c:pt idx="5354">
                  <c:v>35338</c:v>
                </c:pt>
                <c:pt idx="5355">
                  <c:v>35335</c:v>
                </c:pt>
                <c:pt idx="5356">
                  <c:v>35334</c:v>
                </c:pt>
                <c:pt idx="5357">
                  <c:v>35333</c:v>
                </c:pt>
                <c:pt idx="5358">
                  <c:v>35332</c:v>
                </c:pt>
                <c:pt idx="5359">
                  <c:v>35331</c:v>
                </c:pt>
                <c:pt idx="5360">
                  <c:v>35328</c:v>
                </c:pt>
                <c:pt idx="5361">
                  <c:v>35327</c:v>
                </c:pt>
                <c:pt idx="5362">
                  <c:v>35326</c:v>
                </c:pt>
                <c:pt idx="5363">
                  <c:v>35325</c:v>
                </c:pt>
                <c:pt idx="5364">
                  <c:v>35324</c:v>
                </c:pt>
                <c:pt idx="5365">
                  <c:v>35321</c:v>
                </c:pt>
                <c:pt idx="5366">
                  <c:v>35320</c:v>
                </c:pt>
                <c:pt idx="5367">
                  <c:v>35319</c:v>
                </c:pt>
                <c:pt idx="5368">
                  <c:v>35318</c:v>
                </c:pt>
                <c:pt idx="5369">
                  <c:v>35317</c:v>
                </c:pt>
                <c:pt idx="5370">
                  <c:v>35314</c:v>
                </c:pt>
                <c:pt idx="5371">
                  <c:v>35313</c:v>
                </c:pt>
                <c:pt idx="5372">
                  <c:v>35312</c:v>
                </c:pt>
                <c:pt idx="5373">
                  <c:v>35311</c:v>
                </c:pt>
                <c:pt idx="5374">
                  <c:v>35310</c:v>
                </c:pt>
                <c:pt idx="5375">
                  <c:v>35307</c:v>
                </c:pt>
                <c:pt idx="5376">
                  <c:v>35306</c:v>
                </c:pt>
                <c:pt idx="5377">
                  <c:v>35305</c:v>
                </c:pt>
                <c:pt idx="5378">
                  <c:v>35304</c:v>
                </c:pt>
                <c:pt idx="5379">
                  <c:v>35303</c:v>
                </c:pt>
                <c:pt idx="5380">
                  <c:v>35300</c:v>
                </c:pt>
                <c:pt idx="5381">
                  <c:v>35299</c:v>
                </c:pt>
                <c:pt idx="5382">
                  <c:v>35298</c:v>
                </c:pt>
                <c:pt idx="5383">
                  <c:v>35297</c:v>
                </c:pt>
                <c:pt idx="5384">
                  <c:v>35296</c:v>
                </c:pt>
                <c:pt idx="5385">
                  <c:v>35293</c:v>
                </c:pt>
                <c:pt idx="5386">
                  <c:v>35292</c:v>
                </c:pt>
                <c:pt idx="5387">
                  <c:v>35291</c:v>
                </c:pt>
                <c:pt idx="5388">
                  <c:v>35290</c:v>
                </c:pt>
                <c:pt idx="5389">
                  <c:v>35289</c:v>
                </c:pt>
                <c:pt idx="5390">
                  <c:v>35286</c:v>
                </c:pt>
                <c:pt idx="5391">
                  <c:v>35285</c:v>
                </c:pt>
                <c:pt idx="5392">
                  <c:v>35284</c:v>
                </c:pt>
                <c:pt idx="5393">
                  <c:v>35283</c:v>
                </c:pt>
                <c:pt idx="5394">
                  <c:v>35282</c:v>
                </c:pt>
                <c:pt idx="5395">
                  <c:v>35279</c:v>
                </c:pt>
                <c:pt idx="5396">
                  <c:v>35278</c:v>
                </c:pt>
                <c:pt idx="5397">
                  <c:v>35277</c:v>
                </c:pt>
                <c:pt idx="5398">
                  <c:v>35276</c:v>
                </c:pt>
                <c:pt idx="5399">
                  <c:v>35275</c:v>
                </c:pt>
                <c:pt idx="5400">
                  <c:v>35272</c:v>
                </c:pt>
                <c:pt idx="5401">
                  <c:v>35271</c:v>
                </c:pt>
                <c:pt idx="5402">
                  <c:v>35270</c:v>
                </c:pt>
                <c:pt idx="5403">
                  <c:v>35269</c:v>
                </c:pt>
                <c:pt idx="5404">
                  <c:v>35268</c:v>
                </c:pt>
                <c:pt idx="5405">
                  <c:v>35265</c:v>
                </c:pt>
                <c:pt idx="5406">
                  <c:v>35264</c:v>
                </c:pt>
                <c:pt idx="5407">
                  <c:v>35263</c:v>
                </c:pt>
                <c:pt idx="5408">
                  <c:v>35262</c:v>
                </c:pt>
                <c:pt idx="5409">
                  <c:v>35261</c:v>
                </c:pt>
                <c:pt idx="5410">
                  <c:v>35258</c:v>
                </c:pt>
                <c:pt idx="5411">
                  <c:v>35257</c:v>
                </c:pt>
                <c:pt idx="5412">
                  <c:v>35256</c:v>
                </c:pt>
                <c:pt idx="5413">
                  <c:v>35255</c:v>
                </c:pt>
                <c:pt idx="5414">
                  <c:v>35254</c:v>
                </c:pt>
                <c:pt idx="5415">
                  <c:v>35251</c:v>
                </c:pt>
                <c:pt idx="5416">
                  <c:v>35250</c:v>
                </c:pt>
                <c:pt idx="5417">
                  <c:v>35249</c:v>
                </c:pt>
                <c:pt idx="5418">
                  <c:v>35248</c:v>
                </c:pt>
                <c:pt idx="5419">
                  <c:v>35247</c:v>
                </c:pt>
                <c:pt idx="5420">
                  <c:v>35244</c:v>
                </c:pt>
                <c:pt idx="5421">
                  <c:v>35243</c:v>
                </c:pt>
                <c:pt idx="5422">
                  <c:v>35242</c:v>
                </c:pt>
                <c:pt idx="5423">
                  <c:v>35241</c:v>
                </c:pt>
                <c:pt idx="5424">
                  <c:v>35240</c:v>
                </c:pt>
                <c:pt idx="5425">
                  <c:v>35237</c:v>
                </c:pt>
                <c:pt idx="5426">
                  <c:v>35236</c:v>
                </c:pt>
                <c:pt idx="5427">
                  <c:v>35235</c:v>
                </c:pt>
                <c:pt idx="5428">
                  <c:v>35234</c:v>
                </c:pt>
                <c:pt idx="5429">
                  <c:v>35233</c:v>
                </c:pt>
                <c:pt idx="5430">
                  <c:v>35230</c:v>
                </c:pt>
                <c:pt idx="5431">
                  <c:v>35229</c:v>
                </c:pt>
                <c:pt idx="5432">
                  <c:v>35228</c:v>
                </c:pt>
                <c:pt idx="5433">
                  <c:v>35227</c:v>
                </c:pt>
                <c:pt idx="5434">
                  <c:v>35226</c:v>
                </c:pt>
                <c:pt idx="5435">
                  <c:v>35223</c:v>
                </c:pt>
                <c:pt idx="5436">
                  <c:v>35222</c:v>
                </c:pt>
                <c:pt idx="5437">
                  <c:v>35221</c:v>
                </c:pt>
                <c:pt idx="5438">
                  <c:v>35220</c:v>
                </c:pt>
                <c:pt idx="5439">
                  <c:v>35219</c:v>
                </c:pt>
                <c:pt idx="5440">
                  <c:v>35216</c:v>
                </c:pt>
                <c:pt idx="5441">
                  <c:v>35215</c:v>
                </c:pt>
                <c:pt idx="5442">
                  <c:v>35214</c:v>
                </c:pt>
                <c:pt idx="5443">
                  <c:v>35213</c:v>
                </c:pt>
                <c:pt idx="5444">
                  <c:v>35212</c:v>
                </c:pt>
                <c:pt idx="5445">
                  <c:v>35209</c:v>
                </c:pt>
                <c:pt idx="5446">
                  <c:v>35208</c:v>
                </c:pt>
                <c:pt idx="5447">
                  <c:v>35207</c:v>
                </c:pt>
                <c:pt idx="5448">
                  <c:v>35206</c:v>
                </c:pt>
                <c:pt idx="5449">
                  <c:v>35205</c:v>
                </c:pt>
                <c:pt idx="5450">
                  <c:v>35202</c:v>
                </c:pt>
                <c:pt idx="5451">
                  <c:v>35201</c:v>
                </c:pt>
                <c:pt idx="5452">
                  <c:v>35200</c:v>
                </c:pt>
                <c:pt idx="5453">
                  <c:v>35199</c:v>
                </c:pt>
                <c:pt idx="5454">
                  <c:v>35198</c:v>
                </c:pt>
                <c:pt idx="5455">
                  <c:v>35195</c:v>
                </c:pt>
                <c:pt idx="5456">
                  <c:v>35194</c:v>
                </c:pt>
                <c:pt idx="5457">
                  <c:v>35193</c:v>
                </c:pt>
                <c:pt idx="5458">
                  <c:v>35192</c:v>
                </c:pt>
                <c:pt idx="5459">
                  <c:v>35191</c:v>
                </c:pt>
                <c:pt idx="5460">
                  <c:v>35188</c:v>
                </c:pt>
                <c:pt idx="5461">
                  <c:v>35187</c:v>
                </c:pt>
                <c:pt idx="5462">
                  <c:v>35186</c:v>
                </c:pt>
                <c:pt idx="5463">
                  <c:v>35185</c:v>
                </c:pt>
                <c:pt idx="5464">
                  <c:v>35184</c:v>
                </c:pt>
                <c:pt idx="5465">
                  <c:v>35181</c:v>
                </c:pt>
                <c:pt idx="5466">
                  <c:v>35180</c:v>
                </c:pt>
                <c:pt idx="5467">
                  <c:v>35179</c:v>
                </c:pt>
                <c:pt idx="5468">
                  <c:v>35178</c:v>
                </c:pt>
                <c:pt idx="5469">
                  <c:v>35177</c:v>
                </c:pt>
                <c:pt idx="5470">
                  <c:v>35174</c:v>
                </c:pt>
                <c:pt idx="5471">
                  <c:v>35173</c:v>
                </c:pt>
                <c:pt idx="5472">
                  <c:v>35172</c:v>
                </c:pt>
                <c:pt idx="5473">
                  <c:v>35171</c:v>
                </c:pt>
                <c:pt idx="5474">
                  <c:v>35170</c:v>
                </c:pt>
                <c:pt idx="5475">
                  <c:v>35167</c:v>
                </c:pt>
                <c:pt idx="5476">
                  <c:v>35166</c:v>
                </c:pt>
                <c:pt idx="5477">
                  <c:v>35165</c:v>
                </c:pt>
                <c:pt idx="5478">
                  <c:v>35164</c:v>
                </c:pt>
                <c:pt idx="5479">
                  <c:v>35163</c:v>
                </c:pt>
                <c:pt idx="5480">
                  <c:v>35160</c:v>
                </c:pt>
                <c:pt idx="5481">
                  <c:v>35159</c:v>
                </c:pt>
                <c:pt idx="5482">
                  <c:v>35158</c:v>
                </c:pt>
                <c:pt idx="5483">
                  <c:v>35157</c:v>
                </c:pt>
                <c:pt idx="5484">
                  <c:v>35156</c:v>
                </c:pt>
                <c:pt idx="5485">
                  <c:v>35153</c:v>
                </c:pt>
                <c:pt idx="5486">
                  <c:v>35152</c:v>
                </c:pt>
                <c:pt idx="5487">
                  <c:v>35151</c:v>
                </c:pt>
                <c:pt idx="5488">
                  <c:v>35150</c:v>
                </c:pt>
                <c:pt idx="5489">
                  <c:v>35149</c:v>
                </c:pt>
                <c:pt idx="5490">
                  <c:v>35146</c:v>
                </c:pt>
                <c:pt idx="5491">
                  <c:v>35145</c:v>
                </c:pt>
                <c:pt idx="5492">
                  <c:v>35144</c:v>
                </c:pt>
                <c:pt idx="5493">
                  <c:v>35143</c:v>
                </c:pt>
                <c:pt idx="5494">
                  <c:v>35142</c:v>
                </c:pt>
                <c:pt idx="5495">
                  <c:v>35139</c:v>
                </c:pt>
                <c:pt idx="5496">
                  <c:v>35138</c:v>
                </c:pt>
                <c:pt idx="5497">
                  <c:v>35137</c:v>
                </c:pt>
                <c:pt idx="5498">
                  <c:v>35136</c:v>
                </c:pt>
                <c:pt idx="5499">
                  <c:v>35135</c:v>
                </c:pt>
                <c:pt idx="5500">
                  <c:v>35132</c:v>
                </c:pt>
                <c:pt idx="5501">
                  <c:v>35131</c:v>
                </c:pt>
                <c:pt idx="5502">
                  <c:v>35130</c:v>
                </c:pt>
                <c:pt idx="5503">
                  <c:v>35129</c:v>
                </c:pt>
                <c:pt idx="5504">
                  <c:v>35128</c:v>
                </c:pt>
                <c:pt idx="5505">
                  <c:v>35125</c:v>
                </c:pt>
                <c:pt idx="5506">
                  <c:v>35124</c:v>
                </c:pt>
                <c:pt idx="5507">
                  <c:v>35123</c:v>
                </c:pt>
                <c:pt idx="5508">
                  <c:v>35122</c:v>
                </c:pt>
                <c:pt idx="5509">
                  <c:v>35121</c:v>
                </c:pt>
                <c:pt idx="5510">
                  <c:v>35118</c:v>
                </c:pt>
                <c:pt idx="5511">
                  <c:v>35117</c:v>
                </c:pt>
                <c:pt idx="5512">
                  <c:v>35116</c:v>
                </c:pt>
                <c:pt idx="5513">
                  <c:v>35115</c:v>
                </c:pt>
                <c:pt idx="5514">
                  <c:v>35114</c:v>
                </c:pt>
                <c:pt idx="5515">
                  <c:v>35111</c:v>
                </c:pt>
                <c:pt idx="5516">
                  <c:v>35110</c:v>
                </c:pt>
                <c:pt idx="5517">
                  <c:v>35109</c:v>
                </c:pt>
                <c:pt idx="5518">
                  <c:v>35108</c:v>
                </c:pt>
                <c:pt idx="5519">
                  <c:v>35107</c:v>
                </c:pt>
                <c:pt idx="5520">
                  <c:v>35104</c:v>
                </c:pt>
                <c:pt idx="5521">
                  <c:v>35103</c:v>
                </c:pt>
                <c:pt idx="5522">
                  <c:v>35102</c:v>
                </c:pt>
                <c:pt idx="5523">
                  <c:v>35101</c:v>
                </c:pt>
                <c:pt idx="5524">
                  <c:v>35100</c:v>
                </c:pt>
                <c:pt idx="5525">
                  <c:v>35097</c:v>
                </c:pt>
                <c:pt idx="5526">
                  <c:v>35096</c:v>
                </c:pt>
                <c:pt idx="5527">
                  <c:v>35095</c:v>
                </c:pt>
                <c:pt idx="5528">
                  <c:v>35094</c:v>
                </c:pt>
                <c:pt idx="5529">
                  <c:v>35093</c:v>
                </c:pt>
                <c:pt idx="5530">
                  <c:v>35090</c:v>
                </c:pt>
                <c:pt idx="5531">
                  <c:v>35089</c:v>
                </c:pt>
                <c:pt idx="5532">
                  <c:v>35088</c:v>
                </c:pt>
                <c:pt idx="5533">
                  <c:v>35087</c:v>
                </c:pt>
                <c:pt idx="5534">
                  <c:v>35086</c:v>
                </c:pt>
                <c:pt idx="5535">
                  <c:v>35083</c:v>
                </c:pt>
                <c:pt idx="5536">
                  <c:v>35082</c:v>
                </c:pt>
                <c:pt idx="5537">
                  <c:v>35081</c:v>
                </c:pt>
                <c:pt idx="5538">
                  <c:v>35080</c:v>
                </c:pt>
                <c:pt idx="5539">
                  <c:v>35079</c:v>
                </c:pt>
                <c:pt idx="5540">
                  <c:v>35076</c:v>
                </c:pt>
                <c:pt idx="5541">
                  <c:v>35075</c:v>
                </c:pt>
                <c:pt idx="5542">
                  <c:v>35074</c:v>
                </c:pt>
                <c:pt idx="5543">
                  <c:v>35073</c:v>
                </c:pt>
                <c:pt idx="5544">
                  <c:v>35072</c:v>
                </c:pt>
                <c:pt idx="5545">
                  <c:v>35069</c:v>
                </c:pt>
                <c:pt idx="5546">
                  <c:v>35068</c:v>
                </c:pt>
                <c:pt idx="5547">
                  <c:v>35067</c:v>
                </c:pt>
                <c:pt idx="5548">
                  <c:v>35066</c:v>
                </c:pt>
                <c:pt idx="5549">
                  <c:v>35065</c:v>
                </c:pt>
                <c:pt idx="5550">
                  <c:v>35062</c:v>
                </c:pt>
                <c:pt idx="5551">
                  <c:v>35061</c:v>
                </c:pt>
                <c:pt idx="5552">
                  <c:v>35060</c:v>
                </c:pt>
                <c:pt idx="5553">
                  <c:v>35059</c:v>
                </c:pt>
                <c:pt idx="5554">
                  <c:v>35058</c:v>
                </c:pt>
                <c:pt idx="5555">
                  <c:v>35055</c:v>
                </c:pt>
                <c:pt idx="5556">
                  <c:v>35054</c:v>
                </c:pt>
                <c:pt idx="5557">
                  <c:v>35053</c:v>
                </c:pt>
                <c:pt idx="5558">
                  <c:v>35052</c:v>
                </c:pt>
                <c:pt idx="5559">
                  <c:v>35051</c:v>
                </c:pt>
                <c:pt idx="5560">
                  <c:v>35048</c:v>
                </c:pt>
                <c:pt idx="5561">
                  <c:v>35047</c:v>
                </c:pt>
                <c:pt idx="5562">
                  <c:v>35046</c:v>
                </c:pt>
                <c:pt idx="5563">
                  <c:v>35045</c:v>
                </c:pt>
                <c:pt idx="5564">
                  <c:v>35044</c:v>
                </c:pt>
                <c:pt idx="5565">
                  <c:v>35041</c:v>
                </c:pt>
                <c:pt idx="5566">
                  <c:v>35040</c:v>
                </c:pt>
                <c:pt idx="5567">
                  <c:v>35039</c:v>
                </c:pt>
                <c:pt idx="5568">
                  <c:v>35038</c:v>
                </c:pt>
                <c:pt idx="5569">
                  <c:v>35037</c:v>
                </c:pt>
                <c:pt idx="5570">
                  <c:v>35034</c:v>
                </c:pt>
                <c:pt idx="5571">
                  <c:v>35033</c:v>
                </c:pt>
                <c:pt idx="5572">
                  <c:v>35032</c:v>
                </c:pt>
                <c:pt idx="5573">
                  <c:v>35031</c:v>
                </c:pt>
                <c:pt idx="5574">
                  <c:v>35030</c:v>
                </c:pt>
                <c:pt idx="5575">
                  <c:v>35027</c:v>
                </c:pt>
                <c:pt idx="5576">
                  <c:v>35026</c:v>
                </c:pt>
                <c:pt idx="5577">
                  <c:v>35025</c:v>
                </c:pt>
                <c:pt idx="5578">
                  <c:v>35024</c:v>
                </c:pt>
                <c:pt idx="5579">
                  <c:v>35023</c:v>
                </c:pt>
                <c:pt idx="5580">
                  <c:v>35020</c:v>
                </c:pt>
                <c:pt idx="5581">
                  <c:v>35019</c:v>
                </c:pt>
                <c:pt idx="5582">
                  <c:v>35018</c:v>
                </c:pt>
                <c:pt idx="5583">
                  <c:v>35017</c:v>
                </c:pt>
                <c:pt idx="5584">
                  <c:v>35016</c:v>
                </c:pt>
                <c:pt idx="5585">
                  <c:v>35013</c:v>
                </c:pt>
                <c:pt idx="5586">
                  <c:v>35012</c:v>
                </c:pt>
                <c:pt idx="5587">
                  <c:v>35011</c:v>
                </c:pt>
                <c:pt idx="5588">
                  <c:v>35010</c:v>
                </c:pt>
                <c:pt idx="5589">
                  <c:v>35009</c:v>
                </c:pt>
                <c:pt idx="5590">
                  <c:v>35006</c:v>
                </c:pt>
                <c:pt idx="5591">
                  <c:v>35005</c:v>
                </c:pt>
                <c:pt idx="5592">
                  <c:v>35004</c:v>
                </c:pt>
                <c:pt idx="5593">
                  <c:v>35003</c:v>
                </c:pt>
                <c:pt idx="5594">
                  <c:v>35002</c:v>
                </c:pt>
                <c:pt idx="5595">
                  <c:v>34999</c:v>
                </c:pt>
                <c:pt idx="5596">
                  <c:v>34998</c:v>
                </c:pt>
                <c:pt idx="5597">
                  <c:v>34997</c:v>
                </c:pt>
                <c:pt idx="5598">
                  <c:v>34996</c:v>
                </c:pt>
                <c:pt idx="5599">
                  <c:v>34995</c:v>
                </c:pt>
                <c:pt idx="5600">
                  <c:v>34992</c:v>
                </c:pt>
                <c:pt idx="5601">
                  <c:v>34991</c:v>
                </c:pt>
                <c:pt idx="5602">
                  <c:v>34990</c:v>
                </c:pt>
                <c:pt idx="5603">
                  <c:v>34989</c:v>
                </c:pt>
                <c:pt idx="5604">
                  <c:v>34988</c:v>
                </c:pt>
                <c:pt idx="5605">
                  <c:v>34985</c:v>
                </c:pt>
                <c:pt idx="5606">
                  <c:v>34984</c:v>
                </c:pt>
                <c:pt idx="5607">
                  <c:v>34983</c:v>
                </c:pt>
                <c:pt idx="5608">
                  <c:v>34982</c:v>
                </c:pt>
                <c:pt idx="5609">
                  <c:v>34981</c:v>
                </c:pt>
                <c:pt idx="5610">
                  <c:v>34978</c:v>
                </c:pt>
                <c:pt idx="5611">
                  <c:v>34977</c:v>
                </c:pt>
                <c:pt idx="5612">
                  <c:v>34976</c:v>
                </c:pt>
                <c:pt idx="5613">
                  <c:v>34975</c:v>
                </c:pt>
                <c:pt idx="5614">
                  <c:v>34974</c:v>
                </c:pt>
                <c:pt idx="5615">
                  <c:v>34971</c:v>
                </c:pt>
                <c:pt idx="5616">
                  <c:v>34970</c:v>
                </c:pt>
                <c:pt idx="5617">
                  <c:v>34969</c:v>
                </c:pt>
                <c:pt idx="5618">
                  <c:v>34968</c:v>
                </c:pt>
                <c:pt idx="5619">
                  <c:v>34967</c:v>
                </c:pt>
                <c:pt idx="5620">
                  <c:v>34964</c:v>
                </c:pt>
                <c:pt idx="5621">
                  <c:v>34963</c:v>
                </c:pt>
                <c:pt idx="5622">
                  <c:v>34962</c:v>
                </c:pt>
                <c:pt idx="5623">
                  <c:v>34961</c:v>
                </c:pt>
                <c:pt idx="5624">
                  <c:v>34960</c:v>
                </c:pt>
                <c:pt idx="5625">
                  <c:v>34957</c:v>
                </c:pt>
                <c:pt idx="5626">
                  <c:v>34956</c:v>
                </c:pt>
                <c:pt idx="5627">
                  <c:v>34955</c:v>
                </c:pt>
                <c:pt idx="5628">
                  <c:v>34954</c:v>
                </c:pt>
                <c:pt idx="5629">
                  <c:v>34953</c:v>
                </c:pt>
                <c:pt idx="5630">
                  <c:v>34950</c:v>
                </c:pt>
                <c:pt idx="5631">
                  <c:v>34949</c:v>
                </c:pt>
                <c:pt idx="5632">
                  <c:v>34948</c:v>
                </c:pt>
                <c:pt idx="5633">
                  <c:v>34947</c:v>
                </c:pt>
                <c:pt idx="5634">
                  <c:v>34946</c:v>
                </c:pt>
                <c:pt idx="5635">
                  <c:v>34943</c:v>
                </c:pt>
                <c:pt idx="5636">
                  <c:v>34942</c:v>
                </c:pt>
                <c:pt idx="5637">
                  <c:v>34941</c:v>
                </c:pt>
                <c:pt idx="5638">
                  <c:v>34940</c:v>
                </c:pt>
                <c:pt idx="5639">
                  <c:v>34939</c:v>
                </c:pt>
                <c:pt idx="5640">
                  <c:v>34936</c:v>
                </c:pt>
                <c:pt idx="5641">
                  <c:v>34935</c:v>
                </c:pt>
                <c:pt idx="5642">
                  <c:v>34934</c:v>
                </c:pt>
                <c:pt idx="5643">
                  <c:v>34933</c:v>
                </c:pt>
                <c:pt idx="5644">
                  <c:v>34932</c:v>
                </c:pt>
                <c:pt idx="5645">
                  <c:v>34929</c:v>
                </c:pt>
                <c:pt idx="5646">
                  <c:v>34928</c:v>
                </c:pt>
                <c:pt idx="5647">
                  <c:v>34927</c:v>
                </c:pt>
                <c:pt idx="5648">
                  <c:v>34926</c:v>
                </c:pt>
                <c:pt idx="5649">
                  <c:v>34925</c:v>
                </c:pt>
                <c:pt idx="5650">
                  <c:v>34922</c:v>
                </c:pt>
                <c:pt idx="5651">
                  <c:v>34921</c:v>
                </c:pt>
                <c:pt idx="5652">
                  <c:v>34920</c:v>
                </c:pt>
                <c:pt idx="5653">
                  <c:v>34919</c:v>
                </c:pt>
                <c:pt idx="5654">
                  <c:v>34918</c:v>
                </c:pt>
                <c:pt idx="5655">
                  <c:v>34915</c:v>
                </c:pt>
                <c:pt idx="5656">
                  <c:v>34914</c:v>
                </c:pt>
                <c:pt idx="5657">
                  <c:v>34913</c:v>
                </c:pt>
                <c:pt idx="5658">
                  <c:v>34912</c:v>
                </c:pt>
                <c:pt idx="5659">
                  <c:v>34911</c:v>
                </c:pt>
                <c:pt idx="5660">
                  <c:v>34908</c:v>
                </c:pt>
                <c:pt idx="5661">
                  <c:v>34907</c:v>
                </c:pt>
                <c:pt idx="5662">
                  <c:v>34906</c:v>
                </c:pt>
                <c:pt idx="5663">
                  <c:v>34905</c:v>
                </c:pt>
                <c:pt idx="5664">
                  <c:v>34904</c:v>
                </c:pt>
              </c:numCache>
            </c:numRef>
          </c:cat>
          <c:val>
            <c:numRef>
              <c:f>'Stock Returns'!$D$2:$D$5666</c:f>
              <c:numCache>
                <c:formatCode>0.00</c:formatCode>
                <c:ptCount val="5665"/>
                <c:pt idx="0">
                  <c:v>4456.5523199999998</c:v>
                </c:pt>
                <c:pt idx="1">
                  <c:v>4484.6098000000002</c:v>
                </c:pt>
                <c:pt idx="2">
                  <c:v>4475.7741599999999</c:v>
                </c:pt>
                <c:pt idx="3">
                  <c:v>4577.2666799999997</c:v>
                </c:pt>
                <c:pt idx="4">
                  <c:v>4540.42893</c:v>
                </c:pt>
                <c:pt idx="5">
                  <c:v>4613.1795899999997</c:v>
                </c:pt>
                <c:pt idx="6">
                  <c:v>4674.4022100000002</c:v>
                </c:pt>
                <c:pt idx="7">
                  <c:v>4659.4570300000005</c:v>
                </c:pt>
                <c:pt idx="8">
                  <c:v>4696.14545</c:v>
                </c:pt>
                <c:pt idx="9">
                  <c:v>4685.06484</c:v>
                </c:pt>
                <c:pt idx="10">
                  <c:v>4545.8936300000005</c:v>
                </c:pt>
                <c:pt idx="11">
                  <c:v>4542.8169600000001</c:v>
                </c:pt>
                <c:pt idx="12">
                  <c:v>4508.2915199999998</c:v>
                </c:pt>
                <c:pt idx="13">
                  <c:v>4451.5811999999996</c:v>
                </c:pt>
                <c:pt idx="14">
                  <c:v>4549.7005399999998</c:v>
                </c:pt>
                <c:pt idx="15">
                  <c:v>4417.3149999999996</c:v>
                </c:pt>
                <c:pt idx="16">
                  <c:v>4452.6008999999995</c:v>
                </c:pt>
                <c:pt idx="17">
                  <c:v>4431.75569</c:v>
                </c:pt>
                <c:pt idx="18">
                  <c:v>4502.0404799999997</c:v>
                </c:pt>
                <c:pt idx="19">
                  <c:v>4506.0854399999998</c:v>
                </c:pt>
                <c:pt idx="20">
                  <c:v>4546.5926399999998</c:v>
                </c:pt>
                <c:pt idx="21">
                  <c:v>4510.9507799999992</c:v>
                </c:pt>
                <c:pt idx="22">
                  <c:v>4553.1954900000001</c:v>
                </c:pt>
                <c:pt idx="23">
                  <c:v>4553.3184000000001</c:v>
                </c:pt>
                <c:pt idx="24">
                  <c:v>4561.9528499999997</c:v>
                </c:pt>
                <c:pt idx="25">
                  <c:v>4585.8958599999996</c:v>
                </c:pt>
                <c:pt idx="26">
                  <c:v>4572.0878000000002</c:v>
                </c:pt>
                <c:pt idx="27">
                  <c:v>4598.7871999999998</c:v>
                </c:pt>
                <c:pt idx="28">
                  <c:v>4600.5092999999997</c:v>
                </c:pt>
                <c:pt idx="29">
                  <c:v>4618.2652399999997</c:v>
                </c:pt>
                <c:pt idx="30">
                  <c:v>4585.8506399999997</c:v>
                </c:pt>
                <c:pt idx="31">
                  <c:v>4558.2654199999997</c:v>
                </c:pt>
                <c:pt idx="32">
                  <c:v>4597.3080899999995</c:v>
                </c:pt>
                <c:pt idx="33">
                  <c:v>4588.5642499999994</c:v>
                </c:pt>
                <c:pt idx="34">
                  <c:v>4483.4541600000002</c:v>
                </c:pt>
                <c:pt idx="35">
                  <c:v>4546.0508000000009</c:v>
                </c:pt>
                <c:pt idx="36">
                  <c:v>4544.1900400000004</c:v>
                </c:pt>
                <c:pt idx="37">
                  <c:v>4534.4590200000002</c:v>
                </c:pt>
                <c:pt idx="38">
                  <c:v>4565.3648800000001</c:v>
                </c:pt>
                <c:pt idx="39">
                  <c:v>4555.8240000000005</c:v>
                </c:pt>
                <c:pt idx="40">
                  <c:v>4530.5586600000006</c:v>
                </c:pt>
                <c:pt idx="41">
                  <c:v>4446.6353399999998</c:v>
                </c:pt>
                <c:pt idx="42">
                  <c:v>4391.6717099999996</c:v>
                </c:pt>
                <c:pt idx="43">
                  <c:v>4364.4623000000001</c:v>
                </c:pt>
                <c:pt idx="44">
                  <c:v>4319.14725</c:v>
                </c:pt>
                <c:pt idx="45">
                  <c:v>4310.6386400000001</c:v>
                </c:pt>
                <c:pt idx="46">
                  <c:v>4298.5252799999998</c:v>
                </c:pt>
                <c:pt idx="47">
                  <c:v>4273.2480599999999</c:v>
                </c:pt>
                <c:pt idx="48">
                  <c:v>4272.6978799999997</c:v>
                </c:pt>
                <c:pt idx="49">
                  <c:v>4180.3688699999993</c:v>
                </c:pt>
                <c:pt idx="50">
                  <c:v>4195.5258599999997</c:v>
                </c:pt>
                <c:pt idx="51">
                  <c:v>4137.88292</c:v>
                </c:pt>
                <c:pt idx="52">
                  <c:v>4124.1088800000007</c:v>
                </c:pt>
                <c:pt idx="53">
                  <c:v>4129.1366399999997</c:v>
                </c:pt>
                <c:pt idx="54">
                  <c:v>4156.8925799999997</c:v>
                </c:pt>
                <c:pt idx="55">
                  <c:v>4172.59584</c:v>
                </c:pt>
                <c:pt idx="56">
                  <c:v>4192.4257899999993</c:v>
                </c:pt>
                <c:pt idx="57">
                  <c:v>4207.4729299999999</c:v>
                </c:pt>
                <c:pt idx="58">
                  <c:v>4264.8076799999999</c:v>
                </c:pt>
                <c:pt idx="59">
                  <c:v>4187.3451500000001</c:v>
                </c:pt>
                <c:pt idx="60">
                  <c:v>4154.3936000000003</c:v>
                </c:pt>
                <c:pt idx="61">
                  <c:v>4166.30368</c:v>
                </c:pt>
                <c:pt idx="62">
                  <c:v>4245.7837</c:v>
                </c:pt>
                <c:pt idx="63">
                  <c:v>4292.7302299999992</c:v>
                </c:pt>
                <c:pt idx="64">
                  <c:v>4284.4297999999999</c:v>
                </c:pt>
                <c:pt idx="65">
                  <c:v>4289.9472000000005</c:v>
                </c:pt>
                <c:pt idx="66">
                  <c:v>4300.7646599999998</c:v>
                </c:pt>
                <c:pt idx="67">
                  <c:v>4265.4311499999994</c:v>
                </c:pt>
                <c:pt idx="68">
                  <c:v>4255.2157199999992</c:v>
                </c:pt>
                <c:pt idx="69">
                  <c:v>4365.0281999999997</c:v>
                </c:pt>
                <c:pt idx="70">
                  <c:v>4322.6644200000001</c:v>
                </c:pt>
                <c:pt idx="71">
                  <c:v>4253.5760399999999</c:v>
                </c:pt>
                <c:pt idx="72">
                  <c:v>4229.66086</c:v>
                </c:pt>
                <c:pt idx="73">
                  <c:v>4238.7972099999997</c:v>
                </c:pt>
                <c:pt idx="74">
                  <c:v>4264.5300300000008</c:v>
                </c:pt>
                <c:pt idx="75">
                  <c:v>4291.0331600000009</c:v>
                </c:pt>
                <c:pt idx="76">
                  <c:v>4300.4050999999999</c:v>
                </c:pt>
                <c:pt idx="77">
                  <c:v>4280.826</c:v>
                </c:pt>
                <c:pt idx="78">
                  <c:v>4315.9658999999992</c:v>
                </c:pt>
                <c:pt idx="79">
                  <c:v>4348.8235599999998</c:v>
                </c:pt>
                <c:pt idx="80">
                  <c:v>4385.6166000000003</c:v>
                </c:pt>
                <c:pt idx="81">
                  <c:v>4403.4897600000004</c:v>
                </c:pt>
                <c:pt idx="82">
                  <c:v>4361.7472800000005</c:v>
                </c:pt>
                <c:pt idx="83">
                  <c:v>4282.60617</c:v>
                </c:pt>
                <c:pt idx="84">
                  <c:v>4206.25929</c:v>
                </c:pt>
                <c:pt idx="85">
                  <c:v>4290.2475000000004</c:v>
                </c:pt>
                <c:pt idx="86">
                  <c:v>4317.6442799999995</c:v>
                </c:pt>
                <c:pt idx="87">
                  <c:v>4352.57492</c:v>
                </c:pt>
                <c:pt idx="88">
                  <c:v>4314.7862400000004</c:v>
                </c:pt>
                <c:pt idx="89">
                  <c:v>4339.3047400000005</c:v>
                </c:pt>
                <c:pt idx="90">
                  <c:v>4336.7956800000002</c:v>
                </c:pt>
                <c:pt idx="91">
                  <c:v>4338.5508200000004</c:v>
                </c:pt>
                <c:pt idx="92">
                  <c:v>4392.75216</c:v>
                </c:pt>
                <c:pt idx="93">
                  <c:v>4388.8761599999998</c:v>
                </c:pt>
                <c:pt idx="94">
                  <c:v>4391.7025000000003</c:v>
                </c:pt>
                <c:pt idx="95">
                  <c:v>4421.8010100000001</c:v>
                </c:pt>
                <c:pt idx="96">
                  <c:v>4416.7510499999999</c:v>
                </c:pt>
                <c:pt idx="97">
                  <c:v>4428.9351699999997</c:v>
                </c:pt>
                <c:pt idx="98">
                  <c:v>4472.1612599999999</c:v>
                </c:pt>
                <c:pt idx="99">
                  <c:v>4482.7259999999997</c:v>
                </c:pt>
                <c:pt idx="100">
                  <c:v>4505.869200000001</c:v>
                </c:pt>
                <c:pt idx="101">
                  <c:v>4486.3702800000001</c:v>
                </c:pt>
                <c:pt idx="102">
                  <c:v>4491.5705999999991</c:v>
                </c:pt>
                <c:pt idx="103">
                  <c:v>4492.6466099999998</c:v>
                </c:pt>
                <c:pt idx="104">
                  <c:v>4498.5866099999994</c:v>
                </c:pt>
                <c:pt idx="105">
                  <c:v>4488.7045200000002</c:v>
                </c:pt>
                <c:pt idx="106">
                  <c:v>4503.0792600000004</c:v>
                </c:pt>
                <c:pt idx="107">
                  <c:v>4473.6512400000001</c:v>
                </c:pt>
                <c:pt idx="108">
                  <c:v>4475.4940800000004</c:v>
                </c:pt>
                <c:pt idx="109">
                  <c:v>4498.7619000000004</c:v>
                </c:pt>
                <c:pt idx="110">
                  <c:v>4465.0649999999996</c:v>
                </c:pt>
                <c:pt idx="111">
                  <c:v>4437.8276400000004</c:v>
                </c:pt>
                <c:pt idx="112">
                  <c:v>4489.1476499999999</c:v>
                </c:pt>
                <c:pt idx="113">
                  <c:v>4419.75</c:v>
                </c:pt>
                <c:pt idx="114">
                  <c:v>4415.1019999999999</c:v>
                </c:pt>
                <c:pt idx="115">
                  <c:v>4380.2555299999995</c:v>
                </c:pt>
                <c:pt idx="116">
                  <c:v>4371.0258199999998</c:v>
                </c:pt>
                <c:pt idx="117">
                  <c:v>4368.0111200000001</c:v>
                </c:pt>
                <c:pt idx="118">
                  <c:v>4365.8841599999996</c:v>
                </c:pt>
                <c:pt idx="119">
                  <c:v>4327.5267000000003</c:v>
                </c:pt>
                <c:pt idx="120">
                  <c:v>4389.3018000000002</c:v>
                </c:pt>
                <c:pt idx="121">
                  <c:v>4488.9532499999996</c:v>
                </c:pt>
                <c:pt idx="122">
                  <c:v>4416.8435100000006</c:v>
                </c:pt>
                <c:pt idx="123">
                  <c:v>4493.1552599999995</c:v>
                </c:pt>
                <c:pt idx="124">
                  <c:v>4504.7871899999991</c:v>
                </c:pt>
                <c:pt idx="125">
                  <c:v>4529.5109400000001</c:v>
                </c:pt>
                <c:pt idx="126">
                  <c:v>4518.4083300000002</c:v>
                </c:pt>
                <c:pt idx="127">
                  <c:v>4567.0564199999999</c:v>
                </c:pt>
                <c:pt idx="128">
                  <c:v>4546.5151999999998</c:v>
                </c:pt>
                <c:pt idx="129">
                  <c:v>4569.3256000000001</c:v>
                </c:pt>
                <c:pt idx="130">
                  <c:v>4604.5924399999994</c:v>
                </c:pt>
                <c:pt idx="131">
                  <c:v>4664.2145200000004</c:v>
                </c:pt>
                <c:pt idx="132">
                  <c:v>4632.3268600000001</c:v>
                </c:pt>
                <c:pt idx="133">
                  <c:v>4653.71101</c:v>
                </c:pt>
                <c:pt idx="134">
                  <c:v>4669.0277999999998</c:v>
                </c:pt>
                <c:pt idx="135">
                  <c:v>4730.0568600000006</c:v>
                </c:pt>
                <c:pt idx="136">
                  <c:v>4736.6586800000005</c:v>
                </c:pt>
                <c:pt idx="137">
                  <c:v>4728.6838500000003</c:v>
                </c:pt>
                <c:pt idx="138">
                  <c:v>4763.6359199999997</c:v>
                </c:pt>
                <c:pt idx="139">
                  <c:v>4763.5870500000001</c:v>
                </c:pt>
                <c:pt idx="140">
                  <c:v>4815.3756600000006</c:v>
                </c:pt>
                <c:pt idx="141">
                  <c:v>4828.4346600000008</c:v>
                </c:pt>
                <c:pt idx="142">
                  <c:v>4812.2931900000003</c:v>
                </c:pt>
                <c:pt idx="143">
                  <c:v>4847.4687599999997</c:v>
                </c:pt>
                <c:pt idx="144">
                  <c:v>4812.951</c:v>
                </c:pt>
                <c:pt idx="145">
                  <c:v>4831.6781000000001</c:v>
                </c:pt>
                <c:pt idx="146">
                  <c:v>4820.9559300000001</c:v>
                </c:pt>
                <c:pt idx="147">
                  <c:v>4851.8025800000005</c:v>
                </c:pt>
                <c:pt idx="148">
                  <c:v>4950.62165</c:v>
                </c:pt>
                <c:pt idx="149">
                  <c:v>4891.1702400000004</c:v>
                </c:pt>
                <c:pt idx="150">
                  <c:v>4921.5373199999995</c:v>
                </c:pt>
                <c:pt idx="151">
                  <c:v>4947.2222400000001</c:v>
                </c:pt>
                <c:pt idx="152">
                  <c:v>4970.7955199999997</c:v>
                </c:pt>
                <c:pt idx="153">
                  <c:v>4972.9269600000007</c:v>
                </c:pt>
                <c:pt idx="154">
                  <c:v>4937.8628699999999</c:v>
                </c:pt>
                <c:pt idx="155">
                  <c:v>5001.4370400000007</c:v>
                </c:pt>
                <c:pt idx="156">
                  <c:v>4965.051449999999</c:v>
                </c:pt>
                <c:pt idx="157">
                  <c:v>4956.7576200000003</c:v>
                </c:pt>
                <c:pt idx="158">
                  <c:v>4945.5697199999995</c:v>
                </c:pt>
                <c:pt idx="159">
                  <c:v>4913.2957400000005</c:v>
                </c:pt>
                <c:pt idx="160">
                  <c:v>4873.4707499999995</c:v>
                </c:pt>
                <c:pt idx="161">
                  <c:v>4862.7053999999998</c:v>
                </c:pt>
                <c:pt idx="162">
                  <c:v>4836.94337</c:v>
                </c:pt>
                <c:pt idx="163">
                  <c:v>4852.2852199999998</c:v>
                </c:pt>
                <c:pt idx="164">
                  <c:v>4776.5120999999999</c:v>
                </c:pt>
                <c:pt idx="165">
                  <c:v>4752.6263200000003</c:v>
                </c:pt>
                <c:pt idx="166">
                  <c:v>4817.0695999999998</c:v>
                </c:pt>
                <c:pt idx="167">
                  <c:v>4833.4728000000005</c:v>
                </c:pt>
                <c:pt idx="168">
                  <c:v>4851.4012600000005</c:v>
                </c:pt>
                <c:pt idx="169">
                  <c:v>4825.0157199999994</c:v>
                </c:pt>
                <c:pt idx="170">
                  <c:v>4861.8499999999995</c:v>
                </c:pt>
                <c:pt idx="171">
                  <c:v>4883.7242999999999</c:v>
                </c:pt>
                <c:pt idx="172">
                  <c:v>4880.6772000000001</c:v>
                </c:pt>
                <c:pt idx="173">
                  <c:v>4850.7311999999993</c:v>
                </c:pt>
                <c:pt idx="174">
                  <c:v>4885.8023999999996</c:v>
                </c:pt>
                <c:pt idx="175">
                  <c:v>4933.5806000000002</c:v>
                </c:pt>
                <c:pt idx="176">
                  <c:v>4922.2930200000001</c:v>
                </c:pt>
                <c:pt idx="177">
                  <c:v>4888.5352199999998</c:v>
                </c:pt>
                <c:pt idx="178">
                  <c:v>4803.2694500000007</c:v>
                </c:pt>
                <c:pt idx="179">
                  <c:v>4805.3092599999991</c:v>
                </c:pt>
                <c:pt idx="180">
                  <c:v>4798.1965799999998</c:v>
                </c:pt>
                <c:pt idx="181">
                  <c:v>4857.5030399999996</c:v>
                </c:pt>
                <c:pt idx="182">
                  <c:v>4821.8629300000002</c:v>
                </c:pt>
                <c:pt idx="183">
                  <c:v>4814.1205500000005</c:v>
                </c:pt>
                <c:pt idx="184">
                  <c:v>4802.0828199999996</c:v>
                </c:pt>
                <c:pt idx="185">
                  <c:v>4793.2684800000006</c:v>
                </c:pt>
                <c:pt idx="186">
                  <c:v>4788.4537199999995</c:v>
                </c:pt>
                <c:pt idx="187">
                  <c:v>4778.0257499999998</c:v>
                </c:pt>
                <c:pt idx="188">
                  <c:v>4851.2452699999994</c:v>
                </c:pt>
                <c:pt idx="189">
                  <c:v>4886.9859499999993</c:v>
                </c:pt>
                <c:pt idx="190">
                  <c:v>4893.4925000000003</c:v>
                </c:pt>
                <c:pt idx="191">
                  <c:v>4873.9891199999993</c:v>
                </c:pt>
                <c:pt idx="192">
                  <c:v>4877.1275999999998</c:v>
                </c:pt>
                <c:pt idx="193">
                  <c:v>4795.3027999999995</c:v>
                </c:pt>
                <c:pt idx="194">
                  <c:v>4812.9643999999998</c:v>
                </c:pt>
                <c:pt idx="195">
                  <c:v>4891.3333300000004</c:v>
                </c:pt>
                <c:pt idx="196">
                  <c:v>4894.9199400000007</c:v>
                </c:pt>
                <c:pt idx="197">
                  <c:v>4905.0160000000005</c:v>
                </c:pt>
                <c:pt idx="198">
                  <c:v>4908.5348000000004</c:v>
                </c:pt>
                <c:pt idx="199">
                  <c:v>4916.14995</c:v>
                </c:pt>
                <c:pt idx="200">
                  <c:v>4896.5182500000001</c:v>
                </c:pt>
                <c:pt idx="201">
                  <c:v>4940.5186999999996</c:v>
                </c:pt>
                <c:pt idx="202">
                  <c:v>4895.0273799999995</c:v>
                </c:pt>
                <c:pt idx="203">
                  <c:v>4945.9610599999996</c:v>
                </c:pt>
                <c:pt idx="204">
                  <c:v>4983.1046100000003</c:v>
                </c:pt>
                <c:pt idx="205">
                  <c:v>5012.6897400000007</c:v>
                </c:pt>
                <c:pt idx="206">
                  <c:v>5084.0712000000003</c:v>
                </c:pt>
                <c:pt idx="207">
                  <c:v>5113.6704</c:v>
                </c:pt>
                <c:pt idx="208">
                  <c:v>5128.3907199999994</c:v>
                </c:pt>
                <c:pt idx="209">
                  <c:v>5099.0048000000006</c:v>
                </c:pt>
                <c:pt idx="210">
                  <c:v>5078.0645999999997</c:v>
                </c:pt>
                <c:pt idx="211">
                  <c:v>5048.9630400000005</c:v>
                </c:pt>
                <c:pt idx="212">
                  <c:v>5113.1080700000002</c:v>
                </c:pt>
                <c:pt idx="213">
                  <c:v>5146.0012500000003</c:v>
                </c:pt>
                <c:pt idx="214">
                  <c:v>5126.1502499999997</c:v>
                </c:pt>
                <c:pt idx="215">
                  <c:v>5151.3493500000004</c:v>
                </c:pt>
                <c:pt idx="216">
                  <c:v>5166.8265599999995</c:v>
                </c:pt>
                <c:pt idx="217">
                  <c:v>5145.1719499999999</c:v>
                </c:pt>
                <c:pt idx="218">
                  <c:v>5135.7244799999999</c:v>
                </c:pt>
                <c:pt idx="219">
                  <c:v>5095.1212800000003</c:v>
                </c:pt>
                <c:pt idx="220">
                  <c:v>5102.3348900000001</c:v>
                </c:pt>
                <c:pt idx="221">
                  <c:v>5050.8450600000006</c:v>
                </c:pt>
                <c:pt idx="222">
                  <c:v>5042.0560799999994</c:v>
                </c:pt>
                <c:pt idx="223">
                  <c:v>5025.5019000000002</c:v>
                </c:pt>
                <c:pt idx="224">
                  <c:v>5088.3472999999994</c:v>
                </c:pt>
                <c:pt idx="225">
                  <c:v>5135.5145199999997</c:v>
                </c:pt>
                <c:pt idx="226">
                  <c:v>5119.9897499999997</c:v>
                </c:pt>
                <c:pt idx="227">
                  <c:v>5123.7725799999998</c:v>
                </c:pt>
                <c:pt idx="228">
                  <c:v>5077.3639599999997</c:v>
                </c:pt>
                <c:pt idx="229">
                  <c:v>5088.9195199999995</c:v>
                </c:pt>
                <c:pt idx="230">
                  <c:v>5095.0670399999999</c:v>
                </c:pt>
                <c:pt idx="231">
                  <c:v>5037.3558599999997</c:v>
                </c:pt>
                <c:pt idx="232">
                  <c:v>5077.4208199999994</c:v>
                </c:pt>
                <c:pt idx="233">
                  <c:v>5067.8291599999993</c:v>
                </c:pt>
                <c:pt idx="234">
                  <c:v>5061.8419400000002</c:v>
                </c:pt>
                <c:pt idx="235">
                  <c:v>5053.2171200000003</c:v>
                </c:pt>
                <c:pt idx="236">
                  <c:v>5087.2978800000001</c:v>
                </c:pt>
                <c:pt idx="237">
                  <c:v>5126.1303800000005</c:v>
                </c:pt>
                <c:pt idx="238">
                  <c:v>5149.1266100000003</c:v>
                </c:pt>
                <c:pt idx="239">
                  <c:v>5160.4230000000007</c:v>
                </c:pt>
                <c:pt idx="240">
                  <c:v>5136.5200199999999</c:v>
                </c:pt>
                <c:pt idx="241">
                  <c:v>5101.2283000000007</c:v>
                </c:pt>
                <c:pt idx="242">
                  <c:v>5077.8602000000001</c:v>
                </c:pt>
                <c:pt idx="243">
                  <c:v>5041.4210300000004</c:v>
                </c:pt>
                <c:pt idx="244">
                  <c:v>5024.4965000000002</c:v>
                </c:pt>
                <c:pt idx="245">
                  <c:v>5029.3276499999993</c:v>
                </c:pt>
                <c:pt idx="246">
                  <c:v>5109.3983200000002</c:v>
                </c:pt>
                <c:pt idx="247">
                  <c:v>5151.9520000000002</c:v>
                </c:pt>
                <c:pt idx="248">
                  <c:v>5132.6937200000002</c:v>
                </c:pt>
                <c:pt idx="249">
                  <c:v>5082.7176400000008</c:v>
                </c:pt>
                <c:pt idx="250">
                  <c:v>5098.62266</c:v>
                </c:pt>
                <c:pt idx="251">
                  <c:v>5118.0386399999998</c:v>
                </c:pt>
                <c:pt idx="252">
                  <c:v>5078.2731299999996</c:v>
                </c:pt>
                <c:pt idx="253">
                  <c:v>5061.8114400000004</c:v>
                </c:pt>
                <c:pt idx="254">
                  <c:v>5062.6144800000002</c:v>
                </c:pt>
                <c:pt idx="255">
                  <c:v>5064.6382400000002</c:v>
                </c:pt>
                <c:pt idx="256">
                  <c:v>5038.4457199999997</c:v>
                </c:pt>
                <c:pt idx="257">
                  <c:v>4995.9233800000002</c:v>
                </c:pt>
                <c:pt idx="258">
                  <c:v>5038.0616000000009</c:v>
                </c:pt>
                <c:pt idx="259">
                  <c:v>4995.057600000001</c:v>
                </c:pt>
                <c:pt idx="260">
                  <c:v>5021.8084799999997</c:v>
                </c:pt>
                <c:pt idx="261">
                  <c:v>5009.8068499999999</c:v>
                </c:pt>
                <c:pt idx="262">
                  <c:v>4970.5365999999995</c:v>
                </c:pt>
                <c:pt idx="263">
                  <c:v>5028.37284</c:v>
                </c:pt>
                <c:pt idx="264">
                  <c:v>5015.9071000000004</c:v>
                </c:pt>
                <c:pt idx="265">
                  <c:v>5010.77448</c:v>
                </c:pt>
                <c:pt idx="266">
                  <c:v>5014.4324599999991</c:v>
                </c:pt>
                <c:pt idx="267">
                  <c:v>5072.6887200000001</c:v>
                </c:pt>
                <c:pt idx="268">
                  <c:v>5037.4575199999999</c:v>
                </c:pt>
                <c:pt idx="269">
                  <c:v>5068.3995600000007</c:v>
                </c:pt>
                <c:pt idx="270">
                  <c:v>5066.2462999999998</c:v>
                </c:pt>
                <c:pt idx="271">
                  <c:v>5107.2505000000001</c:v>
                </c:pt>
                <c:pt idx="272">
                  <c:v>5136.0282900000002</c:v>
                </c:pt>
                <c:pt idx="273">
                  <c:v>5171.7115199999998</c:v>
                </c:pt>
                <c:pt idx="274">
                  <c:v>5092.9286199999997</c:v>
                </c:pt>
                <c:pt idx="275">
                  <c:v>5068.2415900000005</c:v>
                </c:pt>
                <c:pt idx="276">
                  <c:v>5092.4025600000004</c:v>
                </c:pt>
                <c:pt idx="277">
                  <c:v>5098.6210799999999</c:v>
                </c:pt>
                <c:pt idx="278">
                  <c:v>5113.4984999999997</c:v>
                </c:pt>
                <c:pt idx="279">
                  <c:v>5109.9455200000002</c:v>
                </c:pt>
                <c:pt idx="280">
                  <c:v>5092.0272000000004</c:v>
                </c:pt>
                <c:pt idx="281">
                  <c:v>5124.3431399999999</c:v>
                </c:pt>
                <c:pt idx="282">
                  <c:v>5079.9847799999998</c:v>
                </c:pt>
                <c:pt idx="283">
                  <c:v>5075.0548799999997</c:v>
                </c:pt>
                <c:pt idx="284">
                  <c:v>5060.6035200000006</c:v>
                </c:pt>
                <c:pt idx="285">
                  <c:v>5058.8494199999996</c:v>
                </c:pt>
                <c:pt idx="286">
                  <c:v>5034.3863700000002</c:v>
                </c:pt>
                <c:pt idx="287">
                  <c:v>4955.1113500000001</c:v>
                </c:pt>
                <c:pt idx="288">
                  <c:v>4986.7149100000006</c:v>
                </c:pt>
                <c:pt idx="289">
                  <c:v>4933.4500499999995</c:v>
                </c:pt>
                <c:pt idx="290">
                  <c:v>4908.7740000000003</c:v>
                </c:pt>
                <c:pt idx="291">
                  <c:v>4856.5099999999993</c:v>
                </c:pt>
                <c:pt idx="292">
                  <c:v>4836.8576399999993</c:v>
                </c:pt>
                <c:pt idx="293">
                  <c:v>4756.9554600000001</c:v>
                </c:pt>
                <c:pt idx="294">
                  <c:v>4774.9632799999999</c:v>
                </c:pt>
                <c:pt idx="295">
                  <c:v>4848.0925499999994</c:v>
                </c:pt>
                <c:pt idx="296">
                  <c:v>4845.9030000000002</c:v>
                </c:pt>
                <c:pt idx="297">
                  <c:v>4840.4973000000009</c:v>
                </c:pt>
                <c:pt idx="298">
                  <c:v>4878.6570000000002</c:v>
                </c:pt>
                <c:pt idx="299">
                  <c:v>4826.8157700000002</c:v>
                </c:pt>
                <c:pt idx="300">
                  <c:v>4859.3624799999998</c:v>
                </c:pt>
                <c:pt idx="301">
                  <c:v>4871.9591</c:v>
                </c:pt>
                <c:pt idx="302">
                  <c:v>4911.7713400000002</c:v>
                </c:pt>
                <c:pt idx="303">
                  <c:v>4957.7618499999999</c:v>
                </c:pt>
                <c:pt idx="304">
                  <c:v>4926.4679999999998</c:v>
                </c:pt>
                <c:pt idx="305">
                  <c:v>4936.6093599999995</c:v>
                </c:pt>
                <c:pt idx="306">
                  <c:v>4944.3648300000004</c:v>
                </c:pt>
                <c:pt idx="307">
                  <c:v>4837.3078799999994</c:v>
                </c:pt>
                <c:pt idx="308">
                  <c:v>4828.3968000000004</c:v>
                </c:pt>
                <c:pt idx="309">
                  <c:v>4898.3677600000001</c:v>
                </c:pt>
                <c:pt idx="310">
                  <c:v>4908.6575999999995</c:v>
                </c:pt>
                <c:pt idx="311">
                  <c:v>4912.8238799999999</c:v>
                </c:pt>
                <c:pt idx="312">
                  <c:v>4905.0731999999998</c:v>
                </c:pt>
                <c:pt idx="313">
                  <c:v>4905.4641999999994</c:v>
                </c:pt>
                <c:pt idx="314">
                  <c:v>4916.4801699999998</c:v>
                </c:pt>
                <c:pt idx="315">
                  <c:v>4938.6773100000009</c:v>
                </c:pt>
                <c:pt idx="316">
                  <c:v>5010.39786</c:v>
                </c:pt>
                <c:pt idx="317">
                  <c:v>5009.1239799999994</c:v>
                </c:pt>
                <c:pt idx="318">
                  <c:v>5013.4291199999998</c:v>
                </c:pt>
                <c:pt idx="319">
                  <c:v>4981.76037</c:v>
                </c:pt>
                <c:pt idx="320">
                  <c:v>4991.05368</c:v>
                </c:pt>
                <c:pt idx="321">
                  <c:v>4955.3351599999996</c:v>
                </c:pt>
                <c:pt idx="322">
                  <c:v>4927.1741599999996</c:v>
                </c:pt>
                <c:pt idx="323">
                  <c:v>4870.2996400000002</c:v>
                </c:pt>
                <c:pt idx="324">
                  <c:v>4768.9303799999998</c:v>
                </c:pt>
                <c:pt idx="325">
                  <c:v>4775.57456</c:v>
                </c:pt>
                <c:pt idx="326">
                  <c:v>4767.9372800000001</c:v>
                </c:pt>
                <c:pt idx="327">
                  <c:v>4754.2579999999998</c:v>
                </c:pt>
                <c:pt idx="328">
                  <c:v>4733.9437500000004</c:v>
                </c:pt>
                <c:pt idx="329">
                  <c:v>4738.83212</c:v>
                </c:pt>
                <c:pt idx="330">
                  <c:v>4769.6602800000001</c:v>
                </c:pt>
                <c:pt idx="331">
                  <c:v>4771.4309999999996</c:v>
                </c:pt>
                <c:pt idx="332">
                  <c:v>4807.4220000000005</c:v>
                </c:pt>
                <c:pt idx="333">
                  <c:v>4820.1054000000004</c:v>
                </c:pt>
                <c:pt idx="334">
                  <c:v>4896.7233000000006</c:v>
                </c:pt>
                <c:pt idx="335">
                  <c:v>4875.0327500000003</c:v>
                </c:pt>
                <c:pt idx="336">
                  <c:v>4883.5375000000004</c:v>
                </c:pt>
                <c:pt idx="337">
                  <c:v>4932.2647100000004</c:v>
                </c:pt>
                <c:pt idx="338">
                  <c:v>4944.8961000000008</c:v>
                </c:pt>
                <c:pt idx="339">
                  <c:v>4943.5982999999997</c:v>
                </c:pt>
                <c:pt idx="340">
                  <c:v>4966.4746999999998</c:v>
                </c:pt>
                <c:pt idx="341">
                  <c:v>4973.2864800000007</c:v>
                </c:pt>
                <c:pt idx="342">
                  <c:v>5000.80548</c:v>
                </c:pt>
                <c:pt idx="343">
                  <c:v>4937.1568800000005</c:v>
                </c:pt>
                <c:pt idx="344">
                  <c:v>4952.6148700000003</c:v>
                </c:pt>
                <c:pt idx="345">
                  <c:v>4991.04396</c:v>
                </c:pt>
                <c:pt idx="346">
                  <c:v>5020.6942799999997</c:v>
                </c:pt>
                <c:pt idx="347">
                  <c:v>5038.7057599999998</c:v>
                </c:pt>
                <c:pt idx="348">
                  <c:v>5020.1519600000001</c:v>
                </c:pt>
                <c:pt idx="349">
                  <c:v>4968.1328000000003</c:v>
                </c:pt>
                <c:pt idx="350">
                  <c:v>5074.9071000000004</c:v>
                </c:pt>
                <c:pt idx="351">
                  <c:v>5052.5610900000001</c:v>
                </c:pt>
                <c:pt idx="352">
                  <c:v>5072.3374400000002</c:v>
                </c:pt>
                <c:pt idx="353">
                  <c:v>5092.3424000000005</c:v>
                </c:pt>
                <c:pt idx="354">
                  <c:v>5114.2925600000008</c:v>
                </c:pt>
                <c:pt idx="355">
                  <c:v>5093.0432000000001</c:v>
                </c:pt>
                <c:pt idx="356">
                  <c:v>5039.57845</c:v>
                </c:pt>
                <c:pt idx="357">
                  <c:v>5012.8430400000007</c:v>
                </c:pt>
                <c:pt idx="358">
                  <c:v>5038.6618499999995</c:v>
                </c:pt>
                <c:pt idx="359">
                  <c:v>5042.5906499999992</c:v>
                </c:pt>
                <c:pt idx="360">
                  <c:v>5028.2917500000003</c:v>
                </c:pt>
                <c:pt idx="361">
                  <c:v>5024.5887599999996</c:v>
                </c:pt>
                <c:pt idx="362">
                  <c:v>4980.1729800000003</c:v>
                </c:pt>
                <c:pt idx="363">
                  <c:v>4967.78334</c:v>
                </c:pt>
                <c:pt idx="364">
                  <c:v>4961.3554300000005</c:v>
                </c:pt>
                <c:pt idx="365">
                  <c:v>4974.4159799999998</c:v>
                </c:pt>
                <c:pt idx="366">
                  <c:v>4947.2039199999999</c:v>
                </c:pt>
                <c:pt idx="367">
                  <c:v>4919.1945999999998</c:v>
                </c:pt>
                <c:pt idx="368">
                  <c:v>4895.8487700000005</c:v>
                </c:pt>
                <c:pt idx="369">
                  <c:v>4850.2886399999998</c:v>
                </c:pt>
                <c:pt idx="370">
                  <c:v>4816.809690000001</c:v>
                </c:pt>
                <c:pt idx="371">
                  <c:v>4754.8126999999995</c:v>
                </c:pt>
                <c:pt idx="372">
                  <c:v>4755.9342799999995</c:v>
                </c:pt>
                <c:pt idx="373">
                  <c:v>4673.5668000000005</c:v>
                </c:pt>
                <c:pt idx="374">
                  <c:v>4678.924</c:v>
                </c:pt>
                <c:pt idx="375">
                  <c:v>4652.9978399999991</c:v>
                </c:pt>
                <c:pt idx="376">
                  <c:v>4658.92497</c:v>
                </c:pt>
                <c:pt idx="377">
                  <c:v>4754.3832000000002</c:v>
                </c:pt>
                <c:pt idx="378">
                  <c:v>4754.8596699999998</c:v>
                </c:pt>
                <c:pt idx="379">
                  <c:v>4708.6436800000001</c:v>
                </c:pt>
                <c:pt idx="380">
                  <c:v>4700.6990400000004</c:v>
                </c:pt>
                <c:pt idx="381">
                  <c:v>4711.6229199999998</c:v>
                </c:pt>
                <c:pt idx="382">
                  <c:v>4791.2498800000003</c:v>
                </c:pt>
                <c:pt idx="383">
                  <c:v>4761.8733000000002</c:v>
                </c:pt>
                <c:pt idx="384">
                  <c:v>4725.62363</c:v>
                </c:pt>
                <c:pt idx="385">
                  <c:v>4724.9123399999999</c:v>
                </c:pt>
                <c:pt idx="386">
                  <c:v>4756.6639999999998</c:v>
                </c:pt>
                <c:pt idx="387">
                  <c:v>4781.2178699999995</c:v>
                </c:pt>
                <c:pt idx="388">
                  <c:v>4800.9909600000001</c:v>
                </c:pt>
                <c:pt idx="389">
                  <c:v>4769.2900500000005</c:v>
                </c:pt>
                <c:pt idx="390">
                  <c:v>4713.4771199999996</c:v>
                </c:pt>
                <c:pt idx="391">
                  <c:v>4696.4351999999999</c:v>
                </c:pt>
                <c:pt idx="392">
                  <c:v>4658.4930000000004</c:v>
                </c:pt>
                <c:pt idx="393">
                  <c:v>4668.9704999999994</c:v>
                </c:pt>
                <c:pt idx="394">
                  <c:v>4670.1316799999995</c:v>
                </c:pt>
                <c:pt idx="395">
                  <c:v>4639.9905200000003</c:v>
                </c:pt>
                <c:pt idx="396">
                  <c:v>4639.5150999999996</c:v>
                </c:pt>
                <c:pt idx="397">
                  <c:v>4610.9489999999996</c:v>
                </c:pt>
                <c:pt idx="398">
                  <c:v>4631.8497499999994</c:v>
                </c:pt>
                <c:pt idx="399">
                  <c:v>4664.5379199999998</c:v>
                </c:pt>
                <c:pt idx="400">
                  <c:v>4663.9485000000004</c:v>
                </c:pt>
                <c:pt idx="401">
                  <c:v>4655.9804199999999</c:v>
                </c:pt>
                <c:pt idx="402">
                  <c:v>4604.0410000000002</c:v>
                </c:pt>
                <c:pt idx="403">
                  <c:v>4586.215439999999</c:v>
                </c:pt>
                <c:pt idx="404">
                  <c:v>4575.4276799999998</c:v>
                </c:pt>
                <c:pt idx="405">
                  <c:v>4636.3341600000003</c:v>
                </c:pt>
                <c:pt idx="406">
                  <c:v>4639.8338999999996</c:v>
                </c:pt>
                <c:pt idx="407">
                  <c:v>4638.2140199999994</c:v>
                </c:pt>
                <c:pt idx="408">
                  <c:v>4582.3419599999997</c:v>
                </c:pt>
                <c:pt idx="409">
                  <c:v>4604.79</c:v>
                </c:pt>
                <c:pt idx="410">
                  <c:v>4562.7626999999993</c:v>
                </c:pt>
                <c:pt idx="411">
                  <c:v>4611.9862499999999</c:v>
                </c:pt>
                <c:pt idx="412">
                  <c:v>4622.4542099999999</c:v>
                </c:pt>
                <c:pt idx="413">
                  <c:v>4608.3065599999991</c:v>
                </c:pt>
                <c:pt idx="414">
                  <c:v>4612.2628199999999</c:v>
                </c:pt>
                <c:pt idx="415">
                  <c:v>4619.2361199999996</c:v>
                </c:pt>
                <c:pt idx="416">
                  <c:v>4576.3734599999998</c:v>
                </c:pt>
                <c:pt idx="417">
                  <c:v>4522.3819199999998</c:v>
                </c:pt>
                <c:pt idx="418">
                  <c:v>4523.3728799999999</c:v>
                </c:pt>
                <c:pt idx="419">
                  <c:v>4465.5694300000005</c:v>
                </c:pt>
                <c:pt idx="420">
                  <c:v>4463.3155200000001</c:v>
                </c:pt>
                <c:pt idx="421">
                  <c:v>4471.3652400000001</c:v>
                </c:pt>
                <c:pt idx="422">
                  <c:v>4479.2467200000001</c:v>
                </c:pt>
                <c:pt idx="423">
                  <c:v>4430.8370999999997</c:v>
                </c:pt>
                <c:pt idx="424">
                  <c:v>4446.7704000000003</c:v>
                </c:pt>
                <c:pt idx="425">
                  <c:v>4410.2433600000004</c:v>
                </c:pt>
                <c:pt idx="426">
                  <c:v>4429.1375100000005</c:v>
                </c:pt>
                <c:pt idx="427">
                  <c:v>4399.6491999999998</c:v>
                </c:pt>
                <c:pt idx="428">
                  <c:v>4378.9577600000002</c:v>
                </c:pt>
                <c:pt idx="429">
                  <c:v>4371.4738200000002</c:v>
                </c:pt>
                <c:pt idx="430">
                  <c:v>4355.8462200000004</c:v>
                </c:pt>
                <c:pt idx="431">
                  <c:v>4381.1642099999999</c:v>
                </c:pt>
                <c:pt idx="432">
                  <c:v>4396.8280300000006</c:v>
                </c:pt>
                <c:pt idx="433">
                  <c:v>4397.6873800000003</c:v>
                </c:pt>
                <c:pt idx="434">
                  <c:v>4384.8923399999994</c:v>
                </c:pt>
                <c:pt idx="435">
                  <c:v>4373.7191999999995</c:v>
                </c:pt>
                <c:pt idx="436">
                  <c:v>4372.4095800000005</c:v>
                </c:pt>
                <c:pt idx="437">
                  <c:v>4367.0841999999993</c:v>
                </c:pt>
                <c:pt idx="438">
                  <c:v>4379.25083</c:v>
                </c:pt>
                <c:pt idx="439">
                  <c:v>4363.2262799999999</c:v>
                </c:pt>
                <c:pt idx="440">
                  <c:v>4373.5150299999996</c:v>
                </c:pt>
                <c:pt idx="441">
                  <c:v>4350.6736999999994</c:v>
                </c:pt>
                <c:pt idx="442">
                  <c:v>4364.3083799999995</c:v>
                </c:pt>
                <c:pt idx="443">
                  <c:v>4312.3531800000001</c:v>
                </c:pt>
                <c:pt idx="444">
                  <c:v>4266.8435399999998</c:v>
                </c:pt>
                <c:pt idx="445">
                  <c:v>4299.3595999999998</c:v>
                </c:pt>
                <c:pt idx="446">
                  <c:v>4186.5146400000003</c:v>
                </c:pt>
                <c:pt idx="447">
                  <c:v>4282.4784200000004</c:v>
                </c:pt>
                <c:pt idx="448">
                  <c:v>4313.8115799999996</c:v>
                </c:pt>
                <c:pt idx="449">
                  <c:v>4241.9690499999997</c:v>
                </c:pt>
                <c:pt idx="450">
                  <c:v>4164.7919999999995</c:v>
                </c:pt>
                <c:pt idx="451">
                  <c:v>4175.5761300000004</c:v>
                </c:pt>
                <c:pt idx="452">
                  <c:v>4221.7969200000007</c:v>
                </c:pt>
                <c:pt idx="453">
                  <c:v>4230.2175999999999</c:v>
                </c:pt>
                <c:pt idx="454">
                  <c:v>4331.5073999999995</c:v>
                </c:pt>
                <c:pt idx="455">
                  <c:v>4294.9262399999998</c:v>
                </c:pt>
                <c:pt idx="456">
                  <c:v>4272.8518599999998</c:v>
                </c:pt>
                <c:pt idx="457">
                  <c:v>4248.8890600000004</c:v>
                </c:pt>
                <c:pt idx="458">
                  <c:v>4163.7658600000004</c:v>
                </c:pt>
                <c:pt idx="459">
                  <c:v>4197.7182499999999</c:v>
                </c:pt>
                <c:pt idx="460">
                  <c:v>4238.5761000000002</c:v>
                </c:pt>
                <c:pt idx="461">
                  <c:v>4225.5546299999996</c:v>
                </c:pt>
                <c:pt idx="462">
                  <c:v>4269.6116000000002</c:v>
                </c:pt>
                <c:pt idx="463">
                  <c:v>4313.9654399999999</c:v>
                </c:pt>
                <c:pt idx="464">
                  <c:v>4371.0235200000006</c:v>
                </c:pt>
                <c:pt idx="465">
                  <c:v>4359.8747700000004</c:v>
                </c:pt>
                <c:pt idx="466">
                  <c:v>4364.9675999999999</c:v>
                </c:pt>
                <c:pt idx="467">
                  <c:v>4359.7249400000001</c:v>
                </c:pt>
                <c:pt idx="468">
                  <c:v>4436.4374600000001</c:v>
                </c:pt>
                <c:pt idx="469">
                  <c:v>4442.8116600000003</c:v>
                </c:pt>
                <c:pt idx="470">
                  <c:v>4440.1024799999996</c:v>
                </c:pt>
                <c:pt idx="471">
                  <c:v>4463.7209499999999</c:v>
                </c:pt>
                <c:pt idx="472">
                  <c:v>4533.8854399999991</c:v>
                </c:pt>
                <c:pt idx="473">
                  <c:v>4610.6360399999994</c:v>
                </c:pt>
                <c:pt idx="474">
                  <c:v>4685.4004500000001</c:v>
                </c:pt>
                <c:pt idx="475">
                  <c:v>4763.1095999999998</c:v>
                </c:pt>
                <c:pt idx="476">
                  <c:v>4709.86528</c:v>
                </c:pt>
                <c:pt idx="477">
                  <c:v>4701.8201399999998</c:v>
                </c:pt>
                <c:pt idx="478">
                  <c:v>4724.9661699999997</c:v>
                </c:pt>
                <c:pt idx="479">
                  <c:v>4752.1541999999999</c:v>
                </c:pt>
                <c:pt idx="480">
                  <c:v>4721.5738600000004</c:v>
                </c:pt>
                <c:pt idx="481">
                  <c:v>4703.7113500000005</c:v>
                </c:pt>
                <c:pt idx="482">
                  <c:v>4745.6193599999997</c:v>
                </c:pt>
                <c:pt idx="483">
                  <c:v>4739.0977199999998</c:v>
                </c:pt>
                <c:pt idx="484">
                  <c:v>4691.0544</c:v>
                </c:pt>
                <c:pt idx="485">
                  <c:v>4695.7513399999998</c:v>
                </c:pt>
                <c:pt idx="486">
                  <c:v>4671.9486000000006</c:v>
                </c:pt>
                <c:pt idx="487">
                  <c:v>4659.5789999999997</c:v>
                </c:pt>
                <c:pt idx="488">
                  <c:v>4692.45946</c:v>
                </c:pt>
                <c:pt idx="489">
                  <c:v>4733.8552799999998</c:v>
                </c:pt>
                <c:pt idx="490">
                  <c:v>4713.1731</c:v>
                </c:pt>
                <c:pt idx="491">
                  <c:v>4672.3684999999996</c:v>
                </c:pt>
                <c:pt idx="492">
                  <c:v>4677.3700799999997</c:v>
                </c:pt>
                <c:pt idx="493">
                  <c:v>4596.8456799999994</c:v>
                </c:pt>
                <c:pt idx="494">
                  <c:v>4583.6751400000003</c:v>
                </c:pt>
                <c:pt idx="495">
                  <c:v>4600.969509999999</c:v>
                </c:pt>
                <c:pt idx="496">
                  <c:v>4650.1109200000001</c:v>
                </c:pt>
                <c:pt idx="497">
                  <c:v>4687.8088200000002</c:v>
                </c:pt>
                <c:pt idx="498">
                  <c:v>4638.40452</c:v>
                </c:pt>
                <c:pt idx="499">
                  <c:v>4653.9287199999999</c:v>
                </c:pt>
                <c:pt idx="500">
                  <c:v>4697.14815</c:v>
                </c:pt>
                <c:pt idx="501">
                  <c:v>4660.6086800000003</c:v>
                </c:pt>
                <c:pt idx="502">
                  <c:v>4653.0288</c:v>
                </c:pt>
                <c:pt idx="503">
                  <c:v>4629.9170400000003</c:v>
                </c:pt>
                <c:pt idx="504">
                  <c:v>4594.0007500000002</c:v>
                </c:pt>
                <c:pt idx="505">
                  <c:v>4582.2635199999995</c:v>
                </c:pt>
                <c:pt idx="506">
                  <c:v>4610.3370500000001</c:v>
                </c:pt>
                <c:pt idx="507">
                  <c:v>4649.3310599999995</c:v>
                </c:pt>
                <c:pt idx="508">
                  <c:v>4713.79025</c:v>
                </c:pt>
                <c:pt idx="509">
                  <c:v>4730.0946000000004</c:v>
                </c:pt>
                <c:pt idx="510">
                  <c:v>4744.2510000000002</c:v>
                </c:pt>
                <c:pt idx="511">
                  <c:v>4710.1152999999995</c:v>
                </c:pt>
                <c:pt idx="512">
                  <c:v>4724.2223399999993</c:v>
                </c:pt>
                <c:pt idx="513">
                  <c:v>4687.1442800000004</c:v>
                </c:pt>
                <c:pt idx="514">
                  <c:v>4680.6817199999996</c:v>
                </c:pt>
                <c:pt idx="515">
                  <c:v>4696.6767</c:v>
                </c:pt>
                <c:pt idx="516">
                  <c:v>4721.0728399999998</c:v>
                </c:pt>
                <c:pt idx="517">
                  <c:v>4751.5899599999993</c:v>
                </c:pt>
                <c:pt idx="518">
                  <c:v>4885.18282</c:v>
                </c:pt>
                <c:pt idx="519">
                  <c:v>4829.9055600000002</c:v>
                </c:pt>
                <c:pt idx="520">
                  <c:v>4880.0469199999998</c:v>
                </c:pt>
                <c:pt idx="521">
                  <c:v>4904.4835699999994</c:v>
                </c:pt>
                <c:pt idx="522">
                  <c:v>4950.8031099999998</c:v>
                </c:pt>
                <c:pt idx="523">
                  <c:v>4941.0069599999997</c:v>
                </c:pt>
                <c:pt idx="524">
                  <c:v>4955.924</c:v>
                </c:pt>
                <c:pt idx="525">
                  <c:v>4939.2470400000002</c:v>
                </c:pt>
                <c:pt idx="526">
                  <c:v>4902.3288599999996</c:v>
                </c:pt>
                <c:pt idx="527">
                  <c:v>4848.6608500000002</c:v>
                </c:pt>
                <c:pt idx="528">
                  <c:v>4921.8189700000003</c:v>
                </c:pt>
                <c:pt idx="529">
                  <c:v>4906.5713300000007</c:v>
                </c:pt>
                <c:pt idx="530">
                  <c:v>4806.9310400000004</c:v>
                </c:pt>
                <c:pt idx="531">
                  <c:v>4773.4344000000001</c:v>
                </c:pt>
                <c:pt idx="532">
                  <c:v>4809.5825400000003</c:v>
                </c:pt>
                <c:pt idx="533">
                  <c:v>4740.0972600000005</c:v>
                </c:pt>
                <c:pt idx="534">
                  <c:v>4714.6606700000002</c:v>
                </c:pt>
                <c:pt idx="535">
                  <c:v>4826.9392899999993</c:v>
                </c:pt>
                <c:pt idx="536">
                  <c:v>4804.9364499999992</c:v>
                </c:pt>
                <c:pt idx="537">
                  <c:v>4781.3686200000002</c:v>
                </c:pt>
                <c:pt idx="538">
                  <c:v>4742.9405799999995</c:v>
                </c:pt>
                <c:pt idx="539">
                  <c:v>4752.3151499999994</c:v>
                </c:pt>
                <c:pt idx="540">
                  <c:v>4723.9931699999997</c:v>
                </c:pt>
                <c:pt idx="541">
                  <c:v>4677.8247000000001</c:v>
                </c:pt>
                <c:pt idx="542">
                  <c:v>4678.2963500000005</c:v>
                </c:pt>
                <c:pt idx="543">
                  <c:v>4672.0277400000004</c:v>
                </c:pt>
                <c:pt idx="544">
                  <c:v>4630.1801699999996</c:v>
                </c:pt>
                <c:pt idx="545">
                  <c:v>4623.7716</c:v>
                </c:pt>
                <c:pt idx="546">
                  <c:v>4548.7233200000001</c:v>
                </c:pt>
                <c:pt idx="547">
                  <c:v>4563.9750000000004</c:v>
                </c:pt>
                <c:pt idx="548">
                  <c:v>4583.5125400000006</c:v>
                </c:pt>
                <c:pt idx="549">
                  <c:v>4544.1143200000006</c:v>
                </c:pt>
                <c:pt idx="550">
                  <c:v>4581.3525199999995</c:v>
                </c:pt>
                <c:pt idx="551">
                  <c:v>4577.5707000000002</c:v>
                </c:pt>
                <c:pt idx="552">
                  <c:v>4536.3846400000002</c:v>
                </c:pt>
                <c:pt idx="553">
                  <c:v>4530.7273799999994</c:v>
                </c:pt>
                <c:pt idx="554">
                  <c:v>4501.0107800000005</c:v>
                </c:pt>
                <c:pt idx="555">
                  <c:v>4490.9202700000005</c:v>
                </c:pt>
                <c:pt idx="556">
                  <c:v>4489.4167500000003</c:v>
                </c:pt>
                <c:pt idx="557">
                  <c:v>4505.9212799999996</c:v>
                </c:pt>
                <c:pt idx="558">
                  <c:v>4516.3917000000001</c:v>
                </c:pt>
                <c:pt idx="559">
                  <c:v>4432.29936</c:v>
                </c:pt>
                <c:pt idx="560">
                  <c:v>4394.45622</c:v>
                </c:pt>
                <c:pt idx="561">
                  <c:v>4401.5922199999995</c:v>
                </c:pt>
                <c:pt idx="562">
                  <c:v>4352.5199000000002</c:v>
                </c:pt>
                <c:pt idx="563">
                  <c:v>4364.9966000000004</c:v>
                </c:pt>
                <c:pt idx="564">
                  <c:v>4362.9962700000005</c:v>
                </c:pt>
                <c:pt idx="565">
                  <c:v>4379.8021399999998</c:v>
                </c:pt>
                <c:pt idx="566">
                  <c:v>4386.1455399999995</c:v>
                </c:pt>
                <c:pt idx="567">
                  <c:v>4359.1226399999996</c:v>
                </c:pt>
                <c:pt idx="568">
                  <c:v>4355.2810899999995</c:v>
                </c:pt>
                <c:pt idx="569">
                  <c:v>4320.4867899999999</c:v>
                </c:pt>
                <c:pt idx="570">
                  <c:v>4268.2469000000001</c:v>
                </c:pt>
                <c:pt idx="571">
                  <c:v>4262.5612499999997</c:v>
                </c:pt>
                <c:pt idx="572">
                  <c:v>4260.8216000000002</c:v>
                </c:pt>
                <c:pt idx="573">
                  <c:v>4194.8559999999998</c:v>
                </c:pt>
                <c:pt idx="574">
                  <c:v>4161.2400000000007</c:v>
                </c:pt>
                <c:pt idx="575">
                  <c:v>4140.1049400000002</c:v>
                </c:pt>
                <c:pt idx="576">
                  <c:v>4108.9184400000004</c:v>
                </c:pt>
                <c:pt idx="577">
                  <c:v>4088.8089599999998</c:v>
                </c:pt>
                <c:pt idx="578">
                  <c:v>4079.4727999999996</c:v>
                </c:pt>
                <c:pt idx="579">
                  <c:v>4102.7911199999999</c:v>
                </c:pt>
                <c:pt idx="580">
                  <c:v>4090.1489999999999</c:v>
                </c:pt>
                <c:pt idx="581">
                  <c:v>4129.5454200000004</c:v>
                </c:pt>
                <c:pt idx="582">
                  <c:v>4130.2975999999999</c:v>
                </c:pt>
                <c:pt idx="583">
                  <c:v>4112.1373800000001</c:v>
                </c:pt>
                <c:pt idx="584">
                  <c:v>4106.6339600000001</c:v>
                </c:pt>
                <c:pt idx="585">
                  <c:v>4069.1923200000001</c:v>
                </c:pt>
                <c:pt idx="586">
                  <c:v>4053.4426800000001</c:v>
                </c:pt>
                <c:pt idx="587">
                  <c:v>4082.0630400000005</c:v>
                </c:pt>
                <c:pt idx="588">
                  <c:v>4130.9153999999999</c:v>
                </c:pt>
                <c:pt idx="589">
                  <c:v>4145.9706000000006</c:v>
                </c:pt>
                <c:pt idx="590">
                  <c:v>4111.4241400000001</c:v>
                </c:pt>
                <c:pt idx="591">
                  <c:v>4083.5108600000003</c:v>
                </c:pt>
                <c:pt idx="592">
                  <c:v>4066.83</c:v>
                </c:pt>
                <c:pt idx="593">
                  <c:v>4045.9308999999998</c:v>
                </c:pt>
                <c:pt idx="594">
                  <c:v>4014.0647999999997</c:v>
                </c:pt>
                <c:pt idx="595">
                  <c:v>4020.7754100000006</c:v>
                </c:pt>
                <c:pt idx="596">
                  <c:v>4013.3857499999999</c:v>
                </c:pt>
                <c:pt idx="597">
                  <c:v>4034.4054300000003</c:v>
                </c:pt>
                <c:pt idx="598">
                  <c:v>4012.05186</c:v>
                </c:pt>
                <c:pt idx="599">
                  <c:v>3947.35536</c:v>
                </c:pt>
                <c:pt idx="600">
                  <c:v>3914.8049300000002</c:v>
                </c:pt>
                <c:pt idx="601">
                  <c:v>3944.2939200000001</c:v>
                </c:pt>
                <c:pt idx="602">
                  <c:v>3902.4018000000001</c:v>
                </c:pt>
                <c:pt idx="603">
                  <c:v>3958.7200000000003</c:v>
                </c:pt>
                <c:pt idx="604">
                  <c:v>3971.6262000000002</c:v>
                </c:pt>
                <c:pt idx="605">
                  <c:v>3991.0303800000002</c:v>
                </c:pt>
                <c:pt idx="606">
                  <c:v>4030.5245999999997</c:v>
                </c:pt>
                <c:pt idx="607">
                  <c:v>4027.7988800000003</c:v>
                </c:pt>
                <c:pt idx="608">
                  <c:v>4057.5612900000006</c:v>
                </c:pt>
                <c:pt idx="609">
                  <c:v>4097.0478600000006</c:v>
                </c:pt>
                <c:pt idx="610">
                  <c:v>4129.0748800000001</c:v>
                </c:pt>
                <c:pt idx="611">
                  <c:v>4182.7420000000002</c:v>
                </c:pt>
                <c:pt idx="612">
                  <c:v>4153.7582000000002</c:v>
                </c:pt>
                <c:pt idx="613">
                  <c:v>4133.0740799999994</c:v>
                </c:pt>
                <c:pt idx="614">
                  <c:v>4082.4067199999995</c:v>
                </c:pt>
                <c:pt idx="615">
                  <c:v>4191.6076499999999</c:v>
                </c:pt>
                <c:pt idx="616">
                  <c:v>4173.27196</c:v>
                </c:pt>
                <c:pt idx="617">
                  <c:v>4188.7382000000007</c:v>
                </c:pt>
                <c:pt idx="618">
                  <c:v>4164.5510999999997</c:v>
                </c:pt>
                <c:pt idx="619">
                  <c:v>4192.1558100000002</c:v>
                </c:pt>
                <c:pt idx="620">
                  <c:v>4185.9851399999998</c:v>
                </c:pt>
                <c:pt idx="621">
                  <c:v>4178.6229599999997</c:v>
                </c:pt>
                <c:pt idx="622">
                  <c:v>4153.7392</c:v>
                </c:pt>
                <c:pt idx="623">
                  <c:v>4074.5139199999999</c:v>
                </c:pt>
                <c:pt idx="624">
                  <c:v>4079.6653800000004</c:v>
                </c:pt>
                <c:pt idx="625">
                  <c:v>4055.32575</c:v>
                </c:pt>
                <c:pt idx="626">
                  <c:v>4061.8381499999996</c:v>
                </c:pt>
                <c:pt idx="627">
                  <c:v>4131.8106299999999</c:v>
                </c:pt>
                <c:pt idx="628">
                  <c:v>4158.7550099999999</c:v>
                </c:pt>
                <c:pt idx="629">
                  <c:v>4109.6793599999992</c:v>
                </c:pt>
                <c:pt idx="630">
                  <c:v>4058.8078399999995</c:v>
                </c:pt>
                <c:pt idx="631">
                  <c:v>4010.2751000000003</c:v>
                </c:pt>
                <c:pt idx="632">
                  <c:v>4019.4010999999996</c:v>
                </c:pt>
                <c:pt idx="633">
                  <c:v>3979.1436200000003</c:v>
                </c:pt>
                <c:pt idx="634">
                  <c:v>4010.1567</c:v>
                </c:pt>
                <c:pt idx="635">
                  <c:v>3997.5135599999999</c:v>
                </c:pt>
                <c:pt idx="636">
                  <c:v>3986.5024000000003</c:v>
                </c:pt>
                <c:pt idx="637">
                  <c:v>4039.6850199999994</c:v>
                </c:pt>
                <c:pt idx="638">
                  <c:v>4009.6626500000002</c:v>
                </c:pt>
                <c:pt idx="639">
                  <c:v>4029.1862000000001</c:v>
                </c:pt>
                <c:pt idx="640">
                  <c:v>4021.6791199999998</c:v>
                </c:pt>
                <c:pt idx="641">
                  <c:v>4091.4384</c:v>
                </c:pt>
                <c:pt idx="642">
                  <c:v>4082.6763000000001</c:v>
                </c:pt>
                <c:pt idx="643">
                  <c:v>4068.7905000000001</c:v>
                </c:pt>
                <c:pt idx="644">
                  <c:v>4070.8470000000002</c:v>
                </c:pt>
                <c:pt idx="645">
                  <c:v>4014.3789399999996</c:v>
                </c:pt>
                <c:pt idx="646">
                  <c:v>4019.8102100000001</c:v>
                </c:pt>
                <c:pt idx="647">
                  <c:v>3987.08986</c:v>
                </c:pt>
                <c:pt idx="648">
                  <c:v>3983.6289600000005</c:v>
                </c:pt>
                <c:pt idx="649">
                  <c:v>4017.3704600000001</c:v>
                </c:pt>
                <c:pt idx="650">
                  <c:v>4082.1598499999996</c:v>
                </c:pt>
                <c:pt idx="651">
                  <c:v>4087.9655200000002</c:v>
                </c:pt>
                <c:pt idx="652">
                  <c:v>4118.8798499999994</c:v>
                </c:pt>
                <c:pt idx="653">
                  <c:v>4142.2239899999995</c:v>
                </c:pt>
                <c:pt idx="654">
                  <c:v>4129.2128700000003</c:v>
                </c:pt>
                <c:pt idx="655">
                  <c:v>4146.5245599999998</c:v>
                </c:pt>
                <c:pt idx="656">
                  <c:v>4126.3820799999994</c:v>
                </c:pt>
                <c:pt idx="657">
                  <c:v>4120.0689400000001</c:v>
                </c:pt>
                <c:pt idx="658">
                  <c:v>4109.1401999999998</c:v>
                </c:pt>
                <c:pt idx="659">
                  <c:v>4099.3674000000001</c:v>
                </c:pt>
                <c:pt idx="660">
                  <c:v>4161.8847800000003</c:v>
                </c:pt>
                <c:pt idx="661">
                  <c:v>4154.5744000000004</c:v>
                </c:pt>
                <c:pt idx="662">
                  <c:v>4191.8454199999996</c:v>
                </c:pt>
                <c:pt idx="663">
                  <c:v>4155.2500300000002</c:v>
                </c:pt>
                <c:pt idx="664">
                  <c:v>4217.1464999999998</c:v>
                </c:pt>
                <c:pt idx="665">
                  <c:v>4222.3780200000001</c:v>
                </c:pt>
                <c:pt idx="666">
                  <c:v>4121.5112399999998</c:v>
                </c:pt>
                <c:pt idx="667">
                  <c:v>4107.2061800000001</c:v>
                </c:pt>
                <c:pt idx="668">
                  <c:v>4098.68977</c:v>
                </c:pt>
                <c:pt idx="669">
                  <c:v>4134.4381800000001</c:v>
                </c:pt>
                <c:pt idx="670">
                  <c:v>4150.6162199999999</c:v>
                </c:pt>
                <c:pt idx="671">
                  <c:v>4125.4331600000005</c:v>
                </c:pt>
                <c:pt idx="672">
                  <c:v>4132.8108000000002</c:v>
                </c:pt>
                <c:pt idx="673">
                  <c:v>4116.6501000000007</c:v>
                </c:pt>
                <c:pt idx="674">
                  <c:v>4072.4810499999999</c:v>
                </c:pt>
                <c:pt idx="675">
                  <c:v>4118.78665</c:v>
                </c:pt>
                <c:pt idx="676">
                  <c:v>4153.6723200000006</c:v>
                </c:pt>
                <c:pt idx="677">
                  <c:v>4128.3163999999997</c:v>
                </c:pt>
                <c:pt idx="678">
                  <c:v>4168.8528299999998</c:v>
                </c:pt>
                <c:pt idx="679">
                  <c:v>4131.0767399999995</c:v>
                </c:pt>
                <c:pt idx="680">
                  <c:v>4050.2290499999999</c:v>
                </c:pt>
                <c:pt idx="681">
                  <c:v>4012.1423099999997</c:v>
                </c:pt>
                <c:pt idx="682">
                  <c:v>4021.1902799999998</c:v>
                </c:pt>
                <c:pt idx="683">
                  <c:v>4056.2313599999998</c:v>
                </c:pt>
                <c:pt idx="684">
                  <c:v>4156.2691800000002</c:v>
                </c:pt>
                <c:pt idx="685">
                  <c:v>4170.1017099999999</c:v>
                </c:pt>
                <c:pt idx="686">
                  <c:v>4111.2292000000007</c:v>
                </c:pt>
                <c:pt idx="687">
                  <c:v>4133.34656</c:v>
                </c:pt>
                <c:pt idx="688">
                  <c:v>4113.3102000000008</c:v>
                </c:pt>
                <c:pt idx="689">
                  <c:v>4090.3643999999999</c:v>
                </c:pt>
                <c:pt idx="690">
                  <c:v>4098.51</c:v>
                </c:pt>
                <c:pt idx="691">
                  <c:v>4173.5141999999996</c:v>
                </c:pt>
                <c:pt idx="692">
                  <c:v>4168.8954000000003</c:v>
                </c:pt>
                <c:pt idx="693">
                  <c:v>4217.1392000000005</c:v>
                </c:pt>
                <c:pt idx="694">
                  <c:v>4281.70244</c:v>
                </c:pt>
                <c:pt idx="695">
                  <c:v>4300.9467199999999</c:v>
                </c:pt>
                <c:pt idx="696">
                  <c:v>4304.0415199999998</c:v>
                </c:pt>
                <c:pt idx="697">
                  <c:v>4232.8563199999999</c:v>
                </c:pt>
                <c:pt idx="698">
                  <c:v>4247.4841000000006</c:v>
                </c:pt>
                <c:pt idx="699">
                  <c:v>4245.2812799999992</c:v>
                </c:pt>
                <c:pt idx="700">
                  <c:v>4182.3232000000007</c:v>
                </c:pt>
                <c:pt idx="701">
                  <c:v>4158.4312</c:v>
                </c:pt>
                <c:pt idx="702">
                  <c:v>4124.8697400000001</c:v>
                </c:pt>
                <c:pt idx="703">
                  <c:v>4139.7728400000005</c:v>
                </c:pt>
                <c:pt idx="704">
                  <c:v>4166.0026199999993</c:v>
                </c:pt>
                <c:pt idx="705">
                  <c:v>4200.009</c:v>
                </c:pt>
                <c:pt idx="706">
                  <c:v>4243.5615599999992</c:v>
                </c:pt>
                <c:pt idx="707">
                  <c:v>4230.0934700000007</c:v>
                </c:pt>
                <c:pt idx="708">
                  <c:v>4248.1826099999989</c:v>
                </c:pt>
                <c:pt idx="709">
                  <c:v>4168.8757500000002</c:v>
                </c:pt>
                <c:pt idx="710">
                  <c:v>4153.3604999999998</c:v>
                </c:pt>
                <c:pt idx="711">
                  <c:v>4182.8693400000002</c:v>
                </c:pt>
                <c:pt idx="712">
                  <c:v>4195.4942900000005</c:v>
                </c:pt>
                <c:pt idx="713">
                  <c:v>4218.5269699999999</c:v>
                </c:pt>
                <c:pt idx="714">
                  <c:v>4246.6489600000004</c:v>
                </c:pt>
                <c:pt idx="715">
                  <c:v>4262.5258299999996</c:v>
                </c:pt>
                <c:pt idx="716">
                  <c:v>4246.6937399999997</c:v>
                </c:pt>
                <c:pt idx="717">
                  <c:v>4185.0470000000005</c:v>
                </c:pt>
                <c:pt idx="718">
                  <c:v>4284.5697700000001</c:v>
                </c:pt>
                <c:pt idx="719">
                  <c:v>4296.4202000000005</c:v>
                </c:pt>
                <c:pt idx="720">
                  <c:v>4294.4063799999994</c:v>
                </c:pt>
                <c:pt idx="721">
                  <c:v>4286.7933599999997</c:v>
                </c:pt>
                <c:pt idx="722">
                  <c:v>4209.5663999999997</c:v>
                </c:pt>
                <c:pt idx="723">
                  <c:v>4197.6205600000003</c:v>
                </c:pt>
                <c:pt idx="724">
                  <c:v>4209.9204</c:v>
                </c:pt>
                <c:pt idx="725">
                  <c:v>4239.8474999999999</c:v>
                </c:pt>
                <c:pt idx="726">
                  <c:v>4307.2691999999997</c:v>
                </c:pt>
                <c:pt idx="727">
                  <c:v>4259.3561600000003</c:v>
                </c:pt>
                <c:pt idx="728">
                  <c:v>4222.9274000000005</c:v>
                </c:pt>
                <c:pt idx="729">
                  <c:v>4327.4376599999996</c:v>
                </c:pt>
                <c:pt idx="730">
                  <c:v>4336.2855</c:v>
                </c:pt>
                <c:pt idx="731">
                  <c:v>4441.2182999999995</c:v>
                </c:pt>
                <c:pt idx="732">
                  <c:v>4476.6145999999999</c:v>
                </c:pt>
                <c:pt idx="733">
                  <c:v>4477.0724799999998</c:v>
                </c:pt>
                <c:pt idx="734">
                  <c:v>4498.35232</c:v>
                </c:pt>
                <c:pt idx="735">
                  <c:v>4472.1821100000006</c:v>
                </c:pt>
                <c:pt idx="736">
                  <c:v>4512.8624</c:v>
                </c:pt>
                <c:pt idx="737">
                  <c:v>4491.4174600000006</c:v>
                </c:pt>
                <c:pt idx="738">
                  <c:v>4590.3032000000003</c:v>
                </c:pt>
                <c:pt idx="739">
                  <c:v>4622.9902000000002</c:v>
                </c:pt>
                <c:pt idx="740">
                  <c:v>4602.2462500000001</c:v>
                </c:pt>
                <c:pt idx="741">
                  <c:v>4588.0761000000002</c:v>
                </c:pt>
                <c:pt idx="742">
                  <c:v>4569.8260400000008</c:v>
                </c:pt>
                <c:pt idx="743">
                  <c:v>4516.9545500000004</c:v>
                </c:pt>
                <c:pt idx="744">
                  <c:v>4552.8331199999993</c:v>
                </c:pt>
                <c:pt idx="745">
                  <c:v>4537.4322399999992</c:v>
                </c:pt>
                <c:pt idx="746">
                  <c:v>4518.6616799999993</c:v>
                </c:pt>
                <c:pt idx="747">
                  <c:v>4494.4384500000006</c:v>
                </c:pt>
                <c:pt idx="748">
                  <c:v>4505.3602899999996</c:v>
                </c:pt>
                <c:pt idx="749">
                  <c:v>4466.9846399999997</c:v>
                </c:pt>
                <c:pt idx="750">
                  <c:v>4381.8669600000003</c:v>
                </c:pt>
                <c:pt idx="751">
                  <c:v>4402.1133600000003</c:v>
                </c:pt>
                <c:pt idx="752">
                  <c:v>4433.5441500000006</c:v>
                </c:pt>
                <c:pt idx="753">
                  <c:v>4394.8920200000002</c:v>
                </c:pt>
                <c:pt idx="754">
                  <c:v>4391.4521299999997</c:v>
                </c:pt>
                <c:pt idx="755">
                  <c:v>4433.8427199999996</c:v>
                </c:pt>
                <c:pt idx="756">
                  <c:v>4419.7112200000001</c:v>
                </c:pt>
                <c:pt idx="757">
                  <c:v>4421.1378000000004</c:v>
                </c:pt>
                <c:pt idx="758">
                  <c:v>4417.1847900000002</c:v>
                </c:pt>
                <c:pt idx="759">
                  <c:v>4423.2045600000001</c:v>
                </c:pt>
                <c:pt idx="760">
                  <c:v>4430.29727</c:v>
                </c:pt>
                <c:pt idx="761">
                  <c:v>4444.2692000000006</c:v>
                </c:pt>
                <c:pt idx="762">
                  <c:v>4398.5093800000004</c:v>
                </c:pt>
                <c:pt idx="763">
                  <c:v>4375.3379199999999</c:v>
                </c:pt>
                <c:pt idx="764">
                  <c:v>4395.5227199999999</c:v>
                </c:pt>
                <c:pt idx="765">
                  <c:v>4410.0310300000001</c:v>
                </c:pt>
                <c:pt idx="766">
                  <c:v>4387.4595900000004</c:v>
                </c:pt>
                <c:pt idx="767">
                  <c:v>4398.5474999999997</c:v>
                </c:pt>
                <c:pt idx="768">
                  <c:v>4395.9246000000003</c:v>
                </c:pt>
                <c:pt idx="769">
                  <c:v>4427.1498600000004</c:v>
                </c:pt>
                <c:pt idx="770">
                  <c:v>4414.2618200000006</c:v>
                </c:pt>
                <c:pt idx="771">
                  <c:v>4414.5298400000001</c:v>
                </c:pt>
                <c:pt idx="772">
                  <c:v>4375.87752</c:v>
                </c:pt>
                <c:pt idx="773">
                  <c:v>4323.4403400000001</c:v>
                </c:pt>
                <c:pt idx="774">
                  <c:v>4357.3140000000003</c:v>
                </c:pt>
                <c:pt idx="775">
                  <c:v>4318.6534000000001</c:v>
                </c:pt>
                <c:pt idx="776">
                  <c:v>4273.8121799999999</c:v>
                </c:pt>
                <c:pt idx="777">
                  <c:v>4313.6017300000003</c:v>
                </c:pt>
                <c:pt idx="778">
                  <c:v>4399.8423000000003</c:v>
                </c:pt>
                <c:pt idx="779">
                  <c:v>4408.5572700000002</c:v>
                </c:pt>
                <c:pt idx="780">
                  <c:v>4390.3993500000006</c:v>
                </c:pt>
                <c:pt idx="781">
                  <c:v>4423.5863499999996</c:v>
                </c:pt>
                <c:pt idx="782">
                  <c:v>4398.2538599999998</c:v>
                </c:pt>
                <c:pt idx="783">
                  <c:v>4433.8285999999989</c:v>
                </c:pt>
                <c:pt idx="784">
                  <c:v>4496.7298799999999</c:v>
                </c:pt>
                <c:pt idx="785">
                  <c:v>4466.6490199999998</c:v>
                </c:pt>
                <c:pt idx="786">
                  <c:v>4466.97055</c:v>
                </c:pt>
                <c:pt idx="787">
                  <c:v>4464.9935999999998</c:v>
                </c:pt>
                <c:pt idx="788">
                  <c:v>4440.8147400000007</c:v>
                </c:pt>
                <c:pt idx="789">
                  <c:v>4370.4494400000003</c:v>
                </c:pt>
                <c:pt idx="790">
                  <c:v>4374.68559</c:v>
                </c:pt>
                <c:pt idx="791">
                  <c:v>4426.5133799999994</c:v>
                </c:pt>
                <c:pt idx="792">
                  <c:v>4416.7547999999997</c:v>
                </c:pt>
                <c:pt idx="793">
                  <c:v>4466.3597300000001</c:v>
                </c:pt>
                <c:pt idx="794">
                  <c:v>4424.87619</c:v>
                </c:pt>
                <c:pt idx="795">
                  <c:v>4472.6324699999996</c:v>
                </c:pt>
                <c:pt idx="796">
                  <c:v>4520.6815200000001</c:v>
                </c:pt>
                <c:pt idx="797">
                  <c:v>4513.1277799999998</c:v>
                </c:pt>
                <c:pt idx="798">
                  <c:v>4516.8143999999993</c:v>
                </c:pt>
                <c:pt idx="799">
                  <c:v>4464.61024</c:v>
                </c:pt>
                <c:pt idx="800">
                  <c:v>4482.4703399999999</c:v>
                </c:pt>
                <c:pt idx="801">
                  <c:v>4438.2527099999998</c:v>
                </c:pt>
                <c:pt idx="802">
                  <c:v>4494.5908799999997</c:v>
                </c:pt>
                <c:pt idx="803">
                  <c:v>4514.5348199999999</c:v>
                </c:pt>
                <c:pt idx="804">
                  <c:v>4533.2676399999991</c:v>
                </c:pt>
                <c:pt idx="805">
                  <c:v>4511.7741900000001</c:v>
                </c:pt>
                <c:pt idx="806">
                  <c:v>4449.7722799999992</c:v>
                </c:pt>
                <c:pt idx="807">
                  <c:v>4450.7203399999999</c:v>
                </c:pt>
                <c:pt idx="808">
                  <c:v>4465.9946399999999</c:v>
                </c:pt>
                <c:pt idx="809">
                  <c:v>4466.4235600000002</c:v>
                </c:pt>
                <c:pt idx="810">
                  <c:v>4428.7950000000001</c:v>
                </c:pt>
                <c:pt idx="811">
                  <c:v>4427.2231200000006</c:v>
                </c:pt>
                <c:pt idx="812">
                  <c:v>4406.9537700000001</c:v>
                </c:pt>
                <c:pt idx="813">
                  <c:v>4387.9595000000008</c:v>
                </c:pt>
                <c:pt idx="814">
                  <c:v>4387.6625000000004</c:v>
                </c:pt>
                <c:pt idx="815">
                  <c:v>4350.6751599999998</c:v>
                </c:pt>
                <c:pt idx="816">
                  <c:v>4296.3010999999997</c:v>
                </c:pt>
                <c:pt idx="817">
                  <c:v>4315.1575499999999</c:v>
                </c:pt>
                <c:pt idx="818">
                  <c:v>4305.0938399999995</c:v>
                </c:pt>
                <c:pt idx="819">
                  <c:v>4351.5429800000002</c:v>
                </c:pt>
                <c:pt idx="820">
                  <c:v>4261.9670399999995</c:v>
                </c:pt>
                <c:pt idx="821">
                  <c:v>4207.0998599999994</c:v>
                </c:pt>
                <c:pt idx="822">
                  <c:v>4222.1378099999993</c:v>
                </c:pt>
                <c:pt idx="823">
                  <c:v>4242.5388800000001</c:v>
                </c:pt>
                <c:pt idx="824">
                  <c:v>4295.665</c:v>
                </c:pt>
                <c:pt idx="825">
                  <c:v>4242.9777599999998</c:v>
                </c:pt>
                <c:pt idx="826">
                  <c:v>4288.93595</c:v>
                </c:pt>
                <c:pt idx="827">
                  <c:v>4215.6293100000003</c:v>
                </c:pt>
                <c:pt idx="828">
                  <c:v>4221.5978800000003</c:v>
                </c:pt>
                <c:pt idx="829">
                  <c:v>4326.8157599999995</c:v>
                </c:pt>
                <c:pt idx="830">
                  <c:v>4338.9243800000004</c:v>
                </c:pt>
                <c:pt idx="831">
                  <c:v>4389.5487500000008</c:v>
                </c:pt>
                <c:pt idx="832">
                  <c:v>4412.7148199999992</c:v>
                </c:pt>
                <c:pt idx="833">
                  <c:v>4484.5776000000005</c:v>
                </c:pt>
                <c:pt idx="834">
                  <c:v>4436.2665000000006</c:v>
                </c:pt>
                <c:pt idx="835">
                  <c:v>4522.5595499999999</c:v>
                </c:pt>
                <c:pt idx="836">
                  <c:v>4535.0262499999999</c:v>
                </c:pt>
                <c:pt idx="837">
                  <c:v>4487.8859999999995</c:v>
                </c:pt>
                <c:pt idx="838">
                  <c:v>4555.5144600000003</c:v>
                </c:pt>
                <c:pt idx="839">
                  <c:v>4518.2656000000006</c:v>
                </c:pt>
                <c:pt idx="840">
                  <c:v>4433.6871000000001</c:v>
                </c:pt>
                <c:pt idx="841">
                  <c:v>4317.1384200000002</c:v>
                </c:pt>
                <c:pt idx="842">
                  <c:v>4301.0518500000007</c:v>
                </c:pt>
                <c:pt idx="843">
                  <c:v>4258.2692599999991</c:v>
                </c:pt>
                <c:pt idx="844">
                  <c:v>4171.9605300000003</c:v>
                </c:pt>
                <c:pt idx="845">
                  <c:v>4223.3580599999996</c:v>
                </c:pt>
                <c:pt idx="846">
                  <c:v>4240.5868</c:v>
                </c:pt>
                <c:pt idx="847">
                  <c:v>4311.9588999999996</c:v>
                </c:pt>
                <c:pt idx="848">
                  <c:v>4339.0949000000001</c:v>
                </c:pt>
                <c:pt idx="849">
                  <c:v>4354.9402</c:v>
                </c:pt>
                <c:pt idx="850">
                  <c:v>4441.3025999999991</c:v>
                </c:pt>
                <c:pt idx="851">
                  <c:v>4429.1887199999992</c:v>
                </c:pt>
                <c:pt idx="852">
                  <c:v>4486.5946400000003</c:v>
                </c:pt>
                <c:pt idx="853">
                  <c:v>4494.8633200000004</c:v>
                </c:pt>
                <c:pt idx="854">
                  <c:v>4498.4354999999996</c:v>
                </c:pt>
                <c:pt idx="855">
                  <c:v>4437.2065500000008</c:v>
                </c:pt>
                <c:pt idx="856">
                  <c:v>4545.1513800000002</c:v>
                </c:pt>
                <c:pt idx="857">
                  <c:v>4490.45604</c:v>
                </c:pt>
                <c:pt idx="858">
                  <c:v>4434.5071799999996</c:v>
                </c:pt>
                <c:pt idx="859">
                  <c:v>4440.3569200000002</c:v>
                </c:pt>
                <c:pt idx="860">
                  <c:v>4333.6658399999997</c:v>
                </c:pt>
                <c:pt idx="861">
                  <c:v>4352.8209200000001</c:v>
                </c:pt>
                <c:pt idx="862">
                  <c:v>4385.2843999999996</c:v>
                </c:pt>
                <c:pt idx="863">
                  <c:v>4443.3757800000003</c:v>
                </c:pt>
                <c:pt idx="864">
                  <c:v>4500.4415400000007</c:v>
                </c:pt>
                <c:pt idx="865">
                  <c:v>4495.1691600000004</c:v>
                </c:pt>
                <c:pt idx="866">
                  <c:v>4396.9269999999997</c:v>
                </c:pt>
                <c:pt idx="867">
                  <c:v>4415.6187599999994</c:v>
                </c:pt>
                <c:pt idx="868">
                  <c:v>4434.9865</c:v>
                </c:pt>
                <c:pt idx="869">
                  <c:v>4303.848289999999</c:v>
                </c:pt>
                <c:pt idx="870">
                  <c:v>4304.8931399999992</c:v>
                </c:pt>
                <c:pt idx="871">
                  <c:v>4376.3488199999993</c:v>
                </c:pt>
                <c:pt idx="872">
                  <c:v>4354.3760000000002</c:v>
                </c:pt>
                <c:pt idx="873">
                  <c:v>4447.2710799999995</c:v>
                </c:pt>
                <c:pt idx="874">
                  <c:v>4384.7585600000002</c:v>
                </c:pt>
                <c:pt idx="875">
                  <c:v>4403.6687500000007</c:v>
                </c:pt>
                <c:pt idx="876">
                  <c:v>4348.9279200000001</c:v>
                </c:pt>
                <c:pt idx="877">
                  <c:v>4369.6473600000008</c:v>
                </c:pt>
                <c:pt idx="878">
                  <c:v>4302.7734399999999</c:v>
                </c:pt>
                <c:pt idx="879">
                  <c:v>4232.2890100000004</c:v>
                </c:pt>
                <c:pt idx="880">
                  <c:v>4073.7437500000005</c:v>
                </c:pt>
                <c:pt idx="881">
                  <c:v>4013.43165</c:v>
                </c:pt>
                <c:pt idx="882">
                  <c:v>4028.7186000000002</c:v>
                </c:pt>
                <c:pt idx="883">
                  <c:v>4148.5001399999992</c:v>
                </c:pt>
                <c:pt idx="884">
                  <c:v>4157.4087599999993</c:v>
                </c:pt>
                <c:pt idx="885">
                  <c:v>4189.7693999999992</c:v>
                </c:pt>
                <c:pt idx="886">
                  <c:v>4144.3605399999997</c:v>
                </c:pt>
                <c:pt idx="887">
                  <c:v>3996.8181600000003</c:v>
                </c:pt>
                <c:pt idx="888">
                  <c:v>4007.0251199999998</c:v>
                </c:pt>
                <c:pt idx="889">
                  <c:v>4097.72415</c:v>
                </c:pt>
                <c:pt idx="890">
                  <c:v>4194.3611799999999</c:v>
                </c:pt>
                <c:pt idx="891">
                  <c:v>4171.5064999999995</c:v>
                </c:pt>
                <c:pt idx="892">
                  <c:v>4214.1487500000003</c:v>
                </c:pt>
                <c:pt idx="893">
                  <c:v>4304.1726200000003</c:v>
                </c:pt>
                <c:pt idx="894">
                  <c:v>4224.7959200000005</c:v>
                </c:pt>
                <c:pt idx="895">
                  <c:v>4130.3803799999996</c:v>
                </c:pt>
                <c:pt idx="896">
                  <c:v>4179.4047399999999</c:v>
                </c:pt>
                <c:pt idx="897">
                  <c:v>4126.9431500000001</c:v>
                </c:pt>
                <c:pt idx="898">
                  <c:v>4291.1780999999992</c:v>
                </c:pt>
                <c:pt idx="899">
                  <c:v>4284.3239999999996</c:v>
                </c:pt>
                <c:pt idx="900">
                  <c:v>4287.5666599999995</c:v>
                </c:pt>
                <c:pt idx="901">
                  <c:v>4164.3459000000003</c:v>
                </c:pt>
                <c:pt idx="902">
                  <c:v>4218.5251499999995</c:v>
                </c:pt>
                <c:pt idx="903">
                  <c:v>4330.7280299999993</c:v>
                </c:pt>
                <c:pt idx="904">
                  <c:v>4379.4352499999995</c:v>
                </c:pt>
                <c:pt idx="905">
                  <c:v>4375.1259499999996</c:v>
                </c:pt>
                <c:pt idx="906">
                  <c:v>4347.32636</c:v>
                </c:pt>
                <c:pt idx="907">
                  <c:v>4365.1928700000008</c:v>
                </c:pt>
                <c:pt idx="908">
                  <c:v>4295.7599999999993</c:v>
                </c:pt>
                <c:pt idx="909">
                  <c:v>4318.9625599999999</c:v>
                </c:pt>
                <c:pt idx="910">
                  <c:v>4315.9665600000008</c:v>
                </c:pt>
                <c:pt idx="911">
                  <c:v>4320.72102</c:v>
                </c:pt>
                <c:pt idx="912">
                  <c:v>4237.4274000000005</c:v>
                </c:pt>
                <c:pt idx="913">
                  <c:v>4257.7721999999994</c:v>
                </c:pt>
                <c:pt idx="914">
                  <c:v>4437.4025600000004</c:v>
                </c:pt>
                <c:pt idx="915">
                  <c:v>4464.005079999999</c:v>
                </c:pt>
                <c:pt idx="916">
                  <c:v>4401.9017199999998</c:v>
                </c:pt>
                <c:pt idx="917">
                  <c:v>4464.9232499999998</c:v>
                </c:pt>
                <c:pt idx="918">
                  <c:v>4353.27358</c:v>
                </c:pt>
                <c:pt idx="919">
                  <c:v>4331.2768000000005</c:v>
                </c:pt>
                <c:pt idx="920">
                  <c:v>4332.2139299999999</c:v>
                </c:pt>
                <c:pt idx="921">
                  <c:v>4211.1207600000007</c:v>
                </c:pt>
                <c:pt idx="922">
                  <c:v>4172.2508699999998</c:v>
                </c:pt>
                <c:pt idx="923">
                  <c:v>4290.9640799999988</c:v>
                </c:pt>
                <c:pt idx="924">
                  <c:v>4479.2061000000003</c:v>
                </c:pt>
                <c:pt idx="925">
                  <c:v>4565.4713600000005</c:v>
                </c:pt>
                <c:pt idx="926">
                  <c:v>4685.4284800000005</c:v>
                </c:pt>
                <c:pt idx="927">
                  <c:v>4753.2750400000004</c:v>
                </c:pt>
                <c:pt idx="928">
                  <c:v>4661.3161000000009</c:v>
                </c:pt>
                <c:pt idx="929">
                  <c:v>4671.8130799999999</c:v>
                </c:pt>
                <c:pt idx="930">
                  <c:v>4732.9619399999992</c:v>
                </c:pt>
                <c:pt idx="931">
                  <c:v>4726.0482200000006</c:v>
                </c:pt>
                <c:pt idx="932">
                  <c:v>4696.2126399999997</c:v>
                </c:pt>
                <c:pt idx="933">
                  <c:v>4779.6513599999998</c:v>
                </c:pt>
                <c:pt idx="934">
                  <c:v>4730.9503999999997</c:v>
                </c:pt>
                <c:pt idx="935">
                  <c:v>4678.0015400000002</c:v>
                </c:pt>
                <c:pt idx="936">
                  <c:v>4553.8875200000011</c:v>
                </c:pt>
                <c:pt idx="937">
                  <c:v>4571.7255999999998</c:v>
                </c:pt>
                <c:pt idx="938">
                  <c:v>4583.5481</c:v>
                </c:pt>
                <c:pt idx="939">
                  <c:v>4615.5414600000004</c:v>
                </c:pt>
                <c:pt idx="940">
                  <c:v>4658.8221200000007</c:v>
                </c:pt>
                <c:pt idx="941">
                  <c:v>4638.8032599999997</c:v>
                </c:pt>
                <c:pt idx="942">
                  <c:v>4714.2702399999998</c:v>
                </c:pt>
                <c:pt idx="943">
                  <c:v>4816.6835599999995</c:v>
                </c:pt>
                <c:pt idx="944">
                  <c:v>4778.6668</c:v>
                </c:pt>
                <c:pt idx="945">
                  <c:v>4774.4639999999999</c:v>
                </c:pt>
                <c:pt idx="946">
                  <c:v>4789.3809600000004</c:v>
                </c:pt>
                <c:pt idx="947">
                  <c:v>4796.0501400000003</c:v>
                </c:pt>
                <c:pt idx="948">
                  <c:v>4775.7662399999999</c:v>
                </c:pt>
                <c:pt idx="949">
                  <c:v>4810.7520000000004</c:v>
                </c:pt>
                <c:pt idx="950">
                  <c:v>4757.33385</c:v>
                </c:pt>
                <c:pt idx="951">
                  <c:v>4690.4086900000002</c:v>
                </c:pt>
                <c:pt idx="952">
                  <c:v>4659.4577399999998</c:v>
                </c:pt>
                <c:pt idx="953">
                  <c:v>4704.2023500000005</c:v>
                </c:pt>
                <c:pt idx="954">
                  <c:v>4688.6208999999999</c:v>
                </c:pt>
                <c:pt idx="955">
                  <c:v>4722.0626800000009</c:v>
                </c:pt>
                <c:pt idx="956">
                  <c:v>4737.6673799999999</c:v>
                </c:pt>
                <c:pt idx="957">
                  <c:v>4675.6205099999997</c:v>
                </c:pt>
                <c:pt idx="958">
                  <c:v>4703.7631199999996</c:v>
                </c:pt>
                <c:pt idx="959">
                  <c:v>4710.32672</c:v>
                </c:pt>
                <c:pt idx="960">
                  <c:v>4820.7140800000006</c:v>
                </c:pt>
                <c:pt idx="961">
                  <c:v>4849.0960000000005</c:v>
                </c:pt>
                <c:pt idx="962">
                  <c:v>4824.8769600000005</c:v>
                </c:pt>
                <c:pt idx="963">
                  <c:v>4813.0218400000003</c:v>
                </c:pt>
                <c:pt idx="964">
                  <c:v>4796.3049599999995</c:v>
                </c:pt>
                <c:pt idx="965">
                  <c:v>4818.81639</c:v>
                </c:pt>
                <c:pt idx="966">
                  <c:v>4828.1679700000004</c:v>
                </c:pt>
                <c:pt idx="967">
                  <c:v>4837.462050000001</c:v>
                </c:pt>
                <c:pt idx="968">
                  <c:v>4860.7826399999994</c:v>
                </c:pt>
                <c:pt idx="969">
                  <c:v>4973.7331800000002</c:v>
                </c:pt>
                <c:pt idx="970">
                  <c:v>4925.8234600000005</c:v>
                </c:pt>
                <c:pt idx="971">
                  <c:v>4881.7382500000003</c:v>
                </c:pt>
                <c:pt idx="972">
                  <c:v>4919.1368000000002</c:v>
                </c:pt>
                <c:pt idx="973">
                  <c:v>4892.2779600000003</c:v>
                </c:pt>
                <c:pt idx="974">
                  <c:v>4798.8054899999997</c:v>
                </c:pt>
                <c:pt idx="975">
                  <c:v>4851.4452799999999</c:v>
                </c:pt>
                <c:pt idx="976">
                  <c:v>4866.3283000000001</c:v>
                </c:pt>
                <c:pt idx="977">
                  <c:v>4918.1754599999995</c:v>
                </c:pt>
                <c:pt idx="978">
                  <c:v>4897.1894400000001</c:v>
                </c:pt>
                <c:pt idx="979">
                  <c:v>4793.6758100000006</c:v>
                </c:pt>
                <c:pt idx="980">
                  <c:v>4809.8969099999995</c:v>
                </c:pt>
                <c:pt idx="981">
                  <c:v>4805.3100000000004</c:v>
                </c:pt>
                <c:pt idx="982">
                  <c:v>4888.54864</c:v>
                </c:pt>
                <c:pt idx="983">
                  <c:v>4872.6733600000007</c:v>
                </c:pt>
                <c:pt idx="984">
                  <c:v>4982.8804799999998</c:v>
                </c:pt>
                <c:pt idx="985">
                  <c:v>4894.5110600000007</c:v>
                </c:pt>
                <c:pt idx="986">
                  <c:v>4906.163520000001</c:v>
                </c:pt>
                <c:pt idx="987">
                  <c:v>4857.7806</c:v>
                </c:pt>
                <c:pt idx="988">
                  <c:v>4863.5104699999993</c:v>
                </c:pt>
                <c:pt idx="989">
                  <c:v>4846.7522500000005</c:v>
                </c:pt>
                <c:pt idx="990">
                  <c:v>4892.2534999999998</c:v>
                </c:pt>
                <c:pt idx="991">
                  <c:v>4889.9590200000002</c:v>
                </c:pt>
                <c:pt idx="992">
                  <c:v>4941.8507199999995</c:v>
                </c:pt>
                <c:pt idx="993">
                  <c:v>4963.6377999999995</c:v>
                </c:pt>
                <c:pt idx="994">
                  <c:v>4973.2817399999994</c:v>
                </c:pt>
                <c:pt idx="995">
                  <c:v>5008.6363400000009</c:v>
                </c:pt>
                <c:pt idx="996">
                  <c:v>4961.0389999999998</c:v>
                </c:pt>
                <c:pt idx="997">
                  <c:v>4893.9592999999995</c:v>
                </c:pt>
                <c:pt idx="998">
                  <c:v>4997.0608199999997</c:v>
                </c:pt>
                <c:pt idx="999">
                  <c:v>4979.7102300000006</c:v>
                </c:pt>
                <c:pt idx="1000">
                  <c:v>5023.3996999999999</c:v>
                </c:pt>
                <c:pt idx="1001">
                  <c:v>5027.3906999999999</c:v>
                </c:pt>
                <c:pt idx="1002">
                  <c:v>5014.7991899999997</c:v>
                </c:pt>
                <c:pt idx="1003">
                  <c:v>5089.0174400000005</c:v>
                </c:pt>
                <c:pt idx="1004">
                  <c:v>5057.6922200000008</c:v>
                </c:pt>
                <c:pt idx="1005">
                  <c:v>4923.3151100000005</c:v>
                </c:pt>
                <c:pt idx="1006">
                  <c:v>4948.2728800000004</c:v>
                </c:pt>
                <c:pt idx="1007">
                  <c:v>4922.6404599999996</c:v>
                </c:pt>
                <c:pt idx="1008">
                  <c:v>4891.19812</c:v>
                </c:pt>
                <c:pt idx="1009">
                  <c:v>4876.3853999999992</c:v>
                </c:pt>
                <c:pt idx="1010">
                  <c:v>4867.4111899999998</c:v>
                </c:pt>
                <c:pt idx="1011">
                  <c:v>4851.6154200000001</c:v>
                </c:pt>
                <c:pt idx="1012">
                  <c:v>4775.7743600000003</c:v>
                </c:pt>
                <c:pt idx="1013">
                  <c:v>4825.4318400000011</c:v>
                </c:pt>
                <c:pt idx="1014">
                  <c:v>4828.9153200000001</c:v>
                </c:pt>
                <c:pt idx="1015">
                  <c:v>4750.82564</c:v>
                </c:pt>
                <c:pt idx="1016">
                  <c:v>4703.576399999999</c:v>
                </c:pt>
                <c:pt idx="1017">
                  <c:v>4679.61852</c:v>
                </c:pt>
                <c:pt idx="1018">
                  <c:v>4679.0138400000005</c:v>
                </c:pt>
                <c:pt idx="1019">
                  <c:v>4631.9516800000001</c:v>
                </c:pt>
                <c:pt idx="1020">
                  <c:v>4530.2458500000002</c:v>
                </c:pt>
                <c:pt idx="1021">
                  <c:v>4532.6740799999998</c:v>
                </c:pt>
                <c:pt idx="1022">
                  <c:v>4473.4498599999997</c:v>
                </c:pt>
                <c:pt idx="1023">
                  <c:v>4612.98344</c:v>
                </c:pt>
                <c:pt idx="1024">
                  <c:v>4605.3192000000008</c:v>
                </c:pt>
                <c:pt idx="1025">
                  <c:v>4659.7525500000002</c:v>
                </c:pt>
                <c:pt idx="1026">
                  <c:v>4728.2272600000006</c:v>
                </c:pt>
                <c:pt idx="1027">
                  <c:v>4762.5221000000001</c:v>
                </c:pt>
                <c:pt idx="1028">
                  <c:v>4690.4270399999996</c:v>
                </c:pt>
                <c:pt idx="1029">
                  <c:v>4743.17893</c:v>
                </c:pt>
                <c:pt idx="1030">
                  <c:v>4633.8502399999998</c:v>
                </c:pt>
                <c:pt idx="1031">
                  <c:v>4656.7024000000001</c:v>
                </c:pt>
                <c:pt idx="1032">
                  <c:v>4679.1948000000002</c:v>
                </c:pt>
                <c:pt idx="1033">
                  <c:v>4702.2104399999998</c:v>
                </c:pt>
                <c:pt idx="1034">
                  <c:v>4693.3396000000002</c:v>
                </c:pt>
                <c:pt idx="1035">
                  <c:v>4724.6563200000001</c:v>
                </c:pt>
                <c:pt idx="1036">
                  <c:v>4757.2200299999995</c:v>
                </c:pt>
                <c:pt idx="1037">
                  <c:v>4769.2793999999994</c:v>
                </c:pt>
                <c:pt idx="1038">
                  <c:v>4780.93</c:v>
                </c:pt>
                <c:pt idx="1039">
                  <c:v>4816.73819</c:v>
                </c:pt>
                <c:pt idx="1040">
                  <c:v>4819.3845599999995</c:v>
                </c:pt>
                <c:pt idx="1041">
                  <c:v>4796.5915799999993</c:v>
                </c:pt>
                <c:pt idx="1042">
                  <c:v>4818.5731999999998</c:v>
                </c:pt>
                <c:pt idx="1043">
                  <c:v>4894.3392800000001</c:v>
                </c:pt>
                <c:pt idx="1044">
                  <c:v>4801.3413299999993</c:v>
                </c:pt>
                <c:pt idx="1045">
                  <c:v>4836.7524799999992</c:v>
                </c:pt>
                <c:pt idx="1046">
                  <c:v>4827.3041599999997</c:v>
                </c:pt>
                <c:pt idx="1047">
                  <c:v>4839.5398399999995</c:v>
                </c:pt>
                <c:pt idx="1048">
                  <c:v>4834.4205000000002</c:v>
                </c:pt>
                <c:pt idx="1049">
                  <c:v>4834.4963399999997</c:v>
                </c:pt>
                <c:pt idx="1050">
                  <c:v>4805.1740800000007</c:v>
                </c:pt>
                <c:pt idx="1051">
                  <c:v>4803.2151000000003</c:v>
                </c:pt>
                <c:pt idx="1052">
                  <c:v>4760.6537800000006</c:v>
                </c:pt>
                <c:pt idx="1053">
                  <c:v>4762.4570199999998</c:v>
                </c:pt>
                <c:pt idx="1054">
                  <c:v>4803.0719099999997</c:v>
                </c:pt>
                <c:pt idx="1055">
                  <c:v>4831.0917200000013</c:v>
                </c:pt>
                <c:pt idx="1056">
                  <c:v>4855.8780000000006</c:v>
                </c:pt>
                <c:pt idx="1057">
                  <c:v>4888.4204</c:v>
                </c:pt>
                <c:pt idx="1058">
                  <c:v>4828.4622100000006</c:v>
                </c:pt>
                <c:pt idx="1059">
                  <c:v>4856.8906100000004</c:v>
                </c:pt>
                <c:pt idx="1060">
                  <c:v>4963.6838200000002</c:v>
                </c:pt>
                <c:pt idx="1061">
                  <c:v>4946.8143600000003</c:v>
                </c:pt>
                <c:pt idx="1062">
                  <c:v>4921.7112300000008</c:v>
                </c:pt>
                <c:pt idx="1063">
                  <c:v>5007.0041999999994</c:v>
                </c:pt>
                <c:pt idx="1064">
                  <c:v>5013.3816000000006</c:v>
                </c:pt>
                <c:pt idx="1065">
                  <c:v>4944.3477199999998</c:v>
                </c:pt>
                <c:pt idx="1066">
                  <c:v>4930.2186199999996</c:v>
                </c:pt>
                <c:pt idx="1067">
                  <c:v>4884.7701800000004</c:v>
                </c:pt>
                <c:pt idx="1068">
                  <c:v>4874.8505000000005</c:v>
                </c:pt>
                <c:pt idx="1069">
                  <c:v>4882.3425000000007</c:v>
                </c:pt>
                <c:pt idx="1070">
                  <c:v>4858.7044499999993</c:v>
                </c:pt>
                <c:pt idx="1071">
                  <c:v>4924.1377499999999</c:v>
                </c:pt>
                <c:pt idx="1072">
                  <c:v>4924.5685599999997</c:v>
                </c:pt>
                <c:pt idx="1073">
                  <c:v>4971.4771199999996</c:v>
                </c:pt>
                <c:pt idx="1074">
                  <c:v>4939.4668799999999</c:v>
                </c:pt>
                <c:pt idx="1075">
                  <c:v>4955.0155599999998</c:v>
                </c:pt>
                <c:pt idx="1076">
                  <c:v>4994.3193000000001</c:v>
                </c:pt>
                <c:pt idx="1077">
                  <c:v>4945.6439999999993</c:v>
                </c:pt>
                <c:pt idx="1078">
                  <c:v>4932.7130299999999</c:v>
                </c:pt>
                <c:pt idx="1079">
                  <c:v>4911.3805400000001</c:v>
                </c:pt>
                <c:pt idx="1080">
                  <c:v>4938.8583900000003</c:v>
                </c:pt>
                <c:pt idx="1081">
                  <c:v>4993.5392000000002</c:v>
                </c:pt>
                <c:pt idx="1082">
                  <c:v>4921.3231599999999</c:v>
                </c:pt>
                <c:pt idx="1083">
                  <c:v>4877.0153899999996</c:v>
                </c:pt>
                <c:pt idx="1084">
                  <c:v>4905.0458099999996</c:v>
                </c:pt>
                <c:pt idx="1085">
                  <c:v>4882.5819199999996</c:v>
                </c:pt>
                <c:pt idx="1086">
                  <c:v>4885.43552</c:v>
                </c:pt>
                <c:pt idx="1087">
                  <c:v>4842.7769599999992</c:v>
                </c:pt>
                <c:pt idx="1088">
                  <c:v>4864.8225599999996</c:v>
                </c:pt>
                <c:pt idx="1089">
                  <c:v>4821.2873800000007</c:v>
                </c:pt>
                <c:pt idx="1090">
                  <c:v>4836.9036799999994</c:v>
                </c:pt>
                <c:pt idx="1091">
                  <c:v>4877.2765999999992</c:v>
                </c:pt>
                <c:pt idx="1092">
                  <c:v>4782.4478200000003</c:v>
                </c:pt>
                <c:pt idx="1093">
                  <c:v>4743.0202399999998</c:v>
                </c:pt>
                <c:pt idx="1094">
                  <c:v>4778.3000999999995</c:v>
                </c:pt>
                <c:pt idx="1095">
                  <c:v>4770.2764200000011</c:v>
                </c:pt>
                <c:pt idx="1096">
                  <c:v>4770.7052399999993</c:v>
                </c:pt>
                <c:pt idx="1097">
                  <c:v>4786.3224000000009</c:v>
                </c:pt>
                <c:pt idx="1098">
                  <c:v>4830.9455699999999</c:v>
                </c:pt>
                <c:pt idx="1099">
                  <c:v>4856.6366500000004</c:v>
                </c:pt>
                <c:pt idx="1100">
                  <c:v>4841.6802800000005</c:v>
                </c:pt>
                <c:pt idx="1101">
                  <c:v>4828.1280999999999</c:v>
                </c:pt>
                <c:pt idx="1102">
                  <c:v>4832.8559299999997</c:v>
                </c:pt>
                <c:pt idx="1103">
                  <c:v>4926.8544600000005</c:v>
                </c:pt>
                <c:pt idx="1104">
                  <c:v>4967.4048000000003</c:v>
                </c:pt>
                <c:pt idx="1105">
                  <c:v>4975.2005399999998</c:v>
                </c:pt>
                <c:pt idx="1106">
                  <c:v>5005.69596</c:v>
                </c:pt>
                <c:pt idx="1107">
                  <c:v>4975.2082799999998</c:v>
                </c:pt>
                <c:pt idx="1108">
                  <c:v>4987.2164000000002</c:v>
                </c:pt>
                <c:pt idx="1109">
                  <c:v>4987.6939199999997</c:v>
                </c:pt>
                <c:pt idx="1110">
                  <c:v>5059.3523400000004</c:v>
                </c:pt>
                <c:pt idx="1111">
                  <c:v>4998.69902</c:v>
                </c:pt>
                <c:pt idx="1112">
                  <c:v>4988.9546400000008</c:v>
                </c:pt>
                <c:pt idx="1113">
                  <c:v>4971.2603599999993</c:v>
                </c:pt>
                <c:pt idx="1114">
                  <c:v>4968.1938999999993</c:v>
                </c:pt>
                <c:pt idx="1115">
                  <c:v>4960.8747200000007</c:v>
                </c:pt>
                <c:pt idx="1116">
                  <c:v>4957.0926899999995</c:v>
                </c:pt>
                <c:pt idx="1117">
                  <c:v>4904.2103100000004</c:v>
                </c:pt>
                <c:pt idx="1118">
                  <c:v>5003.7577199999996</c:v>
                </c:pt>
                <c:pt idx="1119">
                  <c:v>5048.6490000000003</c:v>
                </c:pt>
                <c:pt idx="1120">
                  <c:v>4979.6166599999997</c:v>
                </c:pt>
                <c:pt idx="1121">
                  <c:v>4957.1356699999997</c:v>
                </c:pt>
                <c:pt idx="1122">
                  <c:v>4998.5919199999998</c:v>
                </c:pt>
                <c:pt idx="1123">
                  <c:v>4996.0316699999994</c:v>
                </c:pt>
                <c:pt idx="1124">
                  <c:v>5007.7703499999998</c:v>
                </c:pt>
                <c:pt idx="1125">
                  <c:v>5043.4883999999993</c:v>
                </c:pt>
                <c:pt idx="1126">
                  <c:v>5022.3980799999999</c:v>
                </c:pt>
                <c:pt idx="1127">
                  <c:v>4940.0590699999993</c:v>
                </c:pt>
                <c:pt idx="1128">
                  <c:v>4938.2412599999998</c:v>
                </c:pt>
                <c:pt idx="1129">
                  <c:v>5038.5384999999997</c:v>
                </c:pt>
                <c:pt idx="1130">
                  <c:v>4972.5830799999994</c:v>
                </c:pt>
                <c:pt idx="1131">
                  <c:v>5006.5553600000003</c:v>
                </c:pt>
                <c:pt idx="1132">
                  <c:v>5025.6556399999999</c:v>
                </c:pt>
                <c:pt idx="1133">
                  <c:v>4976.8340699999999</c:v>
                </c:pt>
                <c:pt idx="1134">
                  <c:v>4950.92112</c:v>
                </c:pt>
                <c:pt idx="1135">
                  <c:v>4901.5756799999999</c:v>
                </c:pt>
                <c:pt idx="1136">
                  <c:v>4928.4506599999995</c:v>
                </c:pt>
                <c:pt idx="1137">
                  <c:v>4963.1824999999999</c:v>
                </c:pt>
                <c:pt idx="1138">
                  <c:v>4998.0869400000001</c:v>
                </c:pt>
                <c:pt idx="1139">
                  <c:v>5004.0806199999997</c:v>
                </c:pt>
                <c:pt idx="1140">
                  <c:v>4925.4135699999997</c:v>
                </c:pt>
                <c:pt idx="1141">
                  <c:v>4942.6611200000007</c:v>
                </c:pt>
                <c:pt idx="1142">
                  <c:v>4933.7008399999995</c:v>
                </c:pt>
                <c:pt idx="1143">
                  <c:v>4971.6622500000003</c:v>
                </c:pt>
                <c:pt idx="1144">
                  <c:v>4995.7833099999998</c:v>
                </c:pt>
                <c:pt idx="1145">
                  <c:v>5005.3730999999998</c:v>
                </c:pt>
                <c:pt idx="1146">
                  <c:v>4935.5000100000007</c:v>
                </c:pt>
                <c:pt idx="1147">
                  <c:v>5008.7817500000001</c:v>
                </c:pt>
                <c:pt idx="1148">
                  <c:v>4978.1140000000005</c:v>
                </c:pt>
                <c:pt idx="1149">
                  <c:v>4966.0938900000001</c:v>
                </c:pt>
                <c:pt idx="1150">
                  <c:v>4878.608940000001</c:v>
                </c:pt>
                <c:pt idx="1151">
                  <c:v>4904.3286600000001</c:v>
                </c:pt>
                <c:pt idx="1152">
                  <c:v>4820.7749999999996</c:v>
                </c:pt>
                <c:pt idx="1153">
                  <c:v>4838.4456</c:v>
                </c:pt>
                <c:pt idx="1154">
                  <c:v>4867.4169000000002</c:v>
                </c:pt>
                <c:pt idx="1155">
                  <c:v>4839.1027199999999</c:v>
                </c:pt>
                <c:pt idx="1156">
                  <c:v>4830.0451200000007</c:v>
                </c:pt>
                <c:pt idx="1157">
                  <c:v>4769.9376999999995</c:v>
                </c:pt>
                <c:pt idx="1158">
                  <c:v>4664.4882199999993</c:v>
                </c:pt>
                <c:pt idx="1159">
                  <c:v>4664.2032500000005</c:v>
                </c:pt>
                <c:pt idx="1160">
                  <c:v>4599.5302500000007</c:v>
                </c:pt>
                <c:pt idx="1161">
                  <c:v>4558.5540000000001</c:v>
                </c:pt>
                <c:pt idx="1162">
                  <c:v>4528.7608300000002</c:v>
                </c:pt>
                <c:pt idx="1163">
                  <c:v>4592.9167900000002</c:v>
                </c:pt>
                <c:pt idx="1164">
                  <c:v>4611.4748</c:v>
                </c:pt>
                <c:pt idx="1165">
                  <c:v>4615.6685299999999</c:v>
                </c:pt>
                <c:pt idx="1166">
                  <c:v>4646.5146000000004</c:v>
                </c:pt>
                <c:pt idx="1167">
                  <c:v>4612.2794299999996</c:v>
                </c:pt>
                <c:pt idx="1168">
                  <c:v>4600.1175000000003</c:v>
                </c:pt>
                <c:pt idx="1169">
                  <c:v>4580.9758499999998</c:v>
                </c:pt>
                <c:pt idx="1170">
                  <c:v>4602.7531600000002</c:v>
                </c:pt>
                <c:pt idx="1171">
                  <c:v>4546.5697899999996</c:v>
                </c:pt>
                <c:pt idx="1172">
                  <c:v>4595.84825</c:v>
                </c:pt>
                <c:pt idx="1173">
                  <c:v>4673.74251</c:v>
                </c:pt>
                <c:pt idx="1174">
                  <c:v>4709.7724999999991</c:v>
                </c:pt>
                <c:pt idx="1175">
                  <c:v>4654.225730000001</c:v>
                </c:pt>
                <c:pt idx="1176">
                  <c:v>4669.7029000000002</c:v>
                </c:pt>
                <c:pt idx="1177">
                  <c:v>4644.7514600000004</c:v>
                </c:pt>
                <c:pt idx="1178">
                  <c:v>4684.5185200000005</c:v>
                </c:pt>
                <c:pt idx="1179">
                  <c:v>4695.1060800000005</c:v>
                </c:pt>
                <c:pt idx="1180">
                  <c:v>4657.9620999999997</c:v>
                </c:pt>
                <c:pt idx="1181">
                  <c:v>4635.8452699999998</c:v>
                </c:pt>
                <c:pt idx="1182">
                  <c:v>4625.4808899999989</c:v>
                </c:pt>
                <c:pt idx="1183">
                  <c:v>4585.0992999999999</c:v>
                </c:pt>
                <c:pt idx="1184">
                  <c:v>4573.578950000001</c:v>
                </c:pt>
                <c:pt idx="1185">
                  <c:v>4521.2634399999997</c:v>
                </c:pt>
                <c:pt idx="1186">
                  <c:v>4415.3847100000003</c:v>
                </c:pt>
                <c:pt idx="1187">
                  <c:v>4477.5666899999997</c:v>
                </c:pt>
                <c:pt idx="1188">
                  <c:v>4472.7365200000004</c:v>
                </c:pt>
                <c:pt idx="1189">
                  <c:v>4423.6745000000001</c:v>
                </c:pt>
                <c:pt idx="1190">
                  <c:v>4486.8291499999996</c:v>
                </c:pt>
                <c:pt idx="1191">
                  <c:v>4507.0177000000003</c:v>
                </c:pt>
                <c:pt idx="1192">
                  <c:v>4520.4111999999996</c:v>
                </c:pt>
                <c:pt idx="1193">
                  <c:v>4409.6480099999999</c:v>
                </c:pt>
                <c:pt idx="1194">
                  <c:v>4443.8562299999994</c:v>
                </c:pt>
                <c:pt idx="1195">
                  <c:v>4359.3710799999999</c:v>
                </c:pt>
                <c:pt idx="1196">
                  <c:v>4337.2939500000002</c:v>
                </c:pt>
                <c:pt idx="1197">
                  <c:v>4241.8362000000006</c:v>
                </c:pt>
                <c:pt idx="1198">
                  <c:v>4260.2784300000003</c:v>
                </c:pt>
                <c:pt idx="1199">
                  <c:v>4195.9229800000003</c:v>
                </c:pt>
                <c:pt idx="1200">
                  <c:v>4198.0084799999995</c:v>
                </c:pt>
                <c:pt idx="1201">
                  <c:v>4231.99125</c:v>
                </c:pt>
                <c:pt idx="1202">
                  <c:v>4316.5552500000003</c:v>
                </c:pt>
                <c:pt idx="1203">
                  <c:v>4433.4831399999994</c:v>
                </c:pt>
                <c:pt idx="1204">
                  <c:v>4477.8898500000005</c:v>
                </c:pt>
                <c:pt idx="1205">
                  <c:v>4509.6446999999998</c:v>
                </c:pt>
                <c:pt idx="1206">
                  <c:v>4555.8548999999994</c:v>
                </c:pt>
                <c:pt idx="1207">
                  <c:v>4609.0191400000003</c:v>
                </c:pt>
                <c:pt idx="1208">
                  <c:v>4669.9783500000003</c:v>
                </c:pt>
                <c:pt idx="1209">
                  <c:v>4728.83752</c:v>
                </c:pt>
                <c:pt idx="1210">
                  <c:v>4662.5111699999998</c:v>
                </c:pt>
                <c:pt idx="1211">
                  <c:v>4623.731490000001</c:v>
                </c:pt>
                <c:pt idx="1212">
                  <c:v>4600.9565000000002</c:v>
                </c:pt>
                <c:pt idx="1213">
                  <c:v>4614.5330999999996</c:v>
                </c:pt>
                <c:pt idx="1214">
                  <c:v>4559.9319300000006</c:v>
                </c:pt>
                <c:pt idx="1215">
                  <c:v>4403.7182600000006</c:v>
                </c:pt>
                <c:pt idx="1216">
                  <c:v>4340.0167199999996</c:v>
                </c:pt>
                <c:pt idx="1217">
                  <c:v>4250.1967500000001</c:v>
                </c:pt>
                <c:pt idx="1218">
                  <c:v>4319.9224599999998</c:v>
                </c:pt>
                <c:pt idx="1219">
                  <c:v>4355.4574000000002</c:v>
                </c:pt>
                <c:pt idx="1220">
                  <c:v>4248.6938</c:v>
                </c:pt>
                <c:pt idx="1221">
                  <c:v>4278.9417600000006</c:v>
                </c:pt>
                <c:pt idx="1222">
                  <c:v>4356.60995</c:v>
                </c:pt>
                <c:pt idx="1223">
                  <c:v>4385.7342500000004</c:v>
                </c:pt>
                <c:pt idx="1224">
                  <c:v>4374.3828800000001</c:v>
                </c:pt>
                <c:pt idx="1225">
                  <c:v>4309.3535999999995</c:v>
                </c:pt>
                <c:pt idx="1226">
                  <c:v>4267.4326499999997</c:v>
                </c:pt>
                <c:pt idx="1227">
                  <c:v>4387.0487399999993</c:v>
                </c:pt>
                <c:pt idx="1228">
                  <c:v>4323.0521399999998</c:v>
                </c:pt>
                <c:pt idx="1229">
                  <c:v>4376.49935</c:v>
                </c:pt>
                <c:pt idx="1230">
                  <c:v>4473.5258700000004</c:v>
                </c:pt>
                <c:pt idx="1231">
                  <c:v>4618.2330999999995</c:v>
                </c:pt>
                <c:pt idx="1232">
                  <c:v>4589.6012799999999</c:v>
                </c:pt>
                <c:pt idx="1233">
                  <c:v>4739.7496900000006</c:v>
                </c:pt>
                <c:pt idx="1234">
                  <c:v>4721.6614399999999</c:v>
                </c:pt>
                <c:pt idx="1235">
                  <c:v>4634.7355000000007</c:v>
                </c:pt>
                <c:pt idx="1236">
                  <c:v>4721.7336000000005</c:v>
                </c:pt>
                <c:pt idx="1237">
                  <c:v>4759.8730399999995</c:v>
                </c:pt>
                <c:pt idx="1238">
                  <c:v>4663.0644899999998</c:v>
                </c:pt>
                <c:pt idx="1239">
                  <c:v>4743.7803600000007</c:v>
                </c:pt>
                <c:pt idx="1240">
                  <c:v>4848.3402000000006</c:v>
                </c:pt>
                <c:pt idx="1241">
                  <c:v>4933.6896500000012</c:v>
                </c:pt>
                <c:pt idx="1242">
                  <c:v>4950.5997500000003</c:v>
                </c:pt>
                <c:pt idx="1243">
                  <c:v>4965.0827199999994</c:v>
                </c:pt>
                <c:pt idx="1244">
                  <c:v>5039.2367999999997</c:v>
                </c:pt>
                <c:pt idx="1245">
                  <c:v>5143.0339199999999</c:v>
                </c:pt>
                <c:pt idx="1246">
                  <c:v>5221.1120000000001</c:v>
                </c:pt>
                <c:pt idx="1247">
                  <c:v>5222.7168500000007</c:v>
                </c:pt>
                <c:pt idx="1248">
                  <c:v>5259.7513200000003</c:v>
                </c:pt>
                <c:pt idx="1249">
                  <c:v>5149.499420000001</c:v>
                </c:pt>
                <c:pt idx="1250">
                  <c:v>5132.6836000000003</c:v>
                </c:pt>
                <c:pt idx="1251">
                  <c:v>5135.29648</c:v>
                </c:pt>
                <c:pt idx="1252">
                  <c:v>5147.6996899999995</c:v>
                </c:pt>
                <c:pt idx="1253">
                  <c:v>5189.4712500000005</c:v>
                </c:pt>
                <c:pt idx="1254">
                  <c:v>5182.0012500000003</c:v>
                </c:pt>
                <c:pt idx="1255">
                  <c:v>5071.4287200000008</c:v>
                </c:pt>
                <c:pt idx="1256">
                  <c:v>5107.9106400000001</c:v>
                </c:pt>
                <c:pt idx="1257">
                  <c:v>5067.8440200000005</c:v>
                </c:pt>
                <c:pt idx="1258">
                  <c:v>5026.2884100000001</c:v>
                </c:pt>
                <c:pt idx="1259">
                  <c:v>5115.6800799999992</c:v>
                </c:pt>
                <c:pt idx="1260">
                  <c:v>5121.1350600000005</c:v>
                </c:pt>
                <c:pt idx="1261">
                  <c:v>5073.5802599999997</c:v>
                </c:pt>
                <c:pt idx="1262">
                  <c:v>4957.4083999999993</c:v>
                </c:pt>
                <c:pt idx="1263">
                  <c:v>4987.6019200000001</c:v>
                </c:pt>
                <c:pt idx="1264">
                  <c:v>4865.9572800000005</c:v>
                </c:pt>
                <c:pt idx="1265">
                  <c:v>4880.25054</c:v>
                </c:pt>
                <c:pt idx="1266">
                  <c:v>4779.87536</c:v>
                </c:pt>
                <c:pt idx="1267">
                  <c:v>4777.5280499999999</c:v>
                </c:pt>
                <c:pt idx="1268">
                  <c:v>4761.2171600000001</c:v>
                </c:pt>
                <c:pt idx="1269">
                  <c:v>4708.96198</c:v>
                </c:pt>
                <c:pt idx="1270">
                  <c:v>4697.28802</c:v>
                </c:pt>
                <c:pt idx="1271">
                  <c:v>4641.3426400000008</c:v>
                </c:pt>
                <c:pt idx="1272">
                  <c:v>4619.2757599999995</c:v>
                </c:pt>
                <c:pt idx="1273">
                  <c:v>4638.8923999999997</c:v>
                </c:pt>
                <c:pt idx="1274">
                  <c:v>4620.9621900000002</c:v>
                </c:pt>
                <c:pt idx="1275">
                  <c:v>4653.8027900000006</c:v>
                </c:pt>
                <c:pt idx="1276">
                  <c:v>4704.43624</c:v>
                </c:pt>
                <c:pt idx="1277">
                  <c:v>4680.22</c:v>
                </c:pt>
                <c:pt idx="1278">
                  <c:v>4776.7191000000003</c:v>
                </c:pt>
                <c:pt idx="1279">
                  <c:v>4728.5696499999995</c:v>
                </c:pt>
                <c:pt idx="1280">
                  <c:v>4679.4835199999998</c:v>
                </c:pt>
                <c:pt idx="1281">
                  <c:v>4647.4141499999996</c:v>
                </c:pt>
                <c:pt idx="1282">
                  <c:v>4634.8295900000003</c:v>
                </c:pt>
                <c:pt idx="1283">
                  <c:v>4614.4446600000001</c:v>
                </c:pt>
                <c:pt idx="1284">
                  <c:v>4702.4341000000004</c:v>
                </c:pt>
                <c:pt idx="1285">
                  <c:v>4755.9613500000005</c:v>
                </c:pt>
                <c:pt idx="1286">
                  <c:v>4679.0908500000005</c:v>
                </c:pt>
                <c:pt idx="1287">
                  <c:v>4788.4198500000002</c:v>
                </c:pt>
                <c:pt idx="1288">
                  <c:v>4887.6869700000007</c:v>
                </c:pt>
                <c:pt idx="1289">
                  <c:v>4886.8582500000002</c:v>
                </c:pt>
                <c:pt idx="1290">
                  <c:v>4789.4488300000012</c:v>
                </c:pt>
                <c:pt idx="1291">
                  <c:v>4788.0301399999998</c:v>
                </c:pt>
                <c:pt idx="1292">
                  <c:v>4814.9388500000005</c:v>
                </c:pt>
                <c:pt idx="1293">
                  <c:v>4717.6238400000002</c:v>
                </c:pt>
                <c:pt idx="1294">
                  <c:v>4725.5018</c:v>
                </c:pt>
                <c:pt idx="1295">
                  <c:v>4776.0624900000003</c:v>
                </c:pt>
                <c:pt idx="1296">
                  <c:v>4767.8966700000001</c:v>
                </c:pt>
                <c:pt idx="1297">
                  <c:v>4776.5312199999998</c:v>
                </c:pt>
                <c:pt idx="1298">
                  <c:v>4792.0748700000004</c:v>
                </c:pt>
                <c:pt idx="1299">
                  <c:v>4758.7734999999993</c:v>
                </c:pt>
                <c:pt idx="1300">
                  <c:v>4747.478970000001</c:v>
                </c:pt>
                <c:pt idx="1301">
                  <c:v>4896.1230399999995</c:v>
                </c:pt>
                <c:pt idx="1302">
                  <c:v>4941.1824899999992</c:v>
                </c:pt>
                <c:pt idx="1303">
                  <c:v>4895.8944300000003</c:v>
                </c:pt>
                <c:pt idx="1304">
                  <c:v>4849.8352000000004</c:v>
                </c:pt>
                <c:pt idx="1305">
                  <c:v>4891.2998400000006</c:v>
                </c:pt>
                <c:pt idx="1306">
                  <c:v>4989.6824100000003</c:v>
                </c:pt>
                <c:pt idx="1307">
                  <c:v>4956.2526600000001</c:v>
                </c:pt>
                <c:pt idx="1308">
                  <c:v>4987.7638799999995</c:v>
                </c:pt>
                <c:pt idx="1309">
                  <c:v>5010.4578200000005</c:v>
                </c:pt>
                <c:pt idx="1310">
                  <c:v>5091.24784</c:v>
                </c:pt>
                <c:pt idx="1311">
                  <c:v>5096.0317599999998</c:v>
                </c:pt>
                <c:pt idx="1312">
                  <c:v>5087.2457999999997</c:v>
                </c:pt>
                <c:pt idx="1313">
                  <c:v>5165.9860900000003</c:v>
                </c:pt>
                <c:pt idx="1314">
                  <c:v>5093.6241600000012</c:v>
                </c:pt>
                <c:pt idx="1315">
                  <c:v>5081.6750000000002</c:v>
                </c:pt>
                <c:pt idx="1316">
                  <c:v>5065.7448599999998</c:v>
                </c:pt>
                <c:pt idx="1317">
                  <c:v>5098.4196999999995</c:v>
                </c:pt>
                <c:pt idx="1318">
                  <c:v>5143.2822299999998</c:v>
                </c:pt>
                <c:pt idx="1319">
                  <c:v>5181.7742900000003</c:v>
                </c:pt>
                <c:pt idx="1320">
                  <c:v>5136.0410199999997</c:v>
                </c:pt>
                <c:pt idx="1321">
                  <c:v>5169.9306999999999</c:v>
                </c:pt>
                <c:pt idx="1322">
                  <c:v>5125.21144</c:v>
                </c:pt>
                <c:pt idx="1323">
                  <c:v>5047.45813</c:v>
                </c:pt>
                <c:pt idx="1324">
                  <c:v>5041.5580600000003</c:v>
                </c:pt>
                <c:pt idx="1325">
                  <c:v>5002.4655000000002</c:v>
                </c:pt>
                <c:pt idx="1326">
                  <c:v>4915.3539499999997</c:v>
                </c:pt>
                <c:pt idx="1327">
                  <c:v>4951.3951500000003</c:v>
                </c:pt>
                <c:pt idx="1328">
                  <c:v>4808.9677099999999</c:v>
                </c:pt>
                <c:pt idx="1329">
                  <c:v>4897.5426199999993</c:v>
                </c:pt>
                <c:pt idx="1330">
                  <c:v>4839.0444000000007</c:v>
                </c:pt>
                <c:pt idx="1331">
                  <c:v>4855.1220000000003</c:v>
                </c:pt>
                <c:pt idx="1332">
                  <c:v>4879.0624100000005</c:v>
                </c:pt>
                <c:pt idx="1333">
                  <c:v>5012.4748799999988</c:v>
                </c:pt>
                <c:pt idx="1334">
                  <c:v>5016.5348999999997</c:v>
                </c:pt>
                <c:pt idx="1335">
                  <c:v>5117.0729999999994</c:v>
                </c:pt>
                <c:pt idx="1336">
                  <c:v>5105.2092799999991</c:v>
                </c:pt>
                <c:pt idx="1337">
                  <c:v>5063.6846399999995</c:v>
                </c:pt>
                <c:pt idx="1338">
                  <c:v>5097.9796799999995</c:v>
                </c:pt>
                <c:pt idx="1339">
                  <c:v>5138.5941200000007</c:v>
                </c:pt>
                <c:pt idx="1340">
                  <c:v>5152.5676999999996</c:v>
                </c:pt>
                <c:pt idx="1341">
                  <c:v>5151.2600999999995</c:v>
                </c:pt>
                <c:pt idx="1342">
                  <c:v>5174.7114800000008</c:v>
                </c:pt>
                <c:pt idx="1343">
                  <c:v>5153.3930399999999</c:v>
                </c:pt>
                <c:pt idx="1344">
                  <c:v>5119.1711999999998</c:v>
                </c:pt>
                <c:pt idx="1345">
                  <c:v>5100.0787199999995</c:v>
                </c:pt>
                <c:pt idx="1346">
                  <c:v>4955.2419800000007</c:v>
                </c:pt>
                <c:pt idx="1347">
                  <c:v>5068.3370400000003</c:v>
                </c:pt>
                <c:pt idx="1348">
                  <c:v>5069.2816999999995</c:v>
                </c:pt>
                <c:pt idx="1349">
                  <c:v>4983.4345000000003</c:v>
                </c:pt>
                <c:pt idx="1350">
                  <c:v>5021.2465000000002</c:v>
                </c:pt>
                <c:pt idx="1351">
                  <c:v>4984.285460000001</c:v>
                </c:pt>
                <c:pt idx="1352">
                  <c:v>5051.7240400000001</c:v>
                </c:pt>
                <c:pt idx="1353">
                  <c:v>5089.6860000000006</c:v>
                </c:pt>
                <c:pt idx="1354">
                  <c:v>5097.8202600000004</c:v>
                </c:pt>
                <c:pt idx="1355">
                  <c:v>5048.59584</c:v>
                </c:pt>
                <c:pt idx="1356">
                  <c:v>5007.6095999999998</c:v>
                </c:pt>
                <c:pt idx="1357">
                  <c:v>5086.900059999999</c:v>
                </c:pt>
                <c:pt idx="1358">
                  <c:v>5115.2020999999995</c:v>
                </c:pt>
                <c:pt idx="1359">
                  <c:v>5090.0400799999998</c:v>
                </c:pt>
                <c:pt idx="1360">
                  <c:v>5035.802279999999</c:v>
                </c:pt>
                <c:pt idx="1361">
                  <c:v>4919.2551999999996</c:v>
                </c:pt>
                <c:pt idx="1362">
                  <c:v>4819.5027999999993</c:v>
                </c:pt>
                <c:pt idx="1363">
                  <c:v>4876.5214100000003</c:v>
                </c:pt>
                <c:pt idx="1364">
                  <c:v>4884.5038500000001</c:v>
                </c:pt>
                <c:pt idx="1365">
                  <c:v>4888.6486799999993</c:v>
                </c:pt>
                <c:pt idx="1366">
                  <c:v>4999.3334399999994</c:v>
                </c:pt>
                <c:pt idx="1367">
                  <c:v>4904.0784000000003</c:v>
                </c:pt>
                <c:pt idx="1368">
                  <c:v>5003.6868000000004</c:v>
                </c:pt>
                <c:pt idx="1369">
                  <c:v>5009.7136500000006</c:v>
                </c:pt>
                <c:pt idx="1370">
                  <c:v>5043.7992600000007</c:v>
                </c:pt>
                <c:pt idx="1371">
                  <c:v>5085.3620999999994</c:v>
                </c:pt>
                <c:pt idx="1372">
                  <c:v>5047.66464</c:v>
                </c:pt>
                <c:pt idx="1373">
                  <c:v>5074.7236800000001</c:v>
                </c:pt>
                <c:pt idx="1374">
                  <c:v>5106.9255600000006</c:v>
                </c:pt>
                <c:pt idx="1375">
                  <c:v>5059.758960000001</c:v>
                </c:pt>
                <c:pt idx="1376">
                  <c:v>5121.7475999999997</c:v>
                </c:pt>
                <c:pt idx="1377">
                  <c:v>5155.867909999999</c:v>
                </c:pt>
                <c:pt idx="1378">
                  <c:v>5114.2024600000004</c:v>
                </c:pt>
                <c:pt idx="1379">
                  <c:v>5082.8919699999997</c:v>
                </c:pt>
                <c:pt idx="1380">
                  <c:v>5034.1415800000004</c:v>
                </c:pt>
                <c:pt idx="1381">
                  <c:v>5020.4882699999998</c:v>
                </c:pt>
                <c:pt idx="1382">
                  <c:v>5049.4705400000003</c:v>
                </c:pt>
                <c:pt idx="1383">
                  <c:v>5015.4771700000001</c:v>
                </c:pt>
                <c:pt idx="1384">
                  <c:v>4868.0143200000002</c:v>
                </c:pt>
                <c:pt idx="1385">
                  <c:v>4818.4288800000004</c:v>
                </c:pt>
                <c:pt idx="1386">
                  <c:v>4847.4307799999997</c:v>
                </c:pt>
                <c:pt idx="1387">
                  <c:v>4952.1387400000003</c:v>
                </c:pt>
                <c:pt idx="1388">
                  <c:v>5045.7673200000008</c:v>
                </c:pt>
                <c:pt idx="1389">
                  <c:v>5059.6749500000005</c:v>
                </c:pt>
                <c:pt idx="1390">
                  <c:v>5005.2857400000003</c:v>
                </c:pt>
                <c:pt idx="1391">
                  <c:v>5056.4282400000002</c:v>
                </c:pt>
                <c:pt idx="1392">
                  <c:v>5054.2601199999999</c:v>
                </c:pt>
                <c:pt idx="1393">
                  <c:v>5072.11474</c:v>
                </c:pt>
                <c:pt idx="1394">
                  <c:v>4996.6881799999992</c:v>
                </c:pt>
                <c:pt idx="1395">
                  <c:v>4990.3180599999996</c:v>
                </c:pt>
                <c:pt idx="1396">
                  <c:v>4980.8931599999996</c:v>
                </c:pt>
                <c:pt idx="1397">
                  <c:v>5030.7982999999995</c:v>
                </c:pt>
                <c:pt idx="1398">
                  <c:v>4985.6938399999999</c:v>
                </c:pt>
                <c:pt idx="1399">
                  <c:v>4853.5806999999995</c:v>
                </c:pt>
                <c:pt idx="1400">
                  <c:v>4841.9334600000002</c:v>
                </c:pt>
                <c:pt idx="1401">
                  <c:v>4911.39246</c:v>
                </c:pt>
                <c:pt idx="1402">
                  <c:v>4858.30332</c:v>
                </c:pt>
                <c:pt idx="1403">
                  <c:v>4752.3799799999997</c:v>
                </c:pt>
                <c:pt idx="1404">
                  <c:v>4774.8709000000008</c:v>
                </c:pt>
                <c:pt idx="1405">
                  <c:v>4673.1110399999989</c:v>
                </c:pt>
                <c:pt idx="1406">
                  <c:v>4713.6058499999999</c:v>
                </c:pt>
                <c:pt idx="1407">
                  <c:v>4720.6247200000007</c:v>
                </c:pt>
                <c:pt idx="1408">
                  <c:v>4729.7897400000002</c:v>
                </c:pt>
                <c:pt idx="1409">
                  <c:v>4819.7869600000013</c:v>
                </c:pt>
                <c:pt idx="1410">
                  <c:v>4763.0749399999995</c:v>
                </c:pt>
                <c:pt idx="1411">
                  <c:v>4770.2000000000007</c:v>
                </c:pt>
                <c:pt idx="1412">
                  <c:v>4698.7095600000002</c:v>
                </c:pt>
                <c:pt idx="1413">
                  <c:v>4698.6066000000001</c:v>
                </c:pt>
                <c:pt idx="1414">
                  <c:v>4657.3711800000001</c:v>
                </c:pt>
                <c:pt idx="1415">
                  <c:v>4678.8303100000003</c:v>
                </c:pt>
                <c:pt idx="1416">
                  <c:v>4572.4924200000005</c:v>
                </c:pt>
                <c:pt idx="1417">
                  <c:v>4677.7965000000004</c:v>
                </c:pt>
                <c:pt idx="1418">
                  <c:v>4740.3244400000003</c:v>
                </c:pt>
                <c:pt idx="1419">
                  <c:v>4725.9937600000003</c:v>
                </c:pt>
                <c:pt idx="1420">
                  <c:v>4716.6523199999992</c:v>
                </c:pt>
                <c:pt idx="1421">
                  <c:v>4772.3778000000002</c:v>
                </c:pt>
                <c:pt idx="1422">
                  <c:v>4745.5258199999998</c:v>
                </c:pt>
                <c:pt idx="1423">
                  <c:v>4612.8065100000003</c:v>
                </c:pt>
                <c:pt idx="1424">
                  <c:v>4653.4344000000001</c:v>
                </c:pt>
                <c:pt idx="1425">
                  <c:v>4675.5438300000005</c:v>
                </c:pt>
                <c:pt idx="1426">
                  <c:v>4699.6741399999992</c:v>
                </c:pt>
                <c:pt idx="1427">
                  <c:v>4741.1921700000003</c:v>
                </c:pt>
                <c:pt idx="1428">
                  <c:v>4678.1565000000001</c:v>
                </c:pt>
                <c:pt idx="1429">
                  <c:v>4727.3020999999999</c:v>
                </c:pt>
                <c:pt idx="1430">
                  <c:v>4661.1752199999992</c:v>
                </c:pt>
                <c:pt idx="1431">
                  <c:v>4611.9548000000004</c:v>
                </c:pt>
                <c:pt idx="1432">
                  <c:v>4534.5400500000005</c:v>
                </c:pt>
                <c:pt idx="1433">
                  <c:v>4438.5959199999998</c:v>
                </c:pt>
                <c:pt idx="1434">
                  <c:v>4488.8837000000003</c:v>
                </c:pt>
                <c:pt idx="1435">
                  <c:v>4443.0326800000003</c:v>
                </c:pt>
                <c:pt idx="1436">
                  <c:v>4389.5823399999999</c:v>
                </c:pt>
                <c:pt idx="1437">
                  <c:v>4366.0626300000004</c:v>
                </c:pt>
                <c:pt idx="1438">
                  <c:v>4346.3785500000004</c:v>
                </c:pt>
                <c:pt idx="1439">
                  <c:v>4274.2986399999991</c:v>
                </c:pt>
                <c:pt idx="1440">
                  <c:v>4249.5747599999995</c:v>
                </c:pt>
                <c:pt idx="1441">
                  <c:v>4223.6445600000006</c:v>
                </c:pt>
                <c:pt idx="1442">
                  <c:v>4221.7509599999994</c:v>
                </c:pt>
                <c:pt idx="1443">
                  <c:v>4146.6266999999998</c:v>
                </c:pt>
                <c:pt idx="1444">
                  <c:v>4079.0170799999996</c:v>
                </c:pt>
                <c:pt idx="1445">
                  <c:v>3921.7587499999995</c:v>
                </c:pt>
                <c:pt idx="1446">
                  <c:v>3972.8021099999996</c:v>
                </c:pt>
                <c:pt idx="1447">
                  <c:v>3943.1857400000004</c:v>
                </c:pt>
                <c:pt idx="1448">
                  <c:v>3984.1774599999999</c:v>
                </c:pt>
                <c:pt idx="1449">
                  <c:v>3980.1065400000002</c:v>
                </c:pt>
                <c:pt idx="1450">
                  <c:v>3997.8574199999998</c:v>
                </c:pt>
                <c:pt idx="1451">
                  <c:v>4008.1253999999994</c:v>
                </c:pt>
                <c:pt idx="1452">
                  <c:v>4045.1870899999999</c:v>
                </c:pt>
                <c:pt idx="1453">
                  <c:v>3999.5176000000001</c:v>
                </c:pt>
                <c:pt idx="1454">
                  <c:v>4091.3440500000002</c:v>
                </c:pt>
                <c:pt idx="1455">
                  <c:v>4040.0438600000007</c:v>
                </c:pt>
                <c:pt idx="1456">
                  <c:v>4054.0963000000002</c:v>
                </c:pt>
                <c:pt idx="1457">
                  <c:v>4004.4560000000001</c:v>
                </c:pt>
                <c:pt idx="1458">
                  <c:v>3925.7783999999997</c:v>
                </c:pt>
                <c:pt idx="1459">
                  <c:v>3916.8820400000004</c:v>
                </c:pt>
                <c:pt idx="1460">
                  <c:v>4037.3132799999998</c:v>
                </c:pt>
                <c:pt idx="1461">
                  <c:v>3990.4606800000001</c:v>
                </c:pt>
                <c:pt idx="1462">
                  <c:v>3989.0132899999994</c:v>
                </c:pt>
                <c:pt idx="1463">
                  <c:v>4005.2161900000001</c:v>
                </c:pt>
                <c:pt idx="1464">
                  <c:v>4065.1287500000003</c:v>
                </c:pt>
                <c:pt idx="1465">
                  <c:v>4113.1403399999999</c:v>
                </c:pt>
                <c:pt idx="1466">
                  <c:v>4119.8832400000001</c:v>
                </c:pt>
                <c:pt idx="1467">
                  <c:v>4082.0059199999996</c:v>
                </c:pt>
                <c:pt idx="1468">
                  <c:v>4045.7293200000004</c:v>
                </c:pt>
                <c:pt idx="1469">
                  <c:v>3924.2757699999997</c:v>
                </c:pt>
                <c:pt idx="1470">
                  <c:v>3956.9036799999994</c:v>
                </c:pt>
                <c:pt idx="1471">
                  <c:v>3956.9036799999994</c:v>
                </c:pt>
                <c:pt idx="1472">
                  <c:v>3874.4006199999999</c:v>
                </c:pt>
                <c:pt idx="1473">
                  <c:v>3929.6250399999994</c:v>
                </c:pt>
                <c:pt idx="1474">
                  <c:v>3931.1726700000004</c:v>
                </c:pt>
                <c:pt idx="1475">
                  <c:v>3927.5023999999999</c:v>
                </c:pt>
                <c:pt idx="1476">
                  <c:v>3858.0889999999999</c:v>
                </c:pt>
                <c:pt idx="1477">
                  <c:v>3811.6599299999993</c:v>
                </c:pt>
                <c:pt idx="1478">
                  <c:v>3857.7363899999996</c:v>
                </c:pt>
                <c:pt idx="1479">
                  <c:v>3795.9767999999999</c:v>
                </c:pt>
                <c:pt idx="1480">
                  <c:v>3775.279</c:v>
                </c:pt>
                <c:pt idx="1481">
                  <c:v>3793.9497599999995</c:v>
                </c:pt>
                <c:pt idx="1482">
                  <c:v>3860.04819</c:v>
                </c:pt>
                <c:pt idx="1483">
                  <c:v>3881.2040799999995</c:v>
                </c:pt>
                <c:pt idx="1484">
                  <c:v>3870.3604700000001</c:v>
                </c:pt>
                <c:pt idx="1485">
                  <c:v>3786.40416</c:v>
                </c:pt>
                <c:pt idx="1486">
                  <c:v>3823.0062400000002</c:v>
                </c:pt>
                <c:pt idx="1487">
                  <c:v>3782.9744000000001</c:v>
                </c:pt>
                <c:pt idx="1488">
                  <c:v>3907.0005200000005</c:v>
                </c:pt>
                <c:pt idx="1489">
                  <c:v>3948.5404799999997</c:v>
                </c:pt>
                <c:pt idx="1490">
                  <c:v>3982.1417999999999</c:v>
                </c:pt>
                <c:pt idx="1491">
                  <c:v>4010.6797500000002</c:v>
                </c:pt>
                <c:pt idx="1492">
                  <c:v>4007.62725</c:v>
                </c:pt>
                <c:pt idx="1493">
                  <c:v>3909.6380999999997</c:v>
                </c:pt>
                <c:pt idx="1494">
                  <c:v>3902.0711999999999</c:v>
                </c:pt>
                <c:pt idx="1495">
                  <c:v>3884.9414999999999</c:v>
                </c:pt>
                <c:pt idx="1496">
                  <c:v>3800.8876799999998</c:v>
                </c:pt>
                <c:pt idx="1497">
                  <c:v>3834.56115</c:v>
                </c:pt>
                <c:pt idx="1498">
                  <c:v>3748.5123200000003</c:v>
                </c:pt>
                <c:pt idx="1499">
                  <c:v>3761.80096</c:v>
                </c:pt>
                <c:pt idx="1500">
                  <c:v>3775.25972</c:v>
                </c:pt>
                <c:pt idx="1501">
                  <c:v>3724.1793600000005</c:v>
                </c:pt>
                <c:pt idx="1502">
                  <c:v>3729.1508999999996</c:v>
                </c:pt>
                <c:pt idx="1503">
                  <c:v>3678.1041399999995</c:v>
                </c:pt>
                <c:pt idx="1504">
                  <c:v>3682.5483600000002</c:v>
                </c:pt>
                <c:pt idx="1505">
                  <c:v>3775.7842000000001</c:v>
                </c:pt>
                <c:pt idx="1506">
                  <c:v>3792.5621399999995</c:v>
                </c:pt>
                <c:pt idx="1507">
                  <c:v>3822.1411099999996</c:v>
                </c:pt>
                <c:pt idx="1508">
                  <c:v>3801.4639999999999</c:v>
                </c:pt>
                <c:pt idx="1509">
                  <c:v>3802.8135700000003</c:v>
                </c:pt>
                <c:pt idx="1510">
                  <c:v>3723.3695600000001</c:v>
                </c:pt>
                <c:pt idx="1511">
                  <c:v>3670.5349500000002</c:v>
                </c:pt>
                <c:pt idx="1512">
                  <c:v>3760.04135</c:v>
                </c:pt>
                <c:pt idx="1513">
                  <c:v>3797.9225999999994</c:v>
                </c:pt>
                <c:pt idx="1514">
                  <c:v>3775.5709199999997</c:v>
                </c:pt>
                <c:pt idx="1515">
                  <c:v>3670.6314799999996</c:v>
                </c:pt>
                <c:pt idx="1516">
                  <c:v>3534.9537500000001</c:v>
                </c:pt>
                <c:pt idx="1517">
                  <c:v>3555.9506700000002</c:v>
                </c:pt>
                <c:pt idx="1518">
                  <c:v>3578.08788</c:v>
                </c:pt>
                <c:pt idx="1519">
                  <c:v>3634.1080800000004</c:v>
                </c:pt>
                <c:pt idx="1520">
                  <c:v>3644.04738</c:v>
                </c:pt>
                <c:pt idx="1521">
                  <c:v>3590.5316400000002</c:v>
                </c:pt>
                <c:pt idx="1522">
                  <c:v>3570.3339999999998</c:v>
                </c:pt>
                <c:pt idx="1523">
                  <c:v>3513.7319100000004</c:v>
                </c:pt>
                <c:pt idx="1524">
                  <c:v>3430.1022600000001</c:v>
                </c:pt>
                <c:pt idx="1525">
                  <c:v>3429.0410599999996</c:v>
                </c:pt>
                <c:pt idx="1526">
                  <c:v>3434.2379500000002</c:v>
                </c:pt>
                <c:pt idx="1527">
                  <c:v>3440.50873</c:v>
                </c:pt>
                <c:pt idx="1528">
                  <c:v>3325.9657200000001</c:v>
                </c:pt>
                <c:pt idx="1529">
                  <c:v>3312.7515599999997</c:v>
                </c:pt>
                <c:pt idx="1530">
                  <c:v>3201.2037</c:v>
                </c:pt>
                <c:pt idx="1531">
                  <c:v>3210.00936</c:v>
                </c:pt>
                <c:pt idx="1532">
                  <c:v>3177.8125500000001</c:v>
                </c:pt>
                <c:pt idx="1533">
                  <c:v>3139.9892999999997</c:v>
                </c:pt>
                <c:pt idx="1534">
                  <c:v>3088.5664499999998</c:v>
                </c:pt>
                <c:pt idx="1535">
                  <c:v>3168.0936000000002</c:v>
                </c:pt>
                <c:pt idx="1536">
                  <c:v>3150.5680000000002</c:v>
                </c:pt>
                <c:pt idx="1537">
                  <c:v>3205.0355199999999</c:v>
                </c:pt>
                <c:pt idx="1538">
                  <c:v>3238.3996399999996</c:v>
                </c:pt>
                <c:pt idx="1539">
                  <c:v>3324.7674499999998</c:v>
                </c:pt>
                <c:pt idx="1540">
                  <c:v>3344.4963499999999</c:v>
                </c:pt>
                <c:pt idx="1541">
                  <c:v>3349.4614999999999</c:v>
                </c:pt>
                <c:pt idx="1542">
                  <c:v>3387.2377199999996</c:v>
                </c:pt>
                <c:pt idx="1543">
                  <c:v>3422.9156800000001</c:v>
                </c:pt>
                <c:pt idx="1544">
                  <c:v>3479.2942399999997</c:v>
                </c:pt>
                <c:pt idx="1545">
                  <c:v>3527.1900299999998</c:v>
                </c:pt>
                <c:pt idx="1546">
                  <c:v>3467.8111999999996</c:v>
                </c:pt>
                <c:pt idx="1547">
                  <c:v>3523.53953</c:v>
                </c:pt>
                <c:pt idx="1548">
                  <c:v>3548.9037900000003</c:v>
                </c:pt>
                <c:pt idx="1549">
                  <c:v>3574.0482199999997</c:v>
                </c:pt>
                <c:pt idx="1550">
                  <c:v>3514.6514300000003</c:v>
                </c:pt>
                <c:pt idx="1551">
                  <c:v>3488.6450399999999</c:v>
                </c:pt>
                <c:pt idx="1552">
                  <c:v>3506.8412400000002</c:v>
                </c:pt>
                <c:pt idx="1553">
                  <c:v>3519.1257999999993</c:v>
                </c:pt>
                <c:pt idx="1554">
                  <c:v>3465.73612</c:v>
                </c:pt>
                <c:pt idx="1555">
                  <c:v>3416.5999000000002</c:v>
                </c:pt>
                <c:pt idx="1556">
                  <c:v>3413.8346999999999</c:v>
                </c:pt>
                <c:pt idx="1557">
                  <c:v>3465.8938599999997</c:v>
                </c:pt>
                <c:pt idx="1558">
                  <c:v>3455.7809400000001</c:v>
                </c:pt>
                <c:pt idx="1559">
                  <c:v>3498.56567</c:v>
                </c:pt>
                <c:pt idx="1560">
                  <c:v>3487.4117999999999</c:v>
                </c:pt>
                <c:pt idx="1561">
                  <c:v>3451.4567000000002</c:v>
                </c:pt>
                <c:pt idx="1562">
                  <c:v>3434.0124000000001</c:v>
                </c:pt>
                <c:pt idx="1563">
                  <c:v>3326.3207699999998</c:v>
                </c:pt>
                <c:pt idx="1564">
                  <c:v>3434.498</c:v>
                </c:pt>
                <c:pt idx="1565">
                  <c:v>3391.1580000000004</c:v>
                </c:pt>
                <c:pt idx="1566">
                  <c:v>3423.7556799999998</c:v>
                </c:pt>
                <c:pt idx="1567">
                  <c:v>3514.2836299999999</c:v>
                </c:pt>
                <c:pt idx="1568">
                  <c:v>3489.4694300000001</c:v>
                </c:pt>
                <c:pt idx="1569">
                  <c:v>3485.0283000000004</c:v>
                </c:pt>
                <c:pt idx="1570">
                  <c:v>3657.8726999999999</c:v>
                </c:pt>
                <c:pt idx="1571">
                  <c:v>3630.1141799999996</c:v>
                </c:pt>
                <c:pt idx="1572">
                  <c:v>3594.9007999999999</c:v>
                </c:pt>
                <c:pt idx="1573">
                  <c:v>3611.3011899999997</c:v>
                </c:pt>
                <c:pt idx="1574">
                  <c:v>3540.9865500000001</c:v>
                </c:pt>
                <c:pt idx="1575">
                  <c:v>3636.8273399999998</c:v>
                </c:pt>
                <c:pt idx="1576">
                  <c:v>3618.8166299999998</c:v>
                </c:pt>
                <c:pt idx="1577">
                  <c:v>3556.1115</c:v>
                </c:pt>
                <c:pt idx="1578">
                  <c:v>3642.1236600000002</c:v>
                </c:pt>
                <c:pt idx="1579">
                  <c:v>3652.69299</c:v>
                </c:pt>
                <c:pt idx="1580">
                  <c:v>3562.8449999999998</c:v>
                </c:pt>
                <c:pt idx="1581">
                  <c:v>3578.00891</c:v>
                </c:pt>
                <c:pt idx="1582">
                  <c:v>3530.6163200000001</c:v>
                </c:pt>
                <c:pt idx="1583">
                  <c:v>3533.4820800000002</c:v>
                </c:pt>
                <c:pt idx="1584">
                  <c:v>3494.67344</c:v>
                </c:pt>
                <c:pt idx="1585">
                  <c:v>3490.87662</c:v>
                </c:pt>
                <c:pt idx="1586">
                  <c:v>3534.3467500000002</c:v>
                </c:pt>
                <c:pt idx="1587">
                  <c:v>3528.9144799999999</c:v>
                </c:pt>
                <c:pt idx="1588">
                  <c:v>3522.0398399999999</c:v>
                </c:pt>
                <c:pt idx="1589">
                  <c:v>3507.8356800000001</c:v>
                </c:pt>
                <c:pt idx="1590">
                  <c:v>3575.9569800000004</c:v>
                </c:pt>
                <c:pt idx="1591">
                  <c:v>3523.7395200000001</c:v>
                </c:pt>
                <c:pt idx="1592">
                  <c:v>3614.1909999999998</c:v>
                </c:pt>
                <c:pt idx="1593">
                  <c:v>3684.3883999999998</c:v>
                </c:pt>
                <c:pt idx="1594">
                  <c:v>3662.3292300000003</c:v>
                </c:pt>
                <c:pt idx="1595">
                  <c:v>3688.97928</c:v>
                </c:pt>
                <c:pt idx="1596">
                  <c:v>3545.0404200000003</c:v>
                </c:pt>
                <c:pt idx="1597">
                  <c:v>3587.8586800000003</c:v>
                </c:pt>
                <c:pt idx="1598">
                  <c:v>3550.05548</c:v>
                </c:pt>
                <c:pt idx="1599">
                  <c:v>3524.31898</c:v>
                </c:pt>
                <c:pt idx="1600">
                  <c:v>3638.4980799999998</c:v>
                </c:pt>
                <c:pt idx="1601">
                  <c:v>3689.3564999999999</c:v>
                </c:pt>
                <c:pt idx="1602">
                  <c:v>3518.0340000000001</c:v>
                </c:pt>
                <c:pt idx="1603">
                  <c:v>3470.9700000000003</c:v>
                </c:pt>
                <c:pt idx="1604">
                  <c:v>3547.3085999999998</c:v>
                </c:pt>
                <c:pt idx="1605">
                  <c:v>3336.3899099999999</c:v>
                </c:pt>
                <c:pt idx="1606">
                  <c:v>3365.2525000000001</c:v>
                </c:pt>
                <c:pt idx="1607">
                  <c:v>3317.3592599999997</c:v>
                </c:pt>
                <c:pt idx="1608">
                  <c:v>3445.0062400000002</c:v>
                </c:pt>
                <c:pt idx="1609">
                  <c:v>3462.2486399999998</c:v>
                </c:pt>
                <c:pt idx="1610">
                  <c:v>3573.3645999999999</c:v>
                </c:pt>
                <c:pt idx="1611">
                  <c:v>3697.50065</c:v>
                </c:pt>
                <c:pt idx="1612">
                  <c:v>3579.3561300000001</c:v>
                </c:pt>
                <c:pt idx="1613">
                  <c:v>3893.52522</c:v>
                </c:pt>
                <c:pt idx="1614">
                  <c:v>3916.9340099999999</c:v>
                </c:pt>
                <c:pt idx="1615">
                  <c:v>4063.4357599999998</c:v>
                </c:pt>
                <c:pt idx="1616">
                  <c:v>4023.7511600000003</c:v>
                </c:pt>
                <c:pt idx="1617">
                  <c:v>4108.6179699999993</c:v>
                </c:pt>
                <c:pt idx="1618">
                  <c:v>4276.3212600000006</c:v>
                </c:pt>
                <c:pt idx="1619">
                  <c:v>4143.4432999999999</c:v>
                </c:pt>
                <c:pt idx="1620">
                  <c:v>4176.3299499999994</c:v>
                </c:pt>
                <c:pt idx="1621">
                  <c:v>3960.5426000000002</c:v>
                </c:pt>
                <c:pt idx="1622">
                  <c:v>3941.0834999999997</c:v>
                </c:pt>
                <c:pt idx="1623">
                  <c:v>3777.5328799999997</c:v>
                </c:pt>
                <c:pt idx="1624">
                  <c:v>3705.0474400000003</c:v>
                </c:pt>
                <c:pt idx="1625">
                  <c:v>3699.4950399999998</c:v>
                </c:pt>
                <c:pt idx="1626">
                  <c:v>3743.6445000000003</c:v>
                </c:pt>
                <c:pt idx="1627">
                  <c:v>3861.1296000000002</c:v>
                </c:pt>
                <c:pt idx="1628">
                  <c:v>4041.8072500000003</c:v>
                </c:pt>
                <c:pt idx="1629">
                  <c:v>4160.5174999999999</c:v>
                </c:pt>
                <c:pt idx="1630">
                  <c:v>4015.9598500000002</c:v>
                </c:pt>
                <c:pt idx="1631">
                  <c:v>3841.7490000000003</c:v>
                </c:pt>
                <c:pt idx="1632">
                  <c:v>3866.5095600000004</c:v>
                </c:pt>
                <c:pt idx="1633">
                  <c:v>4127.57</c:v>
                </c:pt>
                <c:pt idx="1634">
                  <c:v>4158.7573599999996</c:v>
                </c:pt>
                <c:pt idx="1635">
                  <c:v>4010.5455099999999</c:v>
                </c:pt>
                <c:pt idx="1636">
                  <c:v>3757.9121599999999</c:v>
                </c:pt>
                <c:pt idx="1637">
                  <c:v>4133.8050299999995</c:v>
                </c:pt>
                <c:pt idx="1638">
                  <c:v>4191.5131200000005</c:v>
                </c:pt>
                <c:pt idx="1639">
                  <c:v>4374.8326399999996</c:v>
                </c:pt>
                <c:pt idx="1640">
                  <c:v>4252.9926799999994</c:v>
                </c:pt>
                <c:pt idx="1641">
                  <c:v>4397.2420999999995</c:v>
                </c:pt>
                <c:pt idx="1642">
                  <c:v>4466.3879100000004</c:v>
                </c:pt>
                <c:pt idx="1643">
                  <c:v>4504.5267000000003</c:v>
                </c:pt>
                <c:pt idx="1644">
                  <c:v>4301.4675000000007</c:v>
                </c:pt>
                <c:pt idx="1645">
                  <c:v>4453.0946199999998</c:v>
                </c:pt>
                <c:pt idx="1646">
                  <c:v>4526.6399200000005</c:v>
                </c:pt>
                <c:pt idx="1647">
                  <c:v>4523.8459400000002</c:v>
                </c:pt>
                <c:pt idx="1648">
                  <c:v>4536.0199499999999</c:v>
                </c:pt>
                <c:pt idx="1649">
                  <c:v>4514.8495000000003</c:v>
                </c:pt>
                <c:pt idx="1650">
                  <c:v>4603.2964499999998</c:v>
                </c:pt>
                <c:pt idx="1651">
                  <c:v>4377.4959200000003</c:v>
                </c:pt>
                <c:pt idx="1652">
                  <c:v>4198.1717600000002</c:v>
                </c:pt>
                <c:pt idx="1653">
                  <c:v>4215.5079400000004</c:v>
                </c:pt>
                <c:pt idx="1654">
                  <c:v>4236.2883600000005</c:v>
                </c:pt>
                <c:pt idx="1655">
                  <c:v>4331.1122999999998</c:v>
                </c:pt>
                <c:pt idx="1656">
                  <c:v>4344.2764200000001</c:v>
                </c:pt>
                <c:pt idx="1657">
                  <c:v>4259.6926400000002</c:v>
                </c:pt>
                <c:pt idx="1658">
                  <c:v>4329.1037499999993</c:v>
                </c:pt>
                <c:pt idx="1659">
                  <c:v>4437.2691000000004</c:v>
                </c:pt>
                <c:pt idx="1660">
                  <c:v>4529.3315000000002</c:v>
                </c:pt>
                <c:pt idx="1661">
                  <c:v>4349.3977800000002</c:v>
                </c:pt>
                <c:pt idx="1662">
                  <c:v>4474.5787</c:v>
                </c:pt>
                <c:pt idx="1663">
                  <c:v>4580.8180000000002</c:v>
                </c:pt>
                <c:pt idx="1664">
                  <c:v>4589.5636000000004</c:v>
                </c:pt>
                <c:pt idx="1665">
                  <c:v>4568.59458</c:v>
                </c:pt>
                <c:pt idx="1666">
                  <c:v>4603.0382800000007</c:v>
                </c:pt>
                <c:pt idx="1667">
                  <c:v>4533.5042000000003</c:v>
                </c:pt>
                <c:pt idx="1668">
                  <c:v>4575.2255999999998</c:v>
                </c:pt>
                <c:pt idx="1669">
                  <c:v>4589.3737499999997</c:v>
                </c:pt>
                <c:pt idx="1670">
                  <c:v>4606.1856499999994</c:v>
                </c:pt>
                <c:pt idx="1671">
                  <c:v>4519.6280999999999</c:v>
                </c:pt>
                <c:pt idx="1672">
                  <c:v>4469.5833599999996</c:v>
                </c:pt>
                <c:pt idx="1673">
                  <c:v>4500.1405500000001</c:v>
                </c:pt>
                <c:pt idx="1674">
                  <c:v>4447.4029599999994</c:v>
                </c:pt>
                <c:pt idx="1675">
                  <c:v>4507.4369999999999</c:v>
                </c:pt>
                <c:pt idx="1676">
                  <c:v>4484.5263399999994</c:v>
                </c:pt>
                <c:pt idx="1677">
                  <c:v>4450.6128500000004</c:v>
                </c:pt>
                <c:pt idx="1678">
                  <c:v>4468.8190000000004</c:v>
                </c:pt>
                <c:pt idx="1679">
                  <c:v>4559.3579200000004</c:v>
                </c:pt>
                <c:pt idx="1680">
                  <c:v>4500.87255</c:v>
                </c:pt>
                <c:pt idx="1681">
                  <c:v>4454.6710800000001</c:v>
                </c:pt>
                <c:pt idx="1682">
                  <c:v>4375.8357299999998</c:v>
                </c:pt>
                <c:pt idx="1683">
                  <c:v>4390.6967600000007</c:v>
                </c:pt>
                <c:pt idx="1684">
                  <c:v>4186.0353599999999</c:v>
                </c:pt>
                <c:pt idx="1685">
                  <c:v>4246.4337599999999</c:v>
                </c:pt>
                <c:pt idx="1686">
                  <c:v>4332.6840000000002</c:v>
                </c:pt>
                <c:pt idx="1687">
                  <c:v>4400.0216</c:v>
                </c:pt>
                <c:pt idx="1688">
                  <c:v>4362.0681199999999</c:v>
                </c:pt>
                <c:pt idx="1689">
                  <c:v>4245.8376600000001</c:v>
                </c:pt>
                <c:pt idx="1690">
                  <c:v>4320.1271700000007</c:v>
                </c:pt>
                <c:pt idx="1691">
                  <c:v>4359.1284999999998</c:v>
                </c:pt>
                <c:pt idx="1692">
                  <c:v>4440.9015300000001</c:v>
                </c:pt>
                <c:pt idx="1693">
                  <c:v>4350.22613</c:v>
                </c:pt>
                <c:pt idx="1694">
                  <c:v>4201.7006400000009</c:v>
                </c:pt>
                <c:pt idx="1695">
                  <c:v>4227.4533000000001</c:v>
                </c:pt>
                <c:pt idx="1696">
                  <c:v>4073.6806399999996</c:v>
                </c:pt>
                <c:pt idx="1697">
                  <c:v>4125.6617999999999</c:v>
                </c:pt>
                <c:pt idx="1698">
                  <c:v>4107.3769800000009</c:v>
                </c:pt>
                <c:pt idx="1699">
                  <c:v>4048.0774200000001</c:v>
                </c:pt>
                <c:pt idx="1700">
                  <c:v>4176.4526999999998</c:v>
                </c:pt>
                <c:pt idx="1701">
                  <c:v>4342.9707899999994</c:v>
                </c:pt>
                <c:pt idx="1702">
                  <c:v>4325.6561400000001</c:v>
                </c:pt>
                <c:pt idx="1703">
                  <c:v>4379.39822</c:v>
                </c:pt>
                <c:pt idx="1704">
                  <c:v>4313.3277599999992</c:v>
                </c:pt>
                <c:pt idx="1705">
                  <c:v>4335.1665000000003</c:v>
                </c:pt>
                <c:pt idx="1706">
                  <c:v>4441.24719</c:v>
                </c:pt>
                <c:pt idx="1707">
                  <c:v>4357.01811</c:v>
                </c:pt>
                <c:pt idx="1708">
                  <c:v>4465.5922</c:v>
                </c:pt>
                <c:pt idx="1709">
                  <c:v>4526.3431199999995</c:v>
                </c:pt>
                <c:pt idx="1710">
                  <c:v>4545.6554800000004</c:v>
                </c:pt>
                <c:pt idx="1711">
                  <c:v>4565.6166000000003</c:v>
                </c:pt>
                <c:pt idx="1712">
                  <c:v>4609.6602000000003</c:v>
                </c:pt>
                <c:pt idx="1713">
                  <c:v>4524.9354199999998</c:v>
                </c:pt>
                <c:pt idx="1714">
                  <c:v>4579.0240000000003</c:v>
                </c:pt>
                <c:pt idx="1715">
                  <c:v>4537.11319</c:v>
                </c:pt>
                <c:pt idx="1716">
                  <c:v>4529.4289500000004</c:v>
                </c:pt>
                <c:pt idx="1717">
                  <c:v>4562.6833200000001</c:v>
                </c:pt>
                <c:pt idx="1718">
                  <c:v>4628.3529599999993</c:v>
                </c:pt>
                <c:pt idx="1719">
                  <c:v>4610.3795399999999</c:v>
                </c:pt>
                <c:pt idx="1720">
                  <c:v>4447.7675999999992</c:v>
                </c:pt>
                <c:pt idx="1721">
                  <c:v>4451.99118</c:v>
                </c:pt>
                <c:pt idx="1722">
                  <c:v>4318.7836799999995</c:v>
                </c:pt>
                <c:pt idx="1723">
                  <c:v>4454.7560400000002</c:v>
                </c:pt>
                <c:pt idx="1724">
                  <c:v>4478.8687499999996</c:v>
                </c:pt>
                <c:pt idx="1725">
                  <c:v>4605.0943500000003</c:v>
                </c:pt>
                <c:pt idx="1726">
                  <c:v>4671.8284800000001</c:v>
                </c:pt>
                <c:pt idx="1727">
                  <c:v>4702.7074499999999</c:v>
                </c:pt>
                <c:pt idx="1728">
                  <c:v>4632.7176199999994</c:v>
                </c:pt>
                <c:pt idx="1729">
                  <c:v>4790.3058000000001</c:v>
                </c:pt>
                <c:pt idx="1730">
                  <c:v>4796.8820100000003</c:v>
                </c:pt>
                <c:pt idx="1731">
                  <c:v>4835.2908600000001</c:v>
                </c:pt>
                <c:pt idx="1732">
                  <c:v>4786.7647500000003</c:v>
                </c:pt>
                <c:pt idx="1733">
                  <c:v>4865.2401600000003</c:v>
                </c:pt>
                <c:pt idx="1734">
                  <c:v>4688.8711999999996</c:v>
                </c:pt>
                <c:pt idx="1735">
                  <c:v>4774.1736000000001</c:v>
                </c:pt>
                <c:pt idx="1736">
                  <c:v>4815.9328500000001</c:v>
                </c:pt>
                <c:pt idx="1737">
                  <c:v>4827.5985999999994</c:v>
                </c:pt>
                <c:pt idx="1738">
                  <c:v>4915.5392000000002</c:v>
                </c:pt>
                <c:pt idx="1739">
                  <c:v>4951.6856200000002</c:v>
                </c:pt>
                <c:pt idx="1740">
                  <c:v>4846.8132000000005</c:v>
                </c:pt>
                <c:pt idx="1741">
                  <c:v>4989.4228999999996</c:v>
                </c:pt>
                <c:pt idx="1742">
                  <c:v>5076.9491500000004</c:v>
                </c:pt>
                <c:pt idx="1743">
                  <c:v>5100.6442499999994</c:v>
                </c:pt>
                <c:pt idx="1744">
                  <c:v>5109.2631000000001</c:v>
                </c:pt>
                <c:pt idx="1745">
                  <c:v>5111.5060800000001</c:v>
                </c:pt>
                <c:pt idx="1746">
                  <c:v>5070.7551999999996</c:v>
                </c:pt>
                <c:pt idx="1747">
                  <c:v>5080.5869199999997</c:v>
                </c:pt>
                <c:pt idx="1748">
                  <c:v>5094.2008999999998</c:v>
                </c:pt>
                <c:pt idx="1749">
                  <c:v>5129.1915300000001</c:v>
                </c:pt>
                <c:pt idx="1750">
                  <c:v>5146.8911600000001</c:v>
                </c:pt>
                <c:pt idx="1751">
                  <c:v>4961.8661400000001</c:v>
                </c:pt>
                <c:pt idx="1752">
                  <c:v>4953.0480799999996</c:v>
                </c:pt>
                <c:pt idx="1753">
                  <c:v>5080.4120899999998</c:v>
                </c:pt>
                <c:pt idx="1754">
                  <c:v>5091.7337600000001</c:v>
                </c:pt>
                <c:pt idx="1755">
                  <c:v>5174.3985300000004</c:v>
                </c:pt>
                <c:pt idx="1756">
                  <c:v>5161.54774</c:v>
                </c:pt>
                <c:pt idx="1757">
                  <c:v>5224.9754699999994</c:v>
                </c:pt>
                <c:pt idx="1758">
                  <c:v>5144.4727000000003</c:v>
                </c:pt>
                <c:pt idx="1759">
                  <c:v>5195.3983099999996</c:v>
                </c:pt>
                <c:pt idx="1760">
                  <c:v>5024.6443799999997</c:v>
                </c:pt>
                <c:pt idx="1761">
                  <c:v>5052.0925999999999</c:v>
                </c:pt>
                <c:pt idx="1762">
                  <c:v>5069.8740399999997</c:v>
                </c:pt>
                <c:pt idx="1763">
                  <c:v>5011.5712000000003</c:v>
                </c:pt>
                <c:pt idx="1764">
                  <c:v>4954.5417600000001</c:v>
                </c:pt>
                <c:pt idx="1765">
                  <c:v>5046.0386099999996</c:v>
                </c:pt>
                <c:pt idx="1766">
                  <c:v>5050.99136</c:v>
                </c:pt>
                <c:pt idx="1767">
                  <c:v>5116.1213599999992</c:v>
                </c:pt>
                <c:pt idx="1768">
                  <c:v>5190.9665500000001</c:v>
                </c:pt>
                <c:pt idx="1769">
                  <c:v>5196.9375</c:v>
                </c:pt>
                <c:pt idx="1770">
                  <c:v>5167.2222000000002</c:v>
                </c:pt>
                <c:pt idx="1771">
                  <c:v>5185.9889399999993</c:v>
                </c:pt>
                <c:pt idx="1772">
                  <c:v>5143.0103399999998</c:v>
                </c:pt>
                <c:pt idx="1773">
                  <c:v>5013.7942400000002</c:v>
                </c:pt>
                <c:pt idx="1774">
                  <c:v>4976.5164400000003</c:v>
                </c:pt>
                <c:pt idx="1775">
                  <c:v>4963.6803600000003</c:v>
                </c:pt>
                <c:pt idx="1776">
                  <c:v>5019.2230400000008</c:v>
                </c:pt>
                <c:pt idx="1777">
                  <c:v>5020.8462</c:v>
                </c:pt>
                <c:pt idx="1778">
                  <c:v>4964.1945599999999</c:v>
                </c:pt>
                <c:pt idx="1779">
                  <c:v>4761.3964999999998</c:v>
                </c:pt>
                <c:pt idx="1780">
                  <c:v>4901.4089700000004</c:v>
                </c:pt>
                <c:pt idx="1781">
                  <c:v>4721.4266300000008</c:v>
                </c:pt>
                <c:pt idx="1782">
                  <c:v>4687.1617999999999</c:v>
                </c:pt>
                <c:pt idx="1783">
                  <c:v>4794.5135199999995</c:v>
                </c:pt>
                <c:pt idx="1784">
                  <c:v>4720.4056899999996</c:v>
                </c:pt>
                <c:pt idx="1785">
                  <c:v>4833.5874699999995</c:v>
                </c:pt>
                <c:pt idx="1786">
                  <c:v>4728.5982000000004</c:v>
                </c:pt>
                <c:pt idx="1787">
                  <c:v>4751.46288</c:v>
                </c:pt>
                <c:pt idx="1788">
                  <c:v>4840.7744000000002</c:v>
                </c:pt>
                <c:pt idx="1789">
                  <c:v>4987.6148000000003</c:v>
                </c:pt>
                <c:pt idx="1790">
                  <c:v>4883.5657799999999</c:v>
                </c:pt>
                <c:pt idx="1791">
                  <c:v>4863.7912000000006</c:v>
                </c:pt>
                <c:pt idx="1792">
                  <c:v>4887.3837800000001</c:v>
                </c:pt>
                <c:pt idx="1793">
                  <c:v>5056.6807500000004</c:v>
                </c:pt>
                <c:pt idx="1794">
                  <c:v>5127.8988799999997</c:v>
                </c:pt>
                <c:pt idx="1795">
                  <c:v>5298.9033599999993</c:v>
                </c:pt>
                <c:pt idx="1796">
                  <c:v>5202.6130200000007</c:v>
                </c:pt>
                <c:pt idx="1797">
                  <c:v>5141.5153600000003</c:v>
                </c:pt>
                <c:pt idx="1798">
                  <c:v>5093.4243900000001</c:v>
                </c:pt>
                <c:pt idx="1799">
                  <c:v>5112.161039999999</c:v>
                </c:pt>
                <c:pt idx="1800">
                  <c:v>5061.1772000000001</c:v>
                </c:pt>
                <c:pt idx="1801">
                  <c:v>5189.8007600000001</c:v>
                </c:pt>
                <c:pt idx="1802">
                  <c:v>5105.9462399999993</c:v>
                </c:pt>
                <c:pt idx="1803">
                  <c:v>5127.7963600000003</c:v>
                </c:pt>
                <c:pt idx="1804">
                  <c:v>5196.4756800000005</c:v>
                </c:pt>
                <c:pt idx="1805">
                  <c:v>5067.6962400000002</c:v>
                </c:pt>
                <c:pt idx="1806">
                  <c:v>5132.5331200000001</c:v>
                </c:pt>
                <c:pt idx="1807">
                  <c:v>5068.5652800000007</c:v>
                </c:pt>
                <c:pt idx="1808">
                  <c:v>5179.3332</c:v>
                </c:pt>
                <c:pt idx="1809">
                  <c:v>5114.82413</c:v>
                </c:pt>
                <c:pt idx="1810">
                  <c:v>5100.6274199999998</c:v>
                </c:pt>
                <c:pt idx="1811">
                  <c:v>5277.3319000000001</c:v>
                </c:pt>
                <c:pt idx="1812">
                  <c:v>5324.0787599999994</c:v>
                </c:pt>
                <c:pt idx="1813">
                  <c:v>5303.6003299999993</c:v>
                </c:pt>
                <c:pt idx="1814">
                  <c:v>5085.8350300000002</c:v>
                </c:pt>
                <c:pt idx="1815">
                  <c:v>5088.8565899999994</c:v>
                </c:pt>
                <c:pt idx="1816">
                  <c:v>5164.8577500000001</c:v>
                </c:pt>
                <c:pt idx="1817">
                  <c:v>5280.1303000000007</c:v>
                </c:pt>
                <c:pt idx="1818">
                  <c:v>4999.4803599999996</c:v>
                </c:pt>
                <c:pt idx="1819">
                  <c:v>4848.8795700000001</c:v>
                </c:pt>
                <c:pt idx="1820">
                  <c:v>4645.8167600000006</c:v>
                </c:pt>
                <c:pt idx="1821">
                  <c:v>4957.6273599999995</c:v>
                </c:pt>
                <c:pt idx="1822">
                  <c:v>5135.2125500000002</c:v>
                </c:pt>
                <c:pt idx="1823">
                  <c:v>5166.0639300000003</c:v>
                </c:pt>
                <c:pt idx="1824">
                  <c:v>5231.6348499999995</c:v>
                </c:pt>
                <c:pt idx="1825">
                  <c:v>5371.7479999999996</c:v>
                </c:pt>
                <c:pt idx="1826">
                  <c:v>5374.8240000000005</c:v>
                </c:pt>
                <c:pt idx="1827">
                  <c:v>5349.3448800000006</c:v>
                </c:pt>
                <c:pt idx="1828">
                  <c:v>5467.1827800000001</c:v>
                </c:pt>
                <c:pt idx="1829">
                  <c:v>5491.1054000000004</c:v>
                </c:pt>
                <c:pt idx="1830">
                  <c:v>5444.8168500000002</c:v>
                </c:pt>
                <c:pt idx="1831">
                  <c:v>5468.42</c:v>
                </c:pt>
                <c:pt idx="1832">
                  <c:v>5603.5918000000001</c:v>
                </c:pt>
                <c:pt idx="1833">
                  <c:v>5586.1415999999999</c:v>
                </c:pt>
                <c:pt idx="1834">
                  <c:v>5656.8892799999994</c:v>
                </c:pt>
                <c:pt idx="1835">
                  <c:v>5549.8609200000001</c:v>
                </c:pt>
                <c:pt idx="1836">
                  <c:v>5571.5041199999996</c:v>
                </c:pt>
                <c:pt idx="1837">
                  <c:v>5491.6232300000001</c:v>
                </c:pt>
                <c:pt idx="1838">
                  <c:v>5473.7081600000001</c:v>
                </c:pt>
                <c:pt idx="1839">
                  <c:v>5423.0207</c:v>
                </c:pt>
                <c:pt idx="1840">
                  <c:v>5362.7845799999996</c:v>
                </c:pt>
                <c:pt idx="1841">
                  <c:v>5374.0778</c:v>
                </c:pt>
                <c:pt idx="1842">
                  <c:v>5506.5590099999999</c:v>
                </c:pt>
                <c:pt idx="1843">
                  <c:v>5551.3400499999998</c:v>
                </c:pt>
                <c:pt idx="1844">
                  <c:v>5786.0522099999998</c:v>
                </c:pt>
                <c:pt idx="1845">
                  <c:v>5826.3405600000006</c:v>
                </c:pt>
                <c:pt idx="1846">
                  <c:v>5842.5446400000001</c:v>
                </c:pt>
                <c:pt idx="1847">
                  <c:v>5904.1375200000002</c:v>
                </c:pt>
                <c:pt idx="1848">
                  <c:v>5926.1519500000004</c:v>
                </c:pt>
                <c:pt idx="1849">
                  <c:v>5957.95291</c:v>
                </c:pt>
                <c:pt idx="1850">
                  <c:v>5930.9086499999994</c:v>
                </c:pt>
                <c:pt idx="1851">
                  <c:v>5884.6240200000002</c:v>
                </c:pt>
                <c:pt idx="1852">
                  <c:v>5916.9048000000003</c:v>
                </c:pt>
                <c:pt idx="1853">
                  <c:v>5882.1100500000002</c:v>
                </c:pt>
                <c:pt idx="1854">
                  <c:v>5882.4032400000006</c:v>
                </c:pt>
                <c:pt idx="1855">
                  <c:v>5800.05</c:v>
                </c:pt>
                <c:pt idx="1856">
                  <c:v>5796.7910000000002</c:v>
                </c:pt>
                <c:pt idx="1857">
                  <c:v>5938.6686399999999</c:v>
                </c:pt>
                <c:pt idx="1858">
                  <c:v>5995.1049599999997</c:v>
                </c:pt>
                <c:pt idx="1859">
                  <c:v>5833.2793000000001</c:v>
                </c:pt>
                <c:pt idx="1860">
                  <c:v>5847.1923300000008</c:v>
                </c:pt>
                <c:pt idx="1861">
                  <c:v>5948.8907399999998</c:v>
                </c:pt>
                <c:pt idx="1862">
                  <c:v>5938.3546799999995</c:v>
                </c:pt>
                <c:pt idx="1863">
                  <c:v>6011.7304800000002</c:v>
                </c:pt>
                <c:pt idx="1864">
                  <c:v>6008.2746199999992</c:v>
                </c:pt>
                <c:pt idx="1865">
                  <c:v>6076.8208800000002</c:v>
                </c:pt>
                <c:pt idx="1866">
                  <c:v>6103.0451400000011</c:v>
                </c:pt>
                <c:pt idx="1867">
                  <c:v>6023.9539199999999</c:v>
                </c:pt>
                <c:pt idx="1868">
                  <c:v>5922.7377500000002</c:v>
                </c:pt>
                <c:pt idx="1869">
                  <c:v>6020.7348599999996</c:v>
                </c:pt>
                <c:pt idx="1870">
                  <c:v>5947.0470400000004</c:v>
                </c:pt>
                <c:pt idx="1871">
                  <c:v>6107.4842399999998</c:v>
                </c:pt>
                <c:pt idx="1872">
                  <c:v>5953.9323999999997</c:v>
                </c:pt>
                <c:pt idx="1873">
                  <c:v>5905.6395600000005</c:v>
                </c:pt>
                <c:pt idx="1874">
                  <c:v>6009.5288399999999</c:v>
                </c:pt>
                <c:pt idx="1875">
                  <c:v>6106.9064099999996</c:v>
                </c:pt>
                <c:pt idx="1876">
                  <c:v>6043.5686800000003</c:v>
                </c:pt>
                <c:pt idx="1877">
                  <c:v>5987.4273999999996</c:v>
                </c:pt>
                <c:pt idx="1878">
                  <c:v>6034.1016399999999</c:v>
                </c:pt>
                <c:pt idx="1879">
                  <c:v>5921.3202200000005</c:v>
                </c:pt>
                <c:pt idx="1880">
                  <c:v>5847.9320400000006</c:v>
                </c:pt>
                <c:pt idx="1881">
                  <c:v>5837.6085599999997</c:v>
                </c:pt>
                <c:pt idx="1882">
                  <c:v>5835.6144899999999</c:v>
                </c:pt>
                <c:pt idx="1883">
                  <c:v>5797.8899499999998</c:v>
                </c:pt>
                <c:pt idx="1884">
                  <c:v>5942.4524300000003</c:v>
                </c:pt>
                <c:pt idx="1885">
                  <c:v>6025.2833099999998</c:v>
                </c:pt>
                <c:pt idx="1886">
                  <c:v>5946.6250200000004</c:v>
                </c:pt>
                <c:pt idx="1887">
                  <c:v>5933.7964000000002</c:v>
                </c:pt>
                <c:pt idx="1888">
                  <c:v>6070.4912000000004</c:v>
                </c:pt>
                <c:pt idx="1889">
                  <c:v>6115.8531800000001</c:v>
                </c:pt>
                <c:pt idx="1890">
                  <c:v>6208.4779199999994</c:v>
                </c:pt>
                <c:pt idx="1891">
                  <c:v>6135.8959800000002</c:v>
                </c:pt>
                <c:pt idx="1892">
                  <c:v>6096.8314</c:v>
                </c:pt>
                <c:pt idx="1893">
                  <c:v>6073.37961</c:v>
                </c:pt>
                <c:pt idx="1894">
                  <c:v>6055.830719999999</c:v>
                </c:pt>
                <c:pt idx="1895">
                  <c:v>5966.6853399999991</c:v>
                </c:pt>
                <c:pt idx="1896">
                  <c:v>6018.6419999999998</c:v>
                </c:pt>
                <c:pt idx="1897">
                  <c:v>6078.4907299999995</c:v>
                </c:pt>
                <c:pt idx="1898">
                  <c:v>6012.3491999999997</c:v>
                </c:pt>
                <c:pt idx="1899">
                  <c:v>6011.5073400000001</c:v>
                </c:pt>
                <c:pt idx="1900">
                  <c:v>5981.0538800000004</c:v>
                </c:pt>
                <c:pt idx="1901">
                  <c:v>5988.1654600000002</c:v>
                </c:pt>
                <c:pt idx="1902">
                  <c:v>5994.1818000000003</c:v>
                </c:pt>
                <c:pt idx="1903">
                  <c:v>5968.2826500000001</c:v>
                </c:pt>
                <c:pt idx="1904">
                  <c:v>5823.8364000000001</c:v>
                </c:pt>
                <c:pt idx="1905">
                  <c:v>5855.9898300000004</c:v>
                </c:pt>
                <c:pt idx="1906">
                  <c:v>5764.3470900000002</c:v>
                </c:pt>
                <c:pt idx="1907">
                  <c:v>5612.2627499999999</c:v>
                </c:pt>
                <c:pt idx="1908">
                  <c:v>5729.5510399999994</c:v>
                </c:pt>
                <c:pt idx="1909">
                  <c:v>5877.9376000000002</c:v>
                </c:pt>
                <c:pt idx="1910">
                  <c:v>5727.1675200000009</c:v>
                </c:pt>
                <c:pt idx="1911">
                  <c:v>5745.6911099999998</c:v>
                </c:pt>
                <c:pt idx="1912">
                  <c:v>5731.0480500000003</c:v>
                </c:pt>
                <c:pt idx="1913">
                  <c:v>5665.5671199999997</c:v>
                </c:pt>
                <c:pt idx="1914">
                  <c:v>5742.2246399999995</c:v>
                </c:pt>
                <c:pt idx="1915">
                  <c:v>5742.1686</c:v>
                </c:pt>
                <c:pt idx="1916">
                  <c:v>5821.8059199999998</c:v>
                </c:pt>
                <c:pt idx="1917">
                  <c:v>5856.5449799999997</c:v>
                </c:pt>
                <c:pt idx="1918">
                  <c:v>5871.8333700000003</c:v>
                </c:pt>
                <c:pt idx="1919">
                  <c:v>5838.6331199999995</c:v>
                </c:pt>
                <c:pt idx="1920">
                  <c:v>5726.4089999999997</c:v>
                </c:pt>
                <c:pt idx="1921">
                  <c:v>5692.1899300000005</c:v>
                </c:pt>
                <c:pt idx="1922">
                  <c:v>5703.19542</c:v>
                </c:pt>
                <c:pt idx="1923">
                  <c:v>5750.9989599999999</c:v>
                </c:pt>
                <c:pt idx="1924">
                  <c:v>5665.9580999999998</c:v>
                </c:pt>
                <c:pt idx="1925">
                  <c:v>5726.6730899999993</c:v>
                </c:pt>
                <c:pt idx="1926">
                  <c:v>5554.0245000000004</c:v>
                </c:pt>
                <c:pt idx="1927">
                  <c:v>5501.2638999999999</c:v>
                </c:pt>
                <c:pt idx="1928">
                  <c:v>5450.2796200000003</c:v>
                </c:pt>
                <c:pt idx="1929">
                  <c:v>5160.6100000000006</c:v>
                </c:pt>
                <c:pt idx="1930">
                  <c:v>5197.4650000000001</c:v>
                </c:pt>
                <c:pt idx="1931">
                  <c:v>5223.0911999999998</c:v>
                </c:pt>
                <c:pt idx="1932">
                  <c:v>5391.5827200000003</c:v>
                </c:pt>
                <c:pt idx="1933">
                  <c:v>5434.4864000000007</c:v>
                </c:pt>
                <c:pt idx="1934">
                  <c:v>5342.9935999999998</c:v>
                </c:pt>
                <c:pt idx="1935">
                  <c:v>5640.9074400000009</c:v>
                </c:pt>
                <c:pt idx="1936">
                  <c:v>5472.4176000000007</c:v>
                </c:pt>
                <c:pt idx="1937">
                  <c:v>5485.8509999999997</c:v>
                </c:pt>
                <c:pt idx="1938">
                  <c:v>5422.9031999999997</c:v>
                </c:pt>
                <c:pt idx="1939">
                  <c:v>5543.5347000000002</c:v>
                </c:pt>
                <c:pt idx="1940">
                  <c:v>5545.8855000000003</c:v>
                </c:pt>
                <c:pt idx="1941">
                  <c:v>5506.3041599999997</c:v>
                </c:pt>
                <c:pt idx="1942">
                  <c:v>5709.8050599999997</c:v>
                </c:pt>
                <c:pt idx="1943">
                  <c:v>5643.9203200000002</c:v>
                </c:pt>
                <c:pt idx="1944">
                  <c:v>5651.6223899999995</c:v>
                </c:pt>
                <c:pt idx="1945">
                  <c:v>5729.6567500000001</c:v>
                </c:pt>
                <c:pt idx="1946">
                  <c:v>5810.4341999999997</c:v>
                </c:pt>
                <c:pt idx="1947">
                  <c:v>5911.0849200000002</c:v>
                </c:pt>
                <c:pt idx="1948">
                  <c:v>5846.5769600000003</c:v>
                </c:pt>
                <c:pt idx="1949">
                  <c:v>5837.4162000000006</c:v>
                </c:pt>
                <c:pt idx="1950">
                  <c:v>5791.7462399999995</c:v>
                </c:pt>
                <c:pt idx="1951">
                  <c:v>5727.8355000000001</c:v>
                </c:pt>
                <c:pt idx="1952">
                  <c:v>5767.6900800000003</c:v>
                </c:pt>
                <c:pt idx="1953">
                  <c:v>5781.6428800000003</c:v>
                </c:pt>
                <c:pt idx="1954">
                  <c:v>5692.9553999999998</c:v>
                </c:pt>
                <c:pt idx="1955">
                  <c:v>5665.9713599999995</c:v>
                </c:pt>
                <c:pt idx="1956">
                  <c:v>5551.5402700000004</c:v>
                </c:pt>
                <c:pt idx="1957">
                  <c:v>5518.6012500000006</c:v>
                </c:pt>
                <c:pt idx="1958">
                  <c:v>5539.7193000000007</c:v>
                </c:pt>
                <c:pt idx="1959">
                  <c:v>5522.9165600000006</c:v>
                </c:pt>
                <c:pt idx="1960">
                  <c:v>5617.2746700000007</c:v>
                </c:pt>
                <c:pt idx="1961">
                  <c:v>5482.3014400000002</c:v>
                </c:pt>
                <c:pt idx="1962">
                  <c:v>5495.2475999999997</c:v>
                </c:pt>
                <c:pt idx="1963">
                  <c:v>5435.2917400000006</c:v>
                </c:pt>
                <c:pt idx="1964">
                  <c:v>5446.6131999999998</c:v>
                </c:pt>
                <c:pt idx="1965">
                  <c:v>5418.4908800000003</c:v>
                </c:pt>
                <c:pt idx="1966">
                  <c:v>5377.7803199999998</c:v>
                </c:pt>
                <c:pt idx="1967">
                  <c:v>5509.9312399999999</c:v>
                </c:pt>
                <c:pt idx="1968">
                  <c:v>5461.3514400000004</c:v>
                </c:pt>
                <c:pt idx="1969">
                  <c:v>5536.2672400000001</c:v>
                </c:pt>
                <c:pt idx="1970">
                  <c:v>5573.9349000000002</c:v>
                </c:pt>
                <c:pt idx="1971">
                  <c:v>5588.3318399999998</c:v>
                </c:pt>
                <c:pt idx="1972">
                  <c:v>5500.9475999999995</c:v>
                </c:pt>
                <c:pt idx="1973">
                  <c:v>5468.6451399999996</c:v>
                </c:pt>
                <c:pt idx="1974">
                  <c:v>5423.9968399999998</c:v>
                </c:pt>
                <c:pt idx="1975">
                  <c:v>5405.29396</c:v>
                </c:pt>
                <c:pt idx="1976">
                  <c:v>5340.74287</c:v>
                </c:pt>
                <c:pt idx="1977">
                  <c:v>5382.0862500000003</c:v>
                </c:pt>
                <c:pt idx="1978">
                  <c:v>5369.23272</c:v>
                </c:pt>
                <c:pt idx="1979">
                  <c:v>5401.0393800000002</c:v>
                </c:pt>
                <c:pt idx="1980">
                  <c:v>5390.3372600000002</c:v>
                </c:pt>
                <c:pt idx="1981">
                  <c:v>5353.3832400000001</c:v>
                </c:pt>
                <c:pt idx="1982">
                  <c:v>5331.0393099999992</c:v>
                </c:pt>
                <c:pt idx="1983">
                  <c:v>5232.1043499999996</c:v>
                </c:pt>
                <c:pt idx="1984">
                  <c:v>5327.3312999999998</c:v>
                </c:pt>
                <c:pt idx="1985">
                  <c:v>5251.9480799999992</c:v>
                </c:pt>
                <c:pt idx="1986">
                  <c:v>5302.9934400000002</c:v>
                </c:pt>
                <c:pt idx="1987">
                  <c:v>5178.0346200000004</c:v>
                </c:pt>
                <c:pt idx="1988">
                  <c:v>5224.2143999999998</c:v>
                </c:pt>
                <c:pt idx="1989">
                  <c:v>5267.5369900000005</c:v>
                </c:pt>
                <c:pt idx="1990">
                  <c:v>5305.2374799999998</c:v>
                </c:pt>
                <c:pt idx="1991">
                  <c:v>5268.8105600000008</c:v>
                </c:pt>
                <c:pt idx="1992">
                  <c:v>5277.9903000000004</c:v>
                </c:pt>
                <c:pt idx="1993">
                  <c:v>5219.1750000000002</c:v>
                </c:pt>
                <c:pt idx="1994">
                  <c:v>5223.2209499999999</c:v>
                </c:pt>
                <c:pt idx="1995">
                  <c:v>5240.8839600000001</c:v>
                </c:pt>
                <c:pt idx="1996">
                  <c:v>5304.7398399999993</c:v>
                </c:pt>
                <c:pt idx="1997">
                  <c:v>5289.9098700000004</c:v>
                </c:pt>
                <c:pt idx="1998">
                  <c:v>5221.8040799999999</c:v>
                </c:pt>
                <c:pt idx="1999">
                  <c:v>5320.8245999999999</c:v>
                </c:pt>
                <c:pt idx="2000">
                  <c:v>5309.9534000000003</c:v>
                </c:pt>
                <c:pt idx="2001">
                  <c:v>5293.1742399999994</c:v>
                </c:pt>
                <c:pt idx="2002">
                  <c:v>5325.7894200000001</c:v>
                </c:pt>
                <c:pt idx="2003">
                  <c:v>5325.1185399999995</c:v>
                </c:pt>
                <c:pt idx="2004">
                  <c:v>5259.4197599999998</c:v>
                </c:pt>
                <c:pt idx="2005">
                  <c:v>5213.4696599999997</c:v>
                </c:pt>
                <c:pt idx="2006">
                  <c:v>5073.9724800000004</c:v>
                </c:pt>
                <c:pt idx="2007">
                  <c:v>5042.5547999999999</c:v>
                </c:pt>
                <c:pt idx="2008">
                  <c:v>5086.1428800000003</c:v>
                </c:pt>
                <c:pt idx="2009">
                  <c:v>5110.1557199999997</c:v>
                </c:pt>
                <c:pt idx="2010">
                  <c:v>5057.6158599999999</c:v>
                </c:pt>
                <c:pt idx="2011">
                  <c:v>5043.0310200000004</c:v>
                </c:pt>
                <c:pt idx="2012">
                  <c:v>5063.4577499999996</c:v>
                </c:pt>
                <c:pt idx="2013">
                  <c:v>5044.2848200000008</c:v>
                </c:pt>
                <c:pt idx="2014">
                  <c:v>5093.0525399999997</c:v>
                </c:pt>
                <c:pt idx="2015">
                  <c:v>4961.5730000000003</c:v>
                </c:pt>
                <c:pt idx="2016">
                  <c:v>4997.2055099999998</c:v>
                </c:pt>
                <c:pt idx="2017">
                  <c:v>4928.2745600000007</c:v>
                </c:pt>
                <c:pt idx="2018">
                  <c:v>4883.4526000000005</c:v>
                </c:pt>
                <c:pt idx="2019">
                  <c:v>4816.5461999999998</c:v>
                </c:pt>
                <c:pt idx="2020">
                  <c:v>4790.7258000000002</c:v>
                </c:pt>
                <c:pt idx="2021">
                  <c:v>4757.761590000001</c:v>
                </c:pt>
                <c:pt idx="2022">
                  <c:v>4731.0223500000002</c:v>
                </c:pt>
                <c:pt idx="2023">
                  <c:v>4794.8319000000001</c:v>
                </c:pt>
                <c:pt idx="2024">
                  <c:v>4863.1267199999993</c:v>
                </c:pt>
                <c:pt idx="2025">
                  <c:v>4793.8824800000002</c:v>
                </c:pt>
                <c:pt idx="2026">
                  <c:v>4695.9620399999994</c:v>
                </c:pt>
                <c:pt idx="2027">
                  <c:v>4846.3580000000002</c:v>
                </c:pt>
                <c:pt idx="2028">
                  <c:v>4807.4658499999996</c:v>
                </c:pt>
                <c:pt idx="2029">
                  <c:v>4787.1302400000004</c:v>
                </c:pt>
                <c:pt idx="2030">
                  <c:v>4816.6879199999994</c:v>
                </c:pt>
                <c:pt idx="2031">
                  <c:v>4806.93768</c:v>
                </c:pt>
                <c:pt idx="2032">
                  <c:v>4742.7926399999997</c:v>
                </c:pt>
                <c:pt idx="2033">
                  <c:v>4728.8258000000005</c:v>
                </c:pt>
                <c:pt idx="2034">
                  <c:v>4605.6948299999995</c:v>
                </c:pt>
                <c:pt idx="2035">
                  <c:v>4736.539600000001</c:v>
                </c:pt>
                <c:pt idx="2036">
                  <c:v>4681.9003000000002</c:v>
                </c:pt>
                <c:pt idx="2037">
                  <c:v>4636.9403499999999</c:v>
                </c:pt>
                <c:pt idx="2038">
                  <c:v>4643.1849000000002</c:v>
                </c:pt>
                <c:pt idx="2039">
                  <c:v>4564.8104999999996</c:v>
                </c:pt>
                <c:pt idx="2040">
                  <c:v>4765.8990000000003</c:v>
                </c:pt>
                <c:pt idx="2041">
                  <c:v>4827.6745000000001</c:v>
                </c:pt>
                <c:pt idx="2042">
                  <c:v>4680.4845599999999</c:v>
                </c:pt>
                <c:pt idx="2043">
                  <c:v>4666.5734499999999</c:v>
                </c:pt>
                <c:pt idx="2044">
                  <c:v>4596.1617000000006</c:v>
                </c:pt>
                <c:pt idx="2045">
                  <c:v>4578.7689399999999</c:v>
                </c:pt>
                <c:pt idx="2046">
                  <c:v>4533.0564800000002</c:v>
                </c:pt>
                <c:pt idx="2047">
                  <c:v>4632.2716</c:v>
                </c:pt>
                <c:pt idx="2048">
                  <c:v>4769.0121599999993</c:v>
                </c:pt>
                <c:pt idx="2049">
                  <c:v>4724.3250000000007</c:v>
                </c:pt>
                <c:pt idx="2050">
                  <c:v>4802.83194</c:v>
                </c:pt>
                <c:pt idx="2051">
                  <c:v>4740.3091999999997</c:v>
                </c:pt>
                <c:pt idx="2052">
                  <c:v>4684.0136000000002</c:v>
                </c:pt>
                <c:pt idx="2053">
                  <c:v>4731.2457300000005</c:v>
                </c:pt>
                <c:pt idx="2054">
                  <c:v>4655.4979600000006</c:v>
                </c:pt>
                <c:pt idx="2055">
                  <c:v>4689.3361299999997</c:v>
                </c:pt>
                <c:pt idx="2056">
                  <c:v>4662.6938399999999</c:v>
                </c:pt>
                <c:pt idx="2057">
                  <c:v>4615.9036099999994</c:v>
                </c:pt>
                <c:pt idx="2058">
                  <c:v>4643.8207200000006</c:v>
                </c:pt>
                <c:pt idx="2059">
                  <c:v>4563.9548500000001</c:v>
                </c:pt>
                <c:pt idx="2060">
                  <c:v>4448.2943800000003</c:v>
                </c:pt>
                <c:pt idx="2061">
                  <c:v>4502.90841</c:v>
                </c:pt>
                <c:pt idx="2062">
                  <c:v>4464.3670400000001</c:v>
                </c:pt>
                <c:pt idx="2063">
                  <c:v>4513.1175000000003</c:v>
                </c:pt>
                <c:pt idx="2064">
                  <c:v>4477.3582200000001</c:v>
                </c:pt>
                <c:pt idx="2065">
                  <c:v>4512.0662999999995</c:v>
                </c:pt>
                <c:pt idx="2066">
                  <c:v>4391.6100299999998</c:v>
                </c:pt>
                <c:pt idx="2067">
                  <c:v>4364.2946000000002</c:v>
                </c:pt>
                <c:pt idx="2068">
                  <c:v>4318.1320700000006</c:v>
                </c:pt>
                <c:pt idx="2069">
                  <c:v>4274.0480199999993</c:v>
                </c:pt>
                <c:pt idx="2070">
                  <c:v>4245.4500000000007</c:v>
                </c:pt>
                <c:pt idx="2071">
                  <c:v>4183.2024799999999</c:v>
                </c:pt>
                <c:pt idx="2072">
                  <c:v>4194.7172999999993</c:v>
                </c:pt>
                <c:pt idx="2073">
                  <c:v>4075.85736</c:v>
                </c:pt>
                <c:pt idx="2074">
                  <c:v>4097.0017600000001</c:v>
                </c:pt>
                <c:pt idx="2075">
                  <c:v>4146.9785000000002</c:v>
                </c:pt>
                <c:pt idx="2076">
                  <c:v>4092.8010200000003</c:v>
                </c:pt>
                <c:pt idx="2077">
                  <c:v>4001.8047400000005</c:v>
                </c:pt>
                <c:pt idx="2078">
                  <c:v>4036.47984</c:v>
                </c:pt>
                <c:pt idx="2079">
                  <c:v>3933.0732600000001</c:v>
                </c:pt>
                <c:pt idx="2080">
                  <c:v>4096.7621399999998</c:v>
                </c:pt>
                <c:pt idx="2081">
                  <c:v>4088.5402800000002</c:v>
                </c:pt>
                <c:pt idx="2082">
                  <c:v>4107.3019200000008</c:v>
                </c:pt>
                <c:pt idx="2083">
                  <c:v>4027.8746199999996</c:v>
                </c:pt>
                <c:pt idx="2084">
                  <c:v>4039.6425299999996</c:v>
                </c:pt>
                <c:pt idx="2085">
                  <c:v>4018.9942999999998</c:v>
                </c:pt>
                <c:pt idx="2086">
                  <c:v>3958.1388000000002</c:v>
                </c:pt>
                <c:pt idx="2087">
                  <c:v>3957.2344000000003</c:v>
                </c:pt>
                <c:pt idx="2088">
                  <c:v>3969.6758399999999</c:v>
                </c:pt>
                <c:pt idx="2089">
                  <c:v>4033.6715999999997</c:v>
                </c:pt>
                <c:pt idx="2090">
                  <c:v>4054.1929999999998</c:v>
                </c:pt>
                <c:pt idx="2091">
                  <c:v>4055.67947</c:v>
                </c:pt>
                <c:pt idx="2092">
                  <c:v>3956.6895</c:v>
                </c:pt>
                <c:pt idx="2093">
                  <c:v>3900.5798399999999</c:v>
                </c:pt>
                <c:pt idx="2094">
                  <c:v>3817.8008100000002</c:v>
                </c:pt>
                <c:pt idx="2095">
                  <c:v>3874.9489999999996</c:v>
                </c:pt>
                <c:pt idx="2096">
                  <c:v>3934.4324799999999</c:v>
                </c:pt>
                <c:pt idx="2097">
                  <c:v>3879.0026899999998</c:v>
                </c:pt>
                <c:pt idx="2098">
                  <c:v>3888.3290999999999</c:v>
                </c:pt>
                <c:pt idx="2099">
                  <c:v>3932.32962</c:v>
                </c:pt>
                <c:pt idx="2100">
                  <c:v>3828.16239</c:v>
                </c:pt>
                <c:pt idx="2101">
                  <c:v>3761.0634599999998</c:v>
                </c:pt>
                <c:pt idx="2102">
                  <c:v>3703.4377600000003</c:v>
                </c:pt>
                <c:pt idx="2103">
                  <c:v>3620.9414000000002</c:v>
                </c:pt>
                <c:pt idx="2104">
                  <c:v>3577.77252</c:v>
                </c:pt>
                <c:pt idx="2105">
                  <c:v>3595.5550800000001</c:v>
                </c:pt>
                <c:pt idx="2106">
                  <c:v>3579.0484899999997</c:v>
                </c:pt>
                <c:pt idx="2107">
                  <c:v>3538.6206500000003</c:v>
                </c:pt>
                <c:pt idx="2108">
                  <c:v>3503.9429099999998</c:v>
                </c:pt>
                <c:pt idx="2109">
                  <c:v>3429.3472200000001</c:v>
                </c:pt>
                <c:pt idx="2110">
                  <c:v>3511.8332599999999</c:v>
                </c:pt>
                <c:pt idx="2111">
                  <c:v>3481.4850999999999</c:v>
                </c:pt>
                <c:pt idx="2112">
                  <c:v>3496.5644200000002</c:v>
                </c:pt>
                <c:pt idx="2113">
                  <c:v>3477.4131600000001</c:v>
                </c:pt>
                <c:pt idx="2114">
                  <c:v>3434.6772800000003</c:v>
                </c:pt>
                <c:pt idx="2115">
                  <c:v>3491.1623399999994</c:v>
                </c:pt>
                <c:pt idx="2116">
                  <c:v>3527.1798900000003</c:v>
                </c:pt>
                <c:pt idx="2117">
                  <c:v>3466.0902000000001</c:v>
                </c:pt>
                <c:pt idx="2118">
                  <c:v>3465.41464</c:v>
                </c:pt>
                <c:pt idx="2119">
                  <c:v>3476.7375499999998</c:v>
                </c:pt>
                <c:pt idx="2120">
                  <c:v>3480.9232999999999</c:v>
                </c:pt>
                <c:pt idx="2121">
                  <c:v>3495.2266300000001</c:v>
                </c:pt>
                <c:pt idx="2122">
                  <c:v>3463.56432</c:v>
                </c:pt>
                <c:pt idx="2123">
                  <c:v>3440.6839999999997</c:v>
                </c:pt>
                <c:pt idx="2124">
                  <c:v>3534.9423400000001</c:v>
                </c:pt>
                <c:pt idx="2125">
                  <c:v>3559.2523999999999</c:v>
                </c:pt>
                <c:pt idx="2126">
                  <c:v>3561.5820799999997</c:v>
                </c:pt>
                <c:pt idx="2127">
                  <c:v>3601.9404400000003</c:v>
                </c:pt>
                <c:pt idx="2128">
                  <c:v>3565.3410900000003</c:v>
                </c:pt>
                <c:pt idx="2129">
                  <c:v>3685.0688</c:v>
                </c:pt>
                <c:pt idx="2130">
                  <c:v>3658.7781999999997</c:v>
                </c:pt>
                <c:pt idx="2131">
                  <c:v>3512.2441199999998</c:v>
                </c:pt>
                <c:pt idx="2132">
                  <c:v>3477.7535399999997</c:v>
                </c:pt>
                <c:pt idx="2133">
                  <c:v>3489.4551999999999</c:v>
                </c:pt>
                <c:pt idx="2134">
                  <c:v>3403.5955499999995</c:v>
                </c:pt>
                <c:pt idx="2135">
                  <c:v>3412.6264799999999</c:v>
                </c:pt>
                <c:pt idx="2136">
                  <c:v>3467.8126200000002</c:v>
                </c:pt>
                <c:pt idx="2137">
                  <c:v>3552.1110000000003</c:v>
                </c:pt>
                <c:pt idx="2138">
                  <c:v>3529.3670999999995</c:v>
                </c:pt>
                <c:pt idx="2139">
                  <c:v>3487.7694700000002</c:v>
                </c:pt>
                <c:pt idx="2140">
                  <c:v>3473.77016</c:v>
                </c:pt>
                <c:pt idx="2141">
                  <c:v>3461.36402</c:v>
                </c:pt>
                <c:pt idx="2142">
                  <c:v>3515.8820000000001</c:v>
                </c:pt>
                <c:pt idx="2143">
                  <c:v>3442.2029999999995</c:v>
                </c:pt>
                <c:pt idx="2144">
                  <c:v>3507.49386</c:v>
                </c:pt>
                <c:pt idx="2145">
                  <c:v>3556.90924</c:v>
                </c:pt>
                <c:pt idx="2146">
                  <c:v>3479.8218000000006</c:v>
                </c:pt>
                <c:pt idx="2147">
                  <c:v>3438.1648300000002</c:v>
                </c:pt>
                <c:pt idx="2148">
                  <c:v>3471.24343</c:v>
                </c:pt>
                <c:pt idx="2149">
                  <c:v>3558.51874</c:v>
                </c:pt>
                <c:pt idx="2150">
                  <c:v>3618.9179899999999</c:v>
                </c:pt>
                <c:pt idx="2151">
                  <c:v>3691.2215999999999</c:v>
                </c:pt>
                <c:pt idx="2152">
                  <c:v>3691.4486400000001</c:v>
                </c:pt>
                <c:pt idx="2153">
                  <c:v>3727.4451199999999</c:v>
                </c:pt>
                <c:pt idx="2154">
                  <c:v>3667.6890799999996</c:v>
                </c:pt>
                <c:pt idx="2155">
                  <c:v>3623.3024799999998</c:v>
                </c:pt>
                <c:pt idx="2156">
                  <c:v>3519.6638400000006</c:v>
                </c:pt>
                <c:pt idx="2157">
                  <c:v>3503.3743800000002</c:v>
                </c:pt>
                <c:pt idx="2158">
                  <c:v>3446.8794399999997</c:v>
                </c:pt>
                <c:pt idx="2159">
                  <c:v>3423.6902700000001</c:v>
                </c:pt>
                <c:pt idx="2160">
                  <c:v>3421.47325</c:v>
                </c:pt>
                <c:pt idx="2161">
                  <c:v>3453.7944000000002</c:v>
                </c:pt>
                <c:pt idx="2162">
                  <c:v>3464.7224000000006</c:v>
                </c:pt>
                <c:pt idx="2163">
                  <c:v>3427.7738399999998</c:v>
                </c:pt>
                <c:pt idx="2164">
                  <c:v>3468.1536000000001</c:v>
                </c:pt>
                <c:pt idx="2165">
                  <c:v>3413.7028799999998</c:v>
                </c:pt>
                <c:pt idx="2166">
                  <c:v>3414.9255999999996</c:v>
                </c:pt>
                <c:pt idx="2167">
                  <c:v>3537.2988</c:v>
                </c:pt>
                <c:pt idx="2168">
                  <c:v>3540.2595200000001</c:v>
                </c:pt>
                <c:pt idx="2169">
                  <c:v>3416.1876899999997</c:v>
                </c:pt>
                <c:pt idx="2170">
                  <c:v>3396.5859600000003</c:v>
                </c:pt>
                <c:pt idx="2171">
                  <c:v>3461.7182600000006</c:v>
                </c:pt>
                <c:pt idx="2172">
                  <c:v>3363.7293600000003</c:v>
                </c:pt>
                <c:pt idx="2173">
                  <c:v>3357.4597699999999</c:v>
                </c:pt>
                <c:pt idx="2174">
                  <c:v>3399.6948399999997</c:v>
                </c:pt>
                <c:pt idx="2175">
                  <c:v>3270.9421499999999</c:v>
                </c:pt>
                <c:pt idx="2176">
                  <c:v>3266.0682000000002</c:v>
                </c:pt>
                <c:pt idx="2177">
                  <c:v>3259.1985400000003</c:v>
                </c:pt>
                <c:pt idx="2178">
                  <c:v>3229.6724400000003</c:v>
                </c:pt>
                <c:pt idx="2179">
                  <c:v>3193.6883400000002</c:v>
                </c:pt>
                <c:pt idx="2180">
                  <c:v>3329.4147300000004</c:v>
                </c:pt>
                <c:pt idx="2181">
                  <c:v>3335.5710199999999</c:v>
                </c:pt>
                <c:pt idx="2182">
                  <c:v>3302.9862800000001</c:v>
                </c:pt>
                <c:pt idx="2183">
                  <c:v>3280.5882499999998</c:v>
                </c:pt>
                <c:pt idx="2184">
                  <c:v>3305.0418299999997</c:v>
                </c:pt>
                <c:pt idx="2185">
                  <c:v>3135.9207999999999</c:v>
                </c:pt>
                <c:pt idx="2186">
                  <c:v>3012.9344000000001</c:v>
                </c:pt>
                <c:pt idx="2187">
                  <c:v>3164.7295800000002</c:v>
                </c:pt>
                <c:pt idx="2188">
                  <c:v>3229.3529999999996</c:v>
                </c:pt>
                <c:pt idx="2189">
                  <c:v>3214.13148</c:v>
                </c:pt>
                <c:pt idx="2190">
                  <c:v>3217.3607999999999</c:v>
                </c:pt>
                <c:pt idx="2191">
                  <c:v>3347.5217600000001</c:v>
                </c:pt>
                <c:pt idx="2192">
                  <c:v>3179.0252600000003</c:v>
                </c:pt>
                <c:pt idx="2193">
                  <c:v>3256.6533100000001</c:v>
                </c:pt>
                <c:pt idx="2194">
                  <c:v>3346.82575</c:v>
                </c:pt>
                <c:pt idx="2195">
                  <c:v>3324.8173000000002</c:v>
                </c:pt>
                <c:pt idx="2196">
                  <c:v>3314.5570200000002</c:v>
                </c:pt>
                <c:pt idx="2197">
                  <c:v>3398.9562000000001</c:v>
                </c:pt>
                <c:pt idx="2198">
                  <c:v>3460.3975700000001</c:v>
                </c:pt>
                <c:pt idx="2199">
                  <c:v>3388.2774800000002</c:v>
                </c:pt>
                <c:pt idx="2200">
                  <c:v>3295.5668899999996</c:v>
                </c:pt>
                <c:pt idx="2201">
                  <c:v>3406.81376</c:v>
                </c:pt>
                <c:pt idx="2202">
                  <c:v>3296.1792</c:v>
                </c:pt>
                <c:pt idx="2203">
                  <c:v>3183.7130800000004</c:v>
                </c:pt>
                <c:pt idx="2204">
                  <c:v>3004.3954499999995</c:v>
                </c:pt>
                <c:pt idx="2205">
                  <c:v>3048.35221</c:v>
                </c:pt>
                <c:pt idx="2206">
                  <c:v>3295.1646900000001</c:v>
                </c:pt>
                <c:pt idx="2207">
                  <c:v>3336.5138400000001</c:v>
                </c:pt>
                <c:pt idx="2208">
                  <c:v>3332.7497100000005</c:v>
                </c:pt>
                <c:pt idx="2209">
                  <c:v>3579.5583999999999</c:v>
                </c:pt>
                <c:pt idx="2210">
                  <c:v>3531.8602099999998</c:v>
                </c:pt>
                <c:pt idx="2211">
                  <c:v>3524.9894399999998</c:v>
                </c:pt>
                <c:pt idx="2212">
                  <c:v>3401.9621999999999</c:v>
                </c:pt>
                <c:pt idx="2213">
                  <c:v>3575.1958600000003</c:v>
                </c:pt>
                <c:pt idx="2214">
                  <c:v>3576.0175200000003</c:v>
                </c:pt>
                <c:pt idx="2215">
                  <c:v>3279.8551499999994</c:v>
                </c:pt>
                <c:pt idx="2216">
                  <c:v>3492.6357400000002</c:v>
                </c:pt>
                <c:pt idx="2217">
                  <c:v>3382.7484599999998</c:v>
                </c:pt>
                <c:pt idx="2218">
                  <c:v>3582.1733999999997</c:v>
                </c:pt>
                <c:pt idx="2219">
                  <c:v>3609.4775600000003</c:v>
                </c:pt>
                <c:pt idx="2220">
                  <c:v>3828.8232000000003</c:v>
                </c:pt>
                <c:pt idx="2221">
                  <c:v>3862.88184</c:v>
                </c:pt>
                <c:pt idx="2222">
                  <c:v>3909.4409999999998</c:v>
                </c:pt>
                <c:pt idx="2223">
                  <c:v>3934.1867599999996</c:v>
                </c:pt>
                <c:pt idx="2224">
                  <c:v>4031.1886</c:v>
                </c:pt>
                <c:pt idx="2225">
                  <c:v>4087.6058999999996</c:v>
                </c:pt>
                <c:pt idx="2226">
                  <c:v>4060.7274199999997</c:v>
                </c:pt>
                <c:pt idx="2227">
                  <c:v>4087.6007999999997</c:v>
                </c:pt>
                <c:pt idx="2228">
                  <c:v>4138.6800999999996</c:v>
                </c:pt>
                <c:pt idx="2229">
                  <c:v>4111.0007399999995</c:v>
                </c:pt>
                <c:pt idx="2230">
                  <c:v>4047.9926</c:v>
                </c:pt>
                <c:pt idx="2231">
                  <c:v>3894.3467199999996</c:v>
                </c:pt>
                <c:pt idx="2232">
                  <c:v>3925.623</c:v>
                </c:pt>
                <c:pt idx="2233">
                  <c:v>3929.1950399999996</c:v>
                </c:pt>
                <c:pt idx="2234">
                  <c:v>4052.5632000000001</c:v>
                </c:pt>
                <c:pt idx="2235">
                  <c:v>4148.2355699999998</c:v>
                </c:pt>
                <c:pt idx="2236">
                  <c:v>4131.84</c:v>
                </c:pt>
                <c:pt idx="2237">
                  <c:v>4070.3912399999995</c:v>
                </c:pt>
                <c:pt idx="2238">
                  <c:v>4059.6133200000004</c:v>
                </c:pt>
                <c:pt idx="2239">
                  <c:v>4083.88805</c:v>
                </c:pt>
                <c:pt idx="2240">
                  <c:v>4164.9853199999998</c:v>
                </c:pt>
                <c:pt idx="2241">
                  <c:v>4205.1184999999996</c:v>
                </c:pt>
                <c:pt idx="2242">
                  <c:v>4224.3878299999997</c:v>
                </c:pt>
                <c:pt idx="2243">
                  <c:v>4169.56304</c:v>
                </c:pt>
                <c:pt idx="2244">
                  <c:v>4299.67695</c:v>
                </c:pt>
                <c:pt idx="2245">
                  <c:v>4304.8486800000001</c:v>
                </c:pt>
                <c:pt idx="2246">
                  <c:v>4339.0650000000005</c:v>
                </c:pt>
                <c:pt idx="2247">
                  <c:v>4381.1630099999993</c:v>
                </c:pt>
                <c:pt idx="2248">
                  <c:v>4379.0492200000008</c:v>
                </c:pt>
                <c:pt idx="2249">
                  <c:v>4501.1372499999998</c:v>
                </c:pt>
                <c:pt idx="2250">
                  <c:v>4520.8770999999997</c:v>
                </c:pt>
                <c:pt idx="2251">
                  <c:v>4609.6718700000001</c:v>
                </c:pt>
                <c:pt idx="2252">
                  <c:v>4655.8512000000001</c:v>
                </c:pt>
                <c:pt idx="2253">
                  <c:v>4674.6252999999997</c:v>
                </c:pt>
                <c:pt idx="2254">
                  <c:v>4646.7800399999996</c:v>
                </c:pt>
                <c:pt idx="2255">
                  <c:v>4614.2731199999998</c:v>
                </c:pt>
                <c:pt idx="2256">
                  <c:v>4641.9956000000002</c:v>
                </c:pt>
                <c:pt idx="2257">
                  <c:v>4595.8473000000004</c:v>
                </c:pt>
                <c:pt idx="2258">
                  <c:v>4532.1599400000005</c:v>
                </c:pt>
                <c:pt idx="2259">
                  <c:v>4660.7192999999997</c:v>
                </c:pt>
                <c:pt idx="2260">
                  <c:v>4689.8951400000005</c:v>
                </c:pt>
                <c:pt idx="2261">
                  <c:v>4813.8775999999998</c:v>
                </c:pt>
                <c:pt idx="2262">
                  <c:v>4776.5680400000001</c:v>
                </c:pt>
                <c:pt idx="2263">
                  <c:v>4855.5132199999998</c:v>
                </c:pt>
                <c:pt idx="2264">
                  <c:v>4950.5669600000001</c:v>
                </c:pt>
                <c:pt idx="2265">
                  <c:v>4896.1711800000003</c:v>
                </c:pt>
                <c:pt idx="2266">
                  <c:v>4946.6442200000001</c:v>
                </c:pt>
                <c:pt idx="2267">
                  <c:v>4982.97667</c:v>
                </c:pt>
                <c:pt idx="2268">
                  <c:v>5034.4999199999993</c:v>
                </c:pt>
                <c:pt idx="2269">
                  <c:v>5021.3356200000007</c:v>
                </c:pt>
                <c:pt idx="2270">
                  <c:v>4949.5219100000004</c:v>
                </c:pt>
                <c:pt idx="2271">
                  <c:v>4968.5764499999996</c:v>
                </c:pt>
                <c:pt idx="2272">
                  <c:v>5034.10365</c:v>
                </c:pt>
                <c:pt idx="2273">
                  <c:v>5043.2809900000002</c:v>
                </c:pt>
                <c:pt idx="2274">
                  <c:v>5113.0665899999995</c:v>
                </c:pt>
                <c:pt idx="2275">
                  <c:v>5083.8285599999999</c:v>
                </c:pt>
                <c:pt idx="2276">
                  <c:v>5083.0734000000002</c:v>
                </c:pt>
                <c:pt idx="2277">
                  <c:v>5032.4049999999997</c:v>
                </c:pt>
                <c:pt idx="2278">
                  <c:v>5073.7817000000005</c:v>
                </c:pt>
                <c:pt idx="2279">
                  <c:v>4985.0424599999997</c:v>
                </c:pt>
                <c:pt idx="2280">
                  <c:v>4942.1129999999994</c:v>
                </c:pt>
                <c:pt idx="2281">
                  <c:v>4896.55195</c:v>
                </c:pt>
                <c:pt idx="2282">
                  <c:v>4867.6191799999997</c:v>
                </c:pt>
                <c:pt idx="2283">
                  <c:v>4851.5033500000009</c:v>
                </c:pt>
                <c:pt idx="2284">
                  <c:v>4820.3516400000008</c:v>
                </c:pt>
                <c:pt idx="2285">
                  <c:v>4850.0009600000003</c:v>
                </c:pt>
                <c:pt idx="2286">
                  <c:v>4813.8666800000001</c:v>
                </c:pt>
                <c:pt idx="2287">
                  <c:v>4801.1314700000003</c:v>
                </c:pt>
                <c:pt idx="2288">
                  <c:v>4775.8820399999995</c:v>
                </c:pt>
                <c:pt idx="2289">
                  <c:v>4764.8772799999997</c:v>
                </c:pt>
                <c:pt idx="2290">
                  <c:v>4782.7663199999997</c:v>
                </c:pt>
                <c:pt idx="2291">
                  <c:v>4727.1789100000005</c:v>
                </c:pt>
                <c:pt idx="2292">
                  <c:v>4733.4323399999994</c:v>
                </c:pt>
                <c:pt idx="2293">
                  <c:v>4728.9866300000003</c:v>
                </c:pt>
                <c:pt idx="2294">
                  <c:v>4653.4712</c:v>
                </c:pt>
                <c:pt idx="2295">
                  <c:v>4665.8315199999997</c:v>
                </c:pt>
                <c:pt idx="2296">
                  <c:v>4634.223</c:v>
                </c:pt>
                <c:pt idx="2297">
                  <c:v>4621.56387</c:v>
                </c:pt>
                <c:pt idx="2298">
                  <c:v>4627.8104299999995</c:v>
                </c:pt>
                <c:pt idx="2299">
                  <c:v>4608.0189499999997</c:v>
                </c:pt>
                <c:pt idx="2300">
                  <c:v>4605.1585800000003</c:v>
                </c:pt>
                <c:pt idx="2301">
                  <c:v>4531.9155800000008</c:v>
                </c:pt>
                <c:pt idx="2302">
                  <c:v>4659.9789700000001</c:v>
                </c:pt>
                <c:pt idx="2303">
                  <c:v>4658.1985999999997</c:v>
                </c:pt>
                <c:pt idx="2304">
                  <c:v>4650.6873599999999</c:v>
                </c:pt>
                <c:pt idx="2305">
                  <c:v>4730.4289600000002</c:v>
                </c:pt>
                <c:pt idx="2306">
                  <c:v>4686.3453</c:v>
                </c:pt>
                <c:pt idx="2307">
                  <c:v>4671.2503400000005</c:v>
                </c:pt>
                <c:pt idx="2308">
                  <c:v>4605.3302000000003</c:v>
                </c:pt>
                <c:pt idx="2309">
                  <c:v>4585.34447</c:v>
                </c:pt>
                <c:pt idx="2310">
                  <c:v>4608.0115400000004</c:v>
                </c:pt>
                <c:pt idx="2311">
                  <c:v>4619.8424999999997</c:v>
                </c:pt>
                <c:pt idx="2312">
                  <c:v>4682.7653399999999</c:v>
                </c:pt>
                <c:pt idx="2313">
                  <c:v>4618.6354799999999</c:v>
                </c:pt>
                <c:pt idx="2314">
                  <c:v>4680.5371999999998</c:v>
                </c:pt>
                <c:pt idx="2315">
                  <c:v>4679.5694400000002</c:v>
                </c:pt>
                <c:pt idx="2316">
                  <c:v>4616.4026999999996</c:v>
                </c:pt>
                <c:pt idx="2317">
                  <c:v>4720.4664199999997</c:v>
                </c:pt>
                <c:pt idx="2318">
                  <c:v>4712.0941600000006</c:v>
                </c:pt>
                <c:pt idx="2319">
                  <c:v>4656.2149200000003</c:v>
                </c:pt>
                <c:pt idx="2320">
                  <c:v>4687.3135600000005</c:v>
                </c:pt>
                <c:pt idx="2321">
                  <c:v>4661.2806799999998</c:v>
                </c:pt>
                <c:pt idx="2322">
                  <c:v>4604.7393600000005</c:v>
                </c:pt>
                <c:pt idx="2323">
                  <c:v>4647.7846799999998</c:v>
                </c:pt>
                <c:pt idx="2324">
                  <c:v>4662.0206100000005</c:v>
                </c:pt>
                <c:pt idx="2325">
                  <c:v>4585.7586199999996</c:v>
                </c:pt>
                <c:pt idx="2326">
                  <c:v>4552.1988000000001</c:v>
                </c:pt>
                <c:pt idx="2327">
                  <c:v>4533.4794100000008</c:v>
                </c:pt>
                <c:pt idx="2328">
                  <c:v>4609.7382399999997</c:v>
                </c:pt>
                <c:pt idx="2329">
                  <c:v>4582.3959399999994</c:v>
                </c:pt>
                <c:pt idx="2330">
                  <c:v>4474.3154299999997</c:v>
                </c:pt>
                <c:pt idx="2331">
                  <c:v>4542.0177400000002</c:v>
                </c:pt>
                <c:pt idx="2332">
                  <c:v>4564.1106799999998</c:v>
                </c:pt>
                <c:pt idx="2333">
                  <c:v>4517.4777999999997</c:v>
                </c:pt>
                <c:pt idx="2334">
                  <c:v>4541.8490999999995</c:v>
                </c:pt>
                <c:pt idx="2335">
                  <c:v>4514.9149200000002</c:v>
                </c:pt>
                <c:pt idx="2336">
                  <c:v>4526.25299</c:v>
                </c:pt>
                <c:pt idx="2337">
                  <c:v>4585.57665</c:v>
                </c:pt>
                <c:pt idx="2338">
                  <c:v>4526.6312800000005</c:v>
                </c:pt>
                <c:pt idx="2339">
                  <c:v>4537.8749899999993</c:v>
                </c:pt>
                <c:pt idx="2340">
                  <c:v>4504.0883199999998</c:v>
                </c:pt>
                <c:pt idx="2341">
                  <c:v>4477.9776000000002</c:v>
                </c:pt>
                <c:pt idx="2342">
                  <c:v>4475.6906399999998</c:v>
                </c:pt>
                <c:pt idx="2343">
                  <c:v>4412.81376</c:v>
                </c:pt>
                <c:pt idx="2344">
                  <c:v>4422.6757499999994</c:v>
                </c:pt>
                <c:pt idx="2345">
                  <c:v>4411.7701200000001</c:v>
                </c:pt>
                <c:pt idx="2346">
                  <c:v>4407.16194</c:v>
                </c:pt>
                <c:pt idx="2347">
                  <c:v>4370.7215200000001</c:v>
                </c:pt>
                <c:pt idx="2348">
                  <c:v>4396.8905799999993</c:v>
                </c:pt>
                <c:pt idx="2349">
                  <c:v>4325.6153400000003</c:v>
                </c:pt>
                <c:pt idx="2350">
                  <c:v>4294.6064999999999</c:v>
                </c:pt>
                <c:pt idx="2351">
                  <c:v>4255.7615999999998</c:v>
                </c:pt>
                <c:pt idx="2352">
                  <c:v>4230.3633899999995</c:v>
                </c:pt>
                <c:pt idx="2353">
                  <c:v>4189.8206700000001</c:v>
                </c:pt>
                <c:pt idx="2354">
                  <c:v>4188.0223000000005</c:v>
                </c:pt>
                <c:pt idx="2355">
                  <c:v>4230.9570599999997</c:v>
                </c:pt>
                <c:pt idx="2356">
                  <c:v>4208.6538900000005</c:v>
                </c:pt>
                <c:pt idx="2357">
                  <c:v>4211.76</c:v>
                </c:pt>
                <c:pt idx="2358">
                  <c:v>4241.9658599999993</c:v>
                </c:pt>
                <c:pt idx="2359">
                  <c:v>4183.9423999999999</c:v>
                </c:pt>
                <c:pt idx="2360">
                  <c:v>4170.0018200000004</c:v>
                </c:pt>
                <c:pt idx="2361">
                  <c:v>4157.4512000000004</c:v>
                </c:pt>
                <c:pt idx="2362">
                  <c:v>4188.0434400000004</c:v>
                </c:pt>
                <c:pt idx="2363">
                  <c:v>4296.4596000000001</c:v>
                </c:pt>
                <c:pt idx="2364">
                  <c:v>4276.6941000000006</c:v>
                </c:pt>
                <c:pt idx="2365">
                  <c:v>4371.8526300000003</c:v>
                </c:pt>
                <c:pt idx="2366">
                  <c:v>4401.4838399999999</c:v>
                </c:pt>
                <c:pt idx="2367">
                  <c:v>4341.5263600000008</c:v>
                </c:pt>
                <c:pt idx="2368">
                  <c:v>4288.3597399999999</c:v>
                </c:pt>
                <c:pt idx="2369">
                  <c:v>4235.5009799999998</c:v>
                </c:pt>
                <c:pt idx="2370">
                  <c:v>4313.5125599999992</c:v>
                </c:pt>
                <c:pt idx="2371">
                  <c:v>4326.3728200000005</c:v>
                </c:pt>
                <c:pt idx="2372">
                  <c:v>4324.5052200000009</c:v>
                </c:pt>
                <c:pt idx="2373">
                  <c:v>4286.5323600000002</c:v>
                </c:pt>
                <c:pt idx="2374">
                  <c:v>4324.7064</c:v>
                </c:pt>
                <c:pt idx="2375">
                  <c:v>4289.4987199999996</c:v>
                </c:pt>
                <c:pt idx="2376">
                  <c:v>4340.09584</c:v>
                </c:pt>
                <c:pt idx="2377">
                  <c:v>4278.3479200000002</c:v>
                </c:pt>
                <c:pt idx="2378">
                  <c:v>4226.4721799999998</c:v>
                </c:pt>
                <c:pt idx="2379">
                  <c:v>4220.6551499999996</c:v>
                </c:pt>
                <c:pt idx="2380">
                  <c:v>4166.8424999999997</c:v>
                </c:pt>
                <c:pt idx="2381">
                  <c:v>4152.5165999999999</c:v>
                </c:pt>
                <c:pt idx="2382">
                  <c:v>4145.3820799999994</c:v>
                </c:pt>
                <c:pt idx="2383">
                  <c:v>4094.4484400000001</c:v>
                </c:pt>
                <c:pt idx="2384">
                  <c:v>4088.0859199999995</c:v>
                </c:pt>
                <c:pt idx="2385">
                  <c:v>4053.8672999999999</c:v>
                </c:pt>
                <c:pt idx="2386">
                  <c:v>3953.0277000000001</c:v>
                </c:pt>
                <c:pt idx="2387">
                  <c:v>3971.9680000000003</c:v>
                </c:pt>
                <c:pt idx="2388">
                  <c:v>4014.1675599999994</c:v>
                </c:pt>
                <c:pt idx="2389">
                  <c:v>3967.5268799999999</c:v>
                </c:pt>
                <c:pt idx="2390">
                  <c:v>3901.4368799999997</c:v>
                </c:pt>
                <c:pt idx="2391">
                  <c:v>3904.7392100000002</c:v>
                </c:pt>
                <c:pt idx="2392">
                  <c:v>3925.0076100000006</c:v>
                </c:pt>
                <c:pt idx="2393">
                  <c:v>3927.2238399999997</c:v>
                </c:pt>
                <c:pt idx="2394">
                  <c:v>4049.0444000000002</c:v>
                </c:pt>
                <c:pt idx="2395">
                  <c:v>4000.9137300000002</c:v>
                </c:pt>
                <c:pt idx="2396">
                  <c:v>3946.5437700000007</c:v>
                </c:pt>
                <c:pt idx="2397">
                  <c:v>3959.9847000000004</c:v>
                </c:pt>
                <c:pt idx="2398">
                  <c:v>3974.0170799999996</c:v>
                </c:pt>
                <c:pt idx="2399">
                  <c:v>3936.3174400000003</c:v>
                </c:pt>
                <c:pt idx="2400">
                  <c:v>3931.4672700000006</c:v>
                </c:pt>
                <c:pt idx="2401">
                  <c:v>3915.7210800000003</c:v>
                </c:pt>
                <c:pt idx="2402">
                  <c:v>3883.8270900000002</c:v>
                </c:pt>
                <c:pt idx="2403">
                  <c:v>3945.5753999999997</c:v>
                </c:pt>
                <c:pt idx="2404">
                  <c:v>4000.4614000000006</c:v>
                </c:pt>
                <c:pt idx="2405">
                  <c:v>4081.1338399999995</c:v>
                </c:pt>
                <c:pt idx="2406">
                  <c:v>4068.4759199999999</c:v>
                </c:pt>
                <c:pt idx="2407">
                  <c:v>4110.6288299999997</c:v>
                </c:pt>
                <c:pt idx="2408">
                  <c:v>4076.9156000000003</c:v>
                </c:pt>
                <c:pt idx="2409">
                  <c:v>4163.9654</c:v>
                </c:pt>
                <c:pt idx="2410">
                  <c:v>4114.5161200000002</c:v>
                </c:pt>
                <c:pt idx="2411">
                  <c:v>4085.6291999999994</c:v>
                </c:pt>
                <c:pt idx="2412">
                  <c:v>4028.4372699999999</c:v>
                </c:pt>
                <c:pt idx="2413">
                  <c:v>3999.73864</c:v>
                </c:pt>
                <c:pt idx="2414">
                  <c:v>3999.1256999999996</c:v>
                </c:pt>
                <c:pt idx="2415">
                  <c:v>3969.6438600000001</c:v>
                </c:pt>
                <c:pt idx="2416">
                  <c:v>4008.5340800000004</c:v>
                </c:pt>
                <c:pt idx="2417">
                  <c:v>3988.93343</c:v>
                </c:pt>
                <c:pt idx="2418">
                  <c:v>3958.9344599999999</c:v>
                </c:pt>
                <c:pt idx="2419">
                  <c:v>3932.7629900000002</c:v>
                </c:pt>
                <c:pt idx="2420">
                  <c:v>3917.2968000000001</c:v>
                </c:pt>
                <c:pt idx="2421">
                  <c:v>3922.9918000000002</c:v>
                </c:pt>
                <c:pt idx="2422">
                  <c:v>3911.9575799999998</c:v>
                </c:pt>
                <c:pt idx="2423">
                  <c:v>3913.8795999999998</c:v>
                </c:pt>
                <c:pt idx="2424">
                  <c:v>3888.6330000000003</c:v>
                </c:pt>
                <c:pt idx="2425">
                  <c:v>3864.6139599999997</c:v>
                </c:pt>
                <c:pt idx="2426">
                  <c:v>3842.0135599999999</c:v>
                </c:pt>
                <c:pt idx="2427">
                  <c:v>3863.5242999999996</c:v>
                </c:pt>
                <c:pt idx="2428">
                  <c:v>3826.4714000000004</c:v>
                </c:pt>
                <c:pt idx="2429">
                  <c:v>3803.8802000000001</c:v>
                </c:pt>
                <c:pt idx="2430">
                  <c:v>3784.7654400000001</c:v>
                </c:pt>
                <c:pt idx="2431">
                  <c:v>3899.9447500000001</c:v>
                </c:pt>
                <c:pt idx="2432">
                  <c:v>3908.6032999999998</c:v>
                </c:pt>
                <c:pt idx="2433">
                  <c:v>3883.0411199999994</c:v>
                </c:pt>
                <c:pt idx="2434">
                  <c:v>3969.1364999999996</c:v>
                </c:pt>
                <c:pt idx="2435">
                  <c:v>3942.2866600000002</c:v>
                </c:pt>
                <c:pt idx="2436">
                  <c:v>3920.8540800000005</c:v>
                </c:pt>
                <c:pt idx="2437">
                  <c:v>3864.8787099999995</c:v>
                </c:pt>
                <c:pt idx="2438">
                  <c:v>3904.8572000000004</c:v>
                </c:pt>
                <c:pt idx="2439">
                  <c:v>3946.1447200000002</c:v>
                </c:pt>
                <c:pt idx="2440">
                  <c:v>3943.5358499999998</c:v>
                </c:pt>
                <c:pt idx="2441">
                  <c:v>3939.1528799999996</c:v>
                </c:pt>
                <c:pt idx="2442">
                  <c:v>3967.7939199999996</c:v>
                </c:pt>
                <c:pt idx="2443">
                  <c:v>3881.2512000000002</c:v>
                </c:pt>
                <c:pt idx="2444">
                  <c:v>3846.5784600000002</c:v>
                </c:pt>
                <c:pt idx="2445">
                  <c:v>3869.2546199999997</c:v>
                </c:pt>
                <c:pt idx="2446">
                  <c:v>3814.8169500000004</c:v>
                </c:pt>
                <c:pt idx="2447">
                  <c:v>3809.5758400000004</c:v>
                </c:pt>
                <c:pt idx="2448">
                  <c:v>3900.2955700000007</c:v>
                </c:pt>
                <c:pt idx="2449">
                  <c:v>3876.6935999999996</c:v>
                </c:pt>
                <c:pt idx="2450">
                  <c:v>3909.5540000000001</c:v>
                </c:pt>
                <c:pt idx="2451">
                  <c:v>3886.7212800000002</c:v>
                </c:pt>
                <c:pt idx="2452">
                  <c:v>3910.05456</c:v>
                </c:pt>
                <c:pt idx="2453">
                  <c:v>3929.6954400000004</c:v>
                </c:pt>
                <c:pt idx="2454">
                  <c:v>3843.8887499999996</c:v>
                </c:pt>
                <c:pt idx="2455">
                  <c:v>3990.4004400000003</c:v>
                </c:pt>
                <c:pt idx="2456">
                  <c:v>4052.8839200000002</c:v>
                </c:pt>
                <c:pt idx="2457">
                  <c:v>4030.4895999999999</c:v>
                </c:pt>
                <c:pt idx="2458">
                  <c:v>3995.3846799999997</c:v>
                </c:pt>
                <c:pt idx="2459">
                  <c:v>3937.18941</c:v>
                </c:pt>
                <c:pt idx="2460">
                  <c:v>3968.2828799999997</c:v>
                </c:pt>
                <c:pt idx="2461">
                  <c:v>3915.9565199999997</c:v>
                </c:pt>
                <c:pt idx="2462">
                  <c:v>4012.9119300000002</c:v>
                </c:pt>
                <c:pt idx="2463">
                  <c:v>3932.7396399999998</c:v>
                </c:pt>
                <c:pt idx="2464">
                  <c:v>3926.6727300000002</c:v>
                </c:pt>
                <c:pt idx="2465">
                  <c:v>3915.7230300000006</c:v>
                </c:pt>
                <c:pt idx="2466">
                  <c:v>3843.9198799999999</c:v>
                </c:pt>
                <c:pt idx="2467">
                  <c:v>3823.3020000000001</c:v>
                </c:pt>
                <c:pt idx="2468">
                  <c:v>3841.6048599999999</c:v>
                </c:pt>
                <c:pt idx="2469">
                  <c:v>3811.8249800000003</c:v>
                </c:pt>
                <c:pt idx="2470">
                  <c:v>3813.4601399999992</c:v>
                </c:pt>
                <c:pt idx="2471">
                  <c:v>3828.2496000000006</c:v>
                </c:pt>
                <c:pt idx="2472">
                  <c:v>3794.5702500000002</c:v>
                </c:pt>
                <c:pt idx="2473">
                  <c:v>3785.5439999999999</c:v>
                </c:pt>
                <c:pt idx="2474">
                  <c:v>3838.5950400000002</c:v>
                </c:pt>
                <c:pt idx="2475">
                  <c:v>3820.7736</c:v>
                </c:pt>
                <c:pt idx="2476">
                  <c:v>3819.7663200000006</c:v>
                </c:pt>
                <c:pt idx="2477">
                  <c:v>3833.51622</c:v>
                </c:pt>
                <c:pt idx="2478">
                  <c:v>3844.9765199999997</c:v>
                </c:pt>
                <c:pt idx="2479">
                  <c:v>3837.83925</c:v>
                </c:pt>
                <c:pt idx="2480">
                  <c:v>3862.1232000000005</c:v>
                </c:pt>
                <c:pt idx="2481">
                  <c:v>3827.0774999999999</c:v>
                </c:pt>
                <c:pt idx="2482">
                  <c:v>3759.7896000000001</c:v>
                </c:pt>
                <c:pt idx="2483">
                  <c:v>3758.1525000000001</c:v>
                </c:pt>
                <c:pt idx="2484">
                  <c:v>3781.8158400000002</c:v>
                </c:pt>
                <c:pt idx="2485">
                  <c:v>3747.6030900000001</c:v>
                </c:pt>
                <c:pt idx="2486">
                  <c:v>3713.4073200000003</c:v>
                </c:pt>
                <c:pt idx="2487">
                  <c:v>3690.6212</c:v>
                </c:pt>
                <c:pt idx="2488">
                  <c:v>3683.9726999999998</c:v>
                </c:pt>
                <c:pt idx="2489">
                  <c:v>3647.9374400000002</c:v>
                </c:pt>
                <c:pt idx="2490">
                  <c:v>3631.27</c:v>
                </c:pt>
                <c:pt idx="2491">
                  <c:v>3621.9384</c:v>
                </c:pt>
                <c:pt idx="2492">
                  <c:v>3578.6791999999996</c:v>
                </c:pt>
                <c:pt idx="2493">
                  <c:v>3533.0960400000004</c:v>
                </c:pt>
                <c:pt idx="2494">
                  <c:v>3420.2205599999998</c:v>
                </c:pt>
                <c:pt idx="2495">
                  <c:v>3482.6262899999997</c:v>
                </c:pt>
                <c:pt idx="2496">
                  <c:v>3461.0691199999997</c:v>
                </c:pt>
                <c:pt idx="2497">
                  <c:v>3446.8837199999998</c:v>
                </c:pt>
                <c:pt idx="2498">
                  <c:v>3412.7956200000003</c:v>
                </c:pt>
                <c:pt idx="2499">
                  <c:v>3389.8928000000001</c:v>
                </c:pt>
                <c:pt idx="2500">
                  <c:v>3369.3980799999999</c:v>
                </c:pt>
                <c:pt idx="2501">
                  <c:v>3348.6211800000001</c:v>
                </c:pt>
                <c:pt idx="2502">
                  <c:v>3327.0057000000002</c:v>
                </c:pt>
                <c:pt idx="2503">
                  <c:v>3287.2950000000001</c:v>
                </c:pt>
                <c:pt idx="2504">
                  <c:v>3245.0626999999999</c:v>
                </c:pt>
                <c:pt idx="2505">
                  <c:v>3245.6799000000001</c:v>
                </c:pt>
                <c:pt idx="2506">
                  <c:v>3270.66392</c:v>
                </c:pt>
                <c:pt idx="2507">
                  <c:v>3300.0719900000004</c:v>
                </c:pt>
                <c:pt idx="2508">
                  <c:v>3275.06032</c:v>
                </c:pt>
                <c:pt idx="2509">
                  <c:v>3314.3244399999999</c:v>
                </c:pt>
                <c:pt idx="2510">
                  <c:v>3304.5389599999999</c:v>
                </c:pt>
                <c:pt idx="2511">
                  <c:v>3260.3310500000002</c:v>
                </c:pt>
                <c:pt idx="2512">
                  <c:v>3189.4078199999999</c:v>
                </c:pt>
                <c:pt idx="2513">
                  <c:v>3163.6006499999999</c:v>
                </c:pt>
                <c:pt idx="2514">
                  <c:v>3215.3495800000001</c:v>
                </c:pt>
                <c:pt idx="2515">
                  <c:v>3197.8083600000004</c:v>
                </c:pt>
                <c:pt idx="2516">
                  <c:v>3129.99856</c:v>
                </c:pt>
                <c:pt idx="2517">
                  <c:v>3294.3259200000002</c:v>
                </c:pt>
                <c:pt idx="2518">
                  <c:v>3354.6592999999998</c:v>
                </c:pt>
                <c:pt idx="2519">
                  <c:v>3392.2131599999998</c:v>
                </c:pt>
                <c:pt idx="2520">
                  <c:v>3407.6042699999998</c:v>
                </c:pt>
                <c:pt idx="2521">
                  <c:v>3412.21639</c:v>
                </c:pt>
                <c:pt idx="2522">
                  <c:v>3465.4699000000001</c:v>
                </c:pt>
                <c:pt idx="2523">
                  <c:v>3443.7556800000002</c:v>
                </c:pt>
                <c:pt idx="2524">
                  <c:v>3394.7895600000002</c:v>
                </c:pt>
                <c:pt idx="2525">
                  <c:v>3437.8465200000005</c:v>
                </c:pt>
                <c:pt idx="2526">
                  <c:v>3504.6545500000002</c:v>
                </c:pt>
                <c:pt idx="2527">
                  <c:v>3513.096</c:v>
                </c:pt>
                <c:pt idx="2528">
                  <c:v>3539.7532000000001</c:v>
                </c:pt>
                <c:pt idx="2529">
                  <c:v>3532.5464800000004</c:v>
                </c:pt>
                <c:pt idx="2530">
                  <c:v>3557.337</c:v>
                </c:pt>
                <c:pt idx="2531">
                  <c:v>3599.02882</c:v>
                </c:pt>
                <c:pt idx="2532">
                  <c:v>3636.9886999999999</c:v>
                </c:pt>
                <c:pt idx="2533">
                  <c:v>3647.2562399999997</c:v>
                </c:pt>
                <c:pt idx="2534">
                  <c:v>3637.4301600000003</c:v>
                </c:pt>
                <c:pt idx="2535">
                  <c:v>3638.39336</c:v>
                </c:pt>
                <c:pt idx="2536">
                  <c:v>3612.9251800000002</c:v>
                </c:pt>
                <c:pt idx="2537">
                  <c:v>3589.85232</c:v>
                </c:pt>
                <c:pt idx="2538">
                  <c:v>3572.5918799999999</c:v>
                </c:pt>
                <c:pt idx="2539">
                  <c:v>3605.6998799999997</c:v>
                </c:pt>
                <c:pt idx="2540">
                  <c:v>3625.6764400000002</c:v>
                </c:pt>
                <c:pt idx="2541">
                  <c:v>3662.6603800000003</c:v>
                </c:pt>
                <c:pt idx="2542">
                  <c:v>3676.3568799999998</c:v>
                </c:pt>
                <c:pt idx="2543">
                  <c:v>3661.0245600000003</c:v>
                </c:pt>
                <c:pt idx="2544">
                  <c:v>3640.7104799999997</c:v>
                </c:pt>
                <c:pt idx="2545">
                  <c:v>3640.4218799999999</c:v>
                </c:pt>
                <c:pt idx="2546">
                  <c:v>3617.7874799999995</c:v>
                </c:pt>
                <c:pt idx="2547">
                  <c:v>3630.2262500000002</c:v>
                </c:pt>
                <c:pt idx="2548">
                  <c:v>3592.9878600000002</c:v>
                </c:pt>
                <c:pt idx="2549">
                  <c:v>3622.8007000000002</c:v>
                </c:pt>
                <c:pt idx="2550">
                  <c:v>3597.0464000000002</c:v>
                </c:pt>
                <c:pt idx="2551">
                  <c:v>3588.6448199999995</c:v>
                </c:pt>
                <c:pt idx="2552">
                  <c:v>3547.5407999999998</c:v>
                </c:pt>
                <c:pt idx="2553">
                  <c:v>3571.7245199999998</c:v>
                </c:pt>
                <c:pt idx="2554">
                  <c:v>3560.1223199999999</c:v>
                </c:pt>
                <c:pt idx="2555">
                  <c:v>3549.3622</c:v>
                </c:pt>
                <c:pt idx="2556">
                  <c:v>3545.0287899999994</c:v>
                </c:pt>
                <c:pt idx="2557">
                  <c:v>3526.4332800000002</c:v>
                </c:pt>
                <c:pt idx="2558">
                  <c:v>3497.2943500000001</c:v>
                </c:pt>
                <c:pt idx="2559">
                  <c:v>3455.32546</c:v>
                </c:pt>
                <c:pt idx="2560">
                  <c:v>3465.8948799999998</c:v>
                </c:pt>
                <c:pt idx="2561">
                  <c:v>3471.3281400000001</c:v>
                </c:pt>
                <c:pt idx="2562">
                  <c:v>3499.2039</c:v>
                </c:pt>
                <c:pt idx="2563">
                  <c:v>3505.7512000000002</c:v>
                </c:pt>
                <c:pt idx="2564">
                  <c:v>3514.36346</c:v>
                </c:pt>
                <c:pt idx="2565">
                  <c:v>3502.3741199999999</c:v>
                </c:pt>
                <c:pt idx="2566">
                  <c:v>3489.0926400000003</c:v>
                </c:pt>
                <c:pt idx="2567">
                  <c:v>3487.4130599999999</c:v>
                </c:pt>
                <c:pt idx="2568">
                  <c:v>3495.9762500000002</c:v>
                </c:pt>
                <c:pt idx="2569">
                  <c:v>3483.53656</c:v>
                </c:pt>
                <c:pt idx="2570">
                  <c:v>3472.8560400000006</c:v>
                </c:pt>
                <c:pt idx="2571">
                  <c:v>3460.2948000000001</c:v>
                </c:pt>
                <c:pt idx="2572">
                  <c:v>3444.6891200000005</c:v>
                </c:pt>
                <c:pt idx="2573">
                  <c:v>3406.4333000000001</c:v>
                </c:pt>
                <c:pt idx="2574">
                  <c:v>3401.99035</c:v>
                </c:pt>
                <c:pt idx="2575">
                  <c:v>3392.5135200000004</c:v>
                </c:pt>
                <c:pt idx="2576">
                  <c:v>3379.7607599999997</c:v>
                </c:pt>
                <c:pt idx="2577">
                  <c:v>3383.5937400000003</c:v>
                </c:pt>
                <c:pt idx="2578">
                  <c:v>3359.4584399999999</c:v>
                </c:pt>
                <c:pt idx="2579">
                  <c:v>3374.0642599999996</c:v>
                </c:pt>
                <c:pt idx="2580">
                  <c:v>3340.84483</c:v>
                </c:pt>
                <c:pt idx="2581">
                  <c:v>3331.2972800000002</c:v>
                </c:pt>
                <c:pt idx="2582">
                  <c:v>3331.7692099999999</c:v>
                </c:pt>
                <c:pt idx="2583">
                  <c:v>3361.5843999999997</c:v>
                </c:pt>
                <c:pt idx="2584">
                  <c:v>3373.3842399999999</c:v>
                </c:pt>
                <c:pt idx="2585">
                  <c:v>3377.1468</c:v>
                </c:pt>
                <c:pt idx="2586">
                  <c:v>3378.9347200000002</c:v>
                </c:pt>
                <c:pt idx="2587">
                  <c:v>3362.1924799999997</c:v>
                </c:pt>
                <c:pt idx="2588">
                  <c:v>3371.1738</c:v>
                </c:pt>
                <c:pt idx="2589">
                  <c:v>3358.48704</c:v>
                </c:pt>
                <c:pt idx="2590">
                  <c:v>3343.6866999999997</c:v>
                </c:pt>
                <c:pt idx="2591">
                  <c:v>3358.5325800000001</c:v>
                </c:pt>
                <c:pt idx="2592">
                  <c:v>3354.1715999999997</c:v>
                </c:pt>
                <c:pt idx="2593">
                  <c:v>3339.5781299999999</c:v>
                </c:pt>
                <c:pt idx="2594">
                  <c:v>3355.1256400000002</c:v>
                </c:pt>
                <c:pt idx="2595">
                  <c:v>3368.6379999999999</c:v>
                </c:pt>
                <c:pt idx="2596">
                  <c:v>3346.2006599999995</c:v>
                </c:pt>
                <c:pt idx="2597">
                  <c:v>3374.9599200000002</c:v>
                </c:pt>
                <c:pt idx="2598">
                  <c:v>3352.9968100000001</c:v>
                </c:pt>
                <c:pt idx="2599">
                  <c:v>3363.8356200000003</c:v>
                </c:pt>
                <c:pt idx="2600">
                  <c:v>3390.7024999999999</c:v>
                </c:pt>
                <c:pt idx="2601">
                  <c:v>3379.3664199999998</c:v>
                </c:pt>
                <c:pt idx="2602">
                  <c:v>3387.0587599999999</c:v>
                </c:pt>
                <c:pt idx="2603">
                  <c:v>3368.4705300000001</c:v>
                </c:pt>
                <c:pt idx="2604">
                  <c:v>3357.2929800000002</c:v>
                </c:pt>
                <c:pt idx="2605">
                  <c:v>3342.1247199999998</c:v>
                </c:pt>
                <c:pt idx="2606">
                  <c:v>3311.7266200000004</c:v>
                </c:pt>
                <c:pt idx="2607">
                  <c:v>3286.9096</c:v>
                </c:pt>
                <c:pt idx="2608">
                  <c:v>3285.4201499999999</c:v>
                </c:pt>
                <c:pt idx="2609">
                  <c:v>3221.2281399999997</c:v>
                </c:pt>
                <c:pt idx="2610">
                  <c:v>3207.2427000000002</c:v>
                </c:pt>
                <c:pt idx="2611">
                  <c:v>3202.42308</c:v>
                </c:pt>
                <c:pt idx="2612">
                  <c:v>3190.14255</c:v>
                </c:pt>
                <c:pt idx="2613">
                  <c:v>3156.9401800000001</c:v>
                </c:pt>
                <c:pt idx="2614">
                  <c:v>3184.0311299999998</c:v>
                </c:pt>
                <c:pt idx="2615">
                  <c:v>3175.7764999999999</c:v>
                </c:pt>
                <c:pt idx="2616">
                  <c:v>3186.07825</c:v>
                </c:pt>
                <c:pt idx="2617">
                  <c:v>3170.90355</c:v>
                </c:pt>
                <c:pt idx="2618">
                  <c:v>3186.2377700000002</c:v>
                </c:pt>
                <c:pt idx="2619">
                  <c:v>3159.2128600000001</c:v>
                </c:pt>
                <c:pt idx="2620">
                  <c:v>3167.05528</c:v>
                </c:pt>
                <c:pt idx="2621">
                  <c:v>3166.9642000000003</c:v>
                </c:pt>
                <c:pt idx="2622">
                  <c:v>3157.8471199999999</c:v>
                </c:pt>
                <c:pt idx="2623">
                  <c:v>3137.4151199999997</c:v>
                </c:pt>
                <c:pt idx="2624">
                  <c:v>3103.2822500000002</c:v>
                </c:pt>
                <c:pt idx="2625">
                  <c:v>3077.8022099999998</c:v>
                </c:pt>
                <c:pt idx="2626">
                  <c:v>3021.2730899999997</c:v>
                </c:pt>
                <c:pt idx="2627">
                  <c:v>3042.0058499999996</c:v>
                </c:pt>
                <c:pt idx="2628">
                  <c:v>3036.0967000000001</c:v>
                </c:pt>
                <c:pt idx="2629">
                  <c:v>3039.1716000000001</c:v>
                </c:pt>
                <c:pt idx="2630">
                  <c:v>3019.2928200000001</c:v>
                </c:pt>
                <c:pt idx="2631">
                  <c:v>3015.2262000000001</c:v>
                </c:pt>
                <c:pt idx="2632">
                  <c:v>3005.0250000000001</c:v>
                </c:pt>
                <c:pt idx="2633">
                  <c:v>2992.8985100000004</c:v>
                </c:pt>
                <c:pt idx="2634">
                  <c:v>2964.4204800000002</c:v>
                </c:pt>
                <c:pt idx="2635">
                  <c:v>2999.7445499999999</c:v>
                </c:pt>
                <c:pt idx="2636">
                  <c:v>3001.2699600000001</c:v>
                </c:pt>
                <c:pt idx="2637">
                  <c:v>3029.4467</c:v>
                </c:pt>
                <c:pt idx="2638">
                  <c:v>3027.4249499999996</c:v>
                </c:pt>
                <c:pt idx="2639">
                  <c:v>3041.4061499999998</c:v>
                </c:pt>
                <c:pt idx="2640">
                  <c:v>3007.3516199999999</c:v>
                </c:pt>
                <c:pt idx="2641">
                  <c:v>2990.4985599999995</c:v>
                </c:pt>
                <c:pt idx="2642">
                  <c:v>2989.6283199999998</c:v>
                </c:pt>
                <c:pt idx="2643">
                  <c:v>2968.0146</c:v>
                </c:pt>
                <c:pt idx="2644">
                  <c:v>2943.5761600000001</c:v>
                </c:pt>
                <c:pt idx="2645">
                  <c:v>2915.7563</c:v>
                </c:pt>
                <c:pt idx="2646">
                  <c:v>2888.9515199999996</c:v>
                </c:pt>
                <c:pt idx="2647">
                  <c:v>2907.8196200000002</c:v>
                </c:pt>
                <c:pt idx="2648">
                  <c:v>2887.2666899999999</c:v>
                </c:pt>
                <c:pt idx="2649">
                  <c:v>2855.36717</c:v>
                </c:pt>
                <c:pt idx="2650">
                  <c:v>2884.6974999999998</c:v>
                </c:pt>
                <c:pt idx="2651">
                  <c:v>2899.6578399999999</c:v>
                </c:pt>
                <c:pt idx="2652">
                  <c:v>2894.549</c:v>
                </c:pt>
                <c:pt idx="2653">
                  <c:v>2884.4115299999999</c:v>
                </c:pt>
                <c:pt idx="2654">
                  <c:v>2891.5002399999998</c:v>
                </c:pt>
                <c:pt idx="2655">
                  <c:v>2880.6132600000001</c:v>
                </c:pt>
                <c:pt idx="2656">
                  <c:v>2868.65978</c:v>
                </c:pt>
                <c:pt idx="2657">
                  <c:v>2860.5881200000003</c:v>
                </c:pt>
                <c:pt idx="2658">
                  <c:v>2857.75776</c:v>
                </c:pt>
                <c:pt idx="2659">
                  <c:v>2855.1356600000004</c:v>
                </c:pt>
                <c:pt idx="2660">
                  <c:v>2860.0935999999997</c:v>
                </c:pt>
                <c:pt idx="2661">
                  <c:v>2856.2608799999998</c:v>
                </c:pt>
                <c:pt idx="2662">
                  <c:v>2858.5135599999999</c:v>
                </c:pt>
                <c:pt idx="2663">
                  <c:v>2904.5124999999998</c:v>
                </c:pt>
                <c:pt idx="2664">
                  <c:v>2881.4007999999999</c:v>
                </c:pt>
                <c:pt idx="2665">
                  <c:v>2864.6835799999999</c:v>
                </c:pt>
                <c:pt idx="2666">
                  <c:v>2856.6534000000001</c:v>
                </c:pt>
                <c:pt idx="2667">
                  <c:v>2851.6469100000004</c:v>
                </c:pt>
                <c:pt idx="2668">
                  <c:v>2847.0886399999999</c:v>
                </c:pt>
                <c:pt idx="2669">
                  <c:v>2855.4794400000001</c:v>
                </c:pt>
                <c:pt idx="2670">
                  <c:v>2844.0266499999998</c:v>
                </c:pt>
                <c:pt idx="2671">
                  <c:v>2834.3775700000001</c:v>
                </c:pt>
                <c:pt idx="2672">
                  <c:v>2819.21108</c:v>
                </c:pt>
                <c:pt idx="2673">
                  <c:v>2831.4093900000003</c:v>
                </c:pt>
                <c:pt idx="2674">
                  <c:v>2828.3030199999998</c:v>
                </c:pt>
                <c:pt idx="2675">
                  <c:v>2823.5597599999996</c:v>
                </c:pt>
                <c:pt idx="2676">
                  <c:v>2831.0877099999998</c:v>
                </c:pt>
                <c:pt idx="2677">
                  <c:v>2846.2339999999999</c:v>
                </c:pt>
                <c:pt idx="2678">
                  <c:v>2858.6340300000002</c:v>
                </c:pt>
                <c:pt idx="2679">
                  <c:v>2833.1565999999998</c:v>
                </c:pt>
                <c:pt idx="2680">
                  <c:v>2833.4723600000002</c:v>
                </c:pt>
                <c:pt idx="2681">
                  <c:v>2824.6779299999998</c:v>
                </c:pt>
                <c:pt idx="2682">
                  <c:v>2804.9609300000002</c:v>
                </c:pt>
                <c:pt idx="2683">
                  <c:v>2806.6156799999999</c:v>
                </c:pt>
                <c:pt idx="2684">
                  <c:v>2806.4884400000001</c:v>
                </c:pt>
                <c:pt idx="2685">
                  <c:v>2786.3826099999997</c:v>
                </c:pt>
                <c:pt idx="2686">
                  <c:v>2787.8360399999997</c:v>
                </c:pt>
                <c:pt idx="2687">
                  <c:v>2794.8041699999999</c:v>
                </c:pt>
                <c:pt idx="2688">
                  <c:v>2763.6788000000001</c:v>
                </c:pt>
                <c:pt idx="2689">
                  <c:v>2743.5720000000001</c:v>
                </c:pt>
                <c:pt idx="2690">
                  <c:v>2755.45082</c:v>
                </c:pt>
                <c:pt idx="2691">
                  <c:v>2758.9396000000002</c:v>
                </c:pt>
                <c:pt idx="2692">
                  <c:v>2747.0935799999997</c:v>
                </c:pt>
                <c:pt idx="2693">
                  <c:v>2741.6263200000003</c:v>
                </c:pt>
                <c:pt idx="2694">
                  <c:v>2726.3052299999999</c:v>
                </c:pt>
                <c:pt idx="2695">
                  <c:v>2735.7052799999997</c:v>
                </c:pt>
                <c:pt idx="2696">
                  <c:v>2737.5291900000002</c:v>
                </c:pt>
                <c:pt idx="2697">
                  <c:v>2730.4207800000004</c:v>
                </c:pt>
                <c:pt idx="2698">
                  <c:v>2741.7595800000004</c:v>
                </c:pt>
                <c:pt idx="2699">
                  <c:v>2773.0667799999997</c:v>
                </c:pt>
                <c:pt idx="2700">
                  <c:v>2761.1844000000001</c:v>
                </c:pt>
                <c:pt idx="2701">
                  <c:v>2768.0569599999999</c:v>
                </c:pt>
                <c:pt idx="2702">
                  <c:v>2766.2250999999997</c:v>
                </c:pt>
                <c:pt idx="2703">
                  <c:v>2773.0820399999998</c:v>
                </c:pt>
                <c:pt idx="2704">
                  <c:v>2762.6886</c:v>
                </c:pt>
                <c:pt idx="2705">
                  <c:v>2768.1667200000002</c:v>
                </c:pt>
                <c:pt idx="2706">
                  <c:v>2744.10709</c:v>
                </c:pt>
                <c:pt idx="2707">
                  <c:v>2743.6599900000001</c:v>
                </c:pt>
                <c:pt idx="2708">
                  <c:v>2699.8524300000004</c:v>
                </c:pt>
                <c:pt idx="2709">
                  <c:v>2695.7066399999999</c:v>
                </c:pt>
                <c:pt idx="2710">
                  <c:v>2682.8813599999999</c:v>
                </c:pt>
                <c:pt idx="2711">
                  <c:v>2671.4404799999998</c:v>
                </c:pt>
                <c:pt idx="2712">
                  <c:v>2664.0868799999998</c:v>
                </c:pt>
                <c:pt idx="2713">
                  <c:v>2678.2984799999999</c:v>
                </c:pt>
                <c:pt idx="2714">
                  <c:v>2685.288</c:v>
                </c:pt>
                <c:pt idx="2715">
                  <c:v>2688.7827499999999</c:v>
                </c:pt>
                <c:pt idx="2716">
                  <c:v>2713.0674899999999</c:v>
                </c:pt>
                <c:pt idx="2717">
                  <c:v>2722.4009999999998</c:v>
                </c:pt>
                <c:pt idx="2718">
                  <c:v>2727.08574</c:v>
                </c:pt>
                <c:pt idx="2719">
                  <c:v>2717.8402000000001</c:v>
                </c:pt>
                <c:pt idx="2720">
                  <c:v>2738.6985599999998</c:v>
                </c:pt>
                <c:pt idx="2721">
                  <c:v>2755.3152</c:v>
                </c:pt>
                <c:pt idx="2722">
                  <c:v>2763.1691999999998</c:v>
                </c:pt>
                <c:pt idx="2723">
                  <c:v>2763.9581499999999</c:v>
                </c:pt>
                <c:pt idx="2724">
                  <c:v>2745.05</c:v>
                </c:pt>
                <c:pt idx="2725">
                  <c:v>2734.0546200000003</c:v>
                </c:pt>
                <c:pt idx="2726">
                  <c:v>2702.9753999999998</c:v>
                </c:pt>
                <c:pt idx="2727">
                  <c:v>2692.5059200000001</c:v>
                </c:pt>
                <c:pt idx="2728">
                  <c:v>2679.90913</c:v>
                </c:pt>
                <c:pt idx="2729">
                  <c:v>2674.4052999999999</c:v>
                </c:pt>
                <c:pt idx="2730">
                  <c:v>2671.4099000000001</c:v>
                </c:pt>
                <c:pt idx="2731">
                  <c:v>2675.2628</c:v>
                </c:pt>
                <c:pt idx="2732">
                  <c:v>2663.1343200000001</c:v>
                </c:pt>
                <c:pt idx="2733">
                  <c:v>2665.3190500000001</c:v>
                </c:pt>
                <c:pt idx="2734">
                  <c:v>2678.0252599999999</c:v>
                </c:pt>
                <c:pt idx="2735">
                  <c:v>2658.7116299999998</c:v>
                </c:pt>
                <c:pt idx="2736">
                  <c:v>2669.4295000000002</c:v>
                </c:pt>
                <c:pt idx="2737">
                  <c:v>2620.7283299999999</c:v>
                </c:pt>
                <c:pt idx="2738">
                  <c:v>2612.6418599999997</c:v>
                </c:pt>
                <c:pt idx="2739">
                  <c:v>2595.5739199999998</c:v>
                </c:pt>
                <c:pt idx="2740">
                  <c:v>2575.6338400000004</c:v>
                </c:pt>
                <c:pt idx="2741">
                  <c:v>2594.0415600000001</c:v>
                </c:pt>
                <c:pt idx="2742">
                  <c:v>2594.3893800000001</c:v>
                </c:pt>
                <c:pt idx="2743">
                  <c:v>2575.6836000000003</c:v>
                </c:pt>
                <c:pt idx="2744">
                  <c:v>2593.41084</c:v>
                </c:pt>
                <c:pt idx="2745">
                  <c:v>2597.0237999999999</c:v>
                </c:pt>
                <c:pt idx="2746">
                  <c:v>2607.7740000000003</c:v>
                </c:pt>
                <c:pt idx="2747">
                  <c:v>2601.81531</c:v>
                </c:pt>
                <c:pt idx="2748">
                  <c:v>2604.2890299999999</c:v>
                </c:pt>
                <c:pt idx="2749">
                  <c:v>2619.7687999999998</c:v>
                </c:pt>
                <c:pt idx="2750">
                  <c:v>2594.8242</c:v>
                </c:pt>
                <c:pt idx="2751">
                  <c:v>2620.4094599999999</c:v>
                </c:pt>
                <c:pt idx="2752">
                  <c:v>2595.3908799999999</c:v>
                </c:pt>
                <c:pt idx="2753">
                  <c:v>2592.3307</c:v>
                </c:pt>
                <c:pt idx="2754">
                  <c:v>2587.3960799999995</c:v>
                </c:pt>
                <c:pt idx="2755">
                  <c:v>2555.4533000000001</c:v>
                </c:pt>
                <c:pt idx="2756">
                  <c:v>2566.7719000000002</c:v>
                </c:pt>
                <c:pt idx="2757">
                  <c:v>2556.7362000000003</c:v>
                </c:pt>
                <c:pt idx="2758">
                  <c:v>2536.1272800000002</c:v>
                </c:pt>
                <c:pt idx="2759">
                  <c:v>2547.16896</c:v>
                </c:pt>
                <c:pt idx="2760">
                  <c:v>2543.08698</c:v>
                </c:pt>
                <c:pt idx="2761">
                  <c:v>2537.8963000000003</c:v>
                </c:pt>
                <c:pt idx="2762">
                  <c:v>2574.3848499999999</c:v>
                </c:pt>
                <c:pt idx="2763">
                  <c:v>2599.89804</c:v>
                </c:pt>
                <c:pt idx="2764">
                  <c:v>2604.0411600000002</c:v>
                </c:pt>
                <c:pt idx="2765">
                  <c:v>2573.8408800000002</c:v>
                </c:pt>
                <c:pt idx="2766">
                  <c:v>2561.2505400000005</c:v>
                </c:pt>
                <c:pt idx="2767">
                  <c:v>2589.3509199999999</c:v>
                </c:pt>
                <c:pt idx="2768">
                  <c:v>2596.4617200000002</c:v>
                </c:pt>
                <c:pt idx="2769">
                  <c:v>2586.7091599999999</c:v>
                </c:pt>
                <c:pt idx="2770">
                  <c:v>2563.7471999999998</c:v>
                </c:pt>
                <c:pt idx="2771">
                  <c:v>2574.94499</c:v>
                </c:pt>
                <c:pt idx="2772">
                  <c:v>2594.1302400000004</c:v>
                </c:pt>
                <c:pt idx="2773">
                  <c:v>2591.7906000000003</c:v>
                </c:pt>
                <c:pt idx="2774">
                  <c:v>2628.7268800000002</c:v>
                </c:pt>
                <c:pt idx="2775">
                  <c:v>2614.9354200000002</c:v>
                </c:pt>
                <c:pt idx="2776">
                  <c:v>2625.8305</c:v>
                </c:pt>
                <c:pt idx="2777">
                  <c:v>2653.9389000000001</c:v>
                </c:pt>
                <c:pt idx="2778">
                  <c:v>2628.8070900000002</c:v>
                </c:pt>
                <c:pt idx="2779">
                  <c:v>2610.3930800000003</c:v>
                </c:pt>
                <c:pt idx="2780">
                  <c:v>2643.3495400000002</c:v>
                </c:pt>
                <c:pt idx="2781">
                  <c:v>2634.5609399999998</c:v>
                </c:pt>
                <c:pt idx="2782">
                  <c:v>2618.6769899999999</c:v>
                </c:pt>
                <c:pt idx="2783">
                  <c:v>2602.0873000000001</c:v>
                </c:pt>
                <c:pt idx="2784">
                  <c:v>2622.5078399999998</c:v>
                </c:pt>
                <c:pt idx="2785">
                  <c:v>2629.3059200000002</c:v>
                </c:pt>
                <c:pt idx="2786">
                  <c:v>2625.9065999999998</c:v>
                </c:pt>
                <c:pt idx="2787">
                  <c:v>2636.2584000000002</c:v>
                </c:pt>
                <c:pt idx="2788">
                  <c:v>2648.8651500000001</c:v>
                </c:pt>
                <c:pt idx="2789">
                  <c:v>2647.5649900000003</c:v>
                </c:pt>
                <c:pt idx="2790">
                  <c:v>2648.8730599999999</c:v>
                </c:pt>
                <c:pt idx="2791">
                  <c:v>2620.90092</c:v>
                </c:pt>
                <c:pt idx="2792">
                  <c:v>2624.2812999999996</c:v>
                </c:pt>
                <c:pt idx="2793">
                  <c:v>2570.6963100000003</c:v>
                </c:pt>
                <c:pt idx="2794">
                  <c:v>2578.8809999999999</c:v>
                </c:pt>
                <c:pt idx="2795">
                  <c:v>2567.1186000000002</c:v>
                </c:pt>
                <c:pt idx="2796">
                  <c:v>2577.20345</c:v>
                </c:pt>
                <c:pt idx="2797">
                  <c:v>2549.1700400000004</c:v>
                </c:pt>
                <c:pt idx="2798">
                  <c:v>2526.8914800000002</c:v>
                </c:pt>
                <c:pt idx="2799">
                  <c:v>2534.7777700000001</c:v>
                </c:pt>
                <c:pt idx="2800">
                  <c:v>2562.1968199999997</c:v>
                </c:pt>
                <c:pt idx="2801">
                  <c:v>2591.2467900000001</c:v>
                </c:pt>
                <c:pt idx="2802">
                  <c:v>2579.5946800000002</c:v>
                </c:pt>
                <c:pt idx="2803">
                  <c:v>2588.4275200000002</c:v>
                </c:pt>
                <c:pt idx="2804">
                  <c:v>2550.36474</c:v>
                </c:pt>
                <c:pt idx="2805">
                  <c:v>2567.1537499999999</c:v>
                </c:pt>
                <c:pt idx="2806">
                  <c:v>2537.7755700000002</c:v>
                </c:pt>
                <c:pt idx="2807">
                  <c:v>2532.5498400000001</c:v>
                </c:pt>
                <c:pt idx="2808">
                  <c:v>2542.7472000000002</c:v>
                </c:pt>
                <c:pt idx="2809">
                  <c:v>2543.6732300000003</c:v>
                </c:pt>
                <c:pt idx="2810">
                  <c:v>2540.3760000000002</c:v>
                </c:pt>
                <c:pt idx="2811">
                  <c:v>2516.7795000000001</c:v>
                </c:pt>
                <c:pt idx="2812">
                  <c:v>2468.8865000000001</c:v>
                </c:pt>
                <c:pt idx="2813">
                  <c:v>2485.8036000000002</c:v>
                </c:pt>
                <c:pt idx="2814">
                  <c:v>2482.4508799999999</c:v>
                </c:pt>
                <c:pt idx="2815">
                  <c:v>2475.1848</c:v>
                </c:pt>
                <c:pt idx="2816">
                  <c:v>2465.6722199999999</c:v>
                </c:pt>
                <c:pt idx="2817">
                  <c:v>2473.6198800000002</c:v>
                </c:pt>
                <c:pt idx="2818">
                  <c:v>2460.1991399999997</c:v>
                </c:pt>
                <c:pt idx="2819">
                  <c:v>2453.0664099999999</c:v>
                </c:pt>
                <c:pt idx="2820">
                  <c:v>2466.3331199999998</c:v>
                </c:pt>
                <c:pt idx="2821">
                  <c:v>2477.3092799999999</c:v>
                </c:pt>
                <c:pt idx="2822">
                  <c:v>2467.0798199999999</c:v>
                </c:pt>
                <c:pt idx="2823">
                  <c:v>2467.2148899999997</c:v>
                </c:pt>
                <c:pt idx="2824">
                  <c:v>2485.9478400000003</c:v>
                </c:pt>
                <c:pt idx="2825">
                  <c:v>2483.8416199999997</c:v>
                </c:pt>
                <c:pt idx="2826">
                  <c:v>2470.2716999999998</c:v>
                </c:pt>
                <c:pt idx="2827">
                  <c:v>2464.2334000000001</c:v>
                </c:pt>
                <c:pt idx="2828">
                  <c:v>2442.84807</c:v>
                </c:pt>
                <c:pt idx="2829">
                  <c:v>2463.7391100000004</c:v>
                </c:pt>
                <c:pt idx="2830">
                  <c:v>2470.9130700000001</c:v>
                </c:pt>
                <c:pt idx="2831">
                  <c:v>2445.6422799999996</c:v>
                </c:pt>
                <c:pt idx="2832">
                  <c:v>2453.6763999999998</c:v>
                </c:pt>
                <c:pt idx="2833">
                  <c:v>2489.36688</c:v>
                </c:pt>
                <c:pt idx="2834">
                  <c:v>2475.6451200000001</c:v>
                </c:pt>
                <c:pt idx="2835">
                  <c:v>2480.4092599999999</c:v>
                </c:pt>
                <c:pt idx="2836">
                  <c:v>2488.6832000000004</c:v>
                </c:pt>
                <c:pt idx="2837">
                  <c:v>2457.8420500000002</c:v>
                </c:pt>
                <c:pt idx="2838">
                  <c:v>2486.26476</c:v>
                </c:pt>
                <c:pt idx="2839">
                  <c:v>2494.0113000000001</c:v>
                </c:pt>
                <c:pt idx="2840">
                  <c:v>2525.3683099999998</c:v>
                </c:pt>
                <c:pt idx="2841">
                  <c:v>2541.8550599999999</c:v>
                </c:pt>
                <c:pt idx="2842">
                  <c:v>2507.9802499999996</c:v>
                </c:pt>
                <c:pt idx="2843">
                  <c:v>2541.9205499999998</c:v>
                </c:pt>
                <c:pt idx="2844">
                  <c:v>2511.4751999999999</c:v>
                </c:pt>
                <c:pt idx="2845">
                  <c:v>2544.5445600000003</c:v>
                </c:pt>
                <c:pt idx="2846">
                  <c:v>2569.4811500000001</c:v>
                </c:pt>
                <c:pt idx="2847">
                  <c:v>2568.92731</c:v>
                </c:pt>
                <c:pt idx="2848">
                  <c:v>2548.91455</c:v>
                </c:pt>
                <c:pt idx="2849">
                  <c:v>2539.4460300000001</c:v>
                </c:pt>
                <c:pt idx="2850">
                  <c:v>2548.17488</c:v>
                </c:pt>
                <c:pt idx="2851">
                  <c:v>2545.9788000000003</c:v>
                </c:pt>
                <c:pt idx="2852">
                  <c:v>2545.75416</c:v>
                </c:pt>
                <c:pt idx="2853">
                  <c:v>2528.2667499999998</c:v>
                </c:pt>
                <c:pt idx="2854">
                  <c:v>2494.7312000000002</c:v>
                </c:pt>
                <c:pt idx="2855">
                  <c:v>2506.8816499999998</c:v>
                </c:pt>
                <c:pt idx="2856">
                  <c:v>2496.9586600000002</c:v>
                </c:pt>
                <c:pt idx="2857">
                  <c:v>2479.2332399999996</c:v>
                </c:pt>
                <c:pt idx="2858">
                  <c:v>2444.2846400000003</c:v>
                </c:pt>
                <c:pt idx="2859">
                  <c:v>2431.2392</c:v>
                </c:pt>
                <c:pt idx="2860">
                  <c:v>2425.47696</c:v>
                </c:pt>
                <c:pt idx="2861">
                  <c:v>2398.9042600000002</c:v>
                </c:pt>
                <c:pt idx="2862">
                  <c:v>2416.8412800000001</c:v>
                </c:pt>
                <c:pt idx="2863">
                  <c:v>2390.3477399999997</c:v>
                </c:pt>
                <c:pt idx="2864">
                  <c:v>2382.5112199999999</c:v>
                </c:pt>
                <c:pt idx="2865">
                  <c:v>2340.6655999999998</c:v>
                </c:pt>
                <c:pt idx="2866">
                  <c:v>2363.6032799999998</c:v>
                </c:pt>
                <c:pt idx="2867">
                  <c:v>2354.26656</c:v>
                </c:pt>
                <c:pt idx="2868">
                  <c:v>2338.7870199999998</c:v>
                </c:pt>
                <c:pt idx="2869">
                  <c:v>2340.3225600000001</c:v>
                </c:pt>
                <c:pt idx="2870">
                  <c:v>2337.4925600000001</c:v>
                </c:pt>
                <c:pt idx="2871">
                  <c:v>2355.9355500000001</c:v>
                </c:pt>
                <c:pt idx="2872">
                  <c:v>2349.6795000000002</c:v>
                </c:pt>
                <c:pt idx="2873">
                  <c:v>2327.71686</c:v>
                </c:pt>
                <c:pt idx="2874">
                  <c:v>2298.2964400000001</c:v>
                </c:pt>
                <c:pt idx="2875">
                  <c:v>2281.4368899999999</c:v>
                </c:pt>
                <c:pt idx="2876">
                  <c:v>2264.0854199999999</c:v>
                </c:pt>
                <c:pt idx="2877">
                  <c:v>2254.3780000000002</c:v>
                </c:pt>
                <c:pt idx="2878">
                  <c:v>2245.3518400000003</c:v>
                </c:pt>
                <c:pt idx="2879">
                  <c:v>2250.8944200000001</c:v>
                </c:pt>
                <c:pt idx="2880">
                  <c:v>2263.1279999999997</c:v>
                </c:pt>
                <c:pt idx="2881">
                  <c:v>2265.7195999999999</c:v>
                </c:pt>
                <c:pt idx="2882">
                  <c:v>2279.5336299999999</c:v>
                </c:pt>
                <c:pt idx="2883">
                  <c:v>2279.49719</c:v>
                </c:pt>
                <c:pt idx="2884">
                  <c:v>2290.6080000000002</c:v>
                </c:pt>
                <c:pt idx="2885">
                  <c:v>2309.1508800000001</c:v>
                </c:pt>
                <c:pt idx="2886">
                  <c:v>2341.1200000000003</c:v>
                </c:pt>
                <c:pt idx="2887">
                  <c:v>2366.4503800000002</c:v>
                </c:pt>
                <c:pt idx="2888">
                  <c:v>2370.4795899999999</c:v>
                </c:pt>
                <c:pt idx="2889">
                  <c:v>2354.5252999999998</c:v>
                </c:pt>
                <c:pt idx="2890">
                  <c:v>2340.5987799999998</c:v>
                </c:pt>
                <c:pt idx="2891">
                  <c:v>2370.8933999999999</c:v>
                </c:pt>
                <c:pt idx="2892">
                  <c:v>2383.0996</c:v>
                </c:pt>
                <c:pt idx="2893">
                  <c:v>2376.3745199999998</c:v>
                </c:pt>
                <c:pt idx="2894">
                  <c:v>2398.7661399999997</c:v>
                </c:pt>
                <c:pt idx="2895">
                  <c:v>2429.9162099999999</c:v>
                </c:pt>
                <c:pt idx="2896">
                  <c:v>2436.5133000000001</c:v>
                </c:pt>
                <c:pt idx="2897">
                  <c:v>2435.3496</c:v>
                </c:pt>
                <c:pt idx="2898">
                  <c:v>2431.1238800000001</c:v>
                </c:pt>
                <c:pt idx="2899">
                  <c:v>2405.7784799999999</c:v>
                </c:pt>
                <c:pt idx="2900">
                  <c:v>2397.9195500000001</c:v>
                </c:pt>
                <c:pt idx="2901">
                  <c:v>2396.6382800000001</c:v>
                </c:pt>
                <c:pt idx="2902">
                  <c:v>2398.59058</c:v>
                </c:pt>
                <c:pt idx="2903">
                  <c:v>2415.1022199999998</c:v>
                </c:pt>
                <c:pt idx="2904">
                  <c:v>2447.2391499999999</c:v>
                </c:pt>
                <c:pt idx="2905">
                  <c:v>2442.4254099999998</c:v>
                </c:pt>
                <c:pt idx="2906">
                  <c:v>2428.9527600000001</c:v>
                </c:pt>
                <c:pt idx="2907">
                  <c:v>2429.8756800000001</c:v>
                </c:pt>
                <c:pt idx="2908">
                  <c:v>2443.9756699999998</c:v>
                </c:pt>
                <c:pt idx="2909">
                  <c:v>2424.6840799999995</c:v>
                </c:pt>
                <c:pt idx="2910">
                  <c:v>2421.1387500000001</c:v>
                </c:pt>
                <c:pt idx="2911">
                  <c:v>2423.8807200000001</c:v>
                </c:pt>
                <c:pt idx="2912">
                  <c:v>2408.9617800000001</c:v>
                </c:pt>
                <c:pt idx="2913">
                  <c:v>2406.6122599999999</c:v>
                </c:pt>
                <c:pt idx="2914">
                  <c:v>2405.4072700000002</c:v>
                </c:pt>
                <c:pt idx="2915">
                  <c:v>2409.19695</c:v>
                </c:pt>
                <c:pt idx="2916">
                  <c:v>2423.1950399999996</c:v>
                </c:pt>
                <c:pt idx="2917">
                  <c:v>2412.4052300000003</c:v>
                </c:pt>
                <c:pt idx="2918">
                  <c:v>2423.5454999999997</c:v>
                </c:pt>
                <c:pt idx="2919">
                  <c:v>2364.3452799999995</c:v>
                </c:pt>
                <c:pt idx="2920">
                  <c:v>2380.9283999999998</c:v>
                </c:pt>
                <c:pt idx="2921">
                  <c:v>2378.2878800000003</c:v>
                </c:pt>
                <c:pt idx="2922">
                  <c:v>2387.8223499999999</c:v>
                </c:pt>
                <c:pt idx="2923">
                  <c:v>2385.31104</c:v>
                </c:pt>
                <c:pt idx="2924">
                  <c:v>2416.6421999999998</c:v>
                </c:pt>
                <c:pt idx="2925">
                  <c:v>2380.0429799999997</c:v>
                </c:pt>
                <c:pt idx="2926">
                  <c:v>2387.4061000000002</c:v>
                </c:pt>
                <c:pt idx="2927">
                  <c:v>2407.4606100000001</c:v>
                </c:pt>
                <c:pt idx="2928">
                  <c:v>2424.3503800000003</c:v>
                </c:pt>
                <c:pt idx="2929">
                  <c:v>2427.8699000000001</c:v>
                </c:pt>
                <c:pt idx="2930">
                  <c:v>2410.09935</c:v>
                </c:pt>
                <c:pt idx="2931">
                  <c:v>2393.62592</c:v>
                </c:pt>
                <c:pt idx="2932">
                  <c:v>2410.0182500000001</c:v>
                </c:pt>
                <c:pt idx="2933">
                  <c:v>2393.8280500000001</c:v>
                </c:pt>
                <c:pt idx="2934">
                  <c:v>2424.5424000000003</c:v>
                </c:pt>
                <c:pt idx="2935">
                  <c:v>2442.0044400000002</c:v>
                </c:pt>
                <c:pt idx="2936">
                  <c:v>2415.61834</c:v>
                </c:pt>
                <c:pt idx="2937">
                  <c:v>2403.9223999999999</c:v>
                </c:pt>
                <c:pt idx="2938">
                  <c:v>2392.1270999999997</c:v>
                </c:pt>
                <c:pt idx="2939">
                  <c:v>2353.5897</c:v>
                </c:pt>
                <c:pt idx="2940">
                  <c:v>2360.4030000000002</c:v>
                </c:pt>
                <c:pt idx="2941">
                  <c:v>2348.0562599999998</c:v>
                </c:pt>
                <c:pt idx="2942">
                  <c:v>2331.9413599999998</c:v>
                </c:pt>
                <c:pt idx="2943">
                  <c:v>2314.6279999999997</c:v>
                </c:pt>
                <c:pt idx="2944">
                  <c:v>2323.8709200000003</c:v>
                </c:pt>
                <c:pt idx="2945">
                  <c:v>2306.0383199999997</c:v>
                </c:pt>
                <c:pt idx="2946">
                  <c:v>2322.26604</c:v>
                </c:pt>
                <c:pt idx="2947">
                  <c:v>2335.7574000000004</c:v>
                </c:pt>
                <c:pt idx="2948">
                  <c:v>2330.0591100000001</c:v>
                </c:pt>
                <c:pt idx="2949">
                  <c:v>2348.1785999999997</c:v>
                </c:pt>
                <c:pt idx="2950">
                  <c:v>2357.3253400000003</c:v>
                </c:pt>
                <c:pt idx="2951">
                  <c:v>2364.1979499999998</c:v>
                </c:pt>
                <c:pt idx="2952">
                  <c:v>2377.0547999999999</c:v>
                </c:pt>
                <c:pt idx="2953">
                  <c:v>2373.51136</c:v>
                </c:pt>
                <c:pt idx="2954">
                  <c:v>2383.7338800000002</c:v>
                </c:pt>
                <c:pt idx="2955">
                  <c:v>2360.4819699999998</c:v>
                </c:pt>
                <c:pt idx="2956">
                  <c:v>2358.4062600000002</c:v>
                </c:pt>
                <c:pt idx="2957">
                  <c:v>2356.0661399999999</c:v>
                </c:pt>
                <c:pt idx="2958">
                  <c:v>2365.2489599999999</c:v>
                </c:pt>
                <c:pt idx="2959">
                  <c:v>2353.5718499999998</c:v>
                </c:pt>
                <c:pt idx="2960">
                  <c:v>2349.28512</c:v>
                </c:pt>
                <c:pt idx="2961">
                  <c:v>2322.89536</c:v>
                </c:pt>
                <c:pt idx="2962">
                  <c:v>2321.6237900000001</c:v>
                </c:pt>
                <c:pt idx="2963">
                  <c:v>2304.88186</c:v>
                </c:pt>
                <c:pt idx="2964">
                  <c:v>2297.0707199999997</c:v>
                </c:pt>
                <c:pt idx="2965">
                  <c:v>2286.0976800000003</c:v>
                </c:pt>
                <c:pt idx="2966">
                  <c:v>2305.8604799999998</c:v>
                </c:pt>
                <c:pt idx="2967">
                  <c:v>2285.8372199999999</c:v>
                </c:pt>
                <c:pt idx="2968">
                  <c:v>2279.7003199999999</c:v>
                </c:pt>
                <c:pt idx="2969">
                  <c:v>2271.2365500000001</c:v>
                </c:pt>
                <c:pt idx="2970">
                  <c:v>2248.6644499999998</c:v>
                </c:pt>
                <c:pt idx="2971">
                  <c:v>2267.9438</c:v>
                </c:pt>
                <c:pt idx="2972">
                  <c:v>2257.1951999999997</c:v>
                </c:pt>
                <c:pt idx="2973">
                  <c:v>2263.8127999999997</c:v>
                </c:pt>
                <c:pt idx="2974">
                  <c:v>2253.0688700000001</c:v>
                </c:pt>
                <c:pt idx="2975">
                  <c:v>2257.4917500000001</c:v>
                </c:pt>
                <c:pt idx="2976">
                  <c:v>2243.7125999999998</c:v>
                </c:pt>
                <c:pt idx="2977">
                  <c:v>2240.8455600000002</c:v>
                </c:pt>
                <c:pt idx="2978">
                  <c:v>2236.1537200000002</c:v>
                </c:pt>
                <c:pt idx="2979">
                  <c:v>2222.1477599999998</c:v>
                </c:pt>
                <c:pt idx="2980">
                  <c:v>2225.2413999999999</c:v>
                </c:pt>
                <c:pt idx="2981">
                  <c:v>2241.9347399999997</c:v>
                </c:pt>
                <c:pt idx="2982">
                  <c:v>2248.8898400000003</c:v>
                </c:pt>
                <c:pt idx="2983">
                  <c:v>2266.5491200000001</c:v>
                </c:pt>
                <c:pt idx="2984">
                  <c:v>2267.8612000000003</c:v>
                </c:pt>
                <c:pt idx="2985">
                  <c:v>2278.3422799999998</c:v>
                </c:pt>
                <c:pt idx="2986">
                  <c:v>2292.5740599999999</c:v>
                </c:pt>
                <c:pt idx="2987">
                  <c:v>2300.6244800000004</c:v>
                </c:pt>
                <c:pt idx="2988">
                  <c:v>2290.90895</c:v>
                </c:pt>
                <c:pt idx="2989">
                  <c:v>2298.9684299999999</c:v>
                </c:pt>
                <c:pt idx="2990">
                  <c:v>2296.6899199999998</c:v>
                </c:pt>
                <c:pt idx="2991">
                  <c:v>2325.8776199999998</c:v>
                </c:pt>
                <c:pt idx="2992">
                  <c:v>2315.58025</c:v>
                </c:pt>
                <c:pt idx="2993">
                  <c:v>2323.3440000000001</c:v>
                </c:pt>
                <c:pt idx="2994">
                  <c:v>2314.8688199999997</c:v>
                </c:pt>
                <c:pt idx="2995">
                  <c:v>2340.1383700000001</c:v>
                </c:pt>
                <c:pt idx="2996">
                  <c:v>2320.0470799999998</c:v>
                </c:pt>
                <c:pt idx="2997">
                  <c:v>2331.4467599999998</c:v>
                </c:pt>
                <c:pt idx="2998">
                  <c:v>2320.6950400000001</c:v>
                </c:pt>
                <c:pt idx="2999">
                  <c:v>2330.66473</c:v>
                </c:pt>
                <c:pt idx="3000">
                  <c:v>2309.7311999999997</c:v>
                </c:pt>
                <c:pt idx="3001">
                  <c:v>2312.2857599999998</c:v>
                </c:pt>
                <c:pt idx="3002">
                  <c:v>2299.98695</c:v>
                </c:pt>
                <c:pt idx="3003">
                  <c:v>2315.7697199999998</c:v>
                </c:pt>
                <c:pt idx="3004">
                  <c:v>2309.75108</c:v>
                </c:pt>
                <c:pt idx="3005">
                  <c:v>2317.9953600000003</c:v>
                </c:pt>
                <c:pt idx="3006">
                  <c:v>2288.36</c:v>
                </c:pt>
                <c:pt idx="3007">
                  <c:v>2287.9376000000002</c:v>
                </c:pt>
                <c:pt idx="3008">
                  <c:v>2272.7719799999995</c:v>
                </c:pt>
                <c:pt idx="3009">
                  <c:v>2255.0724</c:v>
                </c:pt>
                <c:pt idx="3010">
                  <c:v>2270.3822399999999</c:v>
                </c:pt>
                <c:pt idx="3011">
                  <c:v>2286.94533</c:v>
                </c:pt>
                <c:pt idx="3012">
                  <c:v>2283.2154399999999</c:v>
                </c:pt>
                <c:pt idx="3013">
                  <c:v>2255.3619199999998</c:v>
                </c:pt>
                <c:pt idx="3014">
                  <c:v>2250.8011900000001</c:v>
                </c:pt>
                <c:pt idx="3015">
                  <c:v>2262.7556399999999</c:v>
                </c:pt>
                <c:pt idx="3016">
                  <c:v>2261.2860599999999</c:v>
                </c:pt>
                <c:pt idx="3017">
                  <c:v>2280.9264000000003</c:v>
                </c:pt>
                <c:pt idx="3018">
                  <c:v>2283.9510400000004</c:v>
                </c:pt>
                <c:pt idx="3019">
                  <c:v>2295.6780000000003</c:v>
                </c:pt>
                <c:pt idx="3020">
                  <c:v>2303.5014000000001</c:v>
                </c:pt>
                <c:pt idx="3021">
                  <c:v>2283.8055999999997</c:v>
                </c:pt>
                <c:pt idx="3022">
                  <c:v>2267.70102</c:v>
                </c:pt>
                <c:pt idx="3023">
                  <c:v>2285.3375999999998</c:v>
                </c:pt>
                <c:pt idx="3024">
                  <c:v>2277.3463999999999</c:v>
                </c:pt>
                <c:pt idx="3025">
                  <c:v>2278.6042200000002</c:v>
                </c:pt>
                <c:pt idx="3026">
                  <c:v>2266.9572600000001</c:v>
                </c:pt>
                <c:pt idx="3027">
                  <c:v>2265.01476</c:v>
                </c:pt>
                <c:pt idx="3028">
                  <c:v>2249.61</c:v>
                </c:pt>
                <c:pt idx="3029">
                  <c:v>2266.22912</c:v>
                </c:pt>
                <c:pt idx="3030">
                  <c:v>2246.3424</c:v>
                </c:pt>
                <c:pt idx="3031">
                  <c:v>2279.0424800000001</c:v>
                </c:pt>
                <c:pt idx="3032">
                  <c:v>2272.982</c:v>
                </c:pt>
                <c:pt idx="3033">
                  <c:v>2250.5000399999999</c:v>
                </c:pt>
                <c:pt idx="3034">
                  <c:v>2228.7800400000001</c:v>
                </c:pt>
                <c:pt idx="3035">
                  <c:v>2237.2338400000003</c:v>
                </c:pt>
                <c:pt idx="3036">
                  <c:v>2234.91264</c:v>
                </c:pt>
                <c:pt idx="3037">
                  <c:v>2234.78991</c:v>
                </c:pt>
                <c:pt idx="3038">
                  <c:v>2268.9605999999999</c:v>
                </c:pt>
                <c:pt idx="3039">
                  <c:v>2263.0148399999998</c:v>
                </c:pt>
                <c:pt idx="3040">
                  <c:v>2280.4414500000003</c:v>
                </c:pt>
                <c:pt idx="3041">
                  <c:v>2305.5912000000003</c:v>
                </c:pt>
                <c:pt idx="3042">
                  <c:v>2281.02864</c:v>
                </c:pt>
                <c:pt idx="3043">
                  <c:v>2232.68685</c:v>
                </c:pt>
                <c:pt idx="3044">
                  <c:v>2223.6246999999998</c:v>
                </c:pt>
                <c:pt idx="3045">
                  <c:v>2212.4534800000001</c:v>
                </c:pt>
                <c:pt idx="3046">
                  <c:v>2226.21128</c:v>
                </c:pt>
                <c:pt idx="3047">
                  <c:v>2227.0858800000001</c:v>
                </c:pt>
                <c:pt idx="3048">
                  <c:v>2219.0586600000001</c:v>
                </c:pt>
                <c:pt idx="3049">
                  <c:v>2203.5065</c:v>
                </c:pt>
                <c:pt idx="3050">
                  <c:v>2189.0304900000001</c:v>
                </c:pt>
                <c:pt idx="3051">
                  <c:v>2167.9168</c:v>
                </c:pt>
                <c:pt idx="3052">
                  <c:v>2159.8826000000004</c:v>
                </c:pt>
                <c:pt idx="3053">
                  <c:v>2173.5319399999998</c:v>
                </c:pt>
                <c:pt idx="3054">
                  <c:v>2187.6941299999999</c:v>
                </c:pt>
                <c:pt idx="3055">
                  <c:v>2175.44814</c:v>
                </c:pt>
                <c:pt idx="3056">
                  <c:v>2169.7020299999999</c:v>
                </c:pt>
                <c:pt idx="3057">
                  <c:v>2071.58133</c:v>
                </c:pt>
                <c:pt idx="3058">
                  <c:v>2068.1287199999997</c:v>
                </c:pt>
                <c:pt idx="3059">
                  <c:v>2035.5615200000002</c:v>
                </c:pt>
                <c:pt idx="3060">
                  <c:v>2035.8097600000001</c:v>
                </c:pt>
                <c:pt idx="3061">
                  <c:v>2046.75712</c:v>
                </c:pt>
                <c:pt idx="3062">
                  <c:v>2054.4051599999998</c:v>
                </c:pt>
                <c:pt idx="3063">
                  <c:v>2077.7568000000001</c:v>
                </c:pt>
                <c:pt idx="3064">
                  <c:v>2074.2271999999998</c:v>
                </c:pt>
                <c:pt idx="3065">
                  <c:v>2058.9592000000002</c:v>
                </c:pt>
                <c:pt idx="3066">
                  <c:v>2081.1313799999998</c:v>
                </c:pt>
                <c:pt idx="3067">
                  <c:v>2085.8404</c:v>
                </c:pt>
                <c:pt idx="3068">
                  <c:v>2078.2678000000001</c:v>
                </c:pt>
                <c:pt idx="3069">
                  <c:v>2097.7092399999997</c:v>
                </c:pt>
                <c:pt idx="3070">
                  <c:v>2123.2845900000002</c:v>
                </c:pt>
                <c:pt idx="3071">
                  <c:v>2128.6394999999998</c:v>
                </c:pt>
                <c:pt idx="3072">
                  <c:v>2176.1958</c:v>
                </c:pt>
                <c:pt idx="3073">
                  <c:v>2150.9665399999999</c:v>
                </c:pt>
                <c:pt idx="3074">
                  <c:v>2168.45172</c:v>
                </c:pt>
                <c:pt idx="3075">
                  <c:v>2202.3813599999999</c:v>
                </c:pt>
                <c:pt idx="3076">
                  <c:v>2196.3928699999997</c:v>
                </c:pt>
                <c:pt idx="3077">
                  <c:v>2215.2694900000001</c:v>
                </c:pt>
                <c:pt idx="3078">
                  <c:v>2198.26116</c:v>
                </c:pt>
                <c:pt idx="3079">
                  <c:v>2198.8526999999999</c:v>
                </c:pt>
                <c:pt idx="3080">
                  <c:v>2242.4103</c:v>
                </c:pt>
                <c:pt idx="3081">
                  <c:v>2225.7548999999999</c:v>
                </c:pt>
                <c:pt idx="3082">
                  <c:v>2224.8759599999998</c:v>
                </c:pt>
                <c:pt idx="3083">
                  <c:v>2221.3463999999999</c:v>
                </c:pt>
                <c:pt idx="3084">
                  <c:v>2195.82096</c:v>
                </c:pt>
                <c:pt idx="3085">
                  <c:v>2222.2981799999998</c:v>
                </c:pt>
                <c:pt idx="3086">
                  <c:v>2261.22084</c:v>
                </c:pt>
                <c:pt idx="3087">
                  <c:v>2251.0889999999999</c:v>
                </c:pt>
                <c:pt idx="3088">
                  <c:v>2274.1517899999999</c:v>
                </c:pt>
                <c:pt idx="3089">
                  <c:v>2268.7986799999999</c:v>
                </c:pt>
                <c:pt idx="3090">
                  <c:v>2231.7803699999999</c:v>
                </c:pt>
                <c:pt idx="3091">
                  <c:v>2235.1576</c:v>
                </c:pt>
                <c:pt idx="3092">
                  <c:v>2268.1369</c:v>
                </c:pt>
                <c:pt idx="3093">
                  <c:v>2285.8416000000002</c:v>
                </c:pt>
                <c:pt idx="3094">
                  <c:v>2301.19695</c:v>
                </c:pt>
                <c:pt idx="3095">
                  <c:v>2326.7687499999997</c:v>
                </c:pt>
                <c:pt idx="3096">
                  <c:v>2316.9075600000001</c:v>
                </c:pt>
                <c:pt idx="3097">
                  <c:v>2326.0057399999996</c:v>
                </c:pt>
                <c:pt idx="3098">
                  <c:v>2332.8737900000001</c:v>
                </c:pt>
                <c:pt idx="3099">
                  <c:v>2336.9814999999999</c:v>
                </c:pt>
                <c:pt idx="3100">
                  <c:v>2324.3820600000004</c:v>
                </c:pt>
                <c:pt idx="3101">
                  <c:v>2326.9121399999999</c:v>
                </c:pt>
                <c:pt idx="3102">
                  <c:v>2331.9362000000001</c:v>
                </c:pt>
                <c:pt idx="3103">
                  <c:v>2317.6773800000001</c:v>
                </c:pt>
                <c:pt idx="3104">
                  <c:v>2323.5507899999998</c:v>
                </c:pt>
                <c:pt idx="3105">
                  <c:v>2338.7721500000002</c:v>
                </c:pt>
                <c:pt idx="3106">
                  <c:v>2354.5262399999997</c:v>
                </c:pt>
                <c:pt idx="3107">
                  <c:v>2365.87365</c:v>
                </c:pt>
                <c:pt idx="3108">
                  <c:v>2350.3258799999999</c:v>
                </c:pt>
                <c:pt idx="3109">
                  <c:v>2323.2854599999996</c:v>
                </c:pt>
                <c:pt idx="3110">
                  <c:v>2319.9410399999997</c:v>
                </c:pt>
                <c:pt idx="3111">
                  <c:v>2363.0323199999998</c:v>
                </c:pt>
                <c:pt idx="3112">
                  <c:v>2367.70696</c:v>
                </c:pt>
                <c:pt idx="3113">
                  <c:v>2347.62565</c:v>
                </c:pt>
                <c:pt idx="3114">
                  <c:v>2347.6874400000002</c:v>
                </c:pt>
                <c:pt idx="3115">
                  <c:v>2332.9925499999999</c:v>
                </c:pt>
                <c:pt idx="3116">
                  <c:v>2325.5875499999997</c:v>
                </c:pt>
                <c:pt idx="3117">
                  <c:v>2319.4712199999999</c:v>
                </c:pt>
                <c:pt idx="3118">
                  <c:v>2295.3171900000002</c:v>
                </c:pt>
                <c:pt idx="3119">
                  <c:v>2317.3168700000001</c:v>
                </c:pt>
                <c:pt idx="3120">
                  <c:v>2337.0571600000003</c:v>
                </c:pt>
                <c:pt idx="3121">
                  <c:v>2303.8932599999998</c:v>
                </c:pt>
                <c:pt idx="3122">
                  <c:v>2321.1598800000002</c:v>
                </c:pt>
                <c:pt idx="3123">
                  <c:v>2330.2114500000002</c:v>
                </c:pt>
                <c:pt idx="3124">
                  <c:v>2322.2418299999999</c:v>
                </c:pt>
                <c:pt idx="3125">
                  <c:v>2337.8404500000001</c:v>
                </c:pt>
                <c:pt idx="3126">
                  <c:v>2335.4847999999997</c:v>
                </c:pt>
                <c:pt idx="3127">
                  <c:v>2392.32636</c:v>
                </c:pt>
                <c:pt idx="3128">
                  <c:v>2391.1785199999999</c:v>
                </c:pt>
                <c:pt idx="3129">
                  <c:v>2373.1972799999999</c:v>
                </c:pt>
                <c:pt idx="3130">
                  <c:v>2350.7993999999999</c:v>
                </c:pt>
                <c:pt idx="3131">
                  <c:v>2303.4857999999999</c:v>
                </c:pt>
                <c:pt idx="3132">
                  <c:v>2309.4948600000002</c:v>
                </c:pt>
                <c:pt idx="3133">
                  <c:v>2338.1514400000001</c:v>
                </c:pt>
                <c:pt idx="3134">
                  <c:v>2331.7979800000003</c:v>
                </c:pt>
                <c:pt idx="3135">
                  <c:v>2329.2805200000003</c:v>
                </c:pt>
                <c:pt idx="3136">
                  <c:v>2325.3301800000004</c:v>
                </c:pt>
                <c:pt idx="3137">
                  <c:v>2302.9659099999999</c:v>
                </c:pt>
                <c:pt idx="3138">
                  <c:v>2313.0686699999997</c:v>
                </c:pt>
                <c:pt idx="3139">
                  <c:v>2307.1622200000002</c:v>
                </c:pt>
                <c:pt idx="3140">
                  <c:v>2286.2259599999998</c:v>
                </c:pt>
                <c:pt idx="3141">
                  <c:v>2292.4236000000001</c:v>
                </c:pt>
                <c:pt idx="3142">
                  <c:v>2297.1215000000002</c:v>
                </c:pt>
                <c:pt idx="3143">
                  <c:v>2330.1590200000001</c:v>
                </c:pt>
                <c:pt idx="3144">
                  <c:v>2364.3150400000004</c:v>
                </c:pt>
                <c:pt idx="3145">
                  <c:v>2415.31772</c:v>
                </c:pt>
                <c:pt idx="3146">
                  <c:v>2437.6412999999998</c:v>
                </c:pt>
                <c:pt idx="3147">
                  <c:v>2422.46884</c:v>
                </c:pt>
                <c:pt idx="3148">
                  <c:v>2414.8193999999999</c:v>
                </c:pt>
                <c:pt idx="3149">
                  <c:v>2370.91228</c:v>
                </c:pt>
                <c:pt idx="3150">
                  <c:v>2410.88967</c:v>
                </c:pt>
                <c:pt idx="3151">
                  <c:v>2374.2967599999997</c:v>
                </c:pt>
                <c:pt idx="3152">
                  <c:v>2389.1654200000003</c:v>
                </c:pt>
                <c:pt idx="3153">
                  <c:v>2422.71236</c:v>
                </c:pt>
                <c:pt idx="3154">
                  <c:v>2383.5873200000001</c:v>
                </c:pt>
                <c:pt idx="3155">
                  <c:v>2391.06288</c:v>
                </c:pt>
                <c:pt idx="3156">
                  <c:v>2372.1585599999999</c:v>
                </c:pt>
                <c:pt idx="3157">
                  <c:v>2351.9495999999999</c:v>
                </c:pt>
                <c:pt idx="3158">
                  <c:v>2350.8952399999998</c:v>
                </c:pt>
                <c:pt idx="3159">
                  <c:v>2384.3951999999999</c:v>
                </c:pt>
                <c:pt idx="3160">
                  <c:v>2352.6736200000005</c:v>
                </c:pt>
                <c:pt idx="3161">
                  <c:v>2355.8212200000003</c:v>
                </c:pt>
                <c:pt idx="3162">
                  <c:v>2357.2857900000004</c:v>
                </c:pt>
                <c:pt idx="3163">
                  <c:v>2350.9691400000002</c:v>
                </c:pt>
                <c:pt idx="3164">
                  <c:v>2308.6792399999999</c:v>
                </c:pt>
                <c:pt idx="3165">
                  <c:v>2284.2587599999997</c:v>
                </c:pt>
                <c:pt idx="3166">
                  <c:v>2294.91633</c:v>
                </c:pt>
                <c:pt idx="3167">
                  <c:v>2312.9045999999998</c:v>
                </c:pt>
                <c:pt idx="3168">
                  <c:v>2312.8979999999997</c:v>
                </c:pt>
                <c:pt idx="3169">
                  <c:v>2357.6799599999999</c:v>
                </c:pt>
                <c:pt idx="3170">
                  <c:v>2356.8499400000005</c:v>
                </c:pt>
                <c:pt idx="3171">
                  <c:v>2349.3895199999997</c:v>
                </c:pt>
                <c:pt idx="3172">
                  <c:v>2300.1439999999998</c:v>
                </c:pt>
                <c:pt idx="3173">
                  <c:v>2276.3035800000002</c:v>
                </c:pt>
                <c:pt idx="3174">
                  <c:v>2313.2423200000003</c:v>
                </c:pt>
                <c:pt idx="3175">
                  <c:v>2301.8967399999997</c:v>
                </c:pt>
                <c:pt idx="3176">
                  <c:v>2304.0443299999997</c:v>
                </c:pt>
                <c:pt idx="3177">
                  <c:v>2359.3007400000001</c:v>
                </c:pt>
                <c:pt idx="3178">
                  <c:v>2360.8878300000001</c:v>
                </c:pt>
                <c:pt idx="3179">
                  <c:v>2381.4252799999999</c:v>
                </c:pt>
                <c:pt idx="3180">
                  <c:v>2393.4380799999999</c:v>
                </c:pt>
                <c:pt idx="3181">
                  <c:v>2421.6648300000002</c:v>
                </c:pt>
                <c:pt idx="3182">
                  <c:v>2443.2858000000001</c:v>
                </c:pt>
                <c:pt idx="3183">
                  <c:v>2388.9725099999996</c:v>
                </c:pt>
                <c:pt idx="3184">
                  <c:v>2410.8750599999998</c:v>
                </c:pt>
                <c:pt idx="3185">
                  <c:v>2418.4743699999999</c:v>
                </c:pt>
                <c:pt idx="3186">
                  <c:v>2389.0172000000002</c:v>
                </c:pt>
                <c:pt idx="3187">
                  <c:v>2361.3323699999996</c:v>
                </c:pt>
                <c:pt idx="3188">
                  <c:v>2358.7295599999998</c:v>
                </c:pt>
                <c:pt idx="3189">
                  <c:v>2340.2962499999999</c:v>
                </c:pt>
                <c:pt idx="3190">
                  <c:v>2363.1464999999998</c:v>
                </c:pt>
                <c:pt idx="3191">
                  <c:v>2370.9377999999997</c:v>
                </c:pt>
                <c:pt idx="3192">
                  <c:v>2412.4059999999999</c:v>
                </c:pt>
                <c:pt idx="3193">
                  <c:v>2384.8827000000001</c:v>
                </c:pt>
                <c:pt idx="3194">
                  <c:v>2366.5958499999997</c:v>
                </c:pt>
                <c:pt idx="3195">
                  <c:v>2368.7632800000001</c:v>
                </c:pt>
                <c:pt idx="3196">
                  <c:v>2385.5933099999997</c:v>
                </c:pt>
                <c:pt idx="3197">
                  <c:v>2416.6814100000001</c:v>
                </c:pt>
                <c:pt idx="3198">
                  <c:v>2430.0108100000002</c:v>
                </c:pt>
                <c:pt idx="3199">
                  <c:v>2481.6808500000002</c:v>
                </c:pt>
                <c:pt idx="3200">
                  <c:v>2500.6352499999998</c:v>
                </c:pt>
                <c:pt idx="3201">
                  <c:v>2466.25542</c:v>
                </c:pt>
                <c:pt idx="3202">
                  <c:v>2455.5891000000001</c:v>
                </c:pt>
                <c:pt idx="3203">
                  <c:v>2454.3367199999998</c:v>
                </c:pt>
                <c:pt idx="3204">
                  <c:v>2435.2007600000002</c:v>
                </c:pt>
                <c:pt idx="3205">
                  <c:v>2405.1192000000001</c:v>
                </c:pt>
                <c:pt idx="3206">
                  <c:v>2373.8565400000002</c:v>
                </c:pt>
                <c:pt idx="3207">
                  <c:v>2377.8243499999999</c:v>
                </c:pt>
                <c:pt idx="3208">
                  <c:v>2375.6485200000002</c:v>
                </c:pt>
                <c:pt idx="3209">
                  <c:v>2372.9738400000001</c:v>
                </c:pt>
                <c:pt idx="3210">
                  <c:v>2350.9043999999999</c:v>
                </c:pt>
                <c:pt idx="3211">
                  <c:v>2308.0814999999998</c:v>
                </c:pt>
                <c:pt idx="3212">
                  <c:v>2278.9084800000001</c:v>
                </c:pt>
                <c:pt idx="3213">
                  <c:v>2276.7607200000002</c:v>
                </c:pt>
                <c:pt idx="3214">
                  <c:v>2316.9939300000001</c:v>
                </c:pt>
                <c:pt idx="3215">
                  <c:v>2311.3600300000003</c:v>
                </c:pt>
                <c:pt idx="3216">
                  <c:v>2334.0930599999997</c:v>
                </c:pt>
                <c:pt idx="3217">
                  <c:v>2332.5863199999999</c:v>
                </c:pt>
                <c:pt idx="3218">
                  <c:v>2349.5483199999999</c:v>
                </c:pt>
                <c:pt idx="3219">
                  <c:v>2314.4708999999998</c:v>
                </c:pt>
                <c:pt idx="3220">
                  <c:v>2377.0271200000002</c:v>
                </c:pt>
                <c:pt idx="3221">
                  <c:v>2338.6317199999999</c:v>
                </c:pt>
                <c:pt idx="3222">
                  <c:v>2396.4447399999999</c:v>
                </c:pt>
                <c:pt idx="3223">
                  <c:v>2381.9274</c:v>
                </c:pt>
                <c:pt idx="3224">
                  <c:v>2440.4110799999999</c:v>
                </c:pt>
                <c:pt idx="3225">
                  <c:v>2491.8931499999999</c:v>
                </c:pt>
                <c:pt idx="3226">
                  <c:v>2470.5968599999997</c:v>
                </c:pt>
                <c:pt idx="3227">
                  <c:v>2488.5833699999998</c:v>
                </c:pt>
                <c:pt idx="3228">
                  <c:v>2504.5803400000004</c:v>
                </c:pt>
                <c:pt idx="3229">
                  <c:v>2501.9654999999998</c:v>
                </c:pt>
                <c:pt idx="3230">
                  <c:v>2501.8838799999999</c:v>
                </c:pt>
                <c:pt idx="3231">
                  <c:v>2511.5966999999996</c:v>
                </c:pt>
                <c:pt idx="3232">
                  <c:v>2547.74296</c:v>
                </c:pt>
                <c:pt idx="3233">
                  <c:v>2498.6799900000001</c:v>
                </c:pt>
                <c:pt idx="3234">
                  <c:v>2486.3263200000001</c:v>
                </c:pt>
                <c:pt idx="3235">
                  <c:v>2468.77378</c:v>
                </c:pt>
                <c:pt idx="3236">
                  <c:v>2436.89491</c:v>
                </c:pt>
                <c:pt idx="3237">
                  <c:v>2440.2323700000002</c:v>
                </c:pt>
                <c:pt idx="3238">
                  <c:v>2454.8179500000001</c:v>
                </c:pt>
                <c:pt idx="3239">
                  <c:v>2434.5120000000002</c:v>
                </c:pt>
                <c:pt idx="3240">
                  <c:v>2448.5510899999999</c:v>
                </c:pt>
                <c:pt idx="3241">
                  <c:v>2407.7596199999998</c:v>
                </c:pt>
                <c:pt idx="3242">
                  <c:v>2440.0655999999999</c:v>
                </c:pt>
                <c:pt idx="3243">
                  <c:v>2415.4749800000004</c:v>
                </c:pt>
                <c:pt idx="3244">
                  <c:v>2427.4420799999998</c:v>
                </c:pt>
                <c:pt idx="3245">
                  <c:v>2453.1408000000001</c:v>
                </c:pt>
                <c:pt idx="3246">
                  <c:v>2446.1494200000002</c:v>
                </c:pt>
                <c:pt idx="3247">
                  <c:v>2466.3719300000002</c:v>
                </c:pt>
                <c:pt idx="3248">
                  <c:v>2461.5762</c:v>
                </c:pt>
                <c:pt idx="3249">
                  <c:v>2459.3750599999998</c:v>
                </c:pt>
                <c:pt idx="3250">
                  <c:v>2450.7385600000002</c:v>
                </c:pt>
                <c:pt idx="3251">
                  <c:v>2456.3229900000001</c:v>
                </c:pt>
                <c:pt idx="3252">
                  <c:v>2442.7861499999999</c:v>
                </c:pt>
                <c:pt idx="3253">
                  <c:v>2430.8841600000001</c:v>
                </c:pt>
                <c:pt idx="3254">
                  <c:v>2427.2929400000003</c:v>
                </c:pt>
                <c:pt idx="3255">
                  <c:v>2447.6561200000001</c:v>
                </c:pt>
                <c:pt idx="3256">
                  <c:v>2442.7135800000001</c:v>
                </c:pt>
                <c:pt idx="3257">
                  <c:v>2449.33536</c:v>
                </c:pt>
                <c:pt idx="3258">
                  <c:v>2465.42688</c:v>
                </c:pt>
                <c:pt idx="3259">
                  <c:v>2481.7281699999999</c:v>
                </c:pt>
                <c:pt idx="3260">
                  <c:v>2484.50576</c:v>
                </c:pt>
                <c:pt idx="3261">
                  <c:v>2464.2580200000002</c:v>
                </c:pt>
                <c:pt idx="3262">
                  <c:v>2447.9402399999999</c:v>
                </c:pt>
                <c:pt idx="3263">
                  <c:v>2453.9539500000001</c:v>
                </c:pt>
                <c:pt idx="3264">
                  <c:v>2437.6911</c:v>
                </c:pt>
                <c:pt idx="3265">
                  <c:v>2459.6388800000004</c:v>
                </c:pt>
                <c:pt idx="3266">
                  <c:v>2457.7078200000001</c:v>
                </c:pt>
                <c:pt idx="3267">
                  <c:v>2431.6387800000002</c:v>
                </c:pt>
                <c:pt idx="3268">
                  <c:v>2447.1754599999999</c:v>
                </c:pt>
                <c:pt idx="3269">
                  <c:v>2417.4535999999998</c:v>
                </c:pt>
                <c:pt idx="3270">
                  <c:v>2409.18496</c:v>
                </c:pt>
                <c:pt idx="3271">
                  <c:v>2365.08448</c:v>
                </c:pt>
                <c:pt idx="3272">
                  <c:v>2333.2162499999999</c:v>
                </c:pt>
                <c:pt idx="3273">
                  <c:v>2342.2888800000001</c:v>
                </c:pt>
                <c:pt idx="3274">
                  <c:v>2337.9515500000002</c:v>
                </c:pt>
                <c:pt idx="3275">
                  <c:v>2331.58419</c:v>
                </c:pt>
                <c:pt idx="3276">
                  <c:v>2324.5075000000002</c:v>
                </c:pt>
                <c:pt idx="3277">
                  <c:v>2325.0529999999999</c:v>
                </c:pt>
                <c:pt idx="3278">
                  <c:v>2361.9222</c:v>
                </c:pt>
                <c:pt idx="3279">
                  <c:v>2337.4709600000001</c:v>
                </c:pt>
                <c:pt idx="3280">
                  <c:v>2336.48612</c:v>
                </c:pt>
                <c:pt idx="3281">
                  <c:v>2304.4649999999997</c:v>
                </c:pt>
                <c:pt idx="3282">
                  <c:v>2334.5546400000003</c:v>
                </c:pt>
                <c:pt idx="3283">
                  <c:v>2344.08167</c:v>
                </c:pt>
                <c:pt idx="3284">
                  <c:v>2336.2179999999998</c:v>
                </c:pt>
                <c:pt idx="3285">
                  <c:v>2352.7756800000002</c:v>
                </c:pt>
                <c:pt idx="3286">
                  <c:v>2374.5065500000001</c:v>
                </c:pt>
                <c:pt idx="3287">
                  <c:v>2397.7170100000003</c:v>
                </c:pt>
                <c:pt idx="3288">
                  <c:v>2399.6794799999998</c:v>
                </c:pt>
                <c:pt idx="3289">
                  <c:v>2376.4883100000002</c:v>
                </c:pt>
                <c:pt idx="3290">
                  <c:v>2381.1184599999997</c:v>
                </c:pt>
                <c:pt idx="3291">
                  <c:v>2370.4687799999997</c:v>
                </c:pt>
                <c:pt idx="3292">
                  <c:v>2370.2896999999998</c:v>
                </c:pt>
                <c:pt idx="3293">
                  <c:v>2370.6495999999997</c:v>
                </c:pt>
                <c:pt idx="3294">
                  <c:v>2403.3578400000001</c:v>
                </c:pt>
                <c:pt idx="3295">
                  <c:v>2430.7291800000003</c:v>
                </c:pt>
                <c:pt idx="3296">
                  <c:v>2459.7361999999998</c:v>
                </c:pt>
                <c:pt idx="3297">
                  <c:v>2426.9009999999998</c:v>
                </c:pt>
                <c:pt idx="3298">
                  <c:v>2413.0953</c:v>
                </c:pt>
                <c:pt idx="3299">
                  <c:v>2427.9626400000002</c:v>
                </c:pt>
                <c:pt idx="3300">
                  <c:v>2428.3553700000002</c:v>
                </c:pt>
                <c:pt idx="3301">
                  <c:v>2442.26496</c:v>
                </c:pt>
                <c:pt idx="3302">
                  <c:v>2435.46985</c:v>
                </c:pt>
                <c:pt idx="3303">
                  <c:v>2407.6621600000003</c:v>
                </c:pt>
                <c:pt idx="3304">
                  <c:v>2455.16743</c:v>
                </c:pt>
                <c:pt idx="3305">
                  <c:v>2448.9861599999999</c:v>
                </c:pt>
                <c:pt idx="3306">
                  <c:v>2420.0452300000002</c:v>
                </c:pt>
                <c:pt idx="3307">
                  <c:v>2437.1651700000002</c:v>
                </c:pt>
                <c:pt idx="3308">
                  <c:v>2444.3559200000004</c:v>
                </c:pt>
                <c:pt idx="3309">
                  <c:v>2431.3277099999996</c:v>
                </c:pt>
                <c:pt idx="3310">
                  <c:v>2391.5238599999998</c:v>
                </c:pt>
                <c:pt idx="3311">
                  <c:v>2406.3194900000003</c:v>
                </c:pt>
                <c:pt idx="3312">
                  <c:v>2409.1350000000002</c:v>
                </c:pt>
                <c:pt idx="3313">
                  <c:v>2421.8788500000001</c:v>
                </c:pt>
                <c:pt idx="3314">
                  <c:v>2467.2082399999999</c:v>
                </c:pt>
                <c:pt idx="3315">
                  <c:v>2473.5174099999999</c:v>
                </c:pt>
                <c:pt idx="3316">
                  <c:v>2501.4835199999998</c:v>
                </c:pt>
                <c:pt idx="3317">
                  <c:v>2465.1921600000001</c:v>
                </c:pt>
                <c:pt idx="3318">
                  <c:v>2498.0247599999998</c:v>
                </c:pt>
                <c:pt idx="3319">
                  <c:v>2506.2451700000001</c:v>
                </c:pt>
                <c:pt idx="3320">
                  <c:v>2501.1218699999999</c:v>
                </c:pt>
                <c:pt idx="3321">
                  <c:v>2468.5389</c:v>
                </c:pt>
                <c:pt idx="3322">
                  <c:v>2472.10833</c:v>
                </c:pt>
                <c:pt idx="3323">
                  <c:v>2491.26044</c:v>
                </c:pt>
                <c:pt idx="3324">
                  <c:v>2490.8955000000001</c:v>
                </c:pt>
                <c:pt idx="3325">
                  <c:v>2473.1516699999997</c:v>
                </c:pt>
                <c:pt idx="3326">
                  <c:v>2473.3828600000002</c:v>
                </c:pt>
                <c:pt idx="3327">
                  <c:v>2487.8634899999997</c:v>
                </c:pt>
                <c:pt idx="3328">
                  <c:v>2477.1715199999999</c:v>
                </c:pt>
                <c:pt idx="3329">
                  <c:v>2470.4885300000001</c:v>
                </c:pt>
                <c:pt idx="3330">
                  <c:v>2483.6134400000001</c:v>
                </c:pt>
                <c:pt idx="3331">
                  <c:v>2462.1706999999997</c:v>
                </c:pt>
                <c:pt idx="3332">
                  <c:v>2422.4911200000001</c:v>
                </c:pt>
                <c:pt idx="3333">
                  <c:v>2402.6552200000001</c:v>
                </c:pt>
                <c:pt idx="3334">
                  <c:v>2435.2882500000001</c:v>
                </c:pt>
                <c:pt idx="3335">
                  <c:v>2415.6250399999999</c:v>
                </c:pt>
                <c:pt idx="3336">
                  <c:v>2393.2230500000001</c:v>
                </c:pt>
                <c:pt idx="3337">
                  <c:v>2356.3984500000001</c:v>
                </c:pt>
                <c:pt idx="3338">
                  <c:v>2370.1450500000001</c:v>
                </c:pt>
                <c:pt idx="3339">
                  <c:v>2394.0352699999999</c:v>
                </c:pt>
                <c:pt idx="3340">
                  <c:v>2374.6386000000002</c:v>
                </c:pt>
                <c:pt idx="3341">
                  <c:v>2365.3557599999999</c:v>
                </c:pt>
                <c:pt idx="3342">
                  <c:v>2359.8445500000003</c:v>
                </c:pt>
                <c:pt idx="3343">
                  <c:v>2412.5412299999998</c:v>
                </c:pt>
                <c:pt idx="3344">
                  <c:v>2365.5485600000002</c:v>
                </c:pt>
                <c:pt idx="3345">
                  <c:v>2375.1428400000004</c:v>
                </c:pt>
                <c:pt idx="3346">
                  <c:v>2388.8982000000001</c:v>
                </c:pt>
                <c:pt idx="3347">
                  <c:v>2363.2300500000001</c:v>
                </c:pt>
                <c:pt idx="3348">
                  <c:v>2379.5299399999999</c:v>
                </c:pt>
                <c:pt idx="3349">
                  <c:v>2392.9155000000001</c:v>
                </c:pt>
                <c:pt idx="3350">
                  <c:v>2360.5796700000001</c:v>
                </c:pt>
                <c:pt idx="3351">
                  <c:v>2360.7187800000002</c:v>
                </c:pt>
                <c:pt idx="3352">
                  <c:v>2365.6059</c:v>
                </c:pt>
                <c:pt idx="3353">
                  <c:v>2412.7091300000002</c:v>
                </c:pt>
                <c:pt idx="3354">
                  <c:v>2443.9257599999996</c:v>
                </c:pt>
                <c:pt idx="3355">
                  <c:v>2435.1201300000002</c:v>
                </c:pt>
                <c:pt idx="3356">
                  <c:v>2446.08</c:v>
                </c:pt>
                <c:pt idx="3357">
                  <c:v>2420.7456000000002</c:v>
                </c:pt>
                <c:pt idx="3358">
                  <c:v>2440.7498900000001</c:v>
                </c:pt>
                <c:pt idx="3359">
                  <c:v>2400.5235899999998</c:v>
                </c:pt>
                <c:pt idx="3360">
                  <c:v>2386.8807999999999</c:v>
                </c:pt>
                <c:pt idx="3361">
                  <c:v>2393.4409999999998</c:v>
                </c:pt>
                <c:pt idx="3362">
                  <c:v>2389.4498600000002</c:v>
                </c:pt>
                <c:pt idx="3363">
                  <c:v>2355.1031200000002</c:v>
                </c:pt>
                <c:pt idx="3364">
                  <c:v>2341.3977600000003</c:v>
                </c:pt>
                <c:pt idx="3365">
                  <c:v>2344.5931599999999</c:v>
                </c:pt>
                <c:pt idx="3366">
                  <c:v>2325.3679500000003</c:v>
                </c:pt>
                <c:pt idx="3367">
                  <c:v>2331.36708</c:v>
                </c:pt>
                <c:pt idx="3368">
                  <c:v>2311.9115499999998</c:v>
                </c:pt>
                <c:pt idx="3369">
                  <c:v>2309.7397999999998</c:v>
                </c:pt>
                <c:pt idx="3370">
                  <c:v>2318.8390399999998</c:v>
                </c:pt>
                <c:pt idx="3371">
                  <c:v>2378.59024</c:v>
                </c:pt>
                <c:pt idx="3372">
                  <c:v>2426.7375000000002</c:v>
                </c:pt>
                <c:pt idx="3373">
                  <c:v>2426.1296299999999</c:v>
                </c:pt>
                <c:pt idx="3374">
                  <c:v>2423.9513999999999</c:v>
                </c:pt>
                <c:pt idx="3375">
                  <c:v>2425.4171900000001</c:v>
                </c:pt>
                <c:pt idx="3376">
                  <c:v>2434.1024200000002</c:v>
                </c:pt>
                <c:pt idx="3377">
                  <c:v>2421.0568800000001</c:v>
                </c:pt>
                <c:pt idx="3378">
                  <c:v>2458.9591000000005</c:v>
                </c:pt>
                <c:pt idx="3379">
                  <c:v>2442.7691199999999</c:v>
                </c:pt>
                <c:pt idx="3380">
                  <c:v>2437.3473600000002</c:v>
                </c:pt>
                <c:pt idx="3381">
                  <c:v>2450.3924999999999</c:v>
                </c:pt>
                <c:pt idx="3382">
                  <c:v>2427.53845</c:v>
                </c:pt>
                <c:pt idx="3383">
                  <c:v>2469.29648</c:v>
                </c:pt>
                <c:pt idx="3384">
                  <c:v>2501.7489000000005</c:v>
                </c:pt>
                <c:pt idx="3385">
                  <c:v>2489.2748999999999</c:v>
                </c:pt>
                <c:pt idx="3386">
                  <c:v>2472.3452200000002</c:v>
                </c:pt>
                <c:pt idx="3387">
                  <c:v>2436.97102</c:v>
                </c:pt>
                <c:pt idx="3388">
                  <c:v>2519.5737600000002</c:v>
                </c:pt>
                <c:pt idx="3389">
                  <c:v>2570.7451000000001</c:v>
                </c:pt>
                <c:pt idx="3390">
                  <c:v>2542.2397000000001</c:v>
                </c:pt>
                <c:pt idx="3391">
                  <c:v>2532.7417500000001</c:v>
                </c:pt>
                <c:pt idx="3392">
                  <c:v>2561.0367900000001</c:v>
                </c:pt>
                <c:pt idx="3393">
                  <c:v>2540.9731999999999</c:v>
                </c:pt>
                <c:pt idx="3394">
                  <c:v>2477.3334199999999</c:v>
                </c:pt>
                <c:pt idx="3395">
                  <c:v>2505.4931999999999</c:v>
                </c:pt>
                <c:pt idx="3396">
                  <c:v>2526.2768000000001</c:v>
                </c:pt>
                <c:pt idx="3397">
                  <c:v>2502.7257</c:v>
                </c:pt>
                <c:pt idx="3398">
                  <c:v>2449.8583199999998</c:v>
                </c:pt>
                <c:pt idx="3399">
                  <c:v>2456.5977800000001</c:v>
                </c:pt>
                <c:pt idx="3400">
                  <c:v>2407.0919600000002</c:v>
                </c:pt>
                <c:pt idx="3401">
                  <c:v>2395.2580699999999</c:v>
                </c:pt>
                <c:pt idx="3402">
                  <c:v>2419.0564800000002</c:v>
                </c:pt>
                <c:pt idx="3403">
                  <c:v>2445.3239999999996</c:v>
                </c:pt>
                <c:pt idx="3404">
                  <c:v>2450.0089600000001</c:v>
                </c:pt>
                <c:pt idx="3405">
                  <c:v>2436.2888399999997</c:v>
                </c:pt>
                <c:pt idx="3406">
                  <c:v>2464.6852599999997</c:v>
                </c:pt>
                <c:pt idx="3407">
                  <c:v>2409.1289399999996</c:v>
                </c:pt>
                <c:pt idx="3408">
                  <c:v>2407.8827999999999</c:v>
                </c:pt>
                <c:pt idx="3409">
                  <c:v>2367.55944</c:v>
                </c:pt>
                <c:pt idx="3410">
                  <c:v>2324.7103400000001</c:v>
                </c:pt>
                <c:pt idx="3411">
                  <c:v>2362.9046000000003</c:v>
                </c:pt>
                <c:pt idx="3412">
                  <c:v>2417.7399300000002</c:v>
                </c:pt>
                <c:pt idx="3413">
                  <c:v>2434.3527399999998</c:v>
                </c:pt>
                <c:pt idx="3414">
                  <c:v>2425.1619000000001</c:v>
                </c:pt>
                <c:pt idx="3415">
                  <c:v>2450.4309800000001</c:v>
                </c:pt>
                <c:pt idx="3416">
                  <c:v>2399.0800799999997</c:v>
                </c:pt>
                <c:pt idx="3417">
                  <c:v>2355.2595999999999</c:v>
                </c:pt>
                <c:pt idx="3418">
                  <c:v>2407.6307999999999</c:v>
                </c:pt>
                <c:pt idx="3419">
                  <c:v>2423.6888100000001</c:v>
                </c:pt>
                <c:pt idx="3420">
                  <c:v>2458.71594</c:v>
                </c:pt>
                <c:pt idx="3421">
                  <c:v>2413.9239000000002</c:v>
                </c:pt>
                <c:pt idx="3422">
                  <c:v>2412.80116</c:v>
                </c:pt>
                <c:pt idx="3423">
                  <c:v>2448.5676800000001</c:v>
                </c:pt>
                <c:pt idx="3424">
                  <c:v>2387.3925599999998</c:v>
                </c:pt>
                <c:pt idx="3425">
                  <c:v>2343.2357999999999</c:v>
                </c:pt>
                <c:pt idx="3426">
                  <c:v>2373.8537699999997</c:v>
                </c:pt>
                <c:pt idx="3427">
                  <c:v>2358.1044000000002</c:v>
                </c:pt>
                <c:pt idx="3428">
                  <c:v>2364.53087</c:v>
                </c:pt>
                <c:pt idx="3429">
                  <c:v>2317.7455</c:v>
                </c:pt>
                <c:pt idx="3430">
                  <c:v>2321.74748</c:v>
                </c:pt>
                <c:pt idx="3431">
                  <c:v>2352.0954999999999</c:v>
                </c:pt>
                <c:pt idx="3432">
                  <c:v>2393.01865</c:v>
                </c:pt>
                <c:pt idx="3433">
                  <c:v>2348.1790099999998</c:v>
                </c:pt>
                <c:pt idx="3434">
                  <c:v>2290.9485600000003</c:v>
                </c:pt>
                <c:pt idx="3435">
                  <c:v>2386.6857600000003</c:v>
                </c:pt>
                <c:pt idx="3436">
                  <c:v>2380.4409599999999</c:v>
                </c:pt>
                <c:pt idx="3437">
                  <c:v>2367.7444500000001</c:v>
                </c:pt>
                <c:pt idx="3438">
                  <c:v>2479.4816000000001</c:v>
                </c:pt>
                <c:pt idx="3439">
                  <c:v>2457.5665399999998</c:v>
                </c:pt>
                <c:pt idx="3440">
                  <c:v>2470.3583400000002</c:v>
                </c:pt>
                <c:pt idx="3441">
                  <c:v>2485.7644500000001</c:v>
                </c:pt>
                <c:pt idx="3442">
                  <c:v>2544.8153700000003</c:v>
                </c:pt>
                <c:pt idx="3443">
                  <c:v>2559.4483200000004</c:v>
                </c:pt>
                <c:pt idx="3444">
                  <c:v>2516.7259300000001</c:v>
                </c:pt>
                <c:pt idx="3445">
                  <c:v>2531.0561200000002</c:v>
                </c:pt>
                <c:pt idx="3446">
                  <c:v>2587.9885399999998</c:v>
                </c:pt>
                <c:pt idx="3447">
                  <c:v>2588.2617599999999</c:v>
                </c:pt>
                <c:pt idx="3448">
                  <c:v>2590.44722</c:v>
                </c:pt>
                <c:pt idx="3449">
                  <c:v>2544.8322899999998</c:v>
                </c:pt>
                <c:pt idx="3450">
                  <c:v>2556.8676</c:v>
                </c:pt>
                <c:pt idx="3451">
                  <c:v>2558.59935</c:v>
                </c:pt>
                <c:pt idx="3452">
                  <c:v>2574.6335999999997</c:v>
                </c:pt>
                <c:pt idx="3453">
                  <c:v>2579.8586999999998</c:v>
                </c:pt>
                <c:pt idx="3454">
                  <c:v>2559.3509000000004</c:v>
                </c:pt>
                <c:pt idx="3455">
                  <c:v>2586.7216800000001</c:v>
                </c:pt>
                <c:pt idx="3456">
                  <c:v>2577.6678400000001</c:v>
                </c:pt>
                <c:pt idx="3457">
                  <c:v>2586.1374100000003</c:v>
                </c:pt>
                <c:pt idx="3458">
                  <c:v>2597.3745699999999</c:v>
                </c:pt>
                <c:pt idx="3459">
                  <c:v>2598.1584200000002</c:v>
                </c:pt>
                <c:pt idx="3460">
                  <c:v>2580.5663100000002</c:v>
                </c:pt>
                <c:pt idx="3461">
                  <c:v>2565.6751200000003</c:v>
                </c:pt>
                <c:pt idx="3462">
                  <c:v>2559.09546</c:v>
                </c:pt>
                <c:pt idx="3463">
                  <c:v>2551.5023000000001</c:v>
                </c:pt>
                <c:pt idx="3464">
                  <c:v>2532.2001099999998</c:v>
                </c:pt>
                <c:pt idx="3465">
                  <c:v>2523.06086</c:v>
                </c:pt>
                <c:pt idx="3466">
                  <c:v>2526.8634299999999</c:v>
                </c:pt>
                <c:pt idx="3467">
                  <c:v>2503.5415499999999</c:v>
                </c:pt>
                <c:pt idx="3468">
                  <c:v>2447.1644499999998</c:v>
                </c:pt>
                <c:pt idx="3469">
                  <c:v>2431.0677999999998</c:v>
                </c:pt>
                <c:pt idx="3470">
                  <c:v>2425.5455999999999</c:v>
                </c:pt>
                <c:pt idx="3471">
                  <c:v>2434.9694400000003</c:v>
                </c:pt>
                <c:pt idx="3472">
                  <c:v>2451.5611199999998</c:v>
                </c:pt>
                <c:pt idx="3473">
                  <c:v>2491.6523199999997</c:v>
                </c:pt>
                <c:pt idx="3474">
                  <c:v>2507.4881999999998</c:v>
                </c:pt>
                <c:pt idx="3475">
                  <c:v>2509.8316799999998</c:v>
                </c:pt>
                <c:pt idx="3476">
                  <c:v>2508.8010399999998</c:v>
                </c:pt>
                <c:pt idx="3477">
                  <c:v>2507.4133200000001</c:v>
                </c:pt>
                <c:pt idx="3478">
                  <c:v>2523.7825899999998</c:v>
                </c:pt>
                <c:pt idx="3479">
                  <c:v>2531.6879999999996</c:v>
                </c:pt>
                <c:pt idx="3480">
                  <c:v>2501.8619000000003</c:v>
                </c:pt>
                <c:pt idx="3481">
                  <c:v>2493.22174</c:v>
                </c:pt>
                <c:pt idx="3482">
                  <c:v>2487.5592000000001</c:v>
                </c:pt>
                <c:pt idx="3483">
                  <c:v>2453.07636</c:v>
                </c:pt>
                <c:pt idx="3484">
                  <c:v>2432.6417999999999</c:v>
                </c:pt>
                <c:pt idx="3485">
                  <c:v>2428.55899</c:v>
                </c:pt>
                <c:pt idx="3486">
                  <c:v>2440.1227200000003</c:v>
                </c:pt>
                <c:pt idx="3487">
                  <c:v>2481.73092</c:v>
                </c:pt>
                <c:pt idx="3488">
                  <c:v>2476.7550000000001</c:v>
                </c:pt>
                <c:pt idx="3489">
                  <c:v>2468.7712000000001</c:v>
                </c:pt>
                <c:pt idx="3490">
                  <c:v>2526.2791400000001</c:v>
                </c:pt>
                <c:pt idx="3491">
                  <c:v>2471.3112500000002</c:v>
                </c:pt>
                <c:pt idx="3492">
                  <c:v>2461.8755999999998</c:v>
                </c:pt>
                <c:pt idx="3493">
                  <c:v>2486.7042199999996</c:v>
                </c:pt>
                <c:pt idx="3494">
                  <c:v>2432.74692</c:v>
                </c:pt>
                <c:pt idx="3495">
                  <c:v>2469.4044900000004</c:v>
                </c:pt>
                <c:pt idx="3496">
                  <c:v>2454.7527600000003</c:v>
                </c:pt>
                <c:pt idx="3497">
                  <c:v>2452.8512300000002</c:v>
                </c:pt>
                <c:pt idx="3498">
                  <c:v>2422.2537000000002</c:v>
                </c:pt>
                <c:pt idx="3499">
                  <c:v>2423.66</c:v>
                </c:pt>
                <c:pt idx="3500">
                  <c:v>2423.4391500000002</c:v>
                </c:pt>
                <c:pt idx="3501">
                  <c:v>2407.77783</c:v>
                </c:pt>
                <c:pt idx="3502">
                  <c:v>2402.5484799999999</c:v>
                </c:pt>
                <c:pt idx="3503">
                  <c:v>2390.7850400000002</c:v>
                </c:pt>
                <c:pt idx="3504">
                  <c:v>2399.61528</c:v>
                </c:pt>
                <c:pt idx="3505">
                  <c:v>2429.3325399999999</c:v>
                </c:pt>
                <c:pt idx="3506">
                  <c:v>2409.6608700000002</c:v>
                </c:pt>
                <c:pt idx="3507">
                  <c:v>2407.8599199999999</c:v>
                </c:pt>
                <c:pt idx="3508">
                  <c:v>2419.2501999999999</c:v>
                </c:pt>
                <c:pt idx="3509">
                  <c:v>2389.6509000000001</c:v>
                </c:pt>
                <c:pt idx="3510">
                  <c:v>2365.0320899999997</c:v>
                </c:pt>
                <c:pt idx="3511">
                  <c:v>2378.5000800000003</c:v>
                </c:pt>
                <c:pt idx="3512">
                  <c:v>2405.1666099999998</c:v>
                </c:pt>
                <c:pt idx="3513">
                  <c:v>2392.7019599999999</c:v>
                </c:pt>
                <c:pt idx="3514">
                  <c:v>2369.8333699999998</c:v>
                </c:pt>
                <c:pt idx="3515">
                  <c:v>2365.2384000000002</c:v>
                </c:pt>
                <c:pt idx="3516">
                  <c:v>2359.6256199999998</c:v>
                </c:pt>
                <c:pt idx="3517">
                  <c:v>2371.1849999999999</c:v>
                </c:pt>
                <c:pt idx="3518">
                  <c:v>2370.0134699999999</c:v>
                </c:pt>
                <c:pt idx="3519">
                  <c:v>2349.5098200000002</c:v>
                </c:pt>
                <c:pt idx="3520">
                  <c:v>2355.2869999999998</c:v>
                </c:pt>
                <c:pt idx="3521">
                  <c:v>2329.5649200000003</c:v>
                </c:pt>
                <c:pt idx="3522">
                  <c:v>2338.2209399999997</c:v>
                </c:pt>
                <c:pt idx="3523">
                  <c:v>2335.4090999999999</c:v>
                </c:pt>
                <c:pt idx="3524">
                  <c:v>2321.1261</c:v>
                </c:pt>
                <c:pt idx="3525">
                  <c:v>2296.3856500000002</c:v>
                </c:pt>
                <c:pt idx="3526">
                  <c:v>2292.0785000000001</c:v>
                </c:pt>
                <c:pt idx="3527">
                  <c:v>2294.8259700000003</c:v>
                </c:pt>
                <c:pt idx="3528">
                  <c:v>2283.9478399999998</c:v>
                </c:pt>
                <c:pt idx="3529">
                  <c:v>2259.5142000000001</c:v>
                </c:pt>
                <c:pt idx="3530">
                  <c:v>2259.5749999999998</c:v>
                </c:pt>
                <c:pt idx="3531">
                  <c:v>2260.14516</c:v>
                </c:pt>
                <c:pt idx="3532">
                  <c:v>2258.8558199999998</c:v>
                </c:pt>
                <c:pt idx="3533">
                  <c:v>2250.0085199999999</c:v>
                </c:pt>
                <c:pt idx="3534">
                  <c:v>2234.58176</c:v>
                </c:pt>
                <c:pt idx="3535">
                  <c:v>2223.6768000000002</c:v>
                </c:pt>
                <c:pt idx="3536">
                  <c:v>2198.7961</c:v>
                </c:pt>
                <c:pt idx="3537">
                  <c:v>2195.2290600000001</c:v>
                </c:pt>
                <c:pt idx="3538">
                  <c:v>2192.2026000000001</c:v>
                </c:pt>
                <c:pt idx="3539">
                  <c:v>2212.5875199999996</c:v>
                </c:pt>
                <c:pt idx="3540">
                  <c:v>2171.4796799999999</c:v>
                </c:pt>
                <c:pt idx="3541">
                  <c:v>2150.4161300000001</c:v>
                </c:pt>
                <c:pt idx="3542">
                  <c:v>2154.82368</c:v>
                </c:pt>
                <c:pt idx="3543">
                  <c:v>2148.7283200000002</c:v>
                </c:pt>
                <c:pt idx="3544">
                  <c:v>2098.8478500000001</c:v>
                </c:pt>
                <c:pt idx="3545">
                  <c:v>2084.0951700000001</c:v>
                </c:pt>
                <c:pt idx="3546">
                  <c:v>2076.6843599999997</c:v>
                </c:pt>
                <c:pt idx="3547">
                  <c:v>2064.01845</c:v>
                </c:pt>
                <c:pt idx="3548">
                  <c:v>2032.8525199999999</c:v>
                </c:pt>
                <c:pt idx="3549">
                  <c:v>2059.3527300000001</c:v>
                </c:pt>
                <c:pt idx="3550">
                  <c:v>2067.8645799999999</c:v>
                </c:pt>
                <c:pt idx="3551">
                  <c:v>2016.0963199999997</c:v>
                </c:pt>
                <c:pt idx="3552">
                  <c:v>2034.1737900000001</c:v>
                </c:pt>
                <c:pt idx="3553">
                  <c:v>2048.2983199999999</c:v>
                </c:pt>
                <c:pt idx="3554">
                  <c:v>2062.6622400000001</c:v>
                </c:pt>
                <c:pt idx="3555">
                  <c:v>2062.37916</c:v>
                </c:pt>
                <c:pt idx="3556">
                  <c:v>2054.82449</c:v>
                </c:pt>
                <c:pt idx="3557">
                  <c:v>2107.4779200000003</c:v>
                </c:pt>
                <c:pt idx="3558">
                  <c:v>2115.1517400000002</c:v>
                </c:pt>
                <c:pt idx="3559">
                  <c:v>2126.1115099999997</c:v>
                </c:pt>
                <c:pt idx="3560">
                  <c:v>2121.9168</c:v>
                </c:pt>
                <c:pt idx="3561">
                  <c:v>2132.9239200000002</c:v>
                </c:pt>
                <c:pt idx="3562">
                  <c:v>2135.12536</c:v>
                </c:pt>
                <c:pt idx="3563">
                  <c:v>2148.29898</c:v>
                </c:pt>
                <c:pt idx="3564">
                  <c:v>2150.1314199999997</c:v>
                </c:pt>
                <c:pt idx="3565">
                  <c:v>2168.0850300000002</c:v>
                </c:pt>
                <c:pt idx="3566">
                  <c:v>2168.0100400000001</c:v>
                </c:pt>
                <c:pt idx="3567">
                  <c:v>2169.2628</c:v>
                </c:pt>
                <c:pt idx="3568">
                  <c:v>2168.8262</c:v>
                </c:pt>
                <c:pt idx="3569">
                  <c:v>2144.7095599999998</c:v>
                </c:pt>
                <c:pt idx="3570">
                  <c:v>2175.8936100000001</c:v>
                </c:pt>
                <c:pt idx="3571">
                  <c:v>2160.0432000000001</c:v>
                </c:pt>
                <c:pt idx="3572">
                  <c:v>2185.2702300000001</c:v>
                </c:pt>
                <c:pt idx="3573">
                  <c:v>2210.4592499999999</c:v>
                </c:pt>
                <c:pt idx="3574">
                  <c:v>2189.1609600000002</c:v>
                </c:pt>
                <c:pt idx="3575">
                  <c:v>2189.6211199999998</c:v>
                </c:pt>
                <c:pt idx="3576">
                  <c:v>2188.8508000000002</c:v>
                </c:pt>
                <c:pt idx="3577">
                  <c:v>2170.4819200000002</c:v>
                </c:pt>
                <c:pt idx="3578">
                  <c:v>2159.1955799999996</c:v>
                </c:pt>
                <c:pt idx="3579">
                  <c:v>2153.2952</c:v>
                </c:pt>
                <c:pt idx="3580">
                  <c:v>2131.8397800000002</c:v>
                </c:pt>
                <c:pt idx="3581">
                  <c:v>2169.3533399999997</c:v>
                </c:pt>
                <c:pt idx="3582">
                  <c:v>2180.99406</c:v>
                </c:pt>
                <c:pt idx="3583">
                  <c:v>2179.9100699999999</c:v>
                </c:pt>
                <c:pt idx="3584">
                  <c:v>2202.1190099999999</c:v>
                </c:pt>
                <c:pt idx="3585">
                  <c:v>2196.9989099999998</c:v>
                </c:pt>
                <c:pt idx="3586">
                  <c:v>2179.8904400000001</c:v>
                </c:pt>
                <c:pt idx="3587">
                  <c:v>2188.7475599999998</c:v>
                </c:pt>
                <c:pt idx="3588">
                  <c:v>2187.6420499999999</c:v>
                </c:pt>
                <c:pt idx="3589">
                  <c:v>2256.8811099999998</c:v>
                </c:pt>
                <c:pt idx="3590">
                  <c:v>2249.3912000000005</c:v>
                </c:pt>
                <c:pt idx="3591">
                  <c:v>2286.3014200000002</c:v>
                </c:pt>
                <c:pt idx="3592">
                  <c:v>2292.77045</c:v>
                </c:pt>
                <c:pt idx="3593">
                  <c:v>2259.3233700000001</c:v>
                </c:pt>
                <c:pt idx="3594">
                  <c:v>2243.0537399999998</c:v>
                </c:pt>
                <c:pt idx="3595">
                  <c:v>2209.9186399999999</c:v>
                </c:pt>
                <c:pt idx="3596">
                  <c:v>2204.08104</c:v>
                </c:pt>
                <c:pt idx="3597">
                  <c:v>2203.5187599999999</c:v>
                </c:pt>
                <c:pt idx="3598">
                  <c:v>2181.9861000000001</c:v>
                </c:pt>
                <c:pt idx="3599">
                  <c:v>2202.62095</c:v>
                </c:pt>
                <c:pt idx="3600">
                  <c:v>2212.8111199999998</c:v>
                </c:pt>
                <c:pt idx="3601">
                  <c:v>2207.8518900000004</c:v>
                </c:pt>
                <c:pt idx="3602">
                  <c:v>2190.39084</c:v>
                </c:pt>
                <c:pt idx="3603">
                  <c:v>2170.3980000000001</c:v>
                </c:pt>
                <c:pt idx="3604">
                  <c:v>2174.20192</c:v>
                </c:pt>
                <c:pt idx="3605">
                  <c:v>2167.4305599999998</c:v>
                </c:pt>
                <c:pt idx="3606">
                  <c:v>2143.7337599999996</c:v>
                </c:pt>
                <c:pt idx="3607">
                  <c:v>2147.26568</c:v>
                </c:pt>
                <c:pt idx="3608">
                  <c:v>2131.5748100000001</c:v>
                </c:pt>
                <c:pt idx="3609">
                  <c:v>2142.6865200000002</c:v>
                </c:pt>
                <c:pt idx="3610">
                  <c:v>2172.6533199999999</c:v>
                </c:pt>
                <c:pt idx="3611">
                  <c:v>2190.7063800000001</c:v>
                </c:pt>
                <c:pt idx="3612">
                  <c:v>2150.1226499999998</c:v>
                </c:pt>
                <c:pt idx="3613">
                  <c:v>2153.6304399999999</c:v>
                </c:pt>
                <c:pt idx="3614">
                  <c:v>2110.0002199999999</c:v>
                </c:pt>
                <c:pt idx="3615">
                  <c:v>2115.8275600000002</c:v>
                </c:pt>
                <c:pt idx="3616">
                  <c:v>2103.11004</c:v>
                </c:pt>
                <c:pt idx="3617">
                  <c:v>2079.6371999999997</c:v>
                </c:pt>
                <c:pt idx="3618">
                  <c:v>2087.6547399999999</c:v>
                </c:pt>
                <c:pt idx="3619">
                  <c:v>2141.1829600000001</c:v>
                </c:pt>
                <c:pt idx="3620">
                  <c:v>2146.7620900000002</c:v>
                </c:pt>
                <c:pt idx="3621">
                  <c:v>2128.71182</c:v>
                </c:pt>
                <c:pt idx="3622">
                  <c:v>2117.0635199999997</c:v>
                </c:pt>
                <c:pt idx="3623">
                  <c:v>2155.9383000000003</c:v>
                </c:pt>
                <c:pt idx="3624">
                  <c:v>2158.8732499999996</c:v>
                </c:pt>
                <c:pt idx="3625">
                  <c:v>2158.21848</c:v>
                </c:pt>
                <c:pt idx="3626">
                  <c:v>2124.5733599999999</c:v>
                </c:pt>
                <c:pt idx="3627">
                  <c:v>2128.721</c:v>
                </c:pt>
                <c:pt idx="3628">
                  <c:v>2145.8865000000001</c:v>
                </c:pt>
                <c:pt idx="3629">
                  <c:v>2146.2952800000003</c:v>
                </c:pt>
                <c:pt idx="3630">
                  <c:v>2132.0312000000004</c:v>
                </c:pt>
                <c:pt idx="3631">
                  <c:v>2111.1176099999998</c:v>
                </c:pt>
                <c:pt idx="3632">
                  <c:v>2096.5694399999998</c:v>
                </c:pt>
                <c:pt idx="3633">
                  <c:v>2104.9128799999999</c:v>
                </c:pt>
                <c:pt idx="3634">
                  <c:v>2079.35088</c:v>
                </c:pt>
                <c:pt idx="3635">
                  <c:v>2083.5672399999999</c:v>
                </c:pt>
                <c:pt idx="3636">
                  <c:v>2085.9707999999996</c:v>
                </c:pt>
                <c:pt idx="3637">
                  <c:v>2054.63978</c:v>
                </c:pt>
                <c:pt idx="3638">
                  <c:v>2040.5782799999999</c:v>
                </c:pt>
                <c:pt idx="3639">
                  <c:v>2030.6015399999999</c:v>
                </c:pt>
                <c:pt idx="3640">
                  <c:v>2034.4679299999998</c:v>
                </c:pt>
                <c:pt idx="3641">
                  <c:v>2053.58176</c:v>
                </c:pt>
                <c:pt idx="3642">
                  <c:v>2059.3812600000001</c:v>
                </c:pt>
                <c:pt idx="3643">
                  <c:v>2052.1734999999999</c:v>
                </c:pt>
                <c:pt idx="3644">
                  <c:v>2039.38968</c:v>
                </c:pt>
                <c:pt idx="3645">
                  <c:v>2023.6142</c:v>
                </c:pt>
                <c:pt idx="3646">
                  <c:v>2020.5512000000001</c:v>
                </c:pt>
                <c:pt idx="3647">
                  <c:v>2022.4614300000001</c:v>
                </c:pt>
                <c:pt idx="3648">
                  <c:v>2022.43445</c:v>
                </c:pt>
                <c:pt idx="3649">
                  <c:v>2028.9555799999998</c:v>
                </c:pt>
                <c:pt idx="3650">
                  <c:v>2042.6282400000002</c:v>
                </c:pt>
                <c:pt idx="3651">
                  <c:v>2019.5548800000001</c:v>
                </c:pt>
                <c:pt idx="3652">
                  <c:v>2011.0782600000002</c:v>
                </c:pt>
                <c:pt idx="3653">
                  <c:v>1976.5403700000002</c:v>
                </c:pt>
                <c:pt idx="3654">
                  <c:v>1959.5264</c:v>
                </c:pt>
                <c:pt idx="3655">
                  <c:v>1954.7127600000001</c:v>
                </c:pt>
                <c:pt idx="3656">
                  <c:v>1964.18948</c:v>
                </c:pt>
                <c:pt idx="3657">
                  <c:v>1954.93175</c:v>
                </c:pt>
                <c:pt idx="3658">
                  <c:v>1958.72262</c:v>
                </c:pt>
                <c:pt idx="3659">
                  <c:v>1971.96363</c:v>
                </c:pt>
                <c:pt idx="3660">
                  <c:v>1960.0067699999997</c:v>
                </c:pt>
                <c:pt idx="3661">
                  <c:v>1965.3150600000001</c:v>
                </c:pt>
                <c:pt idx="3662">
                  <c:v>1935.6555599999999</c:v>
                </c:pt>
                <c:pt idx="3663">
                  <c:v>1903.4877399999998</c:v>
                </c:pt>
                <c:pt idx="3664">
                  <c:v>1919.5638299999998</c:v>
                </c:pt>
                <c:pt idx="3665">
                  <c:v>1930.1214600000001</c:v>
                </c:pt>
                <c:pt idx="3666">
                  <c:v>1938.0737800000002</c:v>
                </c:pt>
                <c:pt idx="3667">
                  <c:v>1888.1604300000001</c:v>
                </c:pt>
                <c:pt idx="3668">
                  <c:v>1917.1862999999998</c:v>
                </c:pt>
                <c:pt idx="3669">
                  <c:v>1932.9429599999999</c:v>
                </c:pt>
                <c:pt idx="3670">
                  <c:v>1955.2017599999999</c:v>
                </c:pt>
                <c:pt idx="3671">
                  <c:v>1947.22621</c:v>
                </c:pt>
                <c:pt idx="3672">
                  <c:v>1961.6086</c:v>
                </c:pt>
                <c:pt idx="3673">
                  <c:v>2001.0185899999999</c:v>
                </c:pt>
                <c:pt idx="3674">
                  <c:v>2039.6115600000001</c:v>
                </c:pt>
                <c:pt idx="3675">
                  <c:v>2042.8750299999999</c:v>
                </c:pt>
                <c:pt idx="3676">
                  <c:v>2027.8886399999997</c:v>
                </c:pt>
                <c:pt idx="3677">
                  <c:v>2034.0400800000002</c:v>
                </c:pt>
                <c:pt idx="3678">
                  <c:v>2015.88282</c:v>
                </c:pt>
                <c:pt idx="3679">
                  <c:v>2000.9963500000003</c:v>
                </c:pt>
                <c:pt idx="3680">
                  <c:v>1972.2093500000001</c:v>
                </c:pt>
                <c:pt idx="3681">
                  <c:v>1945.8995600000001</c:v>
                </c:pt>
                <c:pt idx="3682">
                  <c:v>1935.7990599999998</c:v>
                </c:pt>
                <c:pt idx="3683">
                  <c:v>1969.8956800000003</c:v>
                </c:pt>
                <c:pt idx="3684">
                  <c:v>1970.0699099999997</c:v>
                </c:pt>
                <c:pt idx="3685">
                  <c:v>1932.9572399999997</c:v>
                </c:pt>
                <c:pt idx="3686">
                  <c:v>1960.9254000000001</c:v>
                </c:pt>
                <c:pt idx="3687">
                  <c:v>1978.2341799999999</c:v>
                </c:pt>
                <c:pt idx="3688">
                  <c:v>1972.31062</c:v>
                </c:pt>
                <c:pt idx="3689">
                  <c:v>1969.4528699999998</c:v>
                </c:pt>
                <c:pt idx="3690">
                  <c:v>1967.4756</c:v>
                </c:pt>
                <c:pt idx="3691">
                  <c:v>1964.0824700000001</c:v>
                </c:pt>
                <c:pt idx="3692">
                  <c:v>1954.9926400000002</c:v>
                </c:pt>
                <c:pt idx="3693">
                  <c:v>1954.5312599999997</c:v>
                </c:pt>
                <c:pt idx="3694">
                  <c:v>1963.82556</c:v>
                </c:pt>
                <c:pt idx="3695">
                  <c:v>1977.2501100000002</c:v>
                </c:pt>
                <c:pt idx="3696">
                  <c:v>1981.6016</c:v>
                </c:pt>
                <c:pt idx="3697">
                  <c:v>1965.7029999999997</c:v>
                </c:pt>
                <c:pt idx="3698">
                  <c:v>1951.63804</c:v>
                </c:pt>
                <c:pt idx="3699">
                  <c:v>1962.6341000000002</c:v>
                </c:pt>
                <c:pt idx="3700">
                  <c:v>1977.16392</c:v>
                </c:pt>
                <c:pt idx="3701">
                  <c:v>1982.0098799999998</c:v>
                </c:pt>
                <c:pt idx="3702">
                  <c:v>1985.41904</c:v>
                </c:pt>
                <c:pt idx="3703">
                  <c:v>1984.6574000000001</c:v>
                </c:pt>
                <c:pt idx="3704">
                  <c:v>1986.3417600000002</c:v>
                </c:pt>
                <c:pt idx="3705">
                  <c:v>1985.2128</c:v>
                </c:pt>
                <c:pt idx="3706">
                  <c:v>1972.2882300000001</c:v>
                </c:pt>
                <c:pt idx="3707">
                  <c:v>1961.0388800000001</c:v>
                </c:pt>
                <c:pt idx="3708">
                  <c:v>1965.4143300000001</c:v>
                </c:pt>
                <c:pt idx="3709">
                  <c:v>1969.42698</c:v>
                </c:pt>
                <c:pt idx="3710">
                  <c:v>1966.61058</c:v>
                </c:pt>
                <c:pt idx="3711">
                  <c:v>1948.1667300000001</c:v>
                </c:pt>
                <c:pt idx="3712">
                  <c:v>1933.1762200000001</c:v>
                </c:pt>
                <c:pt idx="3713">
                  <c:v>1934.1460200000001</c:v>
                </c:pt>
                <c:pt idx="3714">
                  <c:v>1937.2259400000003</c:v>
                </c:pt>
                <c:pt idx="3715">
                  <c:v>1928.5432000000001</c:v>
                </c:pt>
                <c:pt idx="3716">
                  <c:v>1903.3494999999998</c:v>
                </c:pt>
                <c:pt idx="3717">
                  <c:v>1889.6335199999999</c:v>
                </c:pt>
                <c:pt idx="3718">
                  <c:v>1877.9423400000001</c:v>
                </c:pt>
                <c:pt idx="3719">
                  <c:v>1883.6928</c:v>
                </c:pt>
                <c:pt idx="3720">
                  <c:v>1846.9703999999999</c:v>
                </c:pt>
                <c:pt idx="3721">
                  <c:v>1831.3446300000001</c:v>
                </c:pt>
                <c:pt idx="3722">
                  <c:v>1828.6589999999999</c:v>
                </c:pt>
                <c:pt idx="3723">
                  <c:v>1829.4793</c:v>
                </c:pt>
                <c:pt idx="3724">
                  <c:v>1854.5102099999999</c:v>
                </c:pt>
                <c:pt idx="3725">
                  <c:v>1841.91452</c:v>
                </c:pt>
                <c:pt idx="3726">
                  <c:v>1861.6012800000001</c:v>
                </c:pt>
                <c:pt idx="3727">
                  <c:v>1875.7516699999999</c:v>
                </c:pt>
                <c:pt idx="3728">
                  <c:v>1856.42616</c:v>
                </c:pt>
                <c:pt idx="3729">
                  <c:v>1854.7051600000002</c:v>
                </c:pt>
                <c:pt idx="3730">
                  <c:v>1858.5678600000001</c:v>
                </c:pt>
                <c:pt idx="3731">
                  <c:v>1873.0650200000002</c:v>
                </c:pt>
                <c:pt idx="3732">
                  <c:v>1866.4774999999997</c:v>
                </c:pt>
                <c:pt idx="3733">
                  <c:v>1870.1564000000001</c:v>
                </c:pt>
                <c:pt idx="3734">
                  <c:v>1880.8691200000001</c:v>
                </c:pt>
                <c:pt idx="3735">
                  <c:v>1876.9998399999999</c:v>
                </c:pt>
                <c:pt idx="3736">
                  <c:v>1880.93842</c:v>
                </c:pt>
                <c:pt idx="3737">
                  <c:v>1852.6206500000001</c:v>
                </c:pt>
                <c:pt idx="3738">
                  <c:v>1849.87986</c:v>
                </c:pt>
                <c:pt idx="3739">
                  <c:v>1871.76585</c:v>
                </c:pt>
                <c:pt idx="3740">
                  <c:v>1856.3040799999999</c:v>
                </c:pt>
                <c:pt idx="3741">
                  <c:v>1857.16734</c:v>
                </c:pt>
                <c:pt idx="3742">
                  <c:v>1856.2587199999998</c:v>
                </c:pt>
                <c:pt idx="3743">
                  <c:v>1819.2655000000002</c:v>
                </c:pt>
                <c:pt idx="3744">
                  <c:v>1798.8198299999999</c:v>
                </c:pt>
                <c:pt idx="3745">
                  <c:v>1788.37006</c:v>
                </c:pt>
                <c:pt idx="3746">
                  <c:v>1780.5213400000002</c:v>
                </c:pt>
                <c:pt idx="3747">
                  <c:v>1767.7384399999999</c:v>
                </c:pt>
                <c:pt idx="3748">
                  <c:v>1777.2160000000001</c:v>
                </c:pt>
                <c:pt idx="3749">
                  <c:v>1777.9969600000002</c:v>
                </c:pt>
                <c:pt idx="3750">
                  <c:v>1777.9551999999999</c:v>
                </c:pt>
                <c:pt idx="3751">
                  <c:v>1773.4390799999999</c:v>
                </c:pt>
                <c:pt idx="3752">
                  <c:v>1759.7902400000003</c:v>
                </c:pt>
                <c:pt idx="3753">
                  <c:v>1753.5960699999998</c:v>
                </c:pt>
                <c:pt idx="3754">
                  <c:v>1752.4284</c:v>
                </c:pt>
                <c:pt idx="3755">
                  <c:v>1754.93768</c:v>
                </c:pt>
                <c:pt idx="3756">
                  <c:v>1772.42345</c:v>
                </c:pt>
                <c:pt idx="3757">
                  <c:v>1751.8900100000001</c:v>
                </c:pt>
                <c:pt idx="3758">
                  <c:v>1743.9897800000001</c:v>
                </c:pt>
                <c:pt idx="3759">
                  <c:v>1768.3538600000002</c:v>
                </c:pt>
                <c:pt idx="3760">
                  <c:v>1778.4422400000001</c:v>
                </c:pt>
                <c:pt idx="3761">
                  <c:v>1779.94803</c:v>
                </c:pt>
                <c:pt idx="3762">
                  <c:v>1740.7056</c:v>
                </c:pt>
                <c:pt idx="3763">
                  <c:v>1729.0572000000002</c:v>
                </c:pt>
                <c:pt idx="3764">
                  <c:v>1712.6068399999999</c:v>
                </c:pt>
                <c:pt idx="3765">
                  <c:v>1696.9244100000001</c:v>
                </c:pt>
                <c:pt idx="3766">
                  <c:v>1664.1882199999998</c:v>
                </c:pt>
                <c:pt idx="3767">
                  <c:v>1669.91473</c:v>
                </c:pt>
                <c:pt idx="3768">
                  <c:v>1675.6895999999999</c:v>
                </c:pt>
                <c:pt idx="3769">
                  <c:v>1689.2647400000001</c:v>
                </c:pt>
                <c:pt idx="3770">
                  <c:v>1668.6783399999999</c:v>
                </c:pt>
                <c:pt idx="3771">
                  <c:v>1685.1809499999999</c:v>
                </c:pt>
                <c:pt idx="3772">
                  <c:v>1683.5252099999998</c:v>
                </c:pt>
                <c:pt idx="3773">
                  <c:v>1698.827</c:v>
                </c:pt>
                <c:pt idx="3774">
                  <c:v>1713.5792399999998</c:v>
                </c:pt>
                <c:pt idx="3775">
                  <c:v>1678.105</c:v>
                </c:pt>
                <c:pt idx="3776">
                  <c:v>1671.87132</c:v>
                </c:pt>
                <c:pt idx="3777">
                  <c:v>1644.1246799999999</c:v>
                </c:pt>
                <c:pt idx="3778">
                  <c:v>1663.8267799999999</c:v>
                </c:pt>
                <c:pt idx="3779">
                  <c:v>1687.1708699999999</c:v>
                </c:pt>
                <c:pt idx="3780">
                  <c:v>1704.3719399999998</c:v>
                </c:pt>
                <c:pt idx="3781">
                  <c:v>1704.2991999999999</c:v>
                </c:pt>
                <c:pt idx="3782">
                  <c:v>1676.8415800000002</c:v>
                </c:pt>
                <c:pt idx="3783">
                  <c:v>1698.5594999999998</c:v>
                </c:pt>
                <c:pt idx="3784">
                  <c:v>1720.53945</c:v>
                </c:pt>
                <c:pt idx="3785">
                  <c:v>1695.5531999999998</c:v>
                </c:pt>
                <c:pt idx="3786">
                  <c:v>1702.1615400000001</c:v>
                </c:pt>
                <c:pt idx="3787">
                  <c:v>1688.27405</c:v>
                </c:pt>
                <c:pt idx="3788">
                  <c:v>1695.1877399999998</c:v>
                </c:pt>
                <c:pt idx="3789">
                  <c:v>1667.8032799999999</c:v>
                </c:pt>
                <c:pt idx="3790">
                  <c:v>1637.0011399999999</c:v>
                </c:pt>
                <c:pt idx="3791">
                  <c:v>1601.7759900000001</c:v>
                </c:pt>
                <c:pt idx="3792">
                  <c:v>1701.2757299999998</c:v>
                </c:pt>
                <c:pt idx="3793">
                  <c:v>1684.06701</c:v>
                </c:pt>
                <c:pt idx="3794">
                  <c:v>1711.3184499999998</c:v>
                </c:pt>
                <c:pt idx="3795">
                  <c:v>1733.4099000000001</c:v>
                </c:pt>
                <c:pt idx="3796">
                  <c:v>1760.7700000000002</c:v>
                </c:pt>
                <c:pt idx="3797">
                  <c:v>1745.6451999999999</c:v>
                </c:pt>
                <c:pt idx="3798">
                  <c:v>1728.8279599999998</c:v>
                </c:pt>
                <c:pt idx="3799">
                  <c:v>1728.5281199999999</c:v>
                </c:pt>
                <c:pt idx="3800">
                  <c:v>1747.8753600000002</c:v>
                </c:pt>
                <c:pt idx="3801">
                  <c:v>1762.7084</c:v>
                </c:pt>
                <c:pt idx="3802">
                  <c:v>1717.6750600000003</c:v>
                </c:pt>
                <c:pt idx="3803">
                  <c:v>1751.64444</c:v>
                </c:pt>
                <c:pt idx="3804">
                  <c:v>1768.76097</c:v>
                </c:pt>
                <c:pt idx="3805">
                  <c:v>1768.5344999999998</c:v>
                </c:pt>
                <c:pt idx="3806">
                  <c:v>1749.8445900000002</c:v>
                </c:pt>
                <c:pt idx="3807">
                  <c:v>1771.4171999999999</c:v>
                </c:pt>
                <c:pt idx="3808">
                  <c:v>1780.9921600000002</c:v>
                </c:pt>
                <c:pt idx="3809">
                  <c:v>1808.5728000000001</c:v>
                </c:pt>
                <c:pt idx="3810">
                  <c:v>1788.4644000000001</c:v>
                </c:pt>
                <c:pt idx="3811">
                  <c:v>1787.8579399999999</c:v>
                </c:pt>
                <c:pt idx="3812">
                  <c:v>1765.0206000000001</c:v>
                </c:pt>
                <c:pt idx="3813">
                  <c:v>1757.4943800000003</c:v>
                </c:pt>
                <c:pt idx="3814">
                  <c:v>1718.2448599999998</c:v>
                </c:pt>
                <c:pt idx="3815">
                  <c:v>1724.1268799999998</c:v>
                </c:pt>
                <c:pt idx="3816">
                  <c:v>1722.6161299999999</c:v>
                </c:pt>
                <c:pt idx="3817">
                  <c:v>1734.6602700000003</c:v>
                </c:pt>
                <c:pt idx="3818">
                  <c:v>1741.2856000000002</c:v>
                </c:pt>
                <c:pt idx="3819">
                  <c:v>1739.0025900000001</c:v>
                </c:pt>
                <c:pt idx="3820">
                  <c:v>1762.6822500000001</c:v>
                </c:pt>
                <c:pt idx="3821">
                  <c:v>1744.5591999999999</c:v>
                </c:pt>
                <c:pt idx="3822">
                  <c:v>1734.2899</c:v>
                </c:pt>
                <c:pt idx="3823">
                  <c:v>1731.9304200000001</c:v>
                </c:pt>
                <c:pt idx="3824">
                  <c:v>1719.8131199999998</c:v>
                </c:pt>
                <c:pt idx="3825">
                  <c:v>1674.7856000000002</c:v>
                </c:pt>
                <c:pt idx="3826">
                  <c:v>1657.7351199999998</c:v>
                </c:pt>
                <c:pt idx="3827">
                  <c:v>1670.40328</c:v>
                </c:pt>
                <c:pt idx="3828">
                  <c:v>1645.8876</c:v>
                </c:pt>
                <c:pt idx="3829">
                  <c:v>1634.8999200000001</c:v>
                </c:pt>
                <c:pt idx="3830">
                  <c:v>1667.4248</c:v>
                </c:pt>
                <c:pt idx="3831">
                  <c:v>1684.2264299999999</c:v>
                </c:pt>
                <c:pt idx="3832">
                  <c:v>1689.8332499999999</c:v>
                </c:pt>
                <c:pt idx="3833">
                  <c:v>1707.33888</c:v>
                </c:pt>
                <c:pt idx="3834">
                  <c:v>1704.6814400000001</c:v>
                </c:pt>
                <c:pt idx="3835">
                  <c:v>1685.5348099999999</c:v>
                </c:pt>
                <c:pt idx="3836">
                  <c:v>1686.6124399999999</c:v>
                </c:pt>
                <c:pt idx="3837">
                  <c:v>1718.57698</c:v>
                </c:pt>
                <c:pt idx="3838">
                  <c:v>1719.0535500000001</c:v>
                </c:pt>
                <c:pt idx="3839">
                  <c:v>1723.3102900000001</c:v>
                </c:pt>
                <c:pt idx="3840">
                  <c:v>1745.0318199999999</c:v>
                </c:pt>
                <c:pt idx="3841">
                  <c:v>1734.3920099999998</c:v>
                </c:pt>
                <c:pt idx="3842">
                  <c:v>1717.7799599999998</c:v>
                </c:pt>
                <c:pt idx="3843">
                  <c:v>1747.8028800000002</c:v>
                </c:pt>
                <c:pt idx="3844">
                  <c:v>1738.3466699999999</c:v>
                </c:pt>
                <c:pt idx="3845">
                  <c:v>1719.87354</c:v>
                </c:pt>
                <c:pt idx="3846">
                  <c:v>1717.8275399999998</c:v>
                </c:pt>
                <c:pt idx="3847">
                  <c:v>1732.7248400000001</c:v>
                </c:pt>
                <c:pt idx="3848">
                  <c:v>1734.1106200000002</c:v>
                </c:pt>
                <c:pt idx="3849">
                  <c:v>1721.6008899999999</c:v>
                </c:pt>
                <c:pt idx="3850">
                  <c:v>1708.5950199999997</c:v>
                </c:pt>
                <c:pt idx="3851">
                  <c:v>1709.1177400000001</c:v>
                </c:pt>
                <c:pt idx="3852">
                  <c:v>1743.0000000000002</c:v>
                </c:pt>
                <c:pt idx="3853">
                  <c:v>1738.9422500000001</c:v>
                </c:pt>
                <c:pt idx="3854">
                  <c:v>1756.9975999999999</c:v>
                </c:pt>
                <c:pt idx="3855">
                  <c:v>1758.96525</c:v>
                </c:pt>
                <c:pt idx="3856">
                  <c:v>1752.10096</c:v>
                </c:pt>
                <c:pt idx="3857">
                  <c:v>1723.8761099999999</c:v>
                </c:pt>
                <c:pt idx="3858">
                  <c:v>1765.32944</c:v>
                </c:pt>
                <c:pt idx="3859">
                  <c:v>1800.0756000000001</c:v>
                </c:pt>
                <c:pt idx="3860">
                  <c:v>1769.9076</c:v>
                </c:pt>
                <c:pt idx="3861">
                  <c:v>1729.9894800000002</c:v>
                </c:pt>
                <c:pt idx="3862">
                  <c:v>1693.70471</c:v>
                </c:pt>
                <c:pt idx="3863">
                  <c:v>1707.6785899999998</c:v>
                </c:pt>
                <c:pt idx="3864">
                  <c:v>1727.8314499999999</c:v>
                </c:pt>
                <c:pt idx="3865">
                  <c:v>1747.1590799999999</c:v>
                </c:pt>
                <c:pt idx="3866">
                  <c:v>1759.54683</c:v>
                </c:pt>
                <c:pt idx="3867">
                  <c:v>1767.5629800000002</c:v>
                </c:pt>
                <c:pt idx="3868">
                  <c:v>1752.7333999999998</c:v>
                </c:pt>
                <c:pt idx="3869">
                  <c:v>1770.34356</c:v>
                </c:pt>
                <c:pt idx="3870">
                  <c:v>1756.6839599999998</c:v>
                </c:pt>
                <c:pt idx="3871">
                  <c:v>1785.9588599999997</c:v>
                </c:pt>
                <c:pt idx="3872">
                  <c:v>1779.9616199999998</c:v>
                </c:pt>
                <c:pt idx="3873">
                  <c:v>1768.7160000000001</c:v>
                </c:pt>
                <c:pt idx="3874">
                  <c:v>1754.4623000000001</c:v>
                </c:pt>
                <c:pt idx="3875">
                  <c:v>1736.4239899999998</c:v>
                </c:pt>
                <c:pt idx="3876">
                  <c:v>1724.3448599999999</c:v>
                </c:pt>
                <c:pt idx="3877">
                  <c:v>1729.5692599999998</c:v>
                </c:pt>
                <c:pt idx="3878">
                  <c:v>1732.3664799999999</c:v>
                </c:pt>
                <c:pt idx="3879">
                  <c:v>1701.7421999999999</c:v>
                </c:pt>
                <c:pt idx="3880">
                  <c:v>1697.2934399999999</c:v>
                </c:pt>
                <c:pt idx="3881">
                  <c:v>1713.8597499999998</c:v>
                </c:pt>
                <c:pt idx="3882">
                  <c:v>1703.0318500000001</c:v>
                </c:pt>
                <c:pt idx="3883">
                  <c:v>1680.4780799999999</c:v>
                </c:pt>
                <c:pt idx="3884">
                  <c:v>1652.1441300000001</c:v>
                </c:pt>
                <c:pt idx="3885">
                  <c:v>1641.38778</c:v>
                </c:pt>
                <c:pt idx="3886">
                  <c:v>1645.5428800000002</c:v>
                </c:pt>
                <c:pt idx="3887">
                  <c:v>1645.0736800000002</c:v>
                </c:pt>
                <c:pt idx="3888">
                  <c:v>1630.8445400000001</c:v>
                </c:pt>
                <c:pt idx="3889">
                  <c:v>1625.1204199999997</c:v>
                </c:pt>
                <c:pt idx="3890">
                  <c:v>1634.80898</c:v>
                </c:pt>
                <c:pt idx="3891">
                  <c:v>1633.6884</c:v>
                </c:pt>
                <c:pt idx="3892">
                  <c:v>1629.44102</c:v>
                </c:pt>
                <c:pt idx="3893">
                  <c:v>1617.9235200000001</c:v>
                </c:pt>
                <c:pt idx="3894">
                  <c:v>1607.8202699999999</c:v>
                </c:pt>
                <c:pt idx="3895">
                  <c:v>1592.33088</c:v>
                </c:pt>
                <c:pt idx="3896">
                  <c:v>1583.0450999999998</c:v>
                </c:pt>
                <c:pt idx="3897">
                  <c:v>1594.4100800000001</c:v>
                </c:pt>
                <c:pt idx="3898">
                  <c:v>1576.0279499999999</c:v>
                </c:pt>
                <c:pt idx="3899">
                  <c:v>1553.3953199999999</c:v>
                </c:pt>
                <c:pt idx="3900">
                  <c:v>1545.7934699999998</c:v>
                </c:pt>
                <c:pt idx="3901">
                  <c:v>1539.8441999999998</c:v>
                </c:pt>
                <c:pt idx="3902">
                  <c:v>1554.9048799999998</c:v>
                </c:pt>
                <c:pt idx="3903">
                  <c:v>1550.8042</c:v>
                </c:pt>
                <c:pt idx="3904">
                  <c:v>1552.7483999999999</c:v>
                </c:pt>
                <c:pt idx="3905">
                  <c:v>1538.32204</c:v>
                </c:pt>
                <c:pt idx="3906">
                  <c:v>1527.12084</c:v>
                </c:pt>
                <c:pt idx="3907">
                  <c:v>1517.0667799999999</c:v>
                </c:pt>
                <c:pt idx="3908">
                  <c:v>1487.5497</c:v>
                </c:pt>
                <c:pt idx="3909">
                  <c:v>1468.5555199999999</c:v>
                </c:pt>
                <c:pt idx="3910">
                  <c:v>1478.9985000000001</c:v>
                </c:pt>
                <c:pt idx="3911">
                  <c:v>1492.5965000000001</c:v>
                </c:pt>
                <c:pt idx="3912">
                  <c:v>1473.03514</c:v>
                </c:pt>
                <c:pt idx="3913">
                  <c:v>1461.5040000000001</c:v>
                </c:pt>
                <c:pt idx="3914">
                  <c:v>1457.1408200000001</c:v>
                </c:pt>
                <c:pt idx="3915">
                  <c:v>1444.1801499999999</c:v>
                </c:pt>
                <c:pt idx="3916">
                  <c:v>1455.5857699999999</c:v>
                </c:pt>
                <c:pt idx="3917">
                  <c:v>1491.06474</c:v>
                </c:pt>
                <c:pt idx="3918">
                  <c:v>1519.4737600000001</c:v>
                </c:pt>
                <c:pt idx="3919">
                  <c:v>1519.2834</c:v>
                </c:pt>
                <c:pt idx="3920">
                  <c:v>1531.4447399999999</c:v>
                </c:pt>
                <c:pt idx="3921">
                  <c:v>1529.6235000000001</c:v>
                </c:pt>
                <c:pt idx="3922">
                  <c:v>1497.1904399999999</c:v>
                </c:pt>
                <c:pt idx="3923">
                  <c:v>1502.7932000000001</c:v>
                </c:pt>
                <c:pt idx="3924">
                  <c:v>1504.0183399999999</c:v>
                </c:pt>
                <c:pt idx="3925">
                  <c:v>1514.6507599999998</c:v>
                </c:pt>
                <c:pt idx="3926">
                  <c:v>1501.1371800000002</c:v>
                </c:pt>
                <c:pt idx="3927">
                  <c:v>1509.5791200000001</c:v>
                </c:pt>
                <c:pt idx="3928">
                  <c:v>1473.5726999999999</c:v>
                </c:pt>
                <c:pt idx="3929">
                  <c:v>1489.7399499999999</c:v>
                </c:pt>
                <c:pt idx="3930">
                  <c:v>1501.7213499999998</c:v>
                </c:pt>
                <c:pt idx="3931">
                  <c:v>1490.2560000000001</c:v>
                </c:pt>
                <c:pt idx="3932">
                  <c:v>1466.2072799999999</c:v>
                </c:pt>
                <c:pt idx="3933">
                  <c:v>1485.6882799999998</c:v>
                </c:pt>
                <c:pt idx="3934">
                  <c:v>1475.4719400000001</c:v>
                </c:pt>
                <c:pt idx="3935">
                  <c:v>1478.9817600000001</c:v>
                </c:pt>
                <c:pt idx="3936">
                  <c:v>1490.0659799999999</c:v>
                </c:pt>
                <c:pt idx="3937">
                  <c:v>1484.9449999999999</c:v>
                </c:pt>
                <c:pt idx="3938">
                  <c:v>1474.1080499999998</c:v>
                </c:pt>
                <c:pt idx="3939">
                  <c:v>1490.8160999999998</c:v>
                </c:pt>
                <c:pt idx="3940">
                  <c:v>1509.3860399999999</c:v>
                </c:pt>
                <c:pt idx="3941">
                  <c:v>1503.2869800000001</c:v>
                </c:pt>
                <c:pt idx="3942">
                  <c:v>1513.2299799999998</c:v>
                </c:pt>
                <c:pt idx="3943">
                  <c:v>1509.93264</c:v>
                </c:pt>
                <c:pt idx="3944">
                  <c:v>1504.7660599999999</c:v>
                </c:pt>
                <c:pt idx="3945">
                  <c:v>1498.3347700000002</c:v>
                </c:pt>
                <c:pt idx="3946">
                  <c:v>1511.06962</c:v>
                </c:pt>
                <c:pt idx="3947">
                  <c:v>1496.19886</c:v>
                </c:pt>
                <c:pt idx="3948">
                  <c:v>1513.0731900000001</c:v>
                </c:pt>
                <c:pt idx="3949">
                  <c:v>1513.69515</c:v>
                </c:pt>
                <c:pt idx="3950">
                  <c:v>1487.0244699999998</c:v>
                </c:pt>
                <c:pt idx="3951">
                  <c:v>1507.7640000000001</c:v>
                </c:pt>
                <c:pt idx="3952">
                  <c:v>1501.3610000000001</c:v>
                </c:pt>
                <c:pt idx="3953">
                  <c:v>1512.3240000000001</c:v>
                </c:pt>
                <c:pt idx="3954">
                  <c:v>1515.5254799999998</c:v>
                </c:pt>
                <c:pt idx="3955">
                  <c:v>1521.40032</c:v>
                </c:pt>
                <c:pt idx="3956">
                  <c:v>1523.8828399999998</c:v>
                </c:pt>
                <c:pt idx="3957">
                  <c:v>1502.3314799999998</c:v>
                </c:pt>
                <c:pt idx="3958">
                  <c:v>1505.1951999999999</c:v>
                </c:pt>
                <c:pt idx="3959">
                  <c:v>1511.04856</c:v>
                </c:pt>
                <c:pt idx="3960">
                  <c:v>1488.1879199999998</c:v>
                </c:pt>
                <c:pt idx="3961">
                  <c:v>1500.2951</c:v>
                </c:pt>
                <c:pt idx="3962">
                  <c:v>1470.1900500000002</c:v>
                </c:pt>
                <c:pt idx="3963">
                  <c:v>1467.0719999999999</c:v>
                </c:pt>
                <c:pt idx="3964">
                  <c:v>1482.2028800000001</c:v>
                </c:pt>
                <c:pt idx="3965">
                  <c:v>1496.0508399999999</c:v>
                </c:pt>
                <c:pt idx="3966">
                  <c:v>1516.54412</c:v>
                </c:pt>
                <c:pt idx="3967">
                  <c:v>1526.3388</c:v>
                </c:pt>
                <c:pt idx="3968">
                  <c:v>1535.18634</c:v>
                </c:pt>
                <c:pt idx="3969">
                  <c:v>1521.7604999999999</c:v>
                </c:pt>
                <c:pt idx="3970">
                  <c:v>1527.6019499999998</c:v>
                </c:pt>
                <c:pt idx="3971">
                  <c:v>1511.4316599999997</c:v>
                </c:pt>
                <c:pt idx="3972">
                  <c:v>1520.3552</c:v>
                </c:pt>
                <c:pt idx="3973">
                  <c:v>1548.1066800000001</c:v>
                </c:pt>
                <c:pt idx="3974">
                  <c:v>1548.3815999999999</c:v>
                </c:pt>
                <c:pt idx="3975">
                  <c:v>1552.6232600000003</c:v>
                </c:pt>
                <c:pt idx="3976">
                  <c:v>1557.3733199999999</c:v>
                </c:pt>
                <c:pt idx="3977">
                  <c:v>1571.31909</c:v>
                </c:pt>
                <c:pt idx="3978">
                  <c:v>1579.6767</c:v>
                </c:pt>
                <c:pt idx="3979">
                  <c:v>1577.2629600000002</c:v>
                </c:pt>
                <c:pt idx="3980">
                  <c:v>1588.028</c:v>
                </c:pt>
                <c:pt idx="3981">
                  <c:v>1550.0929599999999</c:v>
                </c:pt>
                <c:pt idx="3982">
                  <c:v>1539.8599400000001</c:v>
                </c:pt>
                <c:pt idx="3983">
                  <c:v>1530.4138600000001</c:v>
                </c:pt>
                <c:pt idx="3984">
                  <c:v>1527.8173200000001</c:v>
                </c:pt>
                <c:pt idx="3985">
                  <c:v>1530.11502</c:v>
                </c:pt>
                <c:pt idx="3986">
                  <c:v>1514.3167900000001</c:v>
                </c:pt>
                <c:pt idx="3987">
                  <c:v>1510.42832</c:v>
                </c:pt>
                <c:pt idx="3988">
                  <c:v>1534.6680000000001</c:v>
                </c:pt>
                <c:pt idx="3989">
                  <c:v>1528.0790400000001</c:v>
                </c:pt>
                <c:pt idx="3990">
                  <c:v>1535.2154799999998</c:v>
                </c:pt>
                <c:pt idx="3991">
                  <c:v>1524.7427499999999</c:v>
                </c:pt>
                <c:pt idx="3992">
                  <c:v>1517.04702</c:v>
                </c:pt>
                <c:pt idx="3993">
                  <c:v>1515.0545</c:v>
                </c:pt>
                <c:pt idx="3994">
                  <c:v>1501.7936399999999</c:v>
                </c:pt>
                <c:pt idx="3995">
                  <c:v>1522.3094599999999</c:v>
                </c:pt>
                <c:pt idx="3996">
                  <c:v>1521.5885200000002</c:v>
                </c:pt>
                <c:pt idx="3997">
                  <c:v>1510.1229599999999</c:v>
                </c:pt>
                <c:pt idx="3998">
                  <c:v>1497.9672399999999</c:v>
                </c:pt>
                <c:pt idx="3999">
                  <c:v>1511.6224300000001</c:v>
                </c:pt>
                <c:pt idx="4000">
                  <c:v>1521.1443800000002</c:v>
                </c:pt>
                <c:pt idx="4001">
                  <c:v>1522.1251500000001</c:v>
                </c:pt>
                <c:pt idx="4002">
                  <c:v>1521.2781599999998</c:v>
                </c:pt>
                <c:pt idx="4003">
                  <c:v>1508.55996</c:v>
                </c:pt>
                <c:pt idx="4004">
                  <c:v>1493.7164</c:v>
                </c:pt>
                <c:pt idx="4005">
                  <c:v>1507.2193000000002</c:v>
                </c:pt>
                <c:pt idx="4006">
                  <c:v>1496.442</c:v>
                </c:pt>
                <c:pt idx="4007">
                  <c:v>1522.2584999999999</c:v>
                </c:pt>
                <c:pt idx="4008">
                  <c:v>1528.2702600000002</c:v>
                </c:pt>
                <c:pt idx="4009">
                  <c:v>1507.1010900000001</c:v>
                </c:pt>
                <c:pt idx="4010">
                  <c:v>1496.00594</c:v>
                </c:pt>
                <c:pt idx="4011">
                  <c:v>1486.2029</c:v>
                </c:pt>
                <c:pt idx="4012">
                  <c:v>1489.5644399999999</c:v>
                </c:pt>
                <c:pt idx="4013">
                  <c:v>1482.54684</c:v>
                </c:pt>
                <c:pt idx="4014">
                  <c:v>1487.8237799999999</c:v>
                </c:pt>
                <c:pt idx="4015">
                  <c:v>1479.6677499999998</c:v>
                </c:pt>
                <c:pt idx="4016">
                  <c:v>1462.2508799999998</c:v>
                </c:pt>
                <c:pt idx="4017">
                  <c:v>1473.5936599999998</c:v>
                </c:pt>
                <c:pt idx="4018">
                  <c:v>1482.9780000000001</c:v>
                </c:pt>
                <c:pt idx="4019">
                  <c:v>1479.3324</c:v>
                </c:pt>
                <c:pt idx="4020">
                  <c:v>1481.6983</c:v>
                </c:pt>
                <c:pt idx="4021">
                  <c:v>1482.9021700000001</c:v>
                </c:pt>
                <c:pt idx="4022">
                  <c:v>1486.31052</c:v>
                </c:pt>
                <c:pt idx="4023">
                  <c:v>1497.0759100000002</c:v>
                </c:pt>
                <c:pt idx="4024">
                  <c:v>1491.2419200000002</c:v>
                </c:pt>
                <c:pt idx="4025">
                  <c:v>1485.0233999999998</c:v>
                </c:pt>
                <c:pt idx="4026">
                  <c:v>1518.56448</c:v>
                </c:pt>
                <c:pt idx="4027">
                  <c:v>1489.2143699999999</c:v>
                </c:pt>
                <c:pt idx="4028">
                  <c:v>1485.4075599999999</c:v>
                </c:pt>
                <c:pt idx="4029">
                  <c:v>1475.18912</c:v>
                </c:pt>
                <c:pt idx="4030">
                  <c:v>1470.69912</c:v>
                </c:pt>
                <c:pt idx="4031">
                  <c:v>1472.1333</c:v>
                </c:pt>
                <c:pt idx="4032">
                  <c:v>1510.04486</c:v>
                </c:pt>
                <c:pt idx="4033">
                  <c:v>1510.6034400000001</c:v>
                </c:pt>
                <c:pt idx="4034">
                  <c:v>1540.9814400000002</c:v>
                </c:pt>
                <c:pt idx="4035">
                  <c:v>1528.41472</c:v>
                </c:pt>
                <c:pt idx="4036">
                  <c:v>1533.5807</c:v>
                </c:pt>
                <c:pt idx="4037">
                  <c:v>1542.1749200000002</c:v>
                </c:pt>
                <c:pt idx="4038">
                  <c:v>1556.4506399999998</c:v>
                </c:pt>
                <c:pt idx="4039">
                  <c:v>1584.36375</c:v>
                </c:pt>
                <c:pt idx="4040">
                  <c:v>1544.1568200000002</c:v>
                </c:pt>
                <c:pt idx="4041">
                  <c:v>1525.28656</c:v>
                </c:pt>
                <c:pt idx="4042">
                  <c:v>1526.5759599999999</c:v>
                </c:pt>
                <c:pt idx="4043">
                  <c:v>1499.04573</c:v>
                </c:pt>
                <c:pt idx="4044">
                  <c:v>1531.6131600000001</c:v>
                </c:pt>
                <c:pt idx="4045">
                  <c:v>1541.5842</c:v>
                </c:pt>
                <c:pt idx="4046">
                  <c:v>1506.41715</c:v>
                </c:pt>
                <c:pt idx="4047">
                  <c:v>1493.0521200000001</c:v>
                </c:pt>
                <c:pt idx="4048">
                  <c:v>1487.3859</c:v>
                </c:pt>
                <c:pt idx="4049">
                  <c:v>1481.9909500000001</c:v>
                </c:pt>
                <c:pt idx="4050">
                  <c:v>1451.8406299999999</c:v>
                </c:pt>
                <c:pt idx="4051">
                  <c:v>1449.8924299999999</c:v>
                </c:pt>
                <c:pt idx="4052">
                  <c:v>1458.8662200000001</c:v>
                </c:pt>
                <c:pt idx="4053">
                  <c:v>1448.5819000000001</c:v>
                </c:pt>
                <c:pt idx="4054">
                  <c:v>1444.6157599999999</c:v>
                </c:pt>
                <c:pt idx="4055">
                  <c:v>1392.39769</c:v>
                </c:pt>
                <c:pt idx="4056">
                  <c:v>1412.2842000000001</c:v>
                </c:pt>
                <c:pt idx="4057">
                  <c:v>1427.8996</c:v>
                </c:pt>
                <c:pt idx="4058">
                  <c:v>1428.3174300000001</c:v>
                </c:pt>
                <c:pt idx="4059">
                  <c:v>1455.39075</c:v>
                </c:pt>
                <c:pt idx="4060">
                  <c:v>1486.9595000000002</c:v>
                </c:pt>
                <c:pt idx="4061">
                  <c:v>1480.0307499999999</c:v>
                </c:pt>
                <c:pt idx="4062">
                  <c:v>1491.0928600000002</c:v>
                </c:pt>
                <c:pt idx="4063">
                  <c:v>1504.6148600000001</c:v>
                </c:pt>
                <c:pt idx="4064">
                  <c:v>1476.3021299999998</c:v>
                </c:pt>
                <c:pt idx="4065">
                  <c:v>1484.3932600000001</c:v>
                </c:pt>
                <c:pt idx="4066">
                  <c:v>1495.8671999999999</c:v>
                </c:pt>
                <c:pt idx="4067">
                  <c:v>1496.17725</c:v>
                </c:pt>
                <c:pt idx="4068">
                  <c:v>1497.11869</c:v>
                </c:pt>
                <c:pt idx="4069">
                  <c:v>1498.1347700000001</c:v>
                </c:pt>
                <c:pt idx="4070">
                  <c:v>1499.0674499999998</c:v>
                </c:pt>
                <c:pt idx="4071">
                  <c:v>1496.65284</c:v>
                </c:pt>
                <c:pt idx="4072">
                  <c:v>1483.2729200000001</c:v>
                </c:pt>
                <c:pt idx="4073">
                  <c:v>1492.41299</c:v>
                </c:pt>
                <c:pt idx="4074">
                  <c:v>1472.4152999999999</c:v>
                </c:pt>
                <c:pt idx="4075">
                  <c:v>1480.2443000000001</c:v>
                </c:pt>
                <c:pt idx="4076">
                  <c:v>1480.8353999999999</c:v>
                </c:pt>
                <c:pt idx="4077">
                  <c:v>1480.7607799999998</c:v>
                </c:pt>
                <c:pt idx="4078">
                  <c:v>1492.6082200000001</c:v>
                </c:pt>
                <c:pt idx="4079">
                  <c:v>1473.89616</c:v>
                </c:pt>
                <c:pt idx="4080">
                  <c:v>1494.2478599999999</c:v>
                </c:pt>
                <c:pt idx="4081">
                  <c:v>1477.4903099999999</c:v>
                </c:pt>
                <c:pt idx="4082">
                  <c:v>1486.7379000000001</c:v>
                </c:pt>
                <c:pt idx="4083">
                  <c:v>1460.7269200000001</c:v>
                </c:pt>
                <c:pt idx="4084">
                  <c:v>1452.2458799999999</c:v>
                </c:pt>
                <c:pt idx="4085">
                  <c:v>1423.0215900000001</c:v>
                </c:pt>
                <c:pt idx="4086">
                  <c:v>1418.3812300000002</c:v>
                </c:pt>
                <c:pt idx="4087">
                  <c:v>1428.7392600000001</c:v>
                </c:pt>
                <c:pt idx="4088">
                  <c:v>1425.6745000000001</c:v>
                </c:pt>
                <c:pt idx="4089">
                  <c:v>1437.2854600000001</c:v>
                </c:pt>
                <c:pt idx="4090">
                  <c:v>1424.9894399999998</c:v>
                </c:pt>
                <c:pt idx="4091">
                  <c:v>1429.0934399999999</c:v>
                </c:pt>
                <c:pt idx="4092">
                  <c:v>1439.5875599999999</c:v>
                </c:pt>
                <c:pt idx="4093">
                  <c:v>1418.9302400000001</c:v>
                </c:pt>
                <c:pt idx="4094">
                  <c:v>1413.0508800000002</c:v>
                </c:pt>
                <c:pt idx="4095">
                  <c:v>1434.4904000000001</c:v>
                </c:pt>
                <c:pt idx="4096">
                  <c:v>1428.1538399999999</c:v>
                </c:pt>
                <c:pt idx="4097">
                  <c:v>1416.86356</c:v>
                </c:pt>
                <c:pt idx="4098">
                  <c:v>1428.867</c:v>
                </c:pt>
                <c:pt idx="4099">
                  <c:v>1412.5472600000001</c:v>
                </c:pt>
                <c:pt idx="4100">
                  <c:v>1398.0345600000001</c:v>
                </c:pt>
                <c:pt idx="4101">
                  <c:v>1405.55216</c:v>
                </c:pt>
                <c:pt idx="4102">
                  <c:v>1396.70388</c:v>
                </c:pt>
                <c:pt idx="4103">
                  <c:v>1393.5276399999998</c:v>
                </c:pt>
                <c:pt idx="4104">
                  <c:v>1392.44832</c:v>
                </c:pt>
                <c:pt idx="4105">
                  <c:v>1403.4124800000002</c:v>
                </c:pt>
                <c:pt idx="4106">
                  <c:v>1387.6612300000002</c:v>
                </c:pt>
                <c:pt idx="4107">
                  <c:v>1375.52952</c:v>
                </c:pt>
                <c:pt idx="4108">
                  <c:v>1379.89742</c:v>
                </c:pt>
                <c:pt idx="4109">
                  <c:v>1381.7951</c:v>
                </c:pt>
                <c:pt idx="4110">
                  <c:v>1382.4712</c:v>
                </c:pt>
                <c:pt idx="4111">
                  <c:v>1411.7524000000001</c:v>
                </c:pt>
                <c:pt idx="4112">
                  <c:v>1424.06963</c:v>
                </c:pt>
                <c:pt idx="4113">
                  <c:v>1427.2302399999999</c:v>
                </c:pt>
                <c:pt idx="4114">
                  <c:v>1431.0044</c:v>
                </c:pt>
                <c:pt idx="4115">
                  <c:v>1408.38716</c:v>
                </c:pt>
                <c:pt idx="4116">
                  <c:v>1375.6862399999998</c:v>
                </c:pt>
                <c:pt idx="4117">
                  <c:v>1417.4653599999999</c:v>
                </c:pt>
                <c:pt idx="4118">
                  <c:v>1416.68488</c:v>
                </c:pt>
                <c:pt idx="4119">
                  <c:v>1390.6266000000001</c:v>
                </c:pt>
                <c:pt idx="4120">
                  <c:v>1378.5814399999999</c:v>
                </c:pt>
                <c:pt idx="4121">
                  <c:v>1378.4522600000003</c:v>
                </c:pt>
                <c:pt idx="4122">
                  <c:v>1380.70218</c:v>
                </c:pt>
                <c:pt idx="4123">
                  <c:v>1385.3575199999998</c:v>
                </c:pt>
                <c:pt idx="4124">
                  <c:v>1380.2911199999999</c:v>
                </c:pt>
                <c:pt idx="4125">
                  <c:v>1391.1313500000001</c:v>
                </c:pt>
                <c:pt idx="4126">
                  <c:v>1392.6</c:v>
                </c:pt>
                <c:pt idx="4127">
                  <c:v>1377.8693799999999</c:v>
                </c:pt>
                <c:pt idx="4128">
                  <c:v>1361.9166999999998</c:v>
                </c:pt>
                <c:pt idx="4129">
                  <c:v>1349.3270399999999</c:v>
                </c:pt>
                <c:pt idx="4130">
                  <c:v>1383.7401600000001</c:v>
                </c:pt>
                <c:pt idx="4131">
                  <c:v>1387.3173999999999</c:v>
                </c:pt>
                <c:pt idx="4132">
                  <c:v>1369.97245</c:v>
                </c:pt>
                <c:pt idx="4133">
                  <c:v>1362.4790700000001</c:v>
                </c:pt>
                <c:pt idx="4134">
                  <c:v>1349.4785000000002</c:v>
                </c:pt>
                <c:pt idx="4135">
                  <c:v>1341.2290600000001</c:v>
                </c:pt>
                <c:pt idx="4136">
                  <c:v>1332.0345600000001</c:v>
                </c:pt>
                <c:pt idx="4137">
                  <c:v>1369.605</c:v>
                </c:pt>
                <c:pt idx="4138">
                  <c:v>1368.7757999999999</c:v>
                </c:pt>
                <c:pt idx="4139">
                  <c:v>1397.3176799999999</c:v>
                </c:pt>
                <c:pt idx="4140">
                  <c:v>1399.24279</c:v>
                </c:pt>
                <c:pt idx="4141">
                  <c:v>1398.1822999999999</c:v>
                </c:pt>
                <c:pt idx="4142">
                  <c:v>1381.104</c:v>
                </c:pt>
                <c:pt idx="4143">
                  <c:v>1401.1357499999999</c:v>
                </c:pt>
                <c:pt idx="4144">
                  <c:v>1402.8033599999999</c:v>
                </c:pt>
                <c:pt idx="4145">
                  <c:v>1386.3425599999998</c:v>
                </c:pt>
                <c:pt idx="4146">
                  <c:v>1369.8199400000001</c:v>
                </c:pt>
                <c:pt idx="4147">
                  <c:v>1356.3885</c:v>
                </c:pt>
                <c:pt idx="4148">
                  <c:v>1354.8600000000001</c:v>
                </c:pt>
                <c:pt idx="4149">
                  <c:v>1350.0761400000001</c:v>
                </c:pt>
                <c:pt idx="4150">
                  <c:v>1358.8205799999998</c:v>
                </c:pt>
                <c:pt idx="4151">
                  <c:v>1379.4748499999998</c:v>
                </c:pt>
                <c:pt idx="4152">
                  <c:v>1388.9203199999999</c:v>
                </c:pt>
                <c:pt idx="4153">
                  <c:v>1344.6960000000001</c:v>
                </c:pt>
                <c:pt idx="4154">
                  <c:v>1352.0229599999998</c:v>
                </c:pt>
                <c:pt idx="4155">
                  <c:v>1357.4304</c:v>
                </c:pt>
                <c:pt idx="4156">
                  <c:v>1344.5222399999998</c:v>
                </c:pt>
                <c:pt idx="4157">
                  <c:v>1354.2888399999999</c:v>
                </c:pt>
                <c:pt idx="4158">
                  <c:v>1342.7029199999999</c:v>
                </c:pt>
                <c:pt idx="4159">
                  <c:v>1328.4648</c:v>
                </c:pt>
                <c:pt idx="4160">
                  <c:v>1305.5921999999998</c:v>
                </c:pt>
                <c:pt idx="4161">
                  <c:v>1292.7411199999999</c:v>
                </c:pt>
                <c:pt idx="4162">
                  <c:v>1281.7991999999999</c:v>
                </c:pt>
                <c:pt idx="4163">
                  <c:v>1266.1103699999999</c:v>
                </c:pt>
                <c:pt idx="4164">
                  <c:v>1258.9468200000001</c:v>
                </c:pt>
                <c:pt idx="4165">
                  <c:v>1270.9062300000001</c:v>
                </c:pt>
                <c:pt idx="4166">
                  <c:v>1270.3981999999999</c:v>
                </c:pt>
                <c:pt idx="4167">
                  <c:v>1239.9351199999999</c:v>
                </c:pt>
                <c:pt idx="4168">
                  <c:v>1225.2416800000001</c:v>
                </c:pt>
                <c:pt idx="4169">
                  <c:v>1244.8742399999999</c:v>
                </c:pt>
                <c:pt idx="4170">
                  <c:v>1237.3110100000001</c:v>
                </c:pt>
                <c:pt idx="4171">
                  <c:v>1208.92436</c:v>
                </c:pt>
                <c:pt idx="4172">
                  <c:v>1197.9341000000002</c:v>
                </c:pt>
                <c:pt idx="4173">
                  <c:v>1193.18499</c:v>
                </c:pt>
                <c:pt idx="4174">
                  <c:v>1187.41896</c:v>
                </c:pt>
                <c:pt idx="4175">
                  <c:v>1195.0186799999999</c:v>
                </c:pt>
                <c:pt idx="4176">
                  <c:v>1182.174</c:v>
                </c:pt>
                <c:pt idx="4177">
                  <c:v>1196.7723900000001</c:v>
                </c:pt>
                <c:pt idx="4178">
                  <c:v>1170.73125</c:v>
                </c:pt>
                <c:pt idx="4179">
                  <c:v>1162.09212</c:v>
                </c:pt>
                <c:pt idx="4180">
                  <c:v>1188.79314</c:v>
                </c:pt>
                <c:pt idx="4181">
                  <c:v>1231.4969799999999</c:v>
                </c:pt>
                <c:pt idx="4182">
                  <c:v>1238.5731600000001</c:v>
                </c:pt>
                <c:pt idx="4183">
                  <c:v>1263.15723</c:v>
                </c:pt>
                <c:pt idx="4184">
                  <c:v>1263.3415399999999</c:v>
                </c:pt>
                <c:pt idx="4185">
                  <c:v>1242.8321399999998</c:v>
                </c:pt>
                <c:pt idx="4186">
                  <c:v>1263.0453200000002</c:v>
                </c:pt>
                <c:pt idx="4187">
                  <c:v>1241.54242</c:v>
                </c:pt>
                <c:pt idx="4188">
                  <c:v>1241.52252</c:v>
                </c:pt>
                <c:pt idx="4189">
                  <c:v>1226.62644</c:v>
                </c:pt>
                <c:pt idx="4190">
                  <c:v>1225.8654999999999</c:v>
                </c:pt>
                <c:pt idx="4191">
                  <c:v>1220.7902799999999</c:v>
                </c:pt>
                <c:pt idx="4192">
                  <c:v>1239.9156</c:v>
                </c:pt>
                <c:pt idx="4193">
                  <c:v>1254.68712</c:v>
                </c:pt>
                <c:pt idx="4194">
                  <c:v>1246.1043099999999</c:v>
                </c:pt>
                <c:pt idx="4195">
                  <c:v>1222.3043600000001</c:v>
                </c:pt>
                <c:pt idx="4196">
                  <c:v>1260.49872</c:v>
                </c:pt>
                <c:pt idx="4197">
                  <c:v>1266.6490800000001</c:v>
                </c:pt>
                <c:pt idx="4198">
                  <c:v>1299.3867600000001</c:v>
                </c:pt>
                <c:pt idx="4199">
                  <c:v>1310.7320500000001</c:v>
                </c:pt>
                <c:pt idx="4200">
                  <c:v>1296.8896500000001</c:v>
                </c:pt>
                <c:pt idx="4201">
                  <c:v>1295.22496</c:v>
                </c:pt>
                <c:pt idx="4202">
                  <c:v>1293.1168599999999</c:v>
                </c:pt>
                <c:pt idx="4203">
                  <c:v>1263.6920799999998</c:v>
                </c:pt>
                <c:pt idx="4204">
                  <c:v>1268.9982199999999</c:v>
                </c:pt>
                <c:pt idx="4205">
                  <c:v>1299.5355999999999</c:v>
                </c:pt>
                <c:pt idx="4206">
                  <c:v>1316.55</c:v>
                </c:pt>
                <c:pt idx="4207">
                  <c:v>1343.5128</c:v>
                </c:pt>
                <c:pt idx="4208">
                  <c:v>1350.4766799999998</c:v>
                </c:pt>
                <c:pt idx="4209">
                  <c:v>1358.20436</c:v>
                </c:pt>
                <c:pt idx="4210">
                  <c:v>1369.0648799999999</c:v>
                </c:pt>
                <c:pt idx="4211">
                  <c:v>1370.3657099999998</c:v>
                </c:pt>
                <c:pt idx="4212">
                  <c:v>1374.4699499999999</c:v>
                </c:pt>
                <c:pt idx="4213">
                  <c:v>1350.7413299999998</c:v>
                </c:pt>
                <c:pt idx="4214">
                  <c:v>1342.7497499999999</c:v>
                </c:pt>
                <c:pt idx="4215">
                  <c:v>1356.2106600000002</c:v>
                </c:pt>
                <c:pt idx="4216">
                  <c:v>1341.57088</c:v>
                </c:pt>
                <c:pt idx="4217">
                  <c:v>1370.6457200000002</c:v>
                </c:pt>
                <c:pt idx="4218">
                  <c:v>1380.89355</c:v>
                </c:pt>
                <c:pt idx="4219">
                  <c:v>1404.6645600000002</c:v>
                </c:pt>
                <c:pt idx="4220">
                  <c:v>1411.92742</c:v>
                </c:pt>
                <c:pt idx="4221">
                  <c:v>1414.4145699999999</c:v>
                </c:pt>
                <c:pt idx="4222">
                  <c:v>1429.9787999999999</c:v>
                </c:pt>
                <c:pt idx="4223">
                  <c:v>1444.3842599999998</c:v>
                </c:pt>
                <c:pt idx="4224">
                  <c:v>1426.4954</c:v>
                </c:pt>
                <c:pt idx="4225">
                  <c:v>1447.7472000000002</c:v>
                </c:pt>
                <c:pt idx="4226">
                  <c:v>1451.7449800000002</c:v>
                </c:pt>
                <c:pt idx="4227">
                  <c:v>1436.0517499999999</c:v>
                </c:pt>
                <c:pt idx="4228">
                  <c:v>1474.2781799999998</c:v>
                </c:pt>
                <c:pt idx="4229">
                  <c:v>1482.48632</c:v>
                </c:pt>
                <c:pt idx="4230">
                  <c:v>1495.5288000000003</c:v>
                </c:pt>
                <c:pt idx="4231">
                  <c:v>1504.5912000000003</c:v>
                </c:pt>
                <c:pt idx="4232">
                  <c:v>1500.0516299999999</c:v>
                </c:pt>
                <c:pt idx="4233">
                  <c:v>1516.8746399999998</c:v>
                </c:pt>
                <c:pt idx="4234">
                  <c:v>1509.5463599999998</c:v>
                </c:pt>
                <c:pt idx="4235">
                  <c:v>1535.60374</c:v>
                </c:pt>
                <c:pt idx="4236">
                  <c:v>1541.5431500000002</c:v>
                </c:pt>
                <c:pt idx="4237">
                  <c:v>1508.3790000000001</c:v>
                </c:pt>
                <c:pt idx="4238">
                  <c:v>1523.6100000000001</c:v>
                </c:pt>
                <c:pt idx="4239">
                  <c:v>1515.63888</c:v>
                </c:pt>
                <c:pt idx="4240">
                  <c:v>1546.2460299999998</c:v>
                </c:pt>
                <c:pt idx="4241">
                  <c:v>1551.8793600000001</c:v>
                </c:pt>
                <c:pt idx="4242">
                  <c:v>1515.4892</c:v>
                </c:pt>
                <c:pt idx="4243">
                  <c:v>1524.3760000000002</c:v>
                </c:pt>
                <c:pt idx="4244">
                  <c:v>1510.8184799999997</c:v>
                </c:pt>
                <c:pt idx="4245">
                  <c:v>1505.1016500000001</c:v>
                </c:pt>
                <c:pt idx="4246">
                  <c:v>1492.9001999999998</c:v>
                </c:pt>
                <c:pt idx="4247">
                  <c:v>1482.9428799999998</c:v>
                </c:pt>
                <c:pt idx="4248">
                  <c:v>1462.27781</c:v>
                </c:pt>
                <c:pt idx="4249">
                  <c:v>1431.16436</c:v>
                </c:pt>
                <c:pt idx="4250">
                  <c:v>1425.8187</c:v>
                </c:pt>
                <c:pt idx="4251">
                  <c:v>1411.5024000000001</c:v>
                </c:pt>
                <c:pt idx="4252">
                  <c:v>1410.5371</c:v>
                </c:pt>
                <c:pt idx="4253">
                  <c:v>1386.1166200000002</c:v>
                </c:pt>
                <c:pt idx="4254">
                  <c:v>1387.8302100000001</c:v>
                </c:pt>
                <c:pt idx="4255">
                  <c:v>1392.3862800000002</c:v>
                </c:pt>
                <c:pt idx="4256">
                  <c:v>1398.7079799999999</c:v>
                </c:pt>
                <c:pt idx="4257">
                  <c:v>1353.8340000000001</c:v>
                </c:pt>
                <c:pt idx="4258">
                  <c:v>1347.1437000000001</c:v>
                </c:pt>
                <c:pt idx="4259">
                  <c:v>1377.3240000000001</c:v>
                </c:pt>
                <c:pt idx="4260">
                  <c:v>1373.25405</c:v>
                </c:pt>
                <c:pt idx="4261">
                  <c:v>1368.2111000000002</c:v>
                </c:pt>
                <c:pt idx="4262">
                  <c:v>1390.8382200000001</c:v>
                </c:pt>
                <c:pt idx="4263">
                  <c:v>1385.2611199999999</c:v>
                </c:pt>
                <c:pt idx="4264">
                  <c:v>1403.6007000000002</c:v>
                </c:pt>
                <c:pt idx="4265">
                  <c:v>1400.79088</c:v>
                </c:pt>
                <c:pt idx="4266">
                  <c:v>1376.27064</c:v>
                </c:pt>
                <c:pt idx="4267">
                  <c:v>1363.14885</c:v>
                </c:pt>
                <c:pt idx="4268">
                  <c:v>1373.90615</c:v>
                </c:pt>
                <c:pt idx="4269">
                  <c:v>1398.28098</c:v>
                </c:pt>
                <c:pt idx="4270">
                  <c:v>1388.8344</c:v>
                </c:pt>
                <c:pt idx="4271">
                  <c:v>1370.5632000000001</c:v>
                </c:pt>
                <c:pt idx="4272">
                  <c:v>1404.60436</c:v>
                </c:pt>
                <c:pt idx="4273">
                  <c:v>1360.8211200000001</c:v>
                </c:pt>
                <c:pt idx="4274">
                  <c:v>1370.4130399999999</c:v>
                </c:pt>
                <c:pt idx="4275">
                  <c:v>1386.3134499999999</c:v>
                </c:pt>
                <c:pt idx="4276">
                  <c:v>1385.3107499999999</c:v>
                </c:pt>
                <c:pt idx="4277">
                  <c:v>1395.9888999999998</c:v>
                </c:pt>
                <c:pt idx="4278">
                  <c:v>1386.4047</c:v>
                </c:pt>
                <c:pt idx="4279">
                  <c:v>1405.9748</c:v>
                </c:pt>
                <c:pt idx="4280">
                  <c:v>1402.7745600000001</c:v>
                </c:pt>
                <c:pt idx="4281">
                  <c:v>1431.9644000000001</c:v>
                </c:pt>
                <c:pt idx="4282">
                  <c:v>1436.1477800000002</c:v>
                </c:pt>
                <c:pt idx="4283">
                  <c:v>1448.5128</c:v>
                </c:pt>
                <c:pt idx="4284">
                  <c:v>1436.6989999999998</c:v>
                </c:pt>
                <c:pt idx="4285">
                  <c:v>1433.1396</c:v>
                </c:pt>
                <c:pt idx="4286">
                  <c:v>1421.3293499999997</c:v>
                </c:pt>
                <c:pt idx="4287">
                  <c:v>1443.42616</c:v>
                </c:pt>
                <c:pt idx="4288">
                  <c:v>1430.0166800000002</c:v>
                </c:pt>
                <c:pt idx="4289">
                  <c:v>1435.8311100000001</c:v>
                </c:pt>
                <c:pt idx="4290">
                  <c:v>1416.807</c:v>
                </c:pt>
                <c:pt idx="4291">
                  <c:v>1402.3551600000001</c:v>
                </c:pt>
                <c:pt idx="4292">
                  <c:v>1418.4687300000001</c:v>
                </c:pt>
                <c:pt idx="4293">
                  <c:v>1452.37409</c:v>
                </c:pt>
                <c:pt idx="4294">
                  <c:v>1475.6925699999999</c:v>
                </c:pt>
                <c:pt idx="4295">
                  <c:v>1495.8349800000001</c:v>
                </c:pt>
                <c:pt idx="4296">
                  <c:v>1463.5052799999999</c:v>
                </c:pt>
                <c:pt idx="4297">
                  <c:v>1464.8005900000001</c:v>
                </c:pt>
                <c:pt idx="4298">
                  <c:v>1467.7221999999999</c:v>
                </c:pt>
                <c:pt idx="4299">
                  <c:v>1471.1733800000002</c:v>
                </c:pt>
                <c:pt idx="4300">
                  <c:v>1493.69955</c:v>
                </c:pt>
                <c:pt idx="4301">
                  <c:v>1495.3651600000001</c:v>
                </c:pt>
                <c:pt idx="4302">
                  <c:v>1487.4036000000001</c:v>
                </c:pt>
                <c:pt idx="4303">
                  <c:v>1471.5238399999998</c:v>
                </c:pt>
                <c:pt idx="4304">
                  <c:v>1481.05404</c:v>
                </c:pt>
                <c:pt idx="4305">
                  <c:v>1461.4165499999999</c:v>
                </c:pt>
                <c:pt idx="4306">
                  <c:v>1464.66956</c:v>
                </c:pt>
                <c:pt idx="4307">
                  <c:v>1460.7637499999998</c:v>
                </c:pt>
                <c:pt idx="4308">
                  <c:v>1457.9460000000001</c:v>
                </c:pt>
                <c:pt idx="4309">
                  <c:v>1471.78683</c:v>
                </c:pt>
                <c:pt idx="4310">
                  <c:v>1457.155</c:v>
                </c:pt>
                <c:pt idx="4311">
                  <c:v>1461.9163199999998</c:v>
                </c:pt>
                <c:pt idx="4312">
                  <c:v>1487.4106800000002</c:v>
                </c:pt>
                <c:pt idx="4313">
                  <c:v>1494.2236999999998</c:v>
                </c:pt>
                <c:pt idx="4314">
                  <c:v>1493.29125</c:v>
                </c:pt>
                <c:pt idx="4315">
                  <c:v>1486.7520000000002</c:v>
                </c:pt>
                <c:pt idx="4316">
                  <c:v>1480.11472</c:v>
                </c:pt>
                <c:pt idx="4317">
                  <c:v>1463.4885599999998</c:v>
                </c:pt>
                <c:pt idx="4318">
                  <c:v>1474.1856000000002</c:v>
                </c:pt>
                <c:pt idx="4319">
                  <c:v>1468.38627</c:v>
                </c:pt>
                <c:pt idx="4320">
                  <c:v>1475.2060000000001</c:v>
                </c:pt>
                <c:pt idx="4321">
                  <c:v>1464.7546499999999</c:v>
                </c:pt>
                <c:pt idx="4322">
                  <c:v>1479.4115099999999</c:v>
                </c:pt>
                <c:pt idx="4323">
                  <c:v>1483.7862499999999</c:v>
                </c:pt>
                <c:pt idx="4324">
                  <c:v>1492.3348000000001</c:v>
                </c:pt>
                <c:pt idx="4325">
                  <c:v>1464.6441599999998</c:v>
                </c:pt>
                <c:pt idx="4326">
                  <c:v>1464.0507499999999</c:v>
                </c:pt>
                <c:pt idx="4327">
                  <c:v>1470.3405500000001</c:v>
                </c:pt>
                <c:pt idx="4328">
                  <c:v>1473.4383</c:v>
                </c:pt>
                <c:pt idx="4329">
                  <c:v>1521.0013600000002</c:v>
                </c:pt>
                <c:pt idx="4330">
                  <c:v>1511.7976999999998</c:v>
                </c:pt>
                <c:pt idx="4331">
                  <c:v>1517.1316200000001</c:v>
                </c:pt>
                <c:pt idx="4332">
                  <c:v>1512.5690199999999</c:v>
                </c:pt>
                <c:pt idx="4333">
                  <c:v>1496.1904</c:v>
                </c:pt>
                <c:pt idx="4334">
                  <c:v>1488.6684200000002</c:v>
                </c:pt>
                <c:pt idx="4335">
                  <c:v>1490.0739599999999</c:v>
                </c:pt>
                <c:pt idx="4336">
                  <c:v>1481.2016800000001</c:v>
                </c:pt>
                <c:pt idx="4337">
                  <c:v>1474.2719400000001</c:v>
                </c:pt>
                <c:pt idx="4338">
                  <c:v>1505.2093600000001</c:v>
                </c:pt>
                <c:pt idx="4339">
                  <c:v>1527.32375</c:v>
                </c:pt>
                <c:pt idx="4340">
                  <c:v>1532.4065499999999</c:v>
                </c:pt>
                <c:pt idx="4341">
                  <c:v>1515.9516000000001</c:v>
                </c:pt>
                <c:pt idx="4342">
                  <c:v>1531.8947599999999</c:v>
                </c:pt>
                <c:pt idx="4343">
                  <c:v>1522.1889999999999</c:v>
                </c:pt>
                <c:pt idx="4344">
                  <c:v>1524.2870499999999</c:v>
                </c:pt>
                <c:pt idx="4345">
                  <c:v>1513.1031</c:v>
                </c:pt>
                <c:pt idx="4346">
                  <c:v>1531.3304699999999</c:v>
                </c:pt>
                <c:pt idx="4347">
                  <c:v>1504.7941999999998</c:v>
                </c:pt>
                <c:pt idx="4348">
                  <c:v>1515.4861600000002</c:v>
                </c:pt>
                <c:pt idx="4349">
                  <c:v>1527.05511</c:v>
                </c:pt>
                <c:pt idx="4350">
                  <c:v>1522.7717400000001</c:v>
                </c:pt>
                <c:pt idx="4351">
                  <c:v>1531.5695999999998</c:v>
                </c:pt>
                <c:pt idx="4352">
                  <c:v>1519.3873600000002</c:v>
                </c:pt>
                <c:pt idx="4353">
                  <c:v>1497.6208000000001</c:v>
                </c:pt>
                <c:pt idx="4354">
                  <c:v>1488.7355</c:v>
                </c:pt>
                <c:pt idx="4355">
                  <c:v>1499.3014599999999</c:v>
                </c:pt>
                <c:pt idx="4356">
                  <c:v>1511.4024999999999</c:v>
                </c:pt>
                <c:pt idx="4357">
                  <c:v>1508.8606399999996</c:v>
                </c:pt>
                <c:pt idx="4358">
                  <c:v>1507.17084</c:v>
                </c:pt>
                <c:pt idx="4359">
                  <c:v>1515.0915</c:v>
                </c:pt>
                <c:pt idx="4360">
                  <c:v>1525.62501</c:v>
                </c:pt>
                <c:pt idx="4361">
                  <c:v>1494.1125</c:v>
                </c:pt>
                <c:pt idx="4362">
                  <c:v>1461.91164</c:v>
                </c:pt>
                <c:pt idx="4363">
                  <c:v>1485.2103</c:v>
                </c:pt>
                <c:pt idx="4364">
                  <c:v>1478.4995199999998</c:v>
                </c:pt>
                <c:pt idx="4365">
                  <c:v>1454.3312000000001</c:v>
                </c:pt>
                <c:pt idx="4366">
                  <c:v>1491.1336000000001</c:v>
                </c:pt>
                <c:pt idx="4367">
                  <c:v>1530.76549</c:v>
                </c:pt>
                <c:pt idx="4368">
                  <c:v>1526.9463000000001</c:v>
                </c:pt>
                <c:pt idx="4369">
                  <c:v>1562.1588000000002</c:v>
                </c:pt>
                <c:pt idx="4370">
                  <c:v>1535.5340000000001</c:v>
                </c:pt>
                <c:pt idx="4371">
                  <c:v>1510.12392</c:v>
                </c:pt>
                <c:pt idx="4372">
                  <c:v>1512.71208</c:v>
                </c:pt>
                <c:pt idx="4373">
                  <c:v>1529.23126</c:v>
                </c:pt>
                <c:pt idx="4374">
                  <c:v>1513.70652</c:v>
                </c:pt>
                <c:pt idx="4375">
                  <c:v>1495.4730000000002</c:v>
                </c:pt>
                <c:pt idx="4376">
                  <c:v>1511.5305699999999</c:v>
                </c:pt>
                <c:pt idx="4377">
                  <c:v>1480.80474</c:v>
                </c:pt>
                <c:pt idx="4378">
                  <c:v>1491.7727000000002</c:v>
                </c:pt>
                <c:pt idx="4379">
                  <c:v>1503.3056999999999</c:v>
                </c:pt>
                <c:pt idx="4380">
                  <c:v>1496.46144</c:v>
                </c:pt>
                <c:pt idx="4381">
                  <c:v>1472.1265599999999</c:v>
                </c:pt>
                <c:pt idx="4382">
                  <c:v>1475.7248</c:v>
                </c:pt>
                <c:pt idx="4383">
                  <c:v>1475.3455800000002</c:v>
                </c:pt>
                <c:pt idx="4384">
                  <c:v>1486.7467799999999</c:v>
                </c:pt>
                <c:pt idx="4385">
                  <c:v>1521.5360799999999</c:v>
                </c:pt>
                <c:pt idx="4386">
                  <c:v>1529.5616</c:v>
                </c:pt>
                <c:pt idx="4387">
                  <c:v>1524.9787800000001</c:v>
                </c:pt>
                <c:pt idx="4388">
                  <c:v>1497.748</c:v>
                </c:pt>
                <c:pt idx="4389">
                  <c:v>1481.0010499999999</c:v>
                </c:pt>
                <c:pt idx="4390">
                  <c:v>1476.6571999999999</c:v>
                </c:pt>
                <c:pt idx="4391">
                  <c:v>1460.1400199999998</c:v>
                </c:pt>
                <c:pt idx="4392">
                  <c:v>1466.3903999999998</c:v>
                </c:pt>
                <c:pt idx="4393">
                  <c:v>1425.8556199999998</c:v>
                </c:pt>
                <c:pt idx="4394">
                  <c:v>1408.8774000000001</c:v>
                </c:pt>
                <c:pt idx="4395">
                  <c:v>1403.2592500000001</c:v>
                </c:pt>
                <c:pt idx="4396">
                  <c:v>1379.0672400000001</c:v>
                </c:pt>
                <c:pt idx="4397">
                  <c:v>1396.18622</c:v>
                </c:pt>
                <c:pt idx="4398">
                  <c:v>1401.87744</c:v>
                </c:pt>
                <c:pt idx="4399">
                  <c:v>1366.0873799999999</c:v>
                </c:pt>
                <c:pt idx="4400">
                  <c:v>1375.3039999999999</c:v>
                </c:pt>
                <c:pt idx="4401">
                  <c:v>1377.30495</c:v>
                </c:pt>
                <c:pt idx="4402">
                  <c:v>1392.5175200000001</c:v>
                </c:pt>
                <c:pt idx="4403">
                  <c:v>1399.2049999999999</c:v>
                </c:pt>
                <c:pt idx="4404">
                  <c:v>1405.7358800000002</c:v>
                </c:pt>
                <c:pt idx="4405">
                  <c:v>1413.3099500000001</c:v>
                </c:pt>
                <c:pt idx="4406">
                  <c:v>1417.6817500000002</c:v>
                </c:pt>
                <c:pt idx="4407">
                  <c:v>1404.9075399999999</c:v>
                </c:pt>
                <c:pt idx="4408">
                  <c:v>1422.2629499999998</c:v>
                </c:pt>
                <c:pt idx="4409">
                  <c:v>1447.76522</c:v>
                </c:pt>
                <c:pt idx="4410">
                  <c:v>1447.31916</c:v>
                </c:pt>
                <c:pt idx="4411">
                  <c:v>1453.1743600000002</c:v>
                </c:pt>
                <c:pt idx="4412">
                  <c:v>1427.96992</c:v>
                </c:pt>
                <c:pt idx="4413">
                  <c:v>1409.1525000000001</c:v>
                </c:pt>
                <c:pt idx="4414">
                  <c:v>1389.2616499999999</c:v>
                </c:pt>
                <c:pt idx="4415">
                  <c:v>1427.1230099999998</c:v>
                </c:pt>
                <c:pt idx="4416">
                  <c:v>1336.1919</c:v>
                </c:pt>
                <c:pt idx="4417">
                  <c:v>1436.3810999999998</c:v>
                </c:pt>
                <c:pt idx="4418">
                  <c:v>1463.4456299999999</c:v>
                </c:pt>
                <c:pt idx="4419">
                  <c:v>1489.12078</c:v>
                </c:pt>
                <c:pt idx="4420">
                  <c:v>1529.6164600000002</c:v>
                </c:pt>
                <c:pt idx="4421">
                  <c:v>1520.5544000000002</c:v>
                </c:pt>
                <c:pt idx="4422">
                  <c:v>1515.8413599999999</c:v>
                </c:pt>
                <c:pt idx="4423">
                  <c:v>1531.08384</c:v>
                </c:pt>
                <c:pt idx="4424">
                  <c:v>1540.25559</c:v>
                </c:pt>
                <c:pt idx="4425">
                  <c:v>1535.88552</c:v>
                </c:pt>
                <c:pt idx="4426">
                  <c:v>1539.9896199999998</c:v>
                </c:pt>
                <c:pt idx="4427">
                  <c:v>1548.1213499999999</c:v>
                </c:pt>
                <c:pt idx="4428">
                  <c:v>1564.3419200000003</c:v>
                </c:pt>
                <c:pt idx="4429">
                  <c:v>1572.7397699999997</c:v>
                </c:pt>
                <c:pt idx="4430">
                  <c:v>1618.0652599999999</c:v>
                </c:pt>
                <c:pt idx="4431">
                  <c:v>1605.1780799999999</c:v>
                </c:pt>
                <c:pt idx="4432">
                  <c:v>1619.3242</c:v>
                </c:pt>
                <c:pt idx="4433">
                  <c:v>1609.0452700000001</c:v>
                </c:pt>
                <c:pt idx="4434">
                  <c:v>1622.9507199999998</c:v>
                </c:pt>
                <c:pt idx="4435">
                  <c:v>1625.9449500000001</c:v>
                </c:pt>
                <c:pt idx="4436">
                  <c:v>1628.0771299999999</c:v>
                </c:pt>
                <c:pt idx="4437">
                  <c:v>1643.8067000000001</c:v>
                </c:pt>
                <c:pt idx="4438">
                  <c:v>1641.4285400000001</c:v>
                </c:pt>
                <c:pt idx="4439">
                  <c:v>1653.2053200000003</c:v>
                </c:pt>
                <c:pt idx="4440">
                  <c:v>1645.2922500000002</c:v>
                </c:pt>
                <c:pt idx="4441">
                  <c:v>1665.98478</c:v>
                </c:pt>
                <c:pt idx="4442">
                  <c:v>1651.0181399999999</c:v>
                </c:pt>
                <c:pt idx="4443">
                  <c:v>1644.5347000000002</c:v>
                </c:pt>
                <c:pt idx="4444">
                  <c:v>1615.2119499999999</c:v>
                </c:pt>
                <c:pt idx="4445">
                  <c:v>1589.4816000000001</c:v>
                </c:pt>
                <c:pt idx="4446">
                  <c:v>1568.2344599999999</c:v>
                </c:pt>
                <c:pt idx="4447">
                  <c:v>1569.5780999999999</c:v>
                </c:pt>
                <c:pt idx="4448">
                  <c:v>1570.2686400000002</c:v>
                </c:pt>
                <c:pt idx="4449">
                  <c:v>1582.0159999999998</c:v>
                </c:pt>
                <c:pt idx="4450">
                  <c:v>1576.3448800000001</c:v>
                </c:pt>
                <c:pt idx="4451">
                  <c:v>1593.3439500000002</c:v>
                </c:pt>
                <c:pt idx="4452">
                  <c:v>1588.6923199999999</c:v>
                </c:pt>
                <c:pt idx="4453">
                  <c:v>1573.6012799999999</c:v>
                </c:pt>
                <c:pt idx="4454">
                  <c:v>1567.6978500000002</c:v>
                </c:pt>
                <c:pt idx="4455">
                  <c:v>1568.6860799999997</c:v>
                </c:pt>
                <c:pt idx="4456">
                  <c:v>1546.9039299999999</c:v>
                </c:pt>
                <c:pt idx="4457">
                  <c:v>1538.4127599999999</c:v>
                </c:pt>
                <c:pt idx="4458">
                  <c:v>1527.4506000000001</c:v>
                </c:pt>
                <c:pt idx="4459">
                  <c:v>1543.0463999999999</c:v>
                </c:pt>
                <c:pt idx="4460">
                  <c:v>1555.71478</c:v>
                </c:pt>
                <c:pt idx="4461">
                  <c:v>1552.67984</c:v>
                </c:pt>
                <c:pt idx="4462">
                  <c:v>1555.7574999999999</c:v>
                </c:pt>
                <c:pt idx="4463">
                  <c:v>1577.4655</c:v>
                </c:pt>
                <c:pt idx="4464">
                  <c:v>1588.4337</c:v>
                </c:pt>
                <c:pt idx="4465">
                  <c:v>1578.31456</c:v>
                </c:pt>
                <c:pt idx="4466">
                  <c:v>1571.58375</c:v>
                </c:pt>
                <c:pt idx="4467">
                  <c:v>1586.9034000000001</c:v>
                </c:pt>
                <c:pt idx="4468">
                  <c:v>1622.7319199999999</c:v>
                </c:pt>
                <c:pt idx="4469">
                  <c:v>1603.0128</c:v>
                </c:pt>
                <c:pt idx="4470">
                  <c:v>1609.0274200000001</c:v>
                </c:pt>
                <c:pt idx="4471">
                  <c:v>1632.45046</c:v>
                </c:pt>
                <c:pt idx="4472">
                  <c:v>1642.2082599999999</c:v>
                </c:pt>
                <c:pt idx="4473">
                  <c:v>1661.0995399999999</c:v>
                </c:pt>
                <c:pt idx="4474">
                  <c:v>1662.587</c:v>
                </c:pt>
                <c:pt idx="4475">
                  <c:v>1678.5030399999998</c:v>
                </c:pt>
                <c:pt idx="4476">
                  <c:v>1668.3482200000001</c:v>
                </c:pt>
                <c:pt idx="4477">
                  <c:v>1678.9274499999999</c:v>
                </c:pt>
                <c:pt idx="4478">
                  <c:v>1683.2823000000001</c:v>
                </c:pt>
                <c:pt idx="4479">
                  <c:v>1693.7889499999997</c:v>
                </c:pt>
                <c:pt idx="4480">
                  <c:v>1699.8371999999999</c:v>
                </c:pt>
                <c:pt idx="4481">
                  <c:v>1699.4683699999998</c:v>
                </c:pt>
                <c:pt idx="4482">
                  <c:v>1699.3429600000002</c:v>
                </c:pt>
                <c:pt idx="4483">
                  <c:v>1662.3080400000001</c:v>
                </c:pt>
                <c:pt idx="4484">
                  <c:v>1663.42876</c:v>
                </c:pt>
                <c:pt idx="4485">
                  <c:v>1657.38156</c:v>
                </c:pt>
                <c:pt idx="4486">
                  <c:v>1698.8958</c:v>
                </c:pt>
                <c:pt idx="4487">
                  <c:v>1691.1637000000001</c:v>
                </c:pt>
                <c:pt idx="4488">
                  <c:v>1721.8674000000001</c:v>
                </c:pt>
                <c:pt idx="4489">
                  <c:v>1708.9670699999999</c:v>
                </c:pt>
                <c:pt idx="4490">
                  <c:v>1714.9475</c:v>
                </c:pt>
                <c:pt idx="4491">
                  <c:v>1715.2681200000002</c:v>
                </c:pt>
                <c:pt idx="4492">
                  <c:v>1733.3434</c:v>
                </c:pt>
                <c:pt idx="4493">
                  <c:v>1758.4443799999999</c:v>
                </c:pt>
                <c:pt idx="4494">
                  <c:v>1752.8070000000002</c:v>
                </c:pt>
                <c:pt idx="4495">
                  <c:v>1755.7145999999998</c:v>
                </c:pt>
                <c:pt idx="4496">
                  <c:v>1748.21624</c:v>
                </c:pt>
                <c:pt idx="4497">
                  <c:v>1746.6653399999998</c:v>
                </c:pt>
                <c:pt idx="4498">
                  <c:v>1758.8997999999999</c:v>
                </c:pt>
                <c:pt idx="4499">
                  <c:v>1759.2009300000002</c:v>
                </c:pt>
                <c:pt idx="4500">
                  <c:v>1760.0047400000001</c:v>
                </c:pt>
                <c:pt idx="4501">
                  <c:v>1739.7708</c:v>
                </c:pt>
                <c:pt idx="4502">
                  <c:v>1754.1720099999998</c:v>
                </c:pt>
                <c:pt idx="4503">
                  <c:v>1729.8506400000003</c:v>
                </c:pt>
                <c:pt idx="4504">
                  <c:v>1738.0429199999999</c:v>
                </c:pt>
                <c:pt idx="4505">
                  <c:v>1738.0898400000003</c:v>
                </c:pt>
                <c:pt idx="4506">
                  <c:v>1717.9846200000002</c:v>
                </c:pt>
                <c:pt idx="4507">
                  <c:v>1722.66318</c:v>
                </c:pt>
                <c:pt idx="4508">
                  <c:v>1715.2801999999999</c:v>
                </c:pt>
                <c:pt idx="4509">
                  <c:v>1700.3600800000002</c:v>
                </c:pt>
                <c:pt idx="4510">
                  <c:v>1679.4435599999999</c:v>
                </c:pt>
                <c:pt idx="4511">
                  <c:v>1690.7505299999998</c:v>
                </c:pt>
                <c:pt idx="4512">
                  <c:v>1678.6534199999999</c:v>
                </c:pt>
                <c:pt idx="4513">
                  <c:v>1669.8995</c:v>
                </c:pt>
                <c:pt idx="4514">
                  <c:v>1653.21597</c:v>
                </c:pt>
                <c:pt idx="4515">
                  <c:v>1636.2547499999998</c:v>
                </c:pt>
                <c:pt idx="4516">
                  <c:v>1646.66392</c:v>
                </c:pt>
                <c:pt idx="4517">
                  <c:v>1609.8456000000001</c:v>
                </c:pt>
                <c:pt idx="4518">
                  <c:v>1612.0065</c:v>
                </c:pt>
                <c:pt idx="4519">
                  <c:v>1615.3092799999997</c:v>
                </c:pt>
                <c:pt idx="4520">
                  <c:v>1619.4470999999999</c:v>
                </c:pt>
                <c:pt idx="4521">
                  <c:v>1636.6715999999999</c:v>
                </c:pt>
                <c:pt idx="4522">
                  <c:v>1622.62824</c:v>
                </c:pt>
                <c:pt idx="4523">
                  <c:v>1608.2976000000001</c:v>
                </c:pt>
                <c:pt idx="4524">
                  <c:v>1600.5174999999999</c:v>
                </c:pt>
                <c:pt idx="4525">
                  <c:v>1589.6696000000002</c:v>
                </c:pt>
                <c:pt idx="4526">
                  <c:v>1596.3673200000001</c:v>
                </c:pt>
                <c:pt idx="4527">
                  <c:v>1595.3708100000001</c:v>
                </c:pt>
                <c:pt idx="4528">
                  <c:v>1580.01214</c:v>
                </c:pt>
                <c:pt idx="4529">
                  <c:v>1581.34591</c:v>
                </c:pt>
                <c:pt idx="4530">
                  <c:v>1566.7073999999998</c:v>
                </c:pt>
                <c:pt idx="4531">
                  <c:v>1569.8537799999999</c:v>
                </c:pt>
                <c:pt idx="4532">
                  <c:v>1565.62725</c:v>
                </c:pt>
                <c:pt idx="4533">
                  <c:v>1565.7048000000002</c:v>
                </c:pt>
                <c:pt idx="4534">
                  <c:v>1572.2353800000001</c:v>
                </c:pt>
                <c:pt idx="4535">
                  <c:v>1578.5158999999999</c:v>
                </c:pt>
                <c:pt idx="4536">
                  <c:v>1573.4555499999999</c:v>
                </c:pt>
                <c:pt idx="4537">
                  <c:v>1576.57773</c:v>
                </c:pt>
                <c:pt idx="4538">
                  <c:v>1569.6790199999998</c:v>
                </c:pt>
                <c:pt idx="4539">
                  <c:v>1586.1363200000001</c:v>
                </c:pt>
                <c:pt idx="4540">
                  <c:v>1576.8468</c:v>
                </c:pt>
                <c:pt idx="4541">
                  <c:v>1559.0188000000001</c:v>
                </c:pt>
                <c:pt idx="4542">
                  <c:v>1558.3266000000001</c:v>
                </c:pt>
                <c:pt idx="4543">
                  <c:v>1546.7264400000001</c:v>
                </c:pt>
                <c:pt idx="4544">
                  <c:v>1545.1213399999999</c:v>
                </c:pt>
                <c:pt idx="4545">
                  <c:v>1541.65825</c:v>
                </c:pt>
                <c:pt idx="4546">
                  <c:v>1525.8061000000002</c:v>
                </c:pt>
                <c:pt idx="4547">
                  <c:v>1548.8746799999999</c:v>
                </c:pt>
                <c:pt idx="4548">
                  <c:v>1542.41867</c:v>
                </c:pt>
                <c:pt idx="4549">
                  <c:v>1523.30295</c:v>
                </c:pt>
                <c:pt idx="4550">
                  <c:v>1519.22866</c:v>
                </c:pt>
                <c:pt idx="4551">
                  <c:v>1536.2657099999999</c:v>
                </c:pt>
                <c:pt idx="4552">
                  <c:v>1513.4</c:v>
                </c:pt>
                <c:pt idx="4553">
                  <c:v>1522.4025599999998</c:v>
                </c:pt>
                <c:pt idx="4554">
                  <c:v>1512.0242699999999</c:v>
                </c:pt>
                <c:pt idx="4555">
                  <c:v>1495.6205</c:v>
                </c:pt>
                <c:pt idx="4556">
                  <c:v>1502.6297400000001</c:v>
                </c:pt>
                <c:pt idx="4557">
                  <c:v>1506.4998399999999</c:v>
                </c:pt>
                <c:pt idx="4558">
                  <c:v>1508.3496</c:v>
                </c:pt>
                <c:pt idx="4559">
                  <c:v>1486.0345500000001</c:v>
                </c:pt>
                <c:pt idx="4560">
                  <c:v>1491.8634</c:v>
                </c:pt>
                <c:pt idx="4561">
                  <c:v>1498.1564700000001</c:v>
                </c:pt>
                <c:pt idx="4562">
                  <c:v>1491.1277499999999</c:v>
                </c:pt>
                <c:pt idx="4563">
                  <c:v>1505.4216300000001</c:v>
                </c:pt>
                <c:pt idx="4564">
                  <c:v>1500.8333400000001</c:v>
                </c:pt>
                <c:pt idx="4565">
                  <c:v>1546.1275000000001</c:v>
                </c:pt>
                <c:pt idx="4566">
                  <c:v>1543.5898499999998</c:v>
                </c:pt>
                <c:pt idx="4567">
                  <c:v>1548.22434</c:v>
                </c:pt>
                <c:pt idx="4568">
                  <c:v>1552.9095400000001</c:v>
                </c:pt>
                <c:pt idx="4569">
                  <c:v>1540.7762499999999</c:v>
                </c:pt>
                <c:pt idx="4570">
                  <c:v>1527.6928000000003</c:v>
                </c:pt>
                <c:pt idx="4571">
                  <c:v>1514.5829999999999</c:v>
                </c:pt>
                <c:pt idx="4572">
                  <c:v>1526.3550399999999</c:v>
                </c:pt>
                <c:pt idx="4573">
                  <c:v>1553.59428</c:v>
                </c:pt>
                <c:pt idx="4574">
                  <c:v>1541.2105999999999</c:v>
                </c:pt>
                <c:pt idx="4575">
                  <c:v>1555.2174600000001</c:v>
                </c:pt>
                <c:pt idx="4576">
                  <c:v>1551.3489999999999</c:v>
                </c:pt>
                <c:pt idx="4577">
                  <c:v>1564.86843</c:v>
                </c:pt>
                <c:pt idx="4578">
                  <c:v>1553.89707</c:v>
                </c:pt>
                <c:pt idx="4579">
                  <c:v>1523.6194399999999</c:v>
                </c:pt>
                <c:pt idx="4580">
                  <c:v>1544.4817499999999</c:v>
                </c:pt>
                <c:pt idx="4581">
                  <c:v>1531.6659999999999</c:v>
                </c:pt>
                <c:pt idx="4582">
                  <c:v>1536.3613499999999</c:v>
                </c:pt>
                <c:pt idx="4583">
                  <c:v>1536.57826</c:v>
                </c:pt>
                <c:pt idx="4584">
                  <c:v>1565.9318000000001</c:v>
                </c:pt>
                <c:pt idx="4585">
                  <c:v>1565.1839200000002</c:v>
                </c:pt>
                <c:pt idx="4586">
                  <c:v>1581.7155399999999</c:v>
                </c:pt>
                <c:pt idx="4587">
                  <c:v>1580.9211199999997</c:v>
                </c:pt>
                <c:pt idx="4588">
                  <c:v>1572.1376</c:v>
                </c:pt>
                <c:pt idx="4589">
                  <c:v>1556.0958400000002</c:v>
                </c:pt>
                <c:pt idx="4590">
                  <c:v>1561.90984</c:v>
                </c:pt>
                <c:pt idx="4591">
                  <c:v>1567.0870599999998</c:v>
                </c:pt>
                <c:pt idx="4592">
                  <c:v>1560.2495999999999</c:v>
                </c:pt>
                <c:pt idx="4593">
                  <c:v>1557.6940999999999</c:v>
                </c:pt>
                <c:pt idx="4594">
                  <c:v>1536.5847200000001</c:v>
                </c:pt>
                <c:pt idx="4595">
                  <c:v>1541.0056000000002</c:v>
                </c:pt>
                <c:pt idx="4596">
                  <c:v>1524.0445999999997</c:v>
                </c:pt>
                <c:pt idx="4597">
                  <c:v>1511.5407300000002</c:v>
                </c:pt>
                <c:pt idx="4598">
                  <c:v>1519.2768000000001</c:v>
                </c:pt>
                <c:pt idx="4599">
                  <c:v>1517.65</c:v>
                </c:pt>
                <c:pt idx="4600">
                  <c:v>1514.87</c:v>
                </c:pt>
                <c:pt idx="4601">
                  <c:v>1511.2831799999999</c:v>
                </c:pt>
                <c:pt idx="4602">
                  <c:v>1523.7961200000002</c:v>
                </c:pt>
                <c:pt idx="4603">
                  <c:v>1542.9299199999998</c:v>
                </c:pt>
                <c:pt idx="4604">
                  <c:v>1539.7696499999997</c:v>
                </c:pt>
                <c:pt idx="4605">
                  <c:v>1542.5182199999999</c:v>
                </c:pt>
                <c:pt idx="4606">
                  <c:v>1533.8178600000001</c:v>
                </c:pt>
                <c:pt idx="4607">
                  <c:v>1526.48847</c:v>
                </c:pt>
                <c:pt idx="4608">
                  <c:v>1541.8336499999998</c:v>
                </c:pt>
                <c:pt idx="4609">
                  <c:v>1554.7418499999999</c:v>
                </c:pt>
                <c:pt idx="4610">
                  <c:v>1551.2535</c:v>
                </c:pt>
                <c:pt idx="4611">
                  <c:v>1553.3081999999999</c:v>
                </c:pt>
                <c:pt idx="4612">
                  <c:v>1573.30495</c:v>
                </c:pt>
                <c:pt idx="4613">
                  <c:v>1556.2635899999998</c:v>
                </c:pt>
                <c:pt idx="4614">
                  <c:v>1548.365</c:v>
                </c:pt>
                <c:pt idx="4615">
                  <c:v>1551.2028000000003</c:v>
                </c:pt>
                <c:pt idx="4616">
                  <c:v>1536.4700000000003</c:v>
                </c:pt>
                <c:pt idx="4617">
                  <c:v>1529.4695999999999</c:v>
                </c:pt>
                <c:pt idx="4618">
                  <c:v>1523.6624499999998</c:v>
                </c:pt>
                <c:pt idx="4619">
                  <c:v>1534.0152599999999</c:v>
                </c:pt>
                <c:pt idx="4620">
                  <c:v>1530.7056</c:v>
                </c:pt>
                <c:pt idx="4621">
                  <c:v>1519.2372800000001</c:v>
                </c:pt>
                <c:pt idx="4622">
                  <c:v>1520.9270999999999</c:v>
                </c:pt>
                <c:pt idx="4623">
                  <c:v>1509.8167200000003</c:v>
                </c:pt>
                <c:pt idx="4624">
                  <c:v>1529.36122</c:v>
                </c:pt>
                <c:pt idx="4625">
                  <c:v>1563.9319</c:v>
                </c:pt>
                <c:pt idx="4626">
                  <c:v>1557.3269</c:v>
                </c:pt>
                <c:pt idx="4627">
                  <c:v>1538.7472500000001</c:v>
                </c:pt>
                <c:pt idx="4628">
                  <c:v>1532.0660999999998</c:v>
                </c:pt>
                <c:pt idx="4629">
                  <c:v>1539.7416800000001</c:v>
                </c:pt>
                <c:pt idx="4630">
                  <c:v>1544.1952800000001</c:v>
                </c:pt>
                <c:pt idx="4631">
                  <c:v>1517.1928799999998</c:v>
                </c:pt>
                <c:pt idx="4632">
                  <c:v>1513.7966799999999</c:v>
                </c:pt>
                <c:pt idx="4633">
                  <c:v>1494.99</c:v>
                </c:pt>
                <c:pt idx="4634">
                  <c:v>1518.60445</c:v>
                </c:pt>
                <c:pt idx="4635">
                  <c:v>1511.42112</c:v>
                </c:pt>
                <c:pt idx="4636">
                  <c:v>1521.4390100000001</c:v>
                </c:pt>
                <c:pt idx="4637">
                  <c:v>1536.1071599999998</c:v>
                </c:pt>
                <c:pt idx="4638">
                  <c:v>1514.01847</c:v>
                </c:pt>
                <c:pt idx="4639">
                  <c:v>1501.4285000000002</c:v>
                </c:pt>
                <c:pt idx="4640">
                  <c:v>1491.2704800000001</c:v>
                </c:pt>
                <c:pt idx="4641">
                  <c:v>1530.36114</c:v>
                </c:pt>
                <c:pt idx="4642">
                  <c:v>1519.7826</c:v>
                </c:pt>
                <c:pt idx="4643">
                  <c:v>1515.0090500000001</c:v>
                </c:pt>
                <c:pt idx="4644">
                  <c:v>1508.6586</c:v>
                </c:pt>
                <c:pt idx="4645">
                  <c:v>1516.0216200000002</c:v>
                </c:pt>
                <c:pt idx="4646">
                  <c:v>1527.17082</c:v>
                </c:pt>
                <c:pt idx="4647">
                  <c:v>1520.2323000000001</c:v>
                </c:pt>
                <c:pt idx="4648">
                  <c:v>1524.5452499999999</c:v>
                </c:pt>
                <c:pt idx="4649">
                  <c:v>1545.2600199999999</c:v>
                </c:pt>
                <c:pt idx="4650">
                  <c:v>1539.7452800000001</c:v>
                </c:pt>
                <c:pt idx="4651">
                  <c:v>1535.1340999999998</c:v>
                </c:pt>
                <c:pt idx="4652">
                  <c:v>1529.5948799999999</c:v>
                </c:pt>
                <c:pt idx="4653">
                  <c:v>1506.7987999999998</c:v>
                </c:pt>
                <c:pt idx="4654">
                  <c:v>1524.8958999999998</c:v>
                </c:pt>
                <c:pt idx="4655">
                  <c:v>1523.7964000000002</c:v>
                </c:pt>
                <c:pt idx="4656">
                  <c:v>1486.2020399999999</c:v>
                </c:pt>
                <c:pt idx="4657">
                  <c:v>1466.3236000000002</c:v>
                </c:pt>
                <c:pt idx="4658">
                  <c:v>1461.6974399999999</c:v>
                </c:pt>
                <c:pt idx="4659">
                  <c:v>1485.0689100000002</c:v>
                </c:pt>
                <c:pt idx="4660">
                  <c:v>1495.8183999999999</c:v>
                </c:pt>
                <c:pt idx="4661">
                  <c:v>1480.73216</c:v>
                </c:pt>
                <c:pt idx="4662">
                  <c:v>1488.806</c:v>
                </c:pt>
                <c:pt idx="4663">
                  <c:v>1489.9341600000002</c:v>
                </c:pt>
                <c:pt idx="4664">
                  <c:v>1512.3682700000002</c:v>
                </c:pt>
                <c:pt idx="4665">
                  <c:v>1496.3081399999999</c:v>
                </c:pt>
                <c:pt idx="4666">
                  <c:v>1508.8920000000001</c:v>
                </c:pt>
                <c:pt idx="4667">
                  <c:v>1498.32518</c:v>
                </c:pt>
                <c:pt idx="4668">
                  <c:v>1507.42</c:v>
                </c:pt>
                <c:pt idx="4669">
                  <c:v>1509.91002</c:v>
                </c:pt>
                <c:pt idx="4670">
                  <c:v>1508.46462</c:v>
                </c:pt>
                <c:pt idx="4671">
                  <c:v>1542.6376000000002</c:v>
                </c:pt>
                <c:pt idx="4672">
                  <c:v>1519.2972599999998</c:v>
                </c:pt>
                <c:pt idx="4673">
                  <c:v>1527.5720200000001</c:v>
                </c:pt>
                <c:pt idx="4674">
                  <c:v>1529.4546399999999</c:v>
                </c:pt>
                <c:pt idx="4675">
                  <c:v>1534.9818500000001</c:v>
                </c:pt>
                <c:pt idx="4676">
                  <c:v>1532.0771999999999</c:v>
                </c:pt>
                <c:pt idx="4677">
                  <c:v>1525.1416000000002</c:v>
                </c:pt>
                <c:pt idx="4678">
                  <c:v>1515.72885</c:v>
                </c:pt>
                <c:pt idx="4679">
                  <c:v>1524.0370599999999</c:v>
                </c:pt>
                <c:pt idx="4680">
                  <c:v>1498.3453199999999</c:v>
                </c:pt>
                <c:pt idx="4681">
                  <c:v>1486.5789499999998</c:v>
                </c:pt>
                <c:pt idx="4682">
                  <c:v>1465.5206799999999</c:v>
                </c:pt>
                <c:pt idx="4683">
                  <c:v>1469.95027</c:v>
                </c:pt>
                <c:pt idx="4684">
                  <c:v>1475.307</c:v>
                </c:pt>
                <c:pt idx="4685">
                  <c:v>1463.9428</c:v>
                </c:pt>
                <c:pt idx="4686">
                  <c:v>1460.8730699999999</c:v>
                </c:pt>
                <c:pt idx="4687">
                  <c:v>1450.8752999999997</c:v>
                </c:pt>
                <c:pt idx="4688">
                  <c:v>1430.1609300000002</c:v>
                </c:pt>
                <c:pt idx="4689">
                  <c:v>1444.7523200000001</c:v>
                </c:pt>
                <c:pt idx="4690">
                  <c:v>1432.0425299999999</c:v>
                </c:pt>
                <c:pt idx="4691">
                  <c:v>1418.2191799999998</c:v>
                </c:pt>
                <c:pt idx="4692">
                  <c:v>1383.5071799999998</c:v>
                </c:pt>
                <c:pt idx="4693">
                  <c:v>1372.806</c:v>
                </c:pt>
                <c:pt idx="4694">
                  <c:v>1365.4352999999999</c:v>
                </c:pt>
                <c:pt idx="4695">
                  <c:v>1368.8434199999999</c:v>
                </c:pt>
                <c:pt idx="4696">
                  <c:v>1361.9312</c:v>
                </c:pt>
                <c:pt idx="4697">
                  <c:v>1357.8058400000002</c:v>
                </c:pt>
                <c:pt idx="4698">
                  <c:v>1373.85016</c:v>
                </c:pt>
                <c:pt idx="4699">
                  <c:v>1385.14095</c:v>
                </c:pt>
                <c:pt idx="4700">
                  <c:v>1382.9721</c:v>
                </c:pt>
                <c:pt idx="4701">
                  <c:v>1374.3680299999999</c:v>
                </c:pt>
                <c:pt idx="4702">
                  <c:v>1378.7508</c:v>
                </c:pt>
                <c:pt idx="4703">
                  <c:v>1368.0575999999999</c:v>
                </c:pt>
                <c:pt idx="4704">
                  <c:v>1375.6026999999999</c:v>
                </c:pt>
                <c:pt idx="4705">
                  <c:v>1375.14102</c:v>
                </c:pt>
                <c:pt idx="4706">
                  <c:v>1393.2926600000001</c:v>
                </c:pt>
                <c:pt idx="4707">
                  <c:v>1394.6396399999999</c:v>
                </c:pt>
                <c:pt idx="4708">
                  <c:v>1390.8226500000001</c:v>
                </c:pt>
                <c:pt idx="4709">
                  <c:v>1391.1343999999999</c:v>
                </c:pt>
                <c:pt idx="4710">
                  <c:v>1382.88417</c:v>
                </c:pt>
                <c:pt idx="4711">
                  <c:v>1386.97225</c:v>
                </c:pt>
                <c:pt idx="4712">
                  <c:v>1386.4484100000002</c:v>
                </c:pt>
                <c:pt idx="4713">
                  <c:v>1371.7222599999998</c:v>
                </c:pt>
                <c:pt idx="4714">
                  <c:v>1389.1106999999997</c:v>
                </c:pt>
                <c:pt idx="4715">
                  <c:v>1413.34825</c:v>
                </c:pt>
                <c:pt idx="4716">
                  <c:v>1402.3437399999998</c:v>
                </c:pt>
                <c:pt idx="4717">
                  <c:v>1408.6317299999998</c:v>
                </c:pt>
                <c:pt idx="4718">
                  <c:v>1391.7867199999998</c:v>
                </c:pt>
                <c:pt idx="4719">
                  <c:v>1383.2040000000002</c:v>
                </c:pt>
                <c:pt idx="4720">
                  <c:v>1357.6658399999999</c:v>
                </c:pt>
                <c:pt idx="4721">
                  <c:v>1347.7648499999998</c:v>
                </c:pt>
                <c:pt idx="4722">
                  <c:v>1336.3156800000002</c:v>
                </c:pt>
                <c:pt idx="4723">
                  <c:v>1338.9445000000001</c:v>
                </c:pt>
                <c:pt idx="4724">
                  <c:v>1328.6835000000001</c:v>
                </c:pt>
                <c:pt idx="4725">
                  <c:v>1328.2287500000002</c:v>
                </c:pt>
                <c:pt idx="4726">
                  <c:v>1348.1535999999999</c:v>
                </c:pt>
                <c:pt idx="4727">
                  <c:v>1358.0416</c:v>
                </c:pt>
                <c:pt idx="4728">
                  <c:v>1376.3063999999999</c:v>
                </c:pt>
                <c:pt idx="4729">
                  <c:v>1383.0240600000002</c:v>
                </c:pt>
                <c:pt idx="4730">
                  <c:v>1366.9312499999999</c:v>
                </c:pt>
                <c:pt idx="4731">
                  <c:v>1347.5132800000001</c:v>
                </c:pt>
                <c:pt idx="4732">
                  <c:v>1342.0306800000001</c:v>
                </c:pt>
                <c:pt idx="4733">
                  <c:v>1312.24395</c:v>
                </c:pt>
                <c:pt idx="4734">
                  <c:v>1336.8969999999999</c:v>
                </c:pt>
                <c:pt idx="4735">
                  <c:v>1340.78208</c:v>
                </c:pt>
                <c:pt idx="4736">
                  <c:v>1325.3029999999999</c:v>
                </c:pt>
                <c:pt idx="4737">
                  <c:v>1322.0819199999999</c:v>
                </c:pt>
                <c:pt idx="4738">
                  <c:v>1336.1733299999999</c:v>
                </c:pt>
                <c:pt idx="4739">
                  <c:v>1355.3150000000001</c:v>
                </c:pt>
                <c:pt idx="4740">
                  <c:v>1359.9116799999999</c:v>
                </c:pt>
                <c:pt idx="4741">
                  <c:v>1330.2792000000002</c:v>
                </c:pt>
                <c:pt idx="4742">
                  <c:v>1301.6894400000001</c:v>
                </c:pt>
                <c:pt idx="4743">
                  <c:v>1299.5149699999999</c:v>
                </c:pt>
                <c:pt idx="4744">
                  <c:v>1321.2852800000003</c:v>
                </c:pt>
                <c:pt idx="4745">
                  <c:v>1317.8541499999999</c:v>
                </c:pt>
                <c:pt idx="4746">
                  <c:v>1328.36202</c:v>
                </c:pt>
                <c:pt idx="4747">
                  <c:v>1338.8841</c:v>
                </c:pt>
                <c:pt idx="4748">
                  <c:v>1338.3862000000001</c:v>
                </c:pt>
                <c:pt idx="4749">
                  <c:v>1339.4007000000001</c:v>
                </c:pt>
                <c:pt idx="4750">
                  <c:v>1366.5162499999999</c:v>
                </c:pt>
                <c:pt idx="4751">
                  <c:v>1386.0091199999999</c:v>
                </c:pt>
                <c:pt idx="4752">
                  <c:v>1385.1670000000001</c:v>
                </c:pt>
                <c:pt idx="4753">
                  <c:v>1395.58851</c:v>
                </c:pt>
                <c:pt idx="4754">
                  <c:v>1378.0883799999999</c:v>
                </c:pt>
                <c:pt idx="4755">
                  <c:v>1374.7494000000002</c:v>
                </c:pt>
                <c:pt idx="4756">
                  <c:v>1368.7380000000001</c:v>
                </c:pt>
                <c:pt idx="4757">
                  <c:v>1379.5064600000003</c:v>
                </c:pt>
                <c:pt idx="4758">
                  <c:v>1392.2728200000001</c:v>
                </c:pt>
                <c:pt idx="4759">
                  <c:v>1401.4989499999999</c:v>
                </c:pt>
                <c:pt idx="4760">
                  <c:v>1387.3976999999998</c:v>
                </c:pt>
                <c:pt idx="4761">
                  <c:v>1385.6167799999998</c:v>
                </c:pt>
                <c:pt idx="4762">
                  <c:v>1361.3241100000002</c:v>
                </c:pt>
                <c:pt idx="4763">
                  <c:v>1344.6658400000001</c:v>
                </c:pt>
                <c:pt idx="4764">
                  <c:v>1329.5543600000001</c:v>
                </c:pt>
                <c:pt idx="4765">
                  <c:v>1316.2000799999998</c:v>
                </c:pt>
                <c:pt idx="4766">
                  <c:v>1301.9533999999999</c:v>
                </c:pt>
                <c:pt idx="4767">
                  <c:v>1311.2073600000001</c:v>
                </c:pt>
                <c:pt idx="4768">
                  <c:v>1317.998</c:v>
                </c:pt>
                <c:pt idx="4769">
                  <c:v>1305.9158</c:v>
                </c:pt>
                <c:pt idx="4770">
                  <c:v>1307.0327200000002</c:v>
                </c:pt>
                <c:pt idx="4771">
                  <c:v>1317.7168200000001</c:v>
                </c:pt>
                <c:pt idx="4772">
                  <c:v>1321.9309999999998</c:v>
                </c:pt>
                <c:pt idx="4773">
                  <c:v>1323.8575000000001</c:v>
                </c:pt>
                <c:pt idx="4774">
                  <c:v>1354.4076</c:v>
                </c:pt>
                <c:pt idx="4775">
                  <c:v>1356.4360000000001</c:v>
                </c:pt>
                <c:pt idx="4776">
                  <c:v>1365.7937299999999</c:v>
                </c:pt>
                <c:pt idx="4777">
                  <c:v>1367.78226</c:v>
                </c:pt>
                <c:pt idx="4778">
                  <c:v>1370.76475</c:v>
                </c:pt>
                <c:pt idx="4779">
                  <c:v>1356.6004</c:v>
                </c:pt>
                <c:pt idx="4780">
                  <c:v>1361.65392</c:v>
                </c:pt>
                <c:pt idx="4781">
                  <c:v>1350.5342000000001</c:v>
                </c:pt>
                <c:pt idx="4782">
                  <c:v>1340.5489399999999</c:v>
                </c:pt>
                <c:pt idx="4783">
                  <c:v>1344.636</c:v>
                </c:pt>
                <c:pt idx="4784">
                  <c:v>1355.2839000000001</c:v>
                </c:pt>
                <c:pt idx="4785">
                  <c:v>1344.43896</c:v>
                </c:pt>
                <c:pt idx="4786">
                  <c:v>1368.2407600000001</c:v>
                </c:pt>
                <c:pt idx="4787">
                  <c:v>1381.5356000000002</c:v>
                </c:pt>
                <c:pt idx="4788">
                  <c:v>1385.6177499999999</c:v>
                </c:pt>
                <c:pt idx="4789">
                  <c:v>1374.0353</c:v>
                </c:pt>
                <c:pt idx="4790">
                  <c:v>1400.1327000000001</c:v>
                </c:pt>
                <c:pt idx="4791">
                  <c:v>1416.55952</c:v>
                </c:pt>
                <c:pt idx="4792">
                  <c:v>1432.6073699999999</c:v>
                </c:pt>
                <c:pt idx="4793">
                  <c:v>1430.5449999999998</c:v>
                </c:pt>
                <c:pt idx="4794">
                  <c:v>1425.6729</c:v>
                </c:pt>
                <c:pt idx="4795">
                  <c:v>1450.6079999999999</c:v>
                </c:pt>
                <c:pt idx="4796">
                  <c:v>1443.6012799999999</c:v>
                </c:pt>
                <c:pt idx="4797">
                  <c:v>1448.3876699999998</c:v>
                </c:pt>
                <c:pt idx="4798">
                  <c:v>1424.7138600000003</c:v>
                </c:pt>
                <c:pt idx="4799">
                  <c:v>1439.0814800000001</c:v>
                </c:pt>
                <c:pt idx="4800">
                  <c:v>1430.8774199999998</c:v>
                </c:pt>
                <c:pt idx="4801">
                  <c:v>1425.0367999999999</c:v>
                </c:pt>
                <c:pt idx="4802">
                  <c:v>1389.7130399999999</c:v>
                </c:pt>
                <c:pt idx="4803">
                  <c:v>1378.9586199999999</c:v>
                </c:pt>
                <c:pt idx="4804">
                  <c:v>1394.5714999999998</c:v>
                </c:pt>
                <c:pt idx="4805">
                  <c:v>1398.86707</c:v>
                </c:pt>
                <c:pt idx="4806">
                  <c:v>1385.8866300000002</c:v>
                </c:pt>
                <c:pt idx="4807">
                  <c:v>1384.7091700000001</c:v>
                </c:pt>
                <c:pt idx="4808">
                  <c:v>1360.0405500000002</c:v>
                </c:pt>
                <c:pt idx="4809">
                  <c:v>1354.50756</c:v>
                </c:pt>
                <c:pt idx="4810">
                  <c:v>1348.1184099999998</c:v>
                </c:pt>
                <c:pt idx="4811">
                  <c:v>1343.4269999999999</c:v>
                </c:pt>
                <c:pt idx="4812">
                  <c:v>1330.8072999999999</c:v>
                </c:pt>
                <c:pt idx="4813">
                  <c:v>1339.10889</c:v>
                </c:pt>
                <c:pt idx="4814">
                  <c:v>1338.9992</c:v>
                </c:pt>
                <c:pt idx="4815">
                  <c:v>1339.73244</c:v>
                </c:pt>
                <c:pt idx="4816">
                  <c:v>1352.2836</c:v>
                </c:pt>
                <c:pt idx="4817">
                  <c:v>1358.92832</c:v>
                </c:pt>
                <c:pt idx="4818">
                  <c:v>1386.7438200000001</c:v>
                </c:pt>
                <c:pt idx="4819">
                  <c:v>1389.6989999999998</c:v>
                </c:pt>
                <c:pt idx="4820">
                  <c:v>1388.3966</c:v>
                </c:pt>
                <c:pt idx="4821">
                  <c:v>1388.8041599999999</c:v>
                </c:pt>
                <c:pt idx="4822">
                  <c:v>1392.6230499999999</c:v>
                </c:pt>
                <c:pt idx="4823">
                  <c:v>1365.34401</c:v>
                </c:pt>
                <c:pt idx="4824">
                  <c:v>1366.11672</c:v>
                </c:pt>
                <c:pt idx="4825">
                  <c:v>1332.7439400000001</c:v>
                </c:pt>
                <c:pt idx="4826">
                  <c:v>1337.028</c:v>
                </c:pt>
                <c:pt idx="4827">
                  <c:v>1334.501</c:v>
                </c:pt>
                <c:pt idx="4828">
                  <c:v>1269.3806999999999</c:v>
                </c:pt>
                <c:pt idx="4829">
                  <c:v>1284.3894</c:v>
                </c:pt>
                <c:pt idx="4830">
                  <c:v>1262.4967799999999</c:v>
                </c:pt>
                <c:pt idx="4831">
                  <c:v>1316.2577999999999</c:v>
                </c:pt>
                <c:pt idx="4832">
                  <c:v>1309.0572</c:v>
                </c:pt>
                <c:pt idx="4833">
                  <c:v>1335.0416</c:v>
                </c:pt>
                <c:pt idx="4834">
                  <c:v>1323.96</c:v>
                </c:pt>
                <c:pt idx="4835">
                  <c:v>1325.6808000000001</c:v>
                </c:pt>
                <c:pt idx="4836">
                  <c:v>1315.0081000000002</c:v>
                </c:pt>
                <c:pt idx="4837">
                  <c:v>1291.6875399999999</c:v>
                </c:pt>
                <c:pt idx="4838">
                  <c:v>1282.4178000000002</c:v>
                </c:pt>
                <c:pt idx="4839">
                  <c:v>1282.80672</c:v>
                </c:pt>
                <c:pt idx="4840">
                  <c:v>1299.8341199999998</c:v>
                </c:pt>
                <c:pt idx="4841">
                  <c:v>1307.2178900000001</c:v>
                </c:pt>
                <c:pt idx="4842">
                  <c:v>1294.6273800000001</c:v>
                </c:pt>
                <c:pt idx="4843">
                  <c:v>1296.4455</c:v>
                </c:pt>
                <c:pt idx="4844">
                  <c:v>1297.73405</c:v>
                </c:pt>
                <c:pt idx="4845">
                  <c:v>1321.0562399999999</c:v>
                </c:pt>
                <c:pt idx="4846">
                  <c:v>1336.7714400000002</c:v>
                </c:pt>
                <c:pt idx="4847">
                  <c:v>1310.2422799999999</c:v>
                </c:pt>
                <c:pt idx="4848">
                  <c:v>1325.8687199999999</c:v>
                </c:pt>
                <c:pt idx="4849">
                  <c:v>1316.0279599999999</c:v>
                </c:pt>
                <c:pt idx="4850">
                  <c:v>1291.473</c:v>
                </c:pt>
                <c:pt idx="4851">
                  <c:v>1292.0372500000001</c:v>
                </c:pt>
                <c:pt idx="4852">
                  <c:v>1297.07078</c:v>
                </c:pt>
                <c:pt idx="4853">
                  <c:v>1289.4913799999999</c:v>
                </c:pt>
                <c:pt idx="4854">
                  <c:v>1256.8072</c:v>
                </c:pt>
                <c:pt idx="4855">
                  <c:v>1253.3534999999999</c:v>
                </c:pt>
                <c:pt idx="4856">
                  <c:v>1242.6666599999999</c:v>
                </c:pt>
                <c:pt idx="4857">
                  <c:v>1255.89624</c:v>
                </c:pt>
                <c:pt idx="4858">
                  <c:v>1283.6583600000001</c:v>
                </c:pt>
                <c:pt idx="4859">
                  <c:v>1280.0141600000002</c:v>
                </c:pt>
                <c:pt idx="4860">
                  <c:v>1288.76358</c:v>
                </c:pt>
                <c:pt idx="4861">
                  <c:v>1285.8731600000001</c:v>
                </c:pt>
                <c:pt idx="4862">
                  <c:v>1285.6635900000001</c:v>
                </c:pt>
                <c:pt idx="4863">
                  <c:v>1300.7695800000001</c:v>
                </c:pt>
                <c:pt idx="4864">
                  <c:v>1303.2027799999998</c:v>
                </c:pt>
                <c:pt idx="4865">
                  <c:v>1298.8523600000001</c:v>
                </c:pt>
                <c:pt idx="4866">
                  <c:v>1307.9648400000001</c:v>
                </c:pt>
                <c:pt idx="4867">
                  <c:v>1302.4590600000001</c:v>
                </c:pt>
                <c:pt idx="4868">
                  <c:v>1297.6392000000001</c:v>
                </c:pt>
                <c:pt idx="4869">
                  <c:v>1307.5287000000001</c:v>
                </c:pt>
                <c:pt idx="4870">
                  <c:v>1309.4449500000001</c:v>
                </c:pt>
                <c:pt idx="4871">
                  <c:v>1327.6499099999999</c:v>
                </c:pt>
                <c:pt idx="4872">
                  <c:v>1329.4258400000001</c:v>
                </c:pt>
                <c:pt idx="4873">
                  <c:v>1335.07999</c:v>
                </c:pt>
                <c:pt idx="4874">
                  <c:v>1337.1810399999999</c:v>
                </c:pt>
                <c:pt idx="4875">
                  <c:v>1339.1388000000002</c:v>
                </c:pt>
                <c:pt idx="4876">
                  <c:v>1346.1417000000001</c:v>
                </c:pt>
                <c:pt idx="4877">
                  <c:v>1351.47615</c:v>
                </c:pt>
                <c:pt idx="4878">
                  <c:v>1336.1353799999999</c:v>
                </c:pt>
                <c:pt idx="4879">
                  <c:v>1311.9031200000002</c:v>
                </c:pt>
                <c:pt idx="4880">
                  <c:v>1327.6631199999999</c:v>
                </c:pt>
                <c:pt idx="4881">
                  <c:v>1336.4363499999999</c:v>
                </c:pt>
                <c:pt idx="4882">
                  <c:v>1344.7245</c:v>
                </c:pt>
                <c:pt idx="4883">
                  <c:v>1350.8386399999999</c:v>
                </c:pt>
                <c:pt idx="4884">
                  <c:v>1360.56675</c:v>
                </c:pt>
                <c:pt idx="4885">
                  <c:v>1343.29305</c:v>
                </c:pt>
                <c:pt idx="4886">
                  <c:v>1366.1144200000001</c:v>
                </c:pt>
                <c:pt idx="4887">
                  <c:v>1355.9594999999999</c:v>
                </c:pt>
                <c:pt idx="4888">
                  <c:v>1357.08122</c:v>
                </c:pt>
                <c:pt idx="4889">
                  <c:v>1347.0103299999998</c:v>
                </c:pt>
                <c:pt idx="4890">
                  <c:v>1337.4591999999998</c:v>
                </c:pt>
                <c:pt idx="4891">
                  <c:v>1325.4317999999998</c:v>
                </c:pt>
                <c:pt idx="4892">
                  <c:v>1323.11725</c:v>
                </c:pt>
                <c:pt idx="4893">
                  <c:v>1335.9789000000001</c:v>
                </c:pt>
                <c:pt idx="4894">
                  <c:v>1326.6487000000002</c:v>
                </c:pt>
                <c:pt idx="4895">
                  <c:v>1335.0040200000001</c:v>
                </c:pt>
                <c:pt idx="4896">
                  <c:v>1326.7312000000002</c:v>
                </c:pt>
                <c:pt idx="4897">
                  <c:v>1313.8419999999999</c:v>
                </c:pt>
                <c:pt idx="4898">
                  <c:v>1306.8028799999997</c:v>
                </c:pt>
                <c:pt idx="4899">
                  <c:v>1285.2855</c:v>
                </c:pt>
                <c:pt idx="4900">
                  <c:v>1269.22515</c:v>
                </c:pt>
                <c:pt idx="4901">
                  <c:v>1278.6665600000001</c:v>
                </c:pt>
                <c:pt idx="4902">
                  <c:v>1273.077</c:v>
                </c:pt>
                <c:pt idx="4903">
                  <c:v>1280.3218199999999</c:v>
                </c:pt>
                <c:pt idx="4904">
                  <c:v>1278.6410500000002</c:v>
                </c:pt>
                <c:pt idx="4905">
                  <c:v>1289.43569</c:v>
                </c:pt>
                <c:pt idx="4906">
                  <c:v>1264.4377200000001</c:v>
                </c:pt>
                <c:pt idx="4907">
                  <c:v>1270.136</c:v>
                </c:pt>
                <c:pt idx="4908">
                  <c:v>1219.2239999999999</c:v>
                </c:pt>
                <c:pt idx="4909">
                  <c:v>1215.0481</c:v>
                </c:pt>
                <c:pt idx="4910">
                  <c:v>1219.4924999999998</c:v>
                </c:pt>
                <c:pt idx="4911">
                  <c:v>1215.4811999999997</c:v>
                </c:pt>
                <c:pt idx="4912">
                  <c:v>1222.2755999999997</c:v>
                </c:pt>
                <c:pt idx="4913">
                  <c:v>1238.787</c:v>
                </c:pt>
                <c:pt idx="4914">
                  <c:v>1239.24</c:v>
                </c:pt>
                <c:pt idx="4915">
                  <c:v>1239.24</c:v>
                </c:pt>
                <c:pt idx="4916">
                  <c:v>1257.9419999999998</c:v>
                </c:pt>
                <c:pt idx="4917">
                  <c:v>1246.3184999999999</c:v>
                </c:pt>
                <c:pt idx="4918">
                  <c:v>1238.241</c:v>
                </c:pt>
                <c:pt idx="4919">
                  <c:v>1236.519</c:v>
                </c:pt>
                <c:pt idx="4920">
                  <c:v>1264.5031000000001</c:v>
                </c:pt>
                <c:pt idx="4921">
                  <c:v>1258.7256</c:v>
                </c:pt>
                <c:pt idx="4922">
                  <c:v>1255.73532</c:v>
                </c:pt>
                <c:pt idx="4923">
                  <c:v>1269.2979599999999</c:v>
                </c:pt>
                <c:pt idx="4924">
                  <c:v>1281.4790400000002</c:v>
                </c:pt>
                <c:pt idx="4925">
                  <c:v>1277.23036</c:v>
                </c:pt>
                <c:pt idx="4926">
                  <c:v>1295.44415</c:v>
                </c:pt>
                <c:pt idx="4927">
                  <c:v>1289.8249599999999</c:v>
                </c:pt>
                <c:pt idx="4928">
                  <c:v>1287.3721599999999</c:v>
                </c:pt>
                <c:pt idx="4929">
                  <c:v>1278.50135</c:v>
                </c:pt>
                <c:pt idx="4930">
                  <c:v>1294.89879</c:v>
                </c:pt>
                <c:pt idx="4931">
                  <c:v>1299.5229000000002</c:v>
                </c:pt>
                <c:pt idx="4932">
                  <c:v>1290.854</c:v>
                </c:pt>
                <c:pt idx="4933">
                  <c:v>1283.4680700000001</c:v>
                </c:pt>
                <c:pt idx="4934">
                  <c:v>1286.78394</c:v>
                </c:pt>
                <c:pt idx="4935">
                  <c:v>1281.15336</c:v>
                </c:pt>
                <c:pt idx="4936">
                  <c:v>1305.0899999999999</c:v>
                </c:pt>
                <c:pt idx="4937">
                  <c:v>1308.4617000000001</c:v>
                </c:pt>
                <c:pt idx="4938">
                  <c:v>1318.1579300000001</c:v>
                </c:pt>
                <c:pt idx="4939">
                  <c:v>1331.7253499999999</c:v>
                </c:pt>
                <c:pt idx="4940">
                  <c:v>1354.1185600000001</c:v>
                </c:pt>
                <c:pt idx="4941">
                  <c:v>1360.6667100000002</c:v>
                </c:pt>
                <c:pt idx="4942">
                  <c:v>1357.4628300000002</c:v>
                </c:pt>
                <c:pt idx="4943">
                  <c:v>1337.4019499999999</c:v>
                </c:pt>
                <c:pt idx="4944">
                  <c:v>1346.9036799999999</c:v>
                </c:pt>
                <c:pt idx="4945">
                  <c:v>1356.47424</c:v>
                </c:pt>
                <c:pt idx="4946">
                  <c:v>1363.9469199999999</c:v>
                </c:pt>
                <c:pt idx="4947">
                  <c:v>1366.1587099999999</c:v>
                </c:pt>
                <c:pt idx="4948">
                  <c:v>1371.9287000000002</c:v>
                </c:pt>
                <c:pt idx="4949">
                  <c:v>1370.3679999999999</c:v>
                </c:pt>
                <c:pt idx="4950">
                  <c:v>1378.2735800000003</c:v>
                </c:pt>
                <c:pt idx="4951">
                  <c:v>1382.4636</c:v>
                </c:pt>
                <c:pt idx="4952">
                  <c:v>1379.3905399999999</c:v>
                </c:pt>
                <c:pt idx="4953">
                  <c:v>1364.76493</c:v>
                </c:pt>
                <c:pt idx="4954">
                  <c:v>1390.1378399999999</c:v>
                </c:pt>
                <c:pt idx="4955">
                  <c:v>1380.9072800000001</c:v>
                </c:pt>
                <c:pt idx="4956">
                  <c:v>1373.259</c:v>
                </c:pt>
                <c:pt idx="4957">
                  <c:v>1386.2691</c:v>
                </c:pt>
                <c:pt idx="4958">
                  <c:v>1382.6298200000001</c:v>
                </c:pt>
                <c:pt idx="4959">
                  <c:v>1387.9863</c:v>
                </c:pt>
                <c:pt idx="4960">
                  <c:v>1367.0384000000001</c:v>
                </c:pt>
                <c:pt idx="4961">
                  <c:v>1365.02</c:v>
                </c:pt>
                <c:pt idx="4962">
                  <c:v>1375.6019200000001</c:v>
                </c:pt>
                <c:pt idx="4963">
                  <c:v>1386.2171700000001</c:v>
                </c:pt>
                <c:pt idx="4964">
                  <c:v>1389.5471700000001</c:v>
                </c:pt>
                <c:pt idx="4965">
                  <c:v>1403.3660399999999</c:v>
                </c:pt>
                <c:pt idx="4966">
                  <c:v>1413.258</c:v>
                </c:pt>
                <c:pt idx="4967">
                  <c:v>1389.6109499999998</c:v>
                </c:pt>
                <c:pt idx="4968">
                  <c:v>1392.4104599999998</c:v>
                </c:pt>
                <c:pt idx="4969">
                  <c:v>1382.81836</c:v>
                </c:pt>
                <c:pt idx="4970">
                  <c:v>1373.85375</c:v>
                </c:pt>
                <c:pt idx="4971">
                  <c:v>1368.85608</c:v>
                </c:pt>
                <c:pt idx="4972">
                  <c:v>1365.6747199999998</c:v>
                </c:pt>
                <c:pt idx="4973">
                  <c:v>1392.4592</c:v>
                </c:pt>
                <c:pt idx="4974">
                  <c:v>1397.4492600000001</c:v>
                </c:pt>
                <c:pt idx="4975">
                  <c:v>1417.3871700000002</c:v>
                </c:pt>
                <c:pt idx="4976">
                  <c:v>1399.1373999999998</c:v>
                </c:pt>
                <c:pt idx="4977">
                  <c:v>1395.0701999999999</c:v>
                </c:pt>
                <c:pt idx="4978">
                  <c:v>1408.6464000000001</c:v>
                </c:pt>
                <c:pt idx="4979">
                  <c:v>1411.7055</c:v>
                </c:pt>
                <c:pt idx="4980">
                  <c:v>1411.4172000000001</c:v>
                </c:pt>
                <c:pt idx="4981">
                  <c:v>1413.1729</c:v>
                </c:pt>
                <c:pt idx="4982">
                  <c:v>1428.8126000000002</c:v>
                </c:pt>
                <c:pt idx="4983">
                  <c:v>1431.4677999999999</c:v>
                </c:pt>
                <c:pt idx="4984">
                  <c:v>1439.0810000000001</c:v>
                </c:pt>
                <c:pt idx="4985">
                  <c:v>1417.4804000000001</c:v>
                </c:pt>
                <c:pt idx="4986">
                  <c:v>1399.9776000000002</c:v>
                </c:pt>
                <c:pt idx="4987">
                  <c:v>1388.3870000000002</c:v>
                </c:pt>
                <c:pt idx="4988">
                  <c:v>1390.6080000000002</c:v>
                </c:pt>
                <c:pt idx="4989">
                  <c:v>1401.2640000000001</c:v>
                </c:pt>
                <c:pt idx="4990">
                  <c:v>1396.5375000000001</c:v>
                </c:pt>
                <c:pt idx="4991">
                  <c:v>1411.2900000000002</c:v>
                </c:pt>
                <c:pt idx="4992">
                  <c:v>1397.7900000000002</c:v>
                </c:pt>
                <c:pt idx="4993">
                  <c:v>1368.3057000000001</c:v>
                </c:pt>
                <c:pt idx="4994">
                  <c:v>1366.5120000000002</c:v>
                </c:pt>
                <c:pt idx="4995">
                  <c:v>1398.4940000000001</c:v>
                </c:pt>
                <c:pt idx="4996">
                  <c:v>1393.5810999999999</c:v>
                </c:pt>
                <c:pt idx="4997">
                  <c:v>1410.9857999999999</c:v>
                </c:pt>
                <c:pt idx="4998">
                  <c:v>1416.3420000000001</c:v>
                </c:pt>
                <c:pt idx="4999">
                  <c:v>1390.5294000000001</c:v>
                </c:pt>
                <c:pt idx="5000">
                  <c:v>1384.2528000000002</c:v>
                </c:pt>
                <c:pt idx="5001">
                  <c:v>1386.9699000000001</c:v>
                </c:pt>
                <c:pt idx="5002">
                  <c:v>1371.8064000000002</c:v>
                </c:pt>
                <c:pt idx="5003">
                  <c:v>1352.588</c:v>
                </c:pt>
                <c:pt idx="5004">
                  <c:v>1361.5020000000002</c:v>
                </c:pt>
                <c:pt idx="5005">
                  <c:v>1358.2800000000002</c:v>
                </c:pt>
                <c:pt idx="5006">
                  <c:v>1327.8474000000001</c:v>
                </c:pt>
                <c:pt idx="5007">
                  <c:v>1349.0610000000001</c:v>
                </c:pt>
                <c:pt idx="5008">
                  <c:v>1353.4584000000002</c:v>
                </c:pt>
                <c:pt idx="5009">
                  <c:v>1336.3340000000001</c:v>
                </c:pt>
                <c:pt idx="5010">
                  <c:v>1324.6135000000002</c:v>
                </c:pt>
                <c:pt idx="5011">
                  <c:v>1317.5387000000001</c:v>
                </c:pt>
                <c:pt idx="5012">
                  <c:v>1320.9612000000002</c:v>
                </c:pt>
                <c:pt idx="5013">
                  <c:v>1305.4724000000001</c:v>
                </c:pt>
                <c:pt idx="5014">
                  <c:v>1291.7736</c:v>
                </c:pt>
                <c:pt idx="5015">
                  <c:v>1286.1100000000001</c:v>
                </c:pt>
                <c:pt idx="5016">
                  <c:v>1264.0324000000001</c:v>
                </c:pt>
                <c:pt idx="5017">
                  <c:v>1257.2496000000001</c:v>
                </c:pt>
                <c:pt idx="5018">
                  <c:v>1251.4666999999999</c:v>
                </c:pt>
                <c:pt idx="5019">
                  <c:v>1243.3691000000001</c:v>
                </c:pt>
                <c:pt idx="5020">
                  <c:v>1253.0308</c:v>
                </c:pt>
                <c:pt idx="5021">
                  <c:v>1236.934</c:v>
                </c:pt>
                <c:pt idx="5022">
                  <c:v>1262.9806000000001</c:v>
                </c:pt>
                <c:pt idx="5023">
                  <c:v>1260.6155999999999</c:v>
                </c:pt>
                <c:pt idx="5024">
                  <c:v>1271.1680000000001</c:v>
                </c:pt>
                <c:pt idx="5025">
                  <c:v>1284.6600000000001</c:v>
                </c:pt>
                <c:pt idx="5026">
                  <c:v>1281.7539000000002</c:v>
                </c:pt>
                <c:pt idx="5027">
                  <c:v>1291.0632000000001</c:v>
                </c:pt>
                <c:pt idx="5028">
                  <c:v>1291.8728000000001</c:v>
                </c:pt>
                <c:pt idx="5029">
                  <c:v>1299.0615</c:v>
                </c:pt>
                <c:pt idx="5030">
                  <c:v>1296.3216</c:v>
                </c:pt>
                <c:pt idx="5031">
                  <c:v>1300.6335000000001</c:v>
                </c:pt>
                <c:pt idx="5032">
                  <c:v>1317.8384000000001</c:v>
                </c:pt>
                <c:pt idx="5033">
                  <c:v>1310.7204999999999</c:v>
                </c:pt>
                <c:pt idx="5034">
                  <c:v>1302.2396000000001</c:v>
                </c:pt>
                <c:pt idx="5035">
                  <c:v>1285.1571999999999</c:v>
                </c:pt>
                <c:pt idx="5036">
                  <c:v>1274.0721000000001</c:v>
                </c:pt>
                <c:pt idx="5037">
                  <c:v>1309.5071</c:v>
                </c:pt>
                <c:pt idx="5038">
                  <c:v>1297.8792000000001</c:v>
                </c:pt>
                <c:pt idx="5039">
                  <c:v>1313.0785000000001</c:v>
                </c:pt>
                <c:pt idx="5040">
                  <c:v>1328.2795000000001</c:v>
                </c:pt>
                <c:pt idx="5041">
                  <c:v>1327.336</c:v>
                </c:pt>
                <c:pt idx="5042">
                  <c:v>1334.0627999999999</c:v>
                </c:pt>
                <c:pt idx="5043">
                  <c:v>1348.8378</c:v>
                </c:pt>
                <c:pt idx="5044">
                  <c:v>1367.2296000000001</c:v>
                </c:pt>
                <c:pt idx="5045">
                  <c:v>1361.0016000000001</c:v>
                </c:pt>
                <c:pt idx="5046">
                  <c:v>1358.3724000000002</c:v>
                </c:pt>
                <c:pt idx="5047">
                  <c:v>1370.5865000000001</c:v>
                </c:pt>
                <c:pt idx="5048">
                  <c:v>1351.1566</c:v>
                </c:pt>
                <c:pt idx="5049">
                  <c:v>1338.7275</c:v>
                </c:pt>
                <c:pt idx="5050">
                  <c:v>1360.2294000000002</c:v>
                </c:pt>
                <c:pt idx="5051">
                  <c:v>1362.4135000000001</c:v>
                </c:pt>
                <c:pt idx="5052">
                  <c:v>1364.4540000000002</c:v>
                </c:pt>
                <c:pt idx="5053">
                  <c:v>1348.1272000000001</c:v>
                </c:pt>
                <c:pt idx="5054">
                  <c:v>1354.8842999999999</c:v>
                </c:pt>
                <c:pt idx="5055">
                  <c:v>1356.8246999999999</c:v>
                </c:pt>
                <c:pt idx="5056">
                  <c:v>1368.9599999999998</c:v>
                </c:pt>
                <c:pt idx="5057">
                  <c:v>1379.655</c:v>
                </c:pt>
                <c:pt idx="5058">
                  <c:v>1396.1396</c:v>
                </c:pt>
                <c:pt idx="5059">
                  <c:v>1384.4393999999998</c:v>
                </c:pt>
                <c:pt idx="5060">
                  <c:v>1374.2051999999999</c:v>
                </c:pt>
                <c:pt idx="5061">
                  <c:v>1361.7288999999998</c:v>
                </c:pt>
                <c:pt idx="5062">
                  <c:v>1342.8894</c:v>
                </c:pt>
                <c:pt idx="5063">
                  <c:v>1354.6891999999998</c:v>
                </c:pt>
                <c:pt idx="5064">
                  <c:v>1349.6135999999999</c:v>
                </c:pt>
                <c:pt idx="5065">
                  <c:v>1345.0436999999999</c:v>
                </c:pt>
                <c:pt idx="5066">
                  <c:v>1321.7211</c:v>
                </c:pt>
                <c:pt idx="5067">
                  <c:v>1306.9472999999998</c:v>
                </c:pt>
                <c:pt idx="5068">
                  <c:v>1312.5712999999998</c:v>
                </c:pt>
                <c:pt idx="5069">
                  <c:v>1315.2064</c:v>
                </c:pt>
                <c:pt idx="5070">
                  <c:v>1300.6353999999999</c:v>
                </c:pt>
                <c:pt idx="5071">
                  <c:v>1306.6325999999999</c:v>
                </c:pt>
                <c:pt idx="5072">
                  <c:v>1305.0506</c:v>
                </c:pt>
                <c:pt idx="5073">
                  <c:v>1311.395</c:v>
                </c:pt>
                <c:pt idx="5074">
                  <c:v>1273.6943999999999</c:v>
                </c:pt>
                <c:pt idx="5075">
                  <c:v>1274.2447999999999</c:v>
                </c:pt>
                <c:pt idx="5076">
                  <c:v>1319.6479999999999</c:v>
                </c:pt>
                <c:pt idx="5077">
                  <c:v>1314.12</c:v>
                </c:pt>
                <c:pt idx="5078">
                  <c:v>1351.72</c:v>
                </c:pt>
                <c:pt idx="5079">
                  <c:v>1361.9177999999999</c:v>
                </c:pt>
                <c:pt idx="5080">
                  <c:v>1364.0088000000001</c:v>
                </c:pt>
                <c:pt idx="5081">
                  <c:v>1362.4204</c:v>
                </c:pt>
                <c:pt idx="5082">
                  <c:v>1352.9821999999999</c:v>
                </c:pt>
                <c:pt idx="5083">
                  <c:v>1344.7456</c:v>
                </c:pt>
                <c:pt idx="5084">
                  <c:v>1358.048</c:v>
                </c:pt>
                <c:pt idx="5085">
                  <c:v>1358.5103999999999</c:v>
                </c:pt>
                <c:pt idx="5086">
                  <c:v>1358.1936000000001</c:v>
                </c:pt>
                <c:pt idx="5087">
                  <c:v>1347.6007999999999</c:v>
                </c:pt>
                <c:pt idx="5088">
                  <c:v>1348.45</c:v>
                </c:pt>
                <c:pt idx="5089">
                  <c:v>1358.8756000000001</c:v>
                </c:pt>
                <c:pt idx="5090">
                  <c:v>1369.1348999999998</c:v>
                </c:pt>
                <c:pt idx="5091">
                  <c:v>1369.4407999999999</c:v>
                </c:pt>
                <c:pt idx="5092">
                  <c:v>1347.7125999999998</c:v>
                </c:pt>
                <c:pt idx="5093">
                  <c:v>1359.2172</c:v>
                </c:pt>
                <c:pt idx="5094">
                  <c:v>1334.0326</c:v>
                </c:pt>
                <c:pt idx="5095">
                  <c:v>1327.5052000000001</c:v>
                </c:pt>
                <c:pt idx="5096">
                  <c:v>1317.615</c:v>
                </c:pt>
                <c:pt idx="5097">
                  <c:v>1313.0463999999999</c:v>
                </c:pt>
                <c:pt idx="5098">
                  <c:v>1308.3119999999999</c:v>
                </c:pt>
                <c:pt idx="5099">
                  <c:v>1311.336</c:v>
                </c:pt>
                <c:pt idx="5100">
                  <c:v>1292.3208</c:v>
                </c:pt>
                <c:pt idx="5101">
                  <c:v>1284.2175999999999</c:v>
                </c:pt>
                <c:pt idx="5102">
                  <c:v>1292.8095999999998</c:v>
                </c:pt>
                <c:pt idx="5103">
                  <c:v>1290.6464999999998</c:v>
                </c:pt>
                <c:pt idx="5104">
                  <c:v>1290.6719999999998</c:v>
                </c:pt>
                <c:pt idx="5105">
                  <c:v>1286.8206</c:v>
                </c:pt>
                <c:pt idx="5106">
                  <c:v>1298.664</c:v>
                </c:pt>
                <c:pt idx="5107">
                  <c:v>1327.8006</c:v>
                </c:pt>
                <c:pt idx="5108">
                  <c:v>1314.3312000000001</c:v>
                </c:pt>
                <c:pt idx="5109">
                  <c:v>1322.6976</c:v>
                </c:pt>
                <c:pt idx="5110">
                  <c:v>1308.2707</c:v>
                </c:pt>
                <c:pt idx="5111">
                  <c:v>1306.4004</c:v>
                </c:pt>
                <c:pt idx="5112">
                  <c:v>1318.1895999999999</c:v>
                </c:pt>
                <c:pt idx="5113">
                  <c:v>1315.73</c:v>
                </c:pt>
                <c:pt idx="5114">
                  <c:v>1315.606</c:v>
                </c:pt>
                <c:pt idx="5115">
                  <c:v>1325.5953999999999</c:v>
                </c:pt>
                <c:pt idx="5116">
                  <c:v>1334.4858999999999</c:v>
                </c:pt>
                <c:pt idx="5117">
                  <c:v>1355.634</c:v>
                </c:pt>
                <c:pt idx="5118">
                  <c:v>1379.3868</c:v>
                </c:pt>
                <c:pt idx="5119">
                  <c:v>1371.2972</c:v>
                </c:pt>
                <c:pt idx="5120">
                  <c:v>1366.6365000000001</c:v>
                </c:pt>
                <c:pt idx="5121">
                  <c:v>1372.6777999999999</c:v>
                </c:pt>
                <c:pt idx="5122">
                  <c:v>1347.6489999999999</c:v>
                </c:pt>
                <c:pt idx="5123">
                  <c:v>1343.6878000000002</c:v>
                </c:pt>
                <c:pt idx="5124">
                  <c:v>1334.5254</c:v>
                </c:pt>
                <c:pt idx="5125">
                  <c:v>1338.6422</c:v>
                </c:pt>
                <c:pt idx="5126">
                  <c:v>1339.6068</c:v>
                </c:pt>
                <c:pt idx="5127">
                  <c:v>1349.0952</c:v>
                </c:pt>
                <c:pt idx="5128">
                  <c:v>1341.1371999999999</c:v>
                </c:pt>
                <c:pt idx="5129">
                  <c:v>1350.54</c:v>
                </c:pt>
                <c:pt idx="5130">
                  <c:v>1357.2393999999999</c:v>
                </c:pt>
                <c:pt idx="5131">
                  <c:v>1354.0445999999999</c:v>
                </c:pt>
                <c:pt idx="5132">
                  <c:v>1383.3855999999998</c:v>
                </c:pt>
                <c:pt idx="5133">
                  <c:v>1390.3920000000001</c:v>
                </c:pt>
                <c:pt idx="5134">
                  <c:v>1375.8147000000001</c:v>
                </c:pt>
                <c:pt idx="5135">
                  <c:v>1370.6971999999998</c:v>
                </c:pt>
                <c:pt idx="5136">
                  <c:v>1385.9692</c:v>
                </c:pt>
                <c:pt idx="5137">
                  <c:v>1373.5727999999999</c:v>
                </c:pt>
                <c:pt idx="5138">
                  <c:v>1378.2349999999999</c:v>
                </c:pt>
                <c:pt idx="5139">
                  <c:v>1361.4623999999999</c:v>
                </c:pt>
                <c:pt idx="5140">
                  <c:v>1357.0381</c:v>
                </c:pt>
                <c:pt idx="5141">
                  <c:v>1332.896</c:v>
                </c:pt>
                <c:pt idx="5142">
                  <c:v>1327.6318000000001</c:v>
                </c:pt>
                <c:pt idx="5143">
                  <c:v>1324.896</c:v>
                </c:pt>
                <c:pt idx="5144">
                  <c:v>1334.0222999999999</c:v>
                </c:pt>
                <c:pt idx="5145">
                  <c:v>1351.5099</c:v>
                </c:pt>
                <c:pt idx="5146">
                  <c:v>1339.3500999999999</c:v>
                </c:pt>
                <c:pt idx="5147">
                  <c:v>1355.6378</c:v>
                </c:pt>
                <c:pt idx="5148">
                  <c:v>1353.6428000000001</c:v>
                </c:pt>
                <c:pt idx="5149">
                  <c:v>1344.5828000000001</c:v>
                </c:pt>
                <c:pt idx="5150">
                  <c:v>1365.5219999999999</c:v>
                </c:pt>
                <c:pt idx="5151">
                  <c:v>1360.6795999999999</c:v>
                </c:pt>
                <c:pt idx="5152">
                  <c:v>1364.6448</c:v>
                </c:pt>
                <c:pt idx="5153">
                  <c:v>1383.6807999999999</c:v>
                </c:pt>
                <c:pt idx="5154">
                  <c:v>1379.5247999999999</c:v>
                </c:pt>
                <c:pt idx="5155">
                  <c:v>1368.1668</c:v>
                </c:pt>
                <c:pt idx="5156">
                  <c:v>1354.1264000000001</c:v>
                </c:pt>
                <c:pt idx="5157">
                  <c:v>1367.7375999999999</c:v>
                </c:pt>
                <c:pt idx="5158">
                  <c:v>1389.1997999999999</c:v>
                </c:pt>
                <c:pt idx="5159">
                  <c:v>1404.4004</c:v>
                </c:pt>
                <c:pt idx="5160">
                  <c:v>1387.8584000000001</c:v>
                </c:pt>
                <c:pt idx="5161">
                  <c:v>1408.4250000000002</c:v>
                </c:pt>
                <c:pt idx="5162">
                  <c:v>1411.3543</c:v>
                </c:pt>
                <c:pt idx="5163">
                  <c:v>1400.4648</c:v>
                </c:pt>
                <c:pt idx="5164">
                  <c:v>1421.6559999999999</c:v>
                </c:pt>
                <c:pt idx="5165">
                  <c:v>1434.2598</c:v>
                </c:pt>
                <c:pt idx="5166">
                  <c:v>1440.8249999999998</c:v>
                </c:pt>
                <c:pt idx="5167">
                  <c:v>1426.9198999999999</c:v>
                </c:pt>
                <c:pt idx="5168">
                  <c:v>1439.5919000000001</c:v>
                </c:pt>
                <c:pt idx="5169">
                  <c:v>1449.8483999999999</c:v>
                </c:pt>
                <c:pt idx="5170">
                  <c:v>1460.7750000000001</c:v>
                </c:pt>
                <c:pt idx="5171">
                  <c:v>1466.0991999999999</c:v>
                </c:pt>
                <c:pt idx="5172">
                  <c:v>1485.6912</c:v>
                </c:pt>
                <c:pt idx="5173">
                  <c:v>1509.4458000000002</c:v>
                </c:pt>
                <c:pt idx="5174">
                  <c:v>1489.5814</c:v>
                </c:pt>
                <c:pt idx="5175">
                  <c:v>1499.0064</c:v>
                </c:pt>
                <c:pt idx="5176">
                  <c:v>1481.568</c:v>
                </c:pt>
                <c:pt idx="5177">
                  <c:v>1481.1461999999999</c:v>
                </c:pt>
                <c:pt idx="5178">
                  <c:v>1502.7402</c:v>
                </c:pt>
                <c:pt idx="5179">
                  <c:v>1491.0629000000001</c:v>
                </c:pt>
                <c:pt idx="5180">
                  <c:v>1482.76</c:v>
                </c:pt>
                <c:pt idx="5181">
                  <c:v>1492.7042000000001</c:v>
                </c:pt>
                <c:pt idx="5182">
                  <c:v>1482.1110000000001</c:v>
                </c:pt>
                <c:pt idx="5183">
                  <c:v>1488.0428000000002</c:v>
                </c:pt>
                <c:pt idx="5184">
                  <c:v>1484.8144000000002</c:v>
                </c:pt>
                <c:pt idx="5185">
                  <c:v>1479.2992000000002</c:v>
                </c:pt>
                <c:pt idx="5186">
                  <c:v>1504.0389</c:v>
                </c:pt>
                <c:pt idx="5187">
                  <c:v>1523.7894000000001</c:v>
                </c:pt>
                <c:pt idx="5188">
                  <c:v>1494.82</c:v>
                </c:pt>
                <c:pt idx="5189">
                  <c:v>1477.5375000000001</c:v>
                </c:pt>
                <c:pt idx="5190">
                  <c:v>1487.204</c:v>
                </c:pt>
                <c:pt idx="5191">
                  <c:v>1491.7623000000001</c:v>
                </c:pt>
                <c:pt idx="5192">
                  <c:v>1503.2672</c:v>
                </c:pt>
                <c:pt idx="5193">
                  <c:v>1531.2339000000002</c:v>
                </c:pt>
                <c:pt idx="5194">
                  <c:v>1532.8383000000001</c:v>
                </c:pt>
                <c:pt idx="5195">
                  <c:v>1531.1561999999999</c:v>
                </c:pt>
                <c:pt idx="5196">
                  <c:v>1521.4648999999999</c:v>
                </c:pt>
                <c:pt idx="5197">
                  <c:v>1514.9848</c:v>
                </c:pt>
                <c:pt idx="5198">
                  <c:v>1529.2914000000001</c:v>
                </c:pt>
                <c:pt idx="5199">
                  <c:v>1533.558</c:v>
                </c:pt>
                <c:pt idx="5200">
                  <c:v>1540.7873999999999</c:v>
                </c:pt>
                <c:pt idx="5201">
                  <c:v>1539.9261000000001</c:v>
                </c:pt>
                <c:pt idx="5202">
                  <c:v>1553.3648000000001</c:v>
                </c:pt>
                <c:pt idx="5203">
                  <c:v>1557.2748000000001</c:v>
                </c:pt>
                <c:pt idx="5204">
                  <c:v>1561.4820000000002</c:v>
                </c:pt>
                <c:pt idx="5205">
                  <c:v>1546.3352</c:v>
                </c:pt>
                <c:pt idx="5206">
                  <c:v>1544.8607999999999</c:v>
                </c:pt>
                <c:pt idx="5207">
                  <c:v>1539.1960000000001</c:v>
                </c:pt>
                <c:pt idx="5208">
                  <c:v>1530.9231</c:v>
                </c:pt>
                <c:pt idx="5209">
                  <c:v>1562.0684000000001</c:v>
                </c:pt>
                <c:pt idx="5210">
                  <c:v>1567.0256000000002</c:v>
                </c:pt>
                <c:pt idx="5211">
                  <c:v>1587.6441</c:v>
                </c:pt>
                <c:pt idx="5212">
                  <c:v>1580.5531000000001</c:v>
                </c:pt>
                <c:pt idx="5213">
                  <c:v>1576.251</c:v>
                </c:pt>
                <c:pt idx="5214">
                  <c:v>1596.3267999999998</c:v>
                </c:pt>
                <c:pt idx="5215">
                  <c:v>1613.5088000000001</c:v>
                </c:pt>
                <c:pt idx="5216">
                  <c:v>1620.1615000000002</c:v>
                </c:pt>
                <c:pt idx="5217">
                  <c:v>1616.9430000000002</c:v>
                </c:pt>
                <c:pt idx="5218">
                  <c:v>1604.8500000000001</c:v>
                </c:pt>
                <c:pt idx="5219">
                  <c:v>1568.7616</c:v>
                </c:pt>
                <c:pt idx="5220">
                  <c:v>1569.46</c:v>
                </c:pt>
                <c:pt idx="5221">
                  <c:v>1558.2735</c:v>
                </c:pt>
                <c:pt idx="5222">
                  <c:v>1562.085</c:v>
                </c:pt>
                <c:pt idx="5223">
                  <c:v>1577.8164000000002</c:v>
                </c:pt>
                <c:pt idx="5224">
                  <c:v>1575.6156000000001</c:v>
                </c:pt>
                <c:pt idx="5225">
                  <c:v>1576.7023999999999</c:v>
                </c:pt>
                <c:pt idx="5226">
                  <c:v>1572.7475000000002</c:v>
                </c:pt>
                <c:pt idx="5227">
                  <c:v>1557.0475000000001</c:v>
                </c:pt>
                <c:pt idx="5228">
                  <c:v>1566.1566</c:v>
                </c:pt>
                <c:pt idx="5229">
                  <c:v>1574.9229</c:v>
                </c:pt>
                <c:pt idx="5230">
                  <c:v>1577.4234000000001</c:v>
                </c:pt>
                <c:pt idx="5231">
                  <c:v>1591.0779</c:v>
                </c:pt>
                <c:pt idx="5232">
                  <c:v>1599.1053000000002</c:v>
                </c:pt>
                <c:pt idx="5233">
                  <c:v>1596.0152</c:v>
                </c:pt>
                <c:pt idx="5234">
                  <c:v>1615.3410000000001</c:v>
                </c:pt>
                <c:pt idx="5235">
                  <c:v>1623.04</c:v>
                </c:pt>
                <c:pt idx="5236">
                  <c:v>1600.8628000000001</c:v>
                </c:pt>
                <c:pt idx="5237">
                  <c:v>1614.0885000000001</c:v>
                </c:pt>
                <c:pt idx="5238">
                  <c:v>1606.1422000000002</c:v>
                </c:pt>
                <c:pt idx="5239">
                  <c:v>1580.7615000000001</c:v>
                </c:pt>
                <c:pt idx="5240">
                  <c:v>1560.0701000000001</c:v>
                </c:pt>
                <c:pt idx="5241">
                  <c:v>1558.0092000000002</c:v>
                </c:pt>
                <c:pt idx="5242">
                  <c:v>1554.8288</c:v>
                </c:pt>
                <c:pt idx="5243">
                  <c:v>1570.6623000000002</c:v>
                </c:pt>
                <c:pt idx="5244">
                  <c:v>1571.3507999999999</c:v>
                </c:pt>
                <c:pt idx="5245">
                  <c:v>1551.1448</c:v>
                </c:pt>
                <c:pt idx="5246">
                  <c:v>1566.74</c:v>
                </c:pt>
                <c:pt idx="5247">
                  <c:v>1568.2184000000002</c:v>
                </c:pt>
                <c:pt idx="5248">
                  <c:v>1564.1055999999999</c:v>
                </c:pt>
                <c:pt idx="5249">
                  <c:v>1555.5540000000001</c:v>
                </c:pt>
                <c:pt idx="5250">
                  <c:v>1516.5486000000001</c:v>
                </c:pt>
                <c:pt idx="5251">
                  <c:v>1483.0891999999999</c:v>
                </c:pt>
                <c:pt idx="5252">
                  <c:v>1468.8050000000001</c:v>
                </c:pt>
                <c:pt idx="5253">
                  <c:v>1455.183</c:v>
                </c:pt>
                <c:pt idx="5254">
                  <c:v>1459.6130000000001</c:v>
                </c:pt>
                <c:pt idx="5255">
                  <c:v>1455.2594999999999</c:v>
                </c:pt>
                <c:pt idx="5256">
                  <c:v>1479.6822</c:v>
                </c:pt>
                <c:pt idx="5257">
                  <c:v>1476.4827</c:v>
                </c:pt>
                <c:pt idx="5258">
                  <c:v>1462.8642</c:v>
                </c:pt>
                <c:pt idx="5259">
                  <c:v>1446.1124</c:v>
                </c:pt>
                <c:pt idx="5260">
                  <c:v>1469.5671</c:v>
                </c:pt>
                <c:pt idx="5261">
                  <c:v>1466.7345</c:v>
                </c:pt>
                <c:pt idx="5262">
                  <c:v>1462.5183999999999</c:v>
                </c:pt>
                <c:pt idx="5263">
                  <c:v>1452.5932</c:v>
                </c:pt>
                <c:pt idx="5264">
                  <c:v>1500.93</c:v>
                </c:pt>
                <c:pt idx="5265">
                  <c:v>1498.5491999999999</c:v>
                </c:pt>
                <c:pt idx="5266">
                  <c:v>1494.2745</c:v>
                </c:pt>
                <c:pt idx="5267">
                  <c:v>1491.8079</c:v>
                </c:pt>
                <c:pt idx="5268">
                  <c:v>1508.6592000000001</c:v>
                </c:pt>
                <c:pt idx="5269">
                  <c:v>1537.7468000000001</c:v>
                </c:pt>
                <c:pt idx="5270">
                  <c:v>1539.3015</c:v>
                </c:pt>
                <c:pt idx="5271">
                  <c:v>1553.8734000000002</c:v>
                </c:pt>
                <c:pt idx="5272">
                  <c:v>1565.8127999999999</c:v>
                </c:pt>
                <c:pt idx="5273">
                  <c:v>1561.6923000000002</c:v>
                </c:pt>
                <c:pt idx="5274">
                  <c:v>1564.1055999999999</c:v>
                </c:pt>
                <c:pt idx="5275">
                  <c:v>1574.3520000000001</c:v>
                </c:pt>
                <c:pt idx="5276">
                  <c:v>1564.8552</c:v>
                </c:pt>
                <c:pt idx="5277">
                  <c:v>1558.68</c:v>
                </c:pt>
                <c:pt idx="5278">
                  <c:v>1573.4160000000002</c:v>
                </c:pt>
                <c:pt idx="5279">
                  <c:v>1568.2146</c:v>
                </c:pt>
                <c:pt idx="5280">
                  <c:v>1590.5065</c:v>
                </c:pt>
                <c:pt idx="5281">
                  <c:v>1578.5572000000002</c:v>
                </c:pt>
                <c:pt idx="5282">
                  <c:v>1587.3825000000002</c:v>
                </c:pt>
                <c:pt idx="5283">
                  <c:v>1613.1010000000001</c:v>
                </c:pt>
                <c:pt idx="5284">
                  <c:v>1605.9306000000001</c:v>
                </c:pt>
                <c:pt idx="5285">
                  <c:v>1617.9114000000002</c:v>
                </c:pt>
                <c:pt idx="5286">
                  <c:v>1639.0310999999999</c:v>
                </c:pt>
                <c:pt idx="5287">
                  <c:v>1636.1958</c:v>
                </c:pt>
                <c:pt idx="5288">
                  <c:v>1622.7772</c:v>
                </c:pt>
                <c:pt idx="5289">
                  <c:v>1617.472</c:v>
                </c:pt>
                <c:pt idx="5290">
                  <c:v>1625.6356000000001</c:v>
                </c:pt>
                <c:pt idx="5291">
                  <c:v>1618.7790000000002</c:v>
                </c:pt>
                <c:pt idx="5292">
                  <c:v>1631.1810000000003</c:v>
                </c:pt>
                <c:pt idx="5293">
                  <c:v>1598.586</c:v>
                </c:pt>
                <c:pt idx="5294">
                  <c:v>1581.4764</c:v>
                </c:pt>
                <c:pt idx="5295">
                  <c:v>1571.3836000000001</c:v>
                </c:pt>
                <c:pt idx="5296">
                  <c:v>1545.6004</c:v>
                </c:pt>
                <c:pt idx="5297">
                  <c:v>1541.1052999999999</c:v>
                </c:pt>
                <c:pt idx="5298">
                  <c:v>1548.0608</c:v>
                </c:pt>
                <c:pt idx="5299">
                  <c:v>1527.5304000000001</c:v>
                </c:pt>
                <c:pt idx="5300">
                  <c:v>1548.9362000000001</c:v>
                </c:pt>
                <c:pt idx="5301">
                  <c:v>1572.9947999999999</c:v>
                </c:pt>
                <c:pt idx="5302">
                  <c:v>1569.1770000000001</c:v>
                </c:pt>
                <c:pt idx="5303">
                  <c:v>1607.3684000000001</c:v>
                </c:pt>
                <c:pt idx="5304">
                  <c:v>1612.3437000000001</c:v>
                </c:pt>
                <c:pt idx="5305">
                  <c:v>1594.2444</c:v>
                </c:pt>
                <c:pt idx="5306">
                  <c:v>1603.4331999999999</c:v>
                </c:pt>
                <c:pt idx="5307">
                  <c:v>1581.4607000000001</c:v>
                </c:pt>
                <c:pt idx="5308">
                  <c:v>1563.606</c:v>
                </c:pt>
                <c:pt idx="5309">
                  <c:v>1619.3756999999998</c:v>
                </c:pt>
                <c:pt idx="5310">
                  <c:v>1629.5519999999999</c:v>
                </c:pt>
                <c:pt idx="5311">
                  <c:v>1644.9480000000001</c:v>
                </c:pt>
                <c:pt idx="5312">
                  <c:v>1631.2590000000002</c:v>
                </c:pt>
                <c:pt idx="5313">
                  <c:v>1642.5990000000002</c:v>
                </c:pt>
                <c:pt idx="5314">
                  <c:v>1658.961</c:v>
                </c:pt>
                <c:pt idx="5315">
                  <c:v>1649.8151999999998</c:v>
                </c:pt>
                <c:pt idx="5316">
                  <c:v>1626.6227000000001</c:v>
                </c:pt>
                <c:pt idx="5317">
                  <c:v>1608.96</c:v>
                </c:pt>
                <c:pt idx="5318">
                  <c:v>1601.1010000000001</c:v>
                </c:pt>
                <c:pt idx="5319">
                  <c:v>1597.4192</c:v>
                </c:pt>
                <c:pt idx="5320">
                  <c:v>1564.674</c:v>
                </c:pt>
                <c:pt idx="5321">
                  <c:v>1564.279</c:v>
                </c:pt>
                <c:pt idx="5322">
                  <c:v>1592.942</c:v>
                </c:pt>
                <c:pt idx="5323">
                  <c:v>1597.9064000000001</c:v>
                </c:pt>
                <c:pt idx="5324">
                  <c:v>1602.0959</c:v>
                </c:pt>
                <c:pt idx="5325">
                  <c:v>1635.7795000000001</c:v>
                </c:pt>
                <c:pt idx="5326">
                  <c:v>1643.4387000000002</c:v>
                </c:pt>
                <c:pt idx="5327">
                  <c:v>1669.4055000000001</c:v>
                </c:pt>
                <c:pt idx="5328">
                  <c:v>1627.2558000000001</c:v>
                </c:pt>
                <c:pt idx="5329">
                  <c:v>1630.6084000000003</c:v>
                </c:pt>
                <c:pt idx="5330">
                  <c:v>1651.9293</c:v>
                </c:pt>
                <c:pt idx="5331">
                  <c:v>1657.5405000000001</c:v>
                </c:pt>
                <c:pt idx="5332">
                  <c:v>1666.6056000000003</c:v>
                </c:pt>
                <c:pt idx="5333">
                  <c:v>1663.2357</c:v>
                </c:pt>
                <c:pt idx="5334">
                  <c:v>1669.6428000000003</c:v>
                </c:pt>
                <c:pt idx="5335">
                  <c:v>1646.3600000000001</c:v>
                </c:pt>
                <c:pt idx="5336">
                  <c:v>1653.7752</c:v>
                </c:pt>
                <c:pt idx="5337">
                  <c:v>1652.5522000000003</c:v>
                </c:pt>
                <c:pt idx="5338">
                  <c:v>1670.2583999999999</c:v>
                </c:pt>
                <c:pt idx="5339">
                  <c:v>1655.3690000000001</c:v>
                </c:pt>
                <c:pt idx="5340">
                  <c:v>1628.2394999999999</c:v>
                </c:pt>
                <c:pt idx="5341">
                  <c:v>1651.3432000000003</c:v>
                </c:pt>
                <c:pt idx="5342">
                  <c:v>1648.6022</c:v>
                </c:pt>
                <c:pt idx="5343">
                  <c:v>1668.48</c:v>
                </c:pt>
                <c:pt idx="5344">
                  <c:v>1670.5920000000001</c:v>
                </c:pt>
                <c:pt idx="5345">
                  <c:v>1642.41</c:v>
                </c:pt>
                <c:pt idx="5346">
                  <c:v>1680.883</c:v>
                </c:pt>
                <c:pt idx="5347">
                  <c:v>1698.7370000000003</c:v>
                </c:pt>
                <c:pt idx="5348">
                  <c:v>1688.0731000000001</c:v>
                </c:pt>
                <c:pt idx="5349">
                  <c:v>1661.6555999999998</c:v>
                </c:pt>
                <c:pt idx="5350">
                  <c:v>1698.4014</c:v>
                </c:pt>
                <c:pt idx="5351">
                  <c:v>1716.5491</c:v>
                </c:pt>
                <c:pt idx="5352">
                  <c:v>1730.2054000000001</c:v>
                </c:pt>
                <c:pt idx="5353">
                  <c:v>1713.0687</c:v>
                </c:pt>
                <c:pt idx="5354">
                  <c:v>1717.1819</c:v>
                </c:pt>
                <c:pt idx="5355">
                  <c:v>1719.0011999999999</c:v>
                </c:pt>
                <c:pt idx="5356">
                  <c:v>1717.7173</c:v>
                </c:pt>
                <c:pt idx="5357">
                  <c:v>1742.5730000000001</c:v>
                </c:pt>
                <c:pt idx="5358">
                  <c:v>1759.854</c:v>
                </c:pt>
                <c:pt idx="5359">
                  <c:v>1754.4384</c:v>
                </c:pt>
                <c:pt idx="5360">
                  <c:v>1797.1759000000002</c:v>
                </c:pt>
                <c:pt idx="5361">
                  <c:v>1799.9996000000001</c:v>
                </c:pt>
                <c:pt idx="5362">
                  <c:v>1769.2175999999999</c:v>
                </c:pt>
                <c:pt idx="5363">
                  <c:v>1772.9179999999999</c:v>
                </c:pt>
                <c:pt idx="5364">
                  <c:v>1770.8316000000002</c:v>
                </c:pt>
                <c:pt idx="5365">
                  <c:v>1731.443</c:v>
                </c:pt>
                <c:pt idx="5366">
                  <c:v>1738.5758000000001</c:v>
                </c:pt>
                <c:pt idx="5367">
                  <c:v>1721.1259</c:v>
                </c:pt>
                <c:pt idx="5368">
                  <c:v>1723.2032999999999</c:v>
                </c:pt>
                <c:pt idx="5369">
                  <c:v>1748.3426999999999</c:v>
                </c:pt>
                <c:pt idx="5370">
                  <c:v>1757.4803999999999</c:v>
                </c:pt>
                <c:pt idx="5371">
                  <c:v>1733.6196000000002</c:v>
                </c:pt>
                <c:pt idx="5372">
                  <c:v>1714.4925000000001</c:v>
                </c:pt>
                <c:pt idx="5373">
                  <c:v>1720.6623000000002</c:v>
                </c:pt>
                <c:pt idx="5374">
                  <c:v>1689.8802000000003</c:v>
                </c:pt>
                <c:pt idx="5375">
                  <c:v>1669.1120000000003</c:v>
                </c:pt>
                <c:pt idx="5376">
                  <c:v>1685.7001</c:v>
                </c:pt>
                <c:pt idx="5377">
                  <c:v>1695.2711999999999</c:v>
                </c:pt>
                <c:pt idx="5378">
                  <c:v>1683.0104000000001</c:v>
                </c:pt>
                <c:pt idx="5379">
                  <c:v>1680.0840000000001</c:v>
                </c:pt>
                <c:pt idx="5380">
                  <c:v>1691.7116999999998</c:v>
                </c:pt>
                <c:pt idx="5381">
                  <c:v>1686.412</c:v>
                </c:pt>
                <c:pt idx="5382">
                  <c:v>1673.2814000000001</c:v>
                </c:pt>
                <c:pt idx="5383">
                  <c:v>1661.2896000000001</c:v>
                </c:pt>
                <c:pt idx="5384">
                  <c:v>1657.7778000000003</c:v>
                </c:pt>
                <c:pt idx="5385">
                  <c:v>1620.6534000000001</c:v>
                </c:pt>
                <c:pt idx="5386">
                  <c:v>1590.5862000000002</c:v>
                </c:pt>
                <c:pt idx="5387">
                  <c:v>1567.1760000000002</c:v>
                </c:pt>
                <c:pt idx="5388">
                  <c:v>1551.8459</c:v>
                </c:pt>
                <c:pt idx="5389">
                  <c:v>1561.835</c:v>
                </c:pt>
                <c:pt idx="5390">
                  <c:v>1572.5673000000002</c:v>
                </c:pt>
                <c:pt idx="5391">
                  <c:v>1576.4623000000001</c:v>
                </c:pt>
                <c:pt idx="5392">
                  <c:v>1567.1313</c:v>
                </c:pt>
                <c:pt idx="5393">
                  <c:v>1558.7574999999999</c:v>
                </c:pt>
                <c:pt idx="5394">
                  <c:v>1566.3108000000002</c:v>
                </c:pt>
                <c:pt idx="5395">
                  <c:v>1578.6504</c:v>
                </c:pt>
                <c:pt idx="5396">
                  <c:v>1569.8857</c:v>
                </c:pt>
                <c:pt idx="5397">
                  <c:v>1579.9662000000001</c:v>
                </c:pt>
                <c:pt idx="5398">
                  <c:v>1592.7434000000001</c:v>
                </c:pt>
                <c:pt idx="5399">
                  <c:v>1589.0317</c:v>
                </c:pt>
                <c:pt idx="5400">
                  <c:v>1573.1343000000002</c:v>
                </c:pt>
                <c:pt idx="5401">
                  <c:v>1569.6172000000001</c:v>
                </c:pt>
                <c:pt idx="5402">
                  <c:v>1574.865</c:v>
                </c:pt>
                <c:pt idx="5403">
                  <c:v>1539.71</c:v>
                </c:pt>
                <c:pt idx="5404">
                  <c:v>1543.423</c:v>
                </c:pt>
                <c:pt idx="5405">
                  <c:v>1546.6176</c:v>
                </c:pt>
                <c:pt idx="5406">
                  <c:v>1571.0051000000001</c:v>
                </c:pt>
                <c:pt idx="5407">
                  <c:v>1560.3062</c:v>
                </c:pt>
                <c:pt idx="5408">
                  <c:v>1558.354</c:v>
                </c:pt>
                <c:pt idx="5409">
                  <c:v>1550.4090000000001</c:v>
                </c:pt>
                <c:pt idx="5410">
                  <c:v>1585.1533000000002</c:v>
                </c:pt>
                <c:pt idx="5411">
                  <c:v>1612.2513000000001</c:v>
                </c:pt>
                <c:pt idx="5412">
                  <c:v>1634.7828</c:v>
                </c:pt>
                <c:pt idx="5413">
                  <c:v>1621.1299000000001</c:v>
                </c:pt>
                <c:pt idx="5414">
                  <c:v>1604.239</c:v>
                </c:pt>
                <c:pt idx="5415">
                  <c:v>1607.6490000000001</c:v>
                </c:pt>
                <c:pt idx="5416">
                  <c:v>1591.1280000000002</c:v>
                </c:pt>
                <c:pt idx="5417">
                  <c:v>1571.7942</c:v>
                </c:pt>
                <c:pt idx="5418">
                  <c:v>1562.0450000000001</c:v>
                </c:pt>
                <c:pt idx="5419">
                  <c:v>1578.3285000000001</c:v>
                </c:pt>
                <c:pt idx="5420">
                  <c:v>1581.6339</c:v>
                </c:pt>
                <c:pt idx="5421">
                  <c:v>1605.2348</c:v>
                </c:pt>
                <c:pt idx="5422">
                  <c:v>1626.4520000000002</c:v>
                </c:pt>
                <c:pt idx="5423">
                  <c:v>1631.903</c:v>
                </c:pt>
                <c:pt idx="5424">
                  <c:v>1646.4390000000001</c:v>
                </c:pt>
                <c:pt idx="5425">
                  <c:v>1650.3513</c:v>
                </c:pt>
                <c:pt idx="5426">
                  <c:v>1633.7034000000001</c:v>
                </c:pt>
                <c:pt idx="5427">
                  <c:v>1602.7132000000001</c:v>
                </c:pt>
                <c:pt idx="5428">
                  <c:v>1598.1984</c:v>
                </c:pt>
                <c:pt idx="5429">
                  <c:v>1591.2547000000002</c:v>
                </c:pt>
                <c:pt idx="5430">
                  <c:v>1587.0309</c:v>
                </c:pt>
                <c:pt idx="5431">
                  <c:v>1594.1814000000002</c:v>
                </c:pt>
                <c:pt idx="5432">
                  <c:v>1593.1531</c:v>
                </c:pt>
                <c:pt idx="5433">
                  <c:v>1586.9042000000002</c:v>
                </c:pt>
                <c:pt idx="5434">
                  <c:v>1612.4552000000001</c:v>
                </c:pt>
                <c:pt idx="5435">
                  <c:v>1616.7096000000001</c:v>
                </c:pt>
                <c:pt idx="5436">
                  <c:v>1595.5014000000001</c:v>
                </c:pt>
                <c:pt idx="5437">
                  <c:v>1597.7016000000001</c:v>
                </c:pt>
                <c:pt idx="5438">
                  <c:v>1588.421</c:v>
                </c:pt>
                <c:pt idx="5439">
                  <c:v>1589.5640000000001</c:v>
                </c:pt>
                <c:pt idx="5440">
                  <c:v>1591.2918</c:v>
                </c:pt>
                <c:pt idx="5441">
                  <c:v>1579.1758000000002</c:v>
                </c:pt>
                <c:pt idx="5442">
                  <c:v>1577.2470000000001</c:v>
                </c:pt>
                <c:pt idx="5443">
                  <c:v>1568.3088</c:v>
                </c:pt>
                <c:pt idx="5444">
                  <c:v>1548.8352</c:v>
                </c:pt>
                <c:pt idx="5445">
                  <c:v>1528.6075000000001</c:v>
                </c:pt>
                <c:pt idx="5446">
                  <c:v>1531.4672</c:v>
                </c:pt>
                <c:pt idx="5447">
                  <c:v>1526.241</c:v>
                </c:pt>
                <c:pt idx="5448">
                  <c:v>1512.0924</c:v>
                </c:pt>
                <c:pt idx="5449">
                  <c:v>1506.1386000000002</c:v>
                </c:pt>
                <c:pt idx="5450">
                  <c:v>1516.2623000000001</c:v>
                </c:pt>
                <c:pt idx="5451">
                  <c:v>1523.7423000000001</c:v>
                </c:pt>
                <c:pt idx="5452">
                  <c:v>1507.6000000000001</c:v>
                </c:pt>
                <c:pt idx="5453">
                  <c:v>1503.5094000000001</c:v>
                </c:pt>
                <c:pt idx="5454">
                  <c:v>1508.3214</c:v>
                </c:pt>
                <c:pt idx="5455">
                  <c:v>1506.4768000000001</c:v>
                </c:pt>
                <c:pt idx="5456">
                  <c:v>1500.0006000000001</c:v>
                </c:pt>
                <c:pt idx="5457">
                  <c:v>1487.0565000000001</c:v>
                </c:pt>
                <c:pt idx="5458">
                  <c:v>1485.4209000000001</c:v>
                </c:pt>
                <c:pt idx="5459">
                  <c:v>1490.4697000000001</c:v>
                </c:pt>
                <c:pt idx="5460">
                  <c:v>1507.4648</c:v>
                </c:pt>
                <c:pt idx="5461">
                  <c:v>1513.4867999999999</c:v>
                </c:pt>
                <c:pt idx="5462">
                  <c:v>1491.7570000000001</c:v>
                </c:pt>
                <c:pt idx="5463">
                  <c:v>1491.9159000000002</c:v>
                </c:pt>
                <c:pt idx="5464">
                  <c:v>1513.8732</c:v>
                </c:pt>
                <c:pt idx="5465">
                  <c:v>1516.405</c:v>
                </c:pt>
                <c:pt idx="5466">
                  <c:v>1540.9170000000001</c:v>
                </c:pt>
                <c:pt idx="5467">
                  <c:v>1545.2725</c:v>
                </c:pt>
                <c:pt idx="5468">
                  <c:v>1562.067</c:v>
                </c:pt>
                <c:pt idx="5469">
                  <c:v>1541.8176000000001</c:v>
                </c:pt>
                <c:pt idx="5470">
                  <c:v>1530.7650000000001</c:v>
                </c:pt>
                <c:pt idx="5471">
                  <c:v>1524.3444</c:v>
                </c:pt>
                <c:pt idx="5472">
                  <c:v>1524.7338000000002</c:v>
                </c:pt>
                <c:pt idx="5473">
                  <c:v>1506.6834000000001</c:v>
                </c:pt>
                <c:pt idx="5474">
                  <c:v>1514.4855</c:v>
                </c:pt>
                <c:pt idx="5475">
                  <c:v>1526.2345</c:v>
                </c:pt>
                <c:pt idx="5476">
                  <c:v>1519.8810000000001</c:v>
                </c:pt>
                <c:pt idx="5477">
                  <c:v>1516.1120000000001</c:v>
                </c:pt>
                <c:pt idx="5478">
                  <c:v>1486.5617999999999</c:v>
                </c:pt>
                <c:pt idx="5479">
                  <c:v>1474.7824000000001</c:v>
                </c:pt>
                <c:pt idx="5480">
                  <c:v>1462.0176000000001</c:v>
                </c:pt>
                <c:pt idx="5481">
                  <c:v>1446.8806</c:v>
                </c:pt>
                <c:pt idx="5482">
                  <c:v>1459.0642</c:v>
                </c:pt>
                <c:pt idx="5483">
                  <c:v>1449.6716000000001</c:v>
                </c:pt>
                <c:pt idx="5484">
                  <c:v>1453.8985</c:v>
                </c:pt>
                <c:pt idx="5485">
                  <c:v>1434.8532</c:v>
                </c:pt>
                <c:pt idx="5486">
                  <c:v>1433.9159999999999</c:v>
                </c:pt>
                <c:pt idx="5487">
                  <c:v>1448.46</c:v>
                </c:pt>
                <c:pt idx="5488">
                  <c:v>1432.5236</c:v>
                </c:pt>
                <c:pt idx="5489">
                  <c:v>1427.8082999999999</c:v>
                </c:pt>
                <c:pt idx="5490">
                  <c:v>1433.0392000000002</c:v>
                </c:pt>
                <c:pt idx="5491">
                  <c:v>1429.2637999999999</c:v>
                </c:pt>
                <c:pt idx="5492">
                  <c:v>1415.5016000000001</c:v>
                </c:pt>
                <c:pt idx="5493">
                  <c:v>1402.4539</c:v>
                </c:pt>
                <c:pt idx="5494">
                  <c:v>1401.1722</c:v>
                </c:pt>
                <c:pt idx="5495">
                  <c:v>1387.395</c:v>
                </c:pt>
                <c:pt idx="5496">
                  <c:v>1396.6056000000001</c:v>
                </c:pt>
                <c:pt idx="5497">
                  <c:v>1392.8130000000001</c:v>
                </c:pt>
                <c:pt idx="5498">
                  <c:v>1397.8580000000002</c:v>
                </c:pt>
                <c:pt idx="5499">
                  <c:v>1383.5146</c:v>
                </c:pt>
                <c:pt idx="5500">
                  <c:v>1376.2281</c:v>
                </c:pt>
                <c:pt idx="5501">
                  <c:v>1370.9584</c:v>
                </c:pt>
                <c:pt idx="5502">
                  <c:v>1377.2628</c:v>
                </c:pt>
                <c:pt idx="5503">
                  <c:v>1368.9880000000001</c:v>
                </c:pt>
                <c:pt idx="5504">
                  <c:v>1367.924</c:v>
                </c:pt>
                <c:pt idx="5505">
                  <c:v>1367.8975</c:v>
                </c:pt>
                <c:pt idx="5506">
                  <c:v>1359.3285000000001</c:v>
                </c:pt>
                <c:pt idx="5507">
                  <c:v>1354.9354000000001</c:v>
                </c:pt>
                <c:pt idx="5508">
                  <c:v>1340.1663000000001</c:v>
                </c:pt>
                <c:pt idx="5509">
                  <c:v>1330.2761</c:v>
                </c:pt>
                <c:pt idx="5510">
                  <c:v>1332.0172</c:v>
                </c:pt>
                <c:pt idx="5511">
                  <c:v>1333.5840000000001</c:v>
                </c:pt>
                <c:pt idx="5512">
                  <c:v>1315.9773</c:v>
                </c:pt>
                <c:pt idx="5513">
                  <c:v>1306.1538</c:v>
                </c:pt>
                <c:pt idx="5514">
                  <c:v>1292.7503999999999</c:v>
                </c:pt>
                <c:pt idx="5515">
                  <c:v>1294.5229999999999</c:v>
                </c:pt>
                <c:pt idx="5516">
                  <c:v>1282.8205</c:v>
                </c:pt>
                <c:pt idx="5517">
                  <c:v>1280.5936000000002</c:v>
                </c:pt>
                <c:pt idx="5518">
                  <c:v>1280.0658000000001</c:v>
                </c:pt>
                <c:pt idx="5519">
                  <c:v>1295.5045</c:v>
                </c:pt>
                <c:pt idx="5520">
                  <c:v>1303.7339999999999</c:v>
                </c:pt>
                <c:pt idx="5521">
                  <c:v>1311.7190000000001</c:v>
                </c:pt>
                <c:pt idx="5522">
                  <c:v>1299.4559999999999</c:v>
                </c:pt>
                <c:pt idx="5523">
                  <c:v>1301.404</c:v>
                </c:pt>
                <c:pt idx="5524">
                  <c:v>1303.5074999999999</c:v>
                </c:pt>
                <c:pt idx="5525">
                  <c:v>1300.0457999999999</c:v>
                </c:pt>
                <c:pt idx="5526">
                  <c:v>1281.7728</c:v>
                </c:pt>
                <c:pt idx="5527">
                  <c:v>1272.9815000000001</c:v>
                </c:pt>
                <c:pt idx="5528">
                  <c:v>1277.6498000000001</c:v>
                </c:pt>
                <c:pt idx="5529">
                  <c:v>1287.0429000000001</c:v>
                </c:pt>
                <c:pt idx="5530">
                  <c:v>1283.9723999999999</c:v>
                </c:pt>
                <c:pt idx="5531">
                  <c:v>1285.0056</c:v>
                </c:pt>
                <c:pt idx="5532">
                  <c:v>1286.0387999999998</c:v>
                </c:pt>
                <c:pt idx="5533">
                  <c:v>1271.8751999999999</c:v>
                </c:pt>
                <c:pt idx="5534">
                  <c:v>1275.2516000000001</c:v>
                </c:pt>
                <c:pt idx="5535">
                  <c:v>1293.675</c:v>
                </c:pt>
                <c:pt idx="5536">
                  <c:v>1295.7626</c:v>
                </c:pt>
                <c:pt idx="5537">
                  <c:v>1274.1495</c:v>
                </c:pt>
                <c:pt idx="5538">
                  <c:v>1263.4608000000001</c:v>
                </c:pt>
                <c:pt idx="5539">
                  <c:v>1247.6216999999999</c:v>
                </c:pt>
                <c:pt idx="5540">
                  <c:v>1259.4593</c:v>
                </c:pt>
                <c:pt idx="5541">
                  <c:v>1251.4823999999999</c:v>
                </c:pt>
                <c:pt idx="5542">
                  <c:v>1253.4292</c:v>
                </c:pt>
                <c:pt idx="5543">
                  <c:v>1247.2416000000001</c:v>
                </c:pt>
                <c:pt idx="5544">
                  <c:v>1259.5914</c:v>
                </c:pt>
                <c:pt idx="5545">
                  <c:v>1269.0783000000001</c:v>
                </c:pt>
                <c:pt idx="5546">
                  <c:v>1253.4918</c:v>
                </c:pt>
                <c:pt idx="5547">
                  <c:v>1270.3283999999999</c:v>
                </c:pt>
                <c:pt idx="5548">
                  <c:v>1256.9880000000001</c:v>
                </c:pt>
                <c:pt idx="5549">
                  <c:v>1245.3816000000002</c:v>
                </c:pt>
                <c:pt idx="5550">
                  <c:v>1256.2439999999999</c:v>
                </c:pt>
                <c:pt idx="5551">
                  <c:v>1261.8240000000001</c:v>
                </c:pt>
                <c:pt idx="5552">
                  <c:v>1255.518</c:v>
                </c:pt>
                <c:pt idx="5553">
                  <c:v>1236.0620999999999</c:v>
                </c:pt>
                <c:pt idx="5554">
                  <c:v>1233.1693</c:v>
                </c:pt>
                <c:pt idx="5555">
                  <c:v>1247.048</c:v>
                </c:pt>
                <c:pt idx="5556">
                  <c:v>1246.1600000000001</c:v>
                </c:pt>
                <c:pt idx="5557">
                  <c:v>1266.5172</c:v>
                </c:pt>
                <c:pt idx="5558">
                  <c:v>1266.4431</c:v>
                </c:pt>
                <c:pt idx="5559">
                  <c:v>1269.8399999999999</c:v>
                </c:pt>
                <c:pt idx="5560">
                  <c:v>1271.1987000000001</c:v>
                </c:pt>
                <c:pt idx="5561">
                  <c:v>1266.9416000000001</c:v>
                </c:pt>
                <c:pt idx="5562">
                  <c:v>1266.5856000000001</c:v>
                </c:pt>
                <c:pt idx="5563">
                  <c:v>1267.3979999999999</c:v>
                </c:pt>
                <c:pt idx="5564">
                  <c:v>1255.248</c:v>
                </c:pt>
                <c:pt idx="5565">
                  <c:v>1262.7758000000001</c:v>
                </c:pt>
                <c:pt idx="5566">
                  <c:v>1266.2026000000001</c:v>
                </c:pt>
                <c:pt idx="5567">
                  <c:v>1267.1632999999999</c:v>
                </c:pt>
                <c:pt idx="5568">
                  <c:v>1255.7088000000001</c:v>
                </c:pt>
                <c:pt idx="5569">
                  <c:v>1235.6333999999999</c:v>
                </c:pt>
                <c:pt idx="5570">
                  <c:v>1228.2180000000001</c:v>
                </c:pt>
                <c:pt idx="5571">
                  <c:v>1237.7637</c:v>
                </c:pt>
                <c:pt idx="5572">
                  <c:v>1255.6676</c:v>
                </c:pt>
                <c:pt idx="5573">
                  <c:v>1265.8404</c:v>
                </c:pt>
                <c:pt idx="5574">
                  <c:v>1245.5652</c:v>
                </c:pt>
                <c:pt idx="5575">
                  <c:v>1237.4555</c:v>
                </c:pt>
                <c:pt idx="5576">
                  <c:v>1248.528</c:v>
                </c:pt>
                <c:pt idx="5577">
                  <c:v>1247.8619999999999</c:v>
                </c:pt>
                <c:pt idx="5578">
                  <c:v>1254.0863999999999</c:v>
                </c:pt>
                <c:pt idx="5579">
                  <c:v>1243.0008</c:v>
                </c:pt>
                <c:pt idx="5580">
                  <c:v>1238.538</c:v>
                </c:pt>
                <c:pt idx="5581">
                  <c:v>1235.8</c:v>
                </c:pt>
                <c:pt idx="5582">
                  <c:v>1231.0515</c:v>
                </c:pt>
                <c:pt idx="5583">
                  <c:v>1250.3779999999999</c:v>
                </c:pt>
                <c:pt idx="5584">
                  <c:v>1241.0208</c:v>
                </c:pt>
                <c:pt idx="5585">
                  <c:v>1245.0798</c:v>
                </c:pt>
                <c:pt idx="5586">
                  <c:v>1228.5312000000001</c:v>
                </c:pt>
                <c:pt idx="5587">
                  <c:v>1229.7456</c:v>
                </c:pt>
                <c:pt idx="5588">
                  <c:v>1257.2688000000001</c:v>
                </c:pt>
                <c:pt idx="5589">
                  <c:v>1261.2911999999999</c:v>
                </c:pt>
                <c:pt idx="5590">
                  <c:v>1257.2187999999999</c:v>
                </c:pt>
                <c:pt idx="5591">
                  <c:v>1244.5836999999999</c:v>
                </c:pt>
                <c:pt idx="5592">
                  <c:v>1236.1400000000001</c:v>
                </c:pt>
                <c:pt idx="5593">
                  <c:v>1233.9359999999999</c:v>
                </c:pt>
                <c:pt idx="5594">
                  <c:v>1241.7640000000001</c:v>
                </c:pt>
                <c:pt idx="5595">
                  <c:v>1234.5242000000001</c:v>
                </c:pt>
                <c:pt idx="5596">
                  <c:v>1251.79</c:v>
                </c:pt>
                <c:pt idx="5597">
                  <c:v>1236.2944</c:v>
                </c:pt>
                <c:pt idx="5598">
                  <c:v>1210.2894000000001</c:v>
                </c:pt>
                <c:pt idx="5599">
                  <c:v>1207.8989999999999</c:v>
                </c:pt>
                <c:pt idx="5600">
                  <c:v>1209.7848000000001</c:v>
                </c:pt>
                <c:pt idx="5601">
                  <c:v>1216.2445</c:v>
                </c:pt>
                <c:pt idx="5602">
                  <c:v>1218.2378000000001</c:v>
                </c:pt>
                <c:pt idx="5603">
                  <c:v>1208.0379</c:v>
                </c:pt>
                <c:pt idx="5604">
                  <c:v>1228.3656000000001</c:v>
                </c:pt>
                <c:pt idx="5605">
                  <c:v>1224.1152</c:v>
                </c:pt>
                <c:pt idx="5606">
                  <c:v>1232.5401000000002</c:v>
                </c:pt>
                <c:pt idx="5607">
                  <c:v>1224.6864</c:v>
                </c:pt>
                <c:pt idx="5608">
                  <c:v>1226.8679999999999</c:v>
                </c:pt>
                <c:pt idx="5609">
                  <c:v>1230.1163999999999</c:v>
                </c:pt>
                <c:pt idx="5610">
                  <c:v>1220.7239999999999</c:v>
                </c:pt>
                <c:pt idx="5611">
                  <c:v>1209.0857999999998</c:v>
                </c:pt>
                <c:pt idx="5612">
                  <c:v>1198.3340000000001</c:v>
                </c:pt>
                <c:pt idx="5613">
                  <c:v>1193.8724999999999</c:v>
                </c:pt>
                <c:pt idx="5614">
                  <c:v>1171.94</c:v>
                </c:pt>
                <c:pt idx="5615">
                  <c:v>1161.5675000000001</c:v>
                </c:pt>
                <c:pt idx="5616">
                  <c:v>1156.8016</c:v>
                </c:pt>
                <c:pt idx="5617">
                  <c:v>1152.1867</c:v>
                </c:pt>
                <c:pt idx="5618">
                  <c:v>1149.3019999999999</c:v>
                </c:pt>
                <c:pt idx="5619">
                  <c:v>1152.0749999999998</c:v>
                </c:pt>
                <c:pt idx="5620">
                  <c:v>1152.1224</c:v>
                </c:pt>
                <c:pt idx="5621">
                  <c:v>1151.2467999999999</c:v>
                </c:pt>
                <c:pt idx="5622">
                  <c:v>1157.2639999999999</c:v>
                </c:pt>
                <c:pt idx="5623">
                  <c:v>1166.6130000000001</c:v>
                </c:pt>
                <c:pt idx="5624">
                  <c:v>1153.942</c:v>
                </c:pt>
                <c:pt idx="5625">
                  <c:v>1163.4840000000002</c:v>
                </c:pt>
                <c:pt idx="5626">
                  <c:v>1162.5036</c:v>
                </c:pt>
                <c:pt idx="5627">
                  <c:v>1178.3378</c:v>
                </c:pt>
                <c:pt idx="5628">
                  <c:v>1164.3818999999999</c:v>
                </c:pt>
                <c:pt idx="5629">
                  <c:v>1141.0962000000002</c:v>
                </c:pt>
                <c:pt idx="5630">
                  <c:v>1129.6544000000001</c:v>
                </c:pt>
                <c:pt idx="5631">
                  <c:v>1141.4608000000001</c:v>
                </c:pt>
                <c:pt idx="5632">
                  <c:v>1145.7472</c:v>
                </c:pt>
                <c:pt idx="5633">
                  <c:v>1134.3104000000001</c:v>
                </c:pt>
                <c:pt idx="5634">
                  <c:v>1153.4908</c:v>
                </c:pt>
                <c:pt idx="5635">
                  <c:v>1167.6548</c:v>
                </c:pt>
                <c:pt idx="5636">
                  <c:v>1186.5049000000001</c:v>
                </c:pt>
                <c:pt idx="5637">
                  <c:v>1186.8033</c:v>
                </c:pt>
                <c:pt idx="5638">
                  <c:v>1176.6544000000001</c:v>
                </c:pt>
                <c:pt idx="5639">
                  <c:v>1153.3588999999999</c:v>
                </c:pt>
                <c:pt idx="5640">
                  <c:v>1154.2505000000001</c:v>
                </c:pt>
                <c:pt idx="5641">
                  <c:v>1145.2239999999999</c:v>
                </c:pt>
                <c:pt idx="5642">
                  <c:v>1138.4724000000001</c:v>
                </c:pt>
                <c:pt idx="5643">
                  <c:v>1142.19</c:v>
                </c:pt>
                <c:pt idx="5644">
                  <c:v>1143.6029000000001</c:v>
                </c:pt>
                <c:pt idx="5645">
                  <c:v>1124.1090000000002</c:v>
                </c:pt>
                <c:pt idx="5646">
                  <c:v>1106.7839999999999</c:v>
                </c:pt>
                <c:pt idx="5647">
                  <c:v>1105.7304999999999</c:v>
                </c:pt>
                <c:pt idx="5648">
                  <c:v>1120.4128000000001</c:v>
                </c:pt>
                <c:pt idx="5649">
                  <c:v>1132.2178000000001</c:v>
                </c:pt>
                <c:pt idx="5650">
                  <c:v>1124.3818999999999</c:v>
                </c:pt>
                <c:pt idx="5651">
                  <c:v>1122.6890999999998</c:v>
                </c:pt>
                <c:pt idx="5652">
                  <c:v>1107.7209</c:v>
                </c:pt>
                <c:pt idx="5653">
                  <c:v>1099.8628999999999</c:v>
                </c:pt>
                <c:pt idx="5654">
                  <c:v>1077.6362999999999</c:v>
                </c:pt>
                <c:pt idx="5655">
                  <c:v>1072.2976000000001</c:v>
                </c:pt>
                <c:pt idx="5656">
                  <c:v>1064.2697999999998</c:v>
                </c:pt>
                <c:pt idx="5657">
                  <c:v>1073.5255999999999</c:v>
                </c:pt>
                <c:pt idx="5658">
                  <c:v>1074.702</c:v>
                </c:pt>
                <c:pt idx="5659">
                  <c:v>1076.2796000000001</c:v>
                </c:pt>
                <c:pt idx="5660">
                  <c:v>1076.6682000000001</c:v>
                </c:pt>
                <c:pt idx="5661">
                  <c:v>1070.9059999999999</c:v>
                </c:pt>
                <c:pt idx="5662">
                  <c:v>1083.3102000000001</c:v>
                </c:pt>
                <c:pt idx="5663">
                  <c:v>1076.2992000000002</c:v>
                </c:pt>
                <c:pt idx="5664">
                  <c:v>1075.2449999999999</c:v>
                </c:pt>
              </c:numCache>
            </c:numRef>
          </c:val>
          <c:smooth val="0"/>
          <c:extLst>
            <c:ext xmlns:c16="http://schemas.microsoft.com/office/drawing/2014/chart" uri="{C3380CC4-5D6E-409C-BE32-E72D297353CC}">
              <c16:uniqueId val="{00000000-AEF2-4F96-A2A9-64A961D9D955}"/>
            </c:ext>
          </c:extLst>
        </c:ser>
        <c:dLbls>
          <c:showLegendKey val="0"/>
          <c:showVal val="0"/>
          <c:showCatName val="0"/>
          <c:showSerName val="0"/>
          <c:showPercent val="0"/>
          <c:showBubbleSize val="0"/>
        </c:dLbls>
        <c:marker val="1"/>
        <c:smooth val="0"/>
        <c:axId val="657837599"/>
        <c:axId val="1"/>
      </c:lineChart>
      <c:lineChart>
        <c:grouping val="standard"/>
        <c:varyColors val="0"/>
        <c:ser>
          <c:idx val="1"/>
          <c:order val="1"/>
          <c:spPr>
            <a:ln w="12700" cap="rnd">
              <a:solidFill>
                <a:schemeClr val="accent2"/>
              </a:solidFill>
              <a:round/>
            </a:ln>
            <a:effectLst/>
          </c:spPr>
          <c:marker>
            <c:symbol val="none"/>
          </c:marker>
          <c:cat>
            <c:numRef>
              <c:f>'Stock Returns'!$A$2:$A$5666</c:f>
              <c:numCache>
                <c:formatCode>d\-mmm\-yy</c:formatCode>
                <c:ptCount val="5665"/>
                <c:pt idx="0">
                  <c:v>42095</c:v>
                </c:pt>
                <c:pt idx="1">
                  <c:v>42094</c:v>
                </c:pt>
                <c:pt idx="2">
                  <c:v>42093</c:v>
                </c:pt>
                <c:pt idx="3">
                  <c:v>42092</c:v>
                </c:pt>
                <c:pt idx="4">
                  <c:v>42091</c:v>
                </c:pt>
                <c:pt idx="5">
                  <c:v>42090</c:v>
                </c:pt>
                <c:pt idx="6">
                  <c:v>42089</c:v>
                </c:pt>
                <c:pt idx="7">
                  <c:v>42088</c:v>
                </c:pt>
                <c:pt idx="8">
                  <c:v>42087</c:v>
                </c:pt>
                <c:pt idx="9">
                  <c:v>42086</c:v>
                </c:pt>
                <c:pt idx="10">
                  <c:v>42085</c:v>
                </c:pt>
                <c:pt idx="11">
                  <c:v>42084</c:v>
                </c:pt>
                <c:pt idx="12">
                  <c:v>42083</c:v>
                </c:pt>
                <c:pt idx="13">
                  <c:v>42082</c:v>
                </c:pt>
                <c:pt idx="14">
                  <c:v>42081</c:v>
                </c:pt>
                <c:pt idx="15">
                  <c:v>42080</c:v>
                </c:pt>
                <c:pt idx="16">
                  <c:v>42079</c:v>
                </c:pt>
                <c:pt idx="17">
                  <c:v>42078</c:v>
                </c:pt>
                <c:pt idx="18">
                  <c:v>42077</c:v>
                </c:pt>
                <c:pt idx="19">
                  <c:v>42076</c:v>
                </c:pt>
                <c:pt idx="20">
                  <c:v>42075</c:v>
                </c:pt>
                <c:pt idx="21">
                  <c:v>42074</c:v>
                </c:pt>
                <c:pt idx="22">
                  <c:v>42073</c:v>
                </c:pt>
                <c:pt idx="23">
                  <c:v>42072</c:v>
                </c:pt>
                <c:pt idx="24">
                  <c:v>42071</c:v>
                </c:pt>
                <c:pt idx="25">
                  <c:v>42070</c:v>
                </c:pt>
                <c:pt idx="26">
                  <c:v>42069</c:v>
                </c:pt>
                <c:pt idx="27">
                  <c:v>42068</c:v>
                </c:pt>
                <c:pt idx="28">
                  <c:v>42067</c:v>
                </c:pt>
                <c:pt idx="29">
                  <c:v>42066</c:v>
                </c:pt>
                <c:pt idx="30">
                  <c:v>42065</c:v>
                </c:pt>
                <c:pt idx="31">
                  <c:v>42064</c:v>
                </c:pt>
                <c:pt idx="32">
                  <c:v>42063</c:v>
                </c:pt>
                <c:pt idx="33">
                  <c:v>42062</c:v>
                </c:pt>
                <c:pt idx="34">
                  <c:v>42061</c:v>
                </c:pt>
                <c:pt idx="35">
                  <c:v>42060</c:v>
                </c:pt>
                <c:pt idx="36">
                  <c:v>42059</c:v>
                </c:pt>
                <c:pt idx="37">
                  <c:v>42058</c:v>
                </c:pt>
                <c:pt idx="38">
                  <c:v>42057</c:v>
                </c:pt>
                <c:pt idx="39">
                  <c:v>42056</c:v>
                </c:pt>
                <c:pt idx="40">
                  <c:v>42055</c:v>
                </c:pt>
                <c:pt idx="41">
                  <c:v>42054</c:v>
                </c:pt>
                <c:pt idx="42">
                  <c:v>42053</c:v>
                </c:pt>
                <c:pt idx="43">
                  <c:v>42052</c:v>
                </c:pt>
                <c:pt idx="44">
                  <c:v>42051</c:v>
                </c:pt>
                <c:pt idx="45">
                  <c:v>42050</c:v>
                </c:pt>
                <c:pt idx="46">
                  <c:v>42049</c:v>
                </c:pt>
                <c:pt idx="47">
                  <c:v>42048</c:v>
                </c:pt>
                <c:pt idx="48">
                  <c:v>42047</c:v>
                </c:pt>
                <c:pt idx="49">
                  <c:v>42046</c:v>
                </c:pt>
                <c:pt idx="50">
                  <c:v>42045</c:v>
                </c:pt>
                <c:pt idx="51">
                  <c:v>42044</c:v>
                </c:pt>
                <c:pt idx="52">
                  <c:v>42043</c:v>
                </c:pt>
                <c:pt idx="53">
                  <c:v>42042</c:v>
                </c:pt>
                <c:pt idx="54">
                  <c:v>42041</c:v>
                </c:pt>
                <c:pt idx="55">
                  <c:v>42040</c:v>
                </c:pt>
                <c:pt idx="56">
                  <c:v>42039</c:v>
                </c:pt>
                <c:pt idx="57">
                  <c:v>42038</c:v>
                </c:pt>
                <c:pt idx="58">
                  <c:v>42037</c:v>
                </c:pt>
                <c:pt idx="59">
                  <c:v>42036</c:v>
                </c:pt>
                <c:pt idx="60">
                  <c:v>42035</c:v>
                </c:pt>
                <c:pt idx="61">
                  <c:v>42034</c:v>
                </c:pt>
                <c:pt idx="62">
                  <c:v>42033</c:v>
                </c:pt>
                <c:pt idx="63">
                  <c:v>42032</c:v>
                </c:pt>
                <c:pt idx="64">
                  <c:v>42031</c:v>
                </c:pt>
                <c:pt idx="65">
                  <c:v>42030</c:v>
                </c:pt>
                <c:pt idx="66">
                  <c:v>42029</c:v>
                </c:pt>
                <c:pt idx="67">
                  <c:v>42028</c:v>
                </c:pt>
                <c:pt idx="68">
                  <c:v>42027</c:v>
                </c:pt>
                <c:pt idx="69">
                  <c:v>42026</c:v>
                </c:pt>
                <c:pt idx="70">
                  <c:v>42025</c:v>
                </c:pt>
                <c:pt idx="71">
                  <c:v>42024</c:v>
                </c:pt>
                <c:pt idx="72">
                  <c:v>42023</c:v>
                </c:pt>
                <c:pt idx="73">
                  <c:v>42022</c:v>
                </c:pt>
                <c:pt idx="74">
                  <c:v>42021</c:v>
                </c:pt>
                <c:pt idx="75">
                  <c:v>42020</c:v>
                </c:pt>
                <c:pt idx="76">
                  <c:v>42019</c:v>
                </c:pt>
                <c:pt idx="77">
                  <c:v>42018</c:v>
                </c:pt>
                <c:pt idx="78">
                  <c:v>42017</c:v>
                </c:pt>
                <c:pt idx="79">
                  <c:v>42016</c:v>
                </c:pt>
                <c:pt idx="80">
                  <c:v>42015</c:v>
                </c:pt>
                <c:pt idx="81">
                  <c:v>42014</c:v>
                </c:pt>
                <c:pt idx="82">
                  <c:v>42013</c:v>
                </c:pt>
                <c:pt idx="83">
                  <c:v>42012</c:v>
                </c:pt>
                <c:pt idx="84">
                  <c:v>42011</c:v>
                </c:pt>
                <c:pt idx="85">
                  <c:v>42010</c:v>
                </c:pt>
                <c:pt idx="86">
                  <c:v>42009</c:v>
                </c:pt>
                <c:pt idx="87">
                  <c:v>42008</c:v>
                </c:pt>
                <c:pt idx="88">
                  <c:v>42007</c:v>
                </c:pt>
                <c:pt idx="89">
                  <c:v>42006</c:v>
                </c:pt>
                <c:pt idx="90">
                  <c:v>42005</c:v>
                </c:pt>
                <c:pt idx="91">
                  <c:v>42004</c:v>
                </c:pt>
                <c:pt idx="92">
                  <c:v>42003</c:v>
                </c:pt>
                <c:pt idx="93">
                  <c:v>42002</c:v>
                </c:pt>
                <c:pt idx="94">
                  <c:v>42001</c:v>
                </c:pt>
                <c:pt idx="95">
                  <c:v>42000</c:v>
                </c:pt>
                <c:pt idx="96">
                  <c:v>41999</c:v>
                </c:pt>
                <c:pt idx="97">
                  <c:v>41998</c:v>
                </c:pt>
                <c:pt idx="98">
                  <c:v>41997</c:v>
                </c:pt>
                <c:pt idx="99">
                  <c:v>41996</c:v>
                </c:pt>
                <c:pt idx="100">
                  <c:v>41995</c:v>
                </c:pt>
                <c:pt idx="101">
                  <c:v>41994</c:v>
                </c:pt>
                <c:pt idx="102">
                  <c:v>41993</c:v>
                </c:pt>
                <c:pt idx="103">
                  <c:v>41992</c:v>
                </c:pt>
                <c:pt idx="104">
                  <c:v>41991</c:v>
                </c:pt>
                <c:pt idx="105">
                  <c:v>41990</c:v>
                </c:pt>
                <c:pt idx="106">
                  <c:v>41989</c:v>
                </c:pt>
                <c:pt idx="107">
                  <c:v>41988</c:v>
                </c:pt>
                <c:pt idx="108">
                  <c:v>41987</c:v>
                </c:pt>
                <c:pt idx="109">
                  <c:v>41986</c:v>
                </c:pt>
                <c:pt idx="110">
                  <c:v>41985</c:v>
                </c:pt>
                <c:pt idx="111">
                  <c:v>41984</c:v>
                </c:pt>
                <c:pt idx="112">
                  <c:v>41983</c:v>
                </c:pt>
                <c:pt idx="113">
                  <c:v>41982</c:v>
                </c:pt>
                <c:pt idx="114">
                  <c:v>41981</c:v>
                </c:pt>
                <c:pt idx="115">
                  <c:v>41980</c:v>
                </c:pt>
                <c:pt idx="116">
                  <c:v>41979</c:v>
                </c:pt>
                <c:pt idx="117">
                  <c:v>41978</c:v>
                </c:pt>
                <c:pt idx="118">
                  <c:v>41977</c:v>
                </c:pt>
                <c:pt idx="119">
                  <c:v>41976</c:v>
                </c:pt>
                <c:pt idx="120">
                  <c:v>41975</c:v>
                </c:pt>
                <c:pt idx="121">
                  <c:v>41974</c:v>
                </c:pt>
                <c:pt idx="122">
                  <c:v>41973</c:v>
                </c:pt>
                <c:pt idx="123">
                  <c:v>41972</c:v>
                </c:pt>
                <c:pt idx="124">
                  <c:v>41971</c:v>
                </c:pt>
                <c:pt idx="125">
                  <c:v>41970</c:v>
                </c:pt>
                <c:pt idx="126">
                  <c:v>41969</c:v>
                </c:pt>
                <c:pt idx="127">
                  <c:v>41968</c:v>
                </c:pt>
                <c:pt idx="128">
                  <c:v>41967</c:v>
                </c:pt>
                <c:pt idx="129">
                  <c:v>41966</c:v>
                </c:pt>
                <c:pt idx="130">
                  <c:v>41965</c:v>
                </c:pt>
                <c:pt idx="131">
                  <c:v>41964</c:v>
                </c:pt>
                <c:pt idx="132">
                  <c:v>41963</c:v>
                </c:pt>
                <c:pt idx="133">
                  <c:v>41962</c:v>
                </c:pt>
                <c:pt idx="134">
                  <c:v>41961</c:v>
                </c:pt>
                <c:pt idx="135">
                  <c:v>41960</c:v>
                </c:pt>
                <c:pt idx="136">
                  <c:v>41959</c:v>
                </c:pt>
                <c:pt idx="137">
                  <c:v>41958</c:v>
                </c:pt>
                <c:pt idx="138">
                  <c:v>41957</c:v>
                </c:pt>
                <c:pt idx="139">
                  <c:v>41956</c:v>
                </c:pt>
                <c:pt idx="140">
                  <c:v>41955</c:v>
                </c:pt>
                <c:pt idx="141">
                  <c:v>41954</c:v>
                </c:pt>
                <c:pt idx="142">
                  <c:v>41953</c:v>
                </c:pt>
                <c:pt idx="143">
                  <c:v>41952</c:v>
                </c:pt>
                <c:pt idx="144">
                  <c:v>41951</c:v>
                </c:pt>
                <c:pt idx="145">
                  <c:v>41950</c:v>
                </c:pt>
                <c:pt idx="146">
                  <c:v>41949</c:v>
                </c:pt>
                <c:pt idx="147">
                  <c:v>41948</c:v>
                </c:pt>
                <c:pt idx="148">
                  <c:v>41947</c:v>
                </c:pt>
                <c:pt idx="149">
                  <c:v>41946</c:v>
                </c:pt>
                <c:pt idx="150">
                  <c:v>41945</c:v>
                </c:pt>
                <c:pt idx="151">
                  <c:v>41944</c:v>
                </c:pt>
                <c:pt idx="152">
                  <c:v>41943</c:v>
                </c:pt>
                <c:pt idx="153">
                  <c:v>41942</c:v>
                </c:pt>
                <c:pt idx="154">
                  <c:v>41941</c:v>
                </c:pt>
                <c:pt idx="155">
                  <c:v>41940</c:v>
                </c:pt>
                <c:pt idx="156">
                  <c:v>41939</c:v>
                </c:pt>
                <c:pt idx="157">
                  <c:v>41938</c:v>
                </c:pt>
                <c:pt idx="158">
                  <c:v>41937</c:v>
                </c:pt>
                <c:pt idx="159">
                  <c:v>41936</c:v>
                </c:pt>
                <c:pt idx="160">
                  <c:v>41935</c:v>
                </c:pt>
                <c:pt idx="161">
                  <c:v>41934</c:v>
                </c:pt>
                <c:pt idx="162">
                  <c:v>41933</c:v>
                </c:pt>
                <c:pt idx="163">
                  <c:v>41932</c:v>
                </c:pt>
                <c:pt idx="164">
                  <c:v>41931</c:v>
                </c:pt>
                <c:pt idx="165">
                  <c:v>41930</c:v>
                </c:pt>
                <c:pt idx="166">
                  <c:v>41929</c:v>
                </c:pt>
                <c:pt idx="167">
                  <c:v>41928</c:v>
                </c:pt>
                <c:pt idx="168">
                  <c:v>41927</c:v>
                </c:pt>
                <c:pt idx="169">
                  <c:v>41926</c:v>
                </c:pt>
                <c:pt idx="170">
                  <c:v>41925</c:v>
                </c:pt>
                <c:pt idx="171">
                  <c:v>41924</c:v>
                </c:pt>
                <c:pt idx="172">
                  <c:v>41923</c:v>
                </c:pt>
                <c:pt idx="173">
                  <c:v>41922</c:v>
                </c:pt>
                <c:pt idx="174">
                  <c:v>41921</c:v>
                </c:pt>
                <c:pt idx="175">
                  <c:v>41920</c:v>
                </c:pt>
                <c:pt idx="176">
                  <c:v>41919</c:v>
                </c:pt>
                <c:pt idx="177">
                  <c:v>41918</c:v>
                </c:pt>
                <c:pt idx="178">
                  <c:v>41917</c:v>
                </c:pt>
                <c:pt idx="179">
                  <c:v>41916</c:v>
                </c:pt>
                <c:pt idx="180">
                  <c:v>41915</c:v>
                </c:pt>
                <c:pt idx="181">
                  <c:v>41914</c:v>
                </c:pt>
                <c:pt idx="182">
                  <c:v>41913</c:v>
                </c:pt>
                <c:pt idx="183">
                  <c:v>41912</c:v>
                </c:pt>
                <c:pt idx="184">
                  <c:v>41911</c:v>
                </c:pt>
                <c:pt idx="185">
                  <c:v>41910</c:v>
                </c:pt>
                <c:pt idx="186">
                  <c:v>41909</c:v>
                </c:pt>
                <c:pt idx="187">
                  <c:v>41908</c:v>
                </c:pt>
                <c:pt idx="188">
                  <c:v>41907</c:v>
                </c:pt>
                <c:pt idx="189">
                  <c:v>41906</c:v>
                </c:pt>
                <c:pt idx="190">
                  <c:v>41905</c:v>
                </c:pt>
                <c:pt idx="191">
                  <c:v>41904</c:v>
                </c:pt>
                <c:pt idx="192">
                  <c:v>41903</c:v>
                </c:pt>
                <c:pt idx="193">
                  <c:v>41902</c:v>
                </c:pt>
                <c:pt idx="194">
                  <c:v>41901</c:v>
                </c:pt>
                <c:pt idx="195">
                  <c:v>41900</c:v>
                </c:pt>
                <c:pt idx="196">
                  <c:v>41899</c:v>
                </c:pt>
                <c:pt idx="197">
                  <c:v>41898</c:v>
                </c:pt>
                <c:pt idx="198">
                  <c:v>41897</c:v>
                </c:pt>
                <c:pt idx="199">
                  <c:v>41896</c:v>
                </c:pt>
                <c:pt idx="200">
                  <c:v>41895</c:v>
                </c:pt>
                <c:pt idx="201">
                  <c:v>41894</c:v>
                </c:pt>
                <c:pt idx="202">
                  <c:v>41893</c:v>
                </c:pt>
                <c:pt idx="203">
                  <c:v>41892</c:v>
                </c:pt>
                <c:pt idx="204">
                  <c:v>41891</c:v>
                </c:pt>
                <c:pt idx="205">
                  <c:v>41890</c:v>
                </c:pt>
                <c:pt idx="206">
                  <c:v>41889</c:v>
                </c:pt>
                <c:pt idx="207">
                  <c:v>41888</c:v>
                </c:pt>
                <c:pt idx="208">
                  <c:v>41887</c:v>
                </c:pt>
                <c:pt idx="209">
                  <c:v>41886</c:v>
                </c:pt>
                <c:pt idx="210">
                  <c:v>41885</c:v>
                </c:pt>
                <c:pt idx="211">
                  <c:v>41884</c:v>
                </c:pt>
                <c:pt idx="212">
                  <c:v>41883</c:v>
                </c:pt>
                <c:pt idx="213">
                  <c:v>41882</c:v>
                </c:pt>
                <c:pt idx="214">
                  <c:v>41881</c:v>
                </c:pt>
                <c:pt idx="215">
                  <c:v>41880</c:v>
                </c:pt>
                <c:pt idx="216">
                  <c:v>41879</c:v>
                </c:pt>
                <c:pt idx="217">
                  <c:v>41878</c:v>
                </c:pt>
                <c:pt idx="218">
                  <c:v>41877</c:v>
                </c:pt>
                <c:pt idx="219">
                  <c:v>41876</c:v>
                </c:pt>
                <c:pt idx="220">
                  <c:v>41874</c:v>
                </c:pt>
                <c:pt idx="221">
                  <c:v>41873</c:v>
                </c:pt>
                <c:pt idx="222">
                  <c:v>41872</c:v>
                </c:pt>
                <c:pt idx="223">
                  <c:v>41871</c:v>
                </c:pt>
                <c:pt idx="224">
                  <c:v>41870</c:v>
                </c:pt>
                <c:pt idx="225">
                  <c:v>41869</c:v>
                </c:pt>
                <c:pt idx="226">
                  <c:v>41868</c:v>
                </c:pt>
                <c:pt idx="227">
                  <c:v>41867</c:v>
                </c:pt>
                <c:pt idx="228">
                  <c:v>41866</c:v>
                </c:pt>
                <c:pt idx="229">
                  <c:v>41865</c:v>
                </c:pt>
                <c:pt idx="230">
                  <c:v>41864</c:v>
                </c:pt>
                <c:pt idx="231">
                  <c:v>41863</c:v>
                </c:pt>
                <c:pt idx="232">
                  <c:v>41862</c:v>
                </c:pt>
                <c:pt idx="233">
                  <c:v>41861</c:v>
                </c:pt>
                <c:pt idx="234">
                  <c:v>41860</c:v>
                </c:pt>
                <c:pt idx="235">
                  <c:v>41859</c:v>
                </c:pt>
                <c:pt idx="236">
                  <c:v>41858</c:v>
                </c:pt>
                <c:pt idx="237">
                  <c:v>41857</c:v>
                </c:pt>
                <c:pt idx="238">
                  <c:v>41856</c:v>
                </c:pt>
                <c:pt idx="239">
                  <c:v>41855</c:v>
                </c:pt>
                <c:pt idx="240">
                  <c:v>41854</c:v>
                </c:pt>
                <c:pt idx="241">
                  <c:v>41853</c:v>
                </c:pt>
                <c:pt idx="242">
                  <c:v>41852</c:v>
                </c:pt>
                <c:pt idx="243">
                  <c:v>41851</c:v>
                </c:pt>
                <c:pt idx="244">
                  <c:v>41850</c:v>
                </c:pt>
                <c:pt idx="245">
                  <c:v>41849</c:v>
                </c:pt>
                <c:pt idx="246">
                  <c:v>41848</c:v>
                </c:pt>
                <c:pt idx="247">
                  <c:v>41847</c:v>
                </c:pt>
                <c:pt idx="248">
                  <c:v>41846</c:v>
                </c:pt>
                <c:pt idx="249">
                  <c:v>41845</c:v>
                </c:pt>
                <c:pt idx="250">
                  <c:v>41844</c:v>
                </c:pt>
                <c:pt idx="251">
                  <c:v>41843</c:v>
                </c:pt>
                <c:pt idx="252">
                  <c:v>41842</c:v>
                </c:pt>
                <c:pt idx="253">
                  <c:v>41841</c:v>
                </c:pt>
                <c:pt idx="254">
                  <c:v>41840</c:v>
                </c:pt>
                <c:pt idx="255">
                  <c:v>41839</c:v>
                </c:pt>
                <c:pt idx="256">
                  <c:v>41838</c:v>
                </c:pt>
                <c:pt idx="257">
                  <c:v>41837</c:v>
                </c:pt>
                <c:pt idx="258">
                  <c:v>41836</c:v>
                </c:pt>
                <c:pt idx="259">
                  <c:v>41835</c:v>
                </c:pt>
                <c:pt idx="260">
                  <c:v>41834</c:v>
                </c:pt>
                <c:pt idx="261">
                  <c:v>41833</c:v>
                </c:pt>
                <c:pt idx="262">
                  <c:v>41832</c:v>
                </c:pt>
                <c:pt idx="263">
                  <c:v>41831</c:v>
                </c:pt>
                <c:pt idx="264">
                  <c:v>41830</c:v>
                </c:pt>
                <c:pt idx="265">
                  <c:v>41829</c:v>
                </c:pt>
                <c:pt idx="266">
                  <c:v>41828</c:v>
                </c:pt>
                <c:pt idx="267">
                  <c:v>41827</c:v>
                </c:pt>
                <c:pt idx="268">
                  <c:v>41826</c:v>
                </c:pt>
                <c:pt idx="269">
                  <c:v>41825</c:v>
                </c:pt>
                <c:pt idx="270">
                  <c:v>41824</c:v>
                </c:pt>
                <c:pt idx="271">
                  <c:v>41823</c:v>
                </c:pt>
                <c:pt idx="272">
                  <c:v>41822</c:v>
                </c:pt>
                <c:pt idx="273">
                  <c:v>41821</c:v>
                </c:pt>
                <c:pt idx="274">
                  <c:v>41820</c:v>
                </c:pt>
                <c:pt idx="275">
                  <c:v>41819</c:v>
                </c:pt>
                <c:pt idx="276">
                  <c:v>41818</c:v>
                </c:pt>
                <c:pt idx="277">
                  <c:v>41817</c:v>
                </c:pt>
                <c:pt idx="278">
                  <c:v>41816</c:v>
                </c:pt>
                <c:pt idx="279">
                  <c:v>41815</c:v>
                </c:pt>
                <c:pt idx="280">
                  <c:v>41814</c:v>
                </c:pt>
                <c:pt idx="281">
                  <c:v>41813</c:v>
                </c:pt>
                <c:pt idx="282">
                  <c:v>41812</c:v>
                </c:pt>
                <c:pt idx="283">
                  <c:v>41811</c:v>
                </c:pt>
                <c:pt idx="284">
                  <c:v>41810</c:v>
                </c:pt>
                <c:pt idx="285">
                  <c:v>41809</c:v>
                </c:pt>
                <c:pt idx="286">
                  <c:v>41808</c:v>
                </c:pt>
                <c:pt idx="287">
                  <c:v>41807</c:v>
                </c:pt>
                <c:pt idx="288">
                  <c:v>41806</c:v>
                </c:pt>
                <c:pt idx="289">
                  <c:v>41805</c:v>
                </c:pt>
                <c:pt idx="290">
                  <c:v>41804</c:v>
                </c:pt>
                <c:pt idx="291">
                  <c:v>41803</c:v>
                </c:pt>
                <c:pt idx="292">
                  <c:v>41802</c:v>
                </c:pt>
                <c:pt idx="293">
                  <c:v>41801</c:v>
                </c:pt>
                <c:pt idx="294">
                  <c:v>41800</c:v>
                </c:pt>
                <c:pt idx="295">
                  <c:v>41799</c:v>
                </c:pt>
                <c:pt idx="296">
                  <c:v>41798</c:v>
                </c:pt>
                <c:pt idx="297">
                  <c:v>41797</c:v>
                </c:pt>
                <c:pt idx="298">
                  <c:v>41796</c:v>
                </c:pt>
                <c:pt idx="299">
                  <c:v>41795</c:v>
                </c:pt>
                <c:pt idx="300">
                  <c:v>41794</c:v>
                </c:pt>
                <c:pt idx="301">
                  <c:v>41793</c:v>
                </c:pt>
                <c:pt idx="302">
                  <c:v>41792</c:v>
                </c:pt>
                <c:pt idx="303">
                  <c:v>41791</c:v>
                </c:pt>
                <c:pt idx="304">
                  <c:v>41790</c:v>
                </c:pt>
                <c:pt idx="305">
                  <c:v>41789</c:v>
                </c:pt>
                <c:pt idx="306">
                  <c:v>41788</c:v>
                </c:pt>
                <c:pt idx="307">
                  <c:v>41787</c:v>
                </c:pt>
                <c:pt idx="308">
                  <c:v>41786</c:v>
                </c:pt>
                <c:pt idx="309">
                  <c:v>41785</c:v>
                </c:pt>
                <c:pt idx="310">
                  <c:v>41784</c:v>
                </c:pt>
                <c:pt idx="311">
                  <c:v>41783</c:v>
                </c:pt>
                <c:pt idx="312">
                  <c:v>41782</c:v>
                </c:pt>
                <c:pt idx="313">
                  <c:v>41781</c:v>
                </c:pt>
                <c:pt idx="314">
                  <c:v>41780</c:v>
                </c:pt>
                <c:pt idx="315">
                  <c:v>41779</c:v>
                </c:pt>
                <c:pt idx="316">
                  <c:v>41778</c:v>
                </c:pt>
                <c:pt idx="317">
                  <c:v>41776</c:v>
                </c:pt>
                <c:pt idx="318">
                  <c:v>41775</c:v>
                </c:pt>
                <c:pt idx="319">
                  <c:v>41774</c:v>
                </c:pt>
                <c:pt idx="320">
                  <c:v>41773</c:v>
                </c:pt>
                <c:pt idx="321">
                  <c:v>41772</c:v>
                </c:pt>
                <c:pt idx="322">
                  <c:v>41771</c:v>
                </c:pt>
                <c:pt idx="323">
                  <c:v>41770</c:v>
                </c:pt>
                <c:pt idx="324">
                  <c:v>41769</c:v>
                </c:pt>
                <c:pt idx="325">
                  <c:v>41768</c:v>
                </c:pt>
                <c:pt idx="326">
                  <c:v>41767</c:v>
                </c:pt>
                <c:pt idx="327">
                  <c:v>41766</c:v>
                </c:pt>
                <c:pt idx="328">
                  <c:v>41765</c:v>
                </c:pt>
                <c:pt idx="329">
                  <c:v>41764</c:v>
                </c:pt>
                <c:pt idx="330">
                  <c:v>41763</c:v>
                </c:pt>
                <c:pt idx="331">
                  <c:v>41762</c:v>
                </c:pt>
                <c:pt idx="332">
                  <c:v>41761</c:v>
                </c:pt>
                <c:pt idx="333">
                  <c:v>41760</c:v>
                </c:pt>
                <c:pt idx="334">
                  <c:v>41759</c:v>
                </c:pt>
                <c:pt idx="335">
                  <c:v>41758</c:v>
                </c:pt>
                <c:pt idx="336">
                  <c:v>41757</c:v>
                </c:pt>
                <c:pt idx="337">
                  <c:v>41756</c:v>
                </c:pt>
                <c:pt idx="338">
                  <c:v>41755</c:v>
                </c:pt>
                <c:pt idx="339">
                  <c:v>41754</c:v>
                </c:pt>
                <c:pt idx="340">
                  <c:v>41753</c:v>
                </c:pt>
                <c:pt idx="341">
                  <c:v>41752</c:v>
                </c:pt>
                <c:pt idx="342">
                  <c:v>41751</c:v>
                </c:pt>
                <c:pt idx="343">
                  <c:v>41750</c:v>
                </c:pt>
                <c:pt idx="344">
                  <c:v>41749</c:v>
                </c:pt>
                <c:pt idx="345">
                  <c:v>41748</c:v>
                </c:pt>
                <c:pt idx="346">
                  <c:v>41747</c:v>
                </c:pt>
                <c:pt idx="347">
                  <c:v>41746</c:v>
                </c:pt>
                <c:pt idx="348">
                  <c:v>41745</c:v>
                </c:pt>
                <c:pt idx="349">
                  <c:v>41744</c:v>
                </c:pt>
                <c:pt idx="350">
                  <c:v>41743</c:v>
                </c:pt>
                <c:pt idx="351">
                  <c:v>41742</c:v>
                </c:pt>
                <c:pt idx="352">
                  <c:v>41741</c:v>
                </c:pt>
                <c:pt idx="353">
                  <c:v>41740</c:v>
                </c:pt>
                <c:pt idx="354">
                  <c:v>41739</c:v>
                </c:pt>
                <c:pt idx="355">
                  <c:v>41738</c:v>
                </c:pt>
                <c:pt idx="356">
                  <c:v>41737</c:v>
                </c:pt>
                <c:pt idx="357">
                  <c:v>41736</c:v>
                </c:pt>
                <c:pt idx="358">
                  <c:v>41735</c:v>
                </c:pt>
                <c:pt idx="359">
                  <c:v>41734</c:v>
                </c:pt>
                <c:pt idx="360">
                  <c:v>41733</c:v>
                </c:pt>
                <c:pt idx="361">
                  <c:v>41732</c:v>
                </c:pt>
                <c:pt idx="362">
                  <c:v>41731</c:v>
                </c:pt>
                <c:pt idx="363">
                  <c:v>41730</c:v>
                </c:pt>
                <c:pt idx="364">
                  <c:v>41729</c:v>
                </c:pt>
                <c:pt idx="365">
                  <c:v>41728</c:v>
                </c:pt>
                <c:pt idx="366">
                  <c:v>41727</c:v>
                </c:pt>
                <c:pt idx="367">
                  <c:v>41726</c:v>
                </c:pt>
                <c:pt idx="368">
                  <c:v>41725</c:v>
                </c:pt>
                <c:pt idx="369">
                  <c:v>41724</c:v>
                </c:pt>
                <c:pt idx="370">
                  <c:v>41723</c:v>
                </c:pt>
                <c:pt idx="371">
                  <c:v>41722</c:v>
                </c:pt>
                <c:pt idx="372">
                  <c:v>41721</c:v>
                </c:pt>
                <c:pt idx="373">
                  <c:v>41720</c:v>
                </c:pt>
                <c:pt idx="374">
                  <c:v>41719</c:v>
                </c:pt>
                <c:pt idx="375">
                  <c:v>41718</c:v>
                </c:pt>
                <c:pt idx="376">
                  <c:v>41717</c:v>
                </c:pt>
                <c:pt idx="377">
                  <c:v>41716</c:v>
                </c:pt>
                <c:pt idx="378">
                  <c:v>41715</c:v>
                </c:pt>
                <c:pt idx="379">
                  <c:v>41714</c:v>
                </c:pt>
                <c:pt idx="380">
                  <c:v>41713</c:v>
                </c:pt>
                <c:pt idx="381">
                  <c:v>41712</c:v>
                </c:pt>
                <c:pt idx="382">
                  <c:v>41711</c:v>
                </c:pt>
                <c:pt idx="383">
                  <c:v>41710</c:v>
                </c:pt>
                <c:pt idx="384">
                  <c:v>41709</c:v>
                </c:pt>
                <c:pt idx="385">
                  <c:v>41708</c:v>
                </c:pt>
                <c:pt idx="386">
                  <c:v>41707</c:v>
                </c:pt>
                <c:pt idx="387">
                  <c:v>41706</c:v>
                </c:pt>
                <c:pt idx="388">
                  <c:v>41705</c:v>
                </c:pt>
                <c:pt idx="389">
                  <c:v>41704</c:v>
                </c:pt>
                <c:pt idx="390">
                  <c:v>41703</c:v>
                </c:pt>
                <c:pt idx="391">
                  <c:v>41702</c:v>
                </c:pt>
                <c:pt idx="392">
                  <c:v>41701</c:v>
                </c:pt>
                <c:pt idx="393">
                  <c:v>41700</c:v>
                </c:pt>
                <c:pt idx="394">
                  <c:v>41699</c:v>
                </c:pt>
                <c:pt idx="395">
                  <c:v>41698</c:v>
                </c:pt>
                <c:pt idx="396">
                  <c:v>41697</c:v>
                </c:pt>
                <c:pt idx="397">
                  <c:v>41696</c:v>
                </c:pt>
                <c:pt idx="398">
                  <c:v>41695</c:v>
                </c:pt>
                <c:pt idx="399">
                  <c:v>41694</c:v>
                </c:pt>
                <c:pt idx="400">
                  <c:v>41693</c:v>
                </c:pt>
                <c:pt idx="401">
                  <c:v>41692</c:v>
                </c:pt>
                <c:pt idx="402">
                  <c:v>41691</c:v>
                </c:pt>
                <c:pt idx="403">
                  <c:v>41690</c:v>
                </c:pt>
                <c:pt idx="404">
                  <c:v>41689</c:v>
                </c:pt>
                <c:pt idx="405">
                  <c:v>41688</c:v>
                </c:pt>
                <c:pt idx="406">
                  <c:v>41687</c:v>
                </c:pt>
                <c:pt idx="407">
                  <c:v>41686</c:v>
                </c:pt>
                <c:pt idx="408">
                  <c:v>41685</c:v>
                </c:pt>
                <c:pt idx="409">
                  <c:v>41684</c:v>
                </c:pt>
                <c:pt idx="410">
                  <c:v>41683</c:v>
                </c:pt>
                <c:pt idx="411">
                  <c:v>41682</c:v>
                </c:pt>
                <c:pt idx="412">
                  <c:v>41681</c:v>
                </c:pt>
                <c:pt idx="413">
                  <c:v>41680</c:v>
                </c:pt>
                <c:pt idx="414">
                  <c:v>41679</c:v>
                </c:pt>
                <c:pt idx="415">
                  <c:v>41678</c:v>
                </c:pt>
                <c:pt idx="416">
                  <c:v>41677</c:v>
                </c:pt>
                <c:pt idx="417">
                  <c:v>41676</c:v>
                </c:pt>
                <c:pt idx="418">
                  <c:v>41675</c:v>
                </c:pt>
                <c:pt idx="419">
                  <c:v>41674</c:v>
                </c:pt>
                <c:pt idx="420">
                  <c:v>41673</c:v>
                </c:pt>
                <c:pt idx="421">
                  <c:v>41672</c:v>
                </c:pt>
                <c:pt idx="422">
                  <c:v>41671</c:v>
                </c:pt>
                <c:pt idx="423">
                  <c:v>41670</c:v>
                </c:pt>
                <c:pt idx="424">
                  <c:v>41669</c:v>
                </c:pt>
                <c:pt idx="425">
                  <c:v>41668</c:v>
                </c:pt>
                <c:pt idx="426">
                  <c:v>41667</c:v>
                </c:pt>
                <c:pt idx="427">
                  <c:v>41666</c:v>
                </c:pt>
                <c:pt idx="428">
                  <c:v>41665</c:v>
                </c:pt>
                <c:pt idx="429">
                  <c:v>41664</c:v>
                </c:pt>
                <c:pt idx="430">
                  <c:v>41663</c:v>
                </c:pt>
                <c:pt idx="431">
                  <c:v>41662</c:v>
                </c:pt>
                <c:pt idx="432">
                  <c:v>41661</c:v>
                </c:pt>
                <c:pt idx="433">
                  <c:v>41660</c:v>
                </c:pt>
                <c:pt idx="434">
                  <c:v>41659</c:v>
                </c:pt>
                <c:pt idx="435">
                  <c:v>41658</c:v>
                </c:pt>
                <c:pt idx="436">
                  <c:v>41657</c:v>
                </c:pt>
                <c:pt idx="437">
                  <c:v>41656</c:v>
                </c:pt>
                <c:pt idx="438">
                  <c:v>41655</c:v>
                </c:pt>
                <c:pt idx="439">
                  <c:v>41654</c:v>
                </c:pt>
                <c:pt idx="440">
                  <c:v>41653</c:v>
                </c:pt>
                <c:pt idx="441">
                  <c:v>41652</c:v>
                </c:pt>
                <c:pt idx="442">
                  <c:v>41651</c:v>
                </c:pt>
                <c:pt idx="443">
                  <c:v>41650</c:v>
                </c:pt>
                <c:pt idx="444">
                  <c:v>41649</c:v>
                </c:pt>
                <c:pt idx="445">
                  <c:v>41648</c:v>
                </c:pt>
                <c:pt idx="446">
                  <c:v>41647</c:v>
                </c:pt>
                <c:pt idx="447">
                  <c:v>41646</c:v>
                </c:pt>
                <c:pt idx="448">
                  <c:v>41645</c:v>
                </c:pt>
                <c:pt idx="449">
                  <c:v>41644</c:v>
                </c:pt>
                <c:pt idx="450">
                  <c:v>41643</c:v>
                </c:pt>
                <c:pt idx="451">
                  <c:v>41642</c:v>
                </c:pt>
                <c:pt idx="452">
                  <c:v>41641</c:v>
                </c:pt>
                <c:pt idx="453">
                  <c:v>41640</c:v>
                </c:pt>
                <c:pt idx="454">
                  <c:v>41639</c:v>
                </c:pt>
                <c:pt idx="455">
                  <c:v>41638</c:v>
                </c:pt>
                <c:pt idx="456">
                  <c:v>41637</c:v>
                </c:pt>
                <c:pt idx="457">
                  <c:v>41636</c:v>
                </c:pt>
                <c:pt idx="458">
                  <c:v>41635</c:v>
                </c:pt>
                <c:pt idx="459">
                  <c:v>41634</c:v>
                </c:pt>
                <c:pt idx="460">
                  <c:v>41633</c:v>
                </c:pt>
                <c:pt idx="461">
                  <c:v>41632</c:v>
                </c:pt>
                <c:pt idx="462">
                  <c:v>41631</c:v>
                </c:pt>
                <c:pt idx="463">
                  <c:v>41630</c:v>
                </c:pt>
                <c:pt idx="464">
                  <c:v>41629</c:v>
                </c:pt>
                <c:pt idx="465">
                  <c:v>41628</c:v>
                </c:pt>
                <c:pt idx="466">
                  <c:v>41627</c:v>
                </c:pt>
                <c:pt idx="467">
                  <c:v>41626</c:v>
                </c:pt>
                <c:pt idx="468">
                  <c:v>41625</c:v>
                </c:pt>
                <c:pt idx="469">
                  <c:v>41624</c:v>
                </c:pt>
                <c:pt idx="470">
                  <c:v>41623</c:v>
                </c:pt>
                <c:pt idx="471">
                  <c:v>41622</c:v>
                </c:pt>
                <c:pt idx="472">
                  <c:v>41621</c:v>
                </c:pt>
                <c:pt idx="473">
                  <c:v>41620</c:v>
                </c:pt>
                <c:pt idx="474">
                  <c:v>41619</c:v>
                </c:pt>
                <c:pt idx="475">
                  <c:v>41618</c:v>
                </c:pt>
                <c:pt idx="476">
                  <c:v>41617</c:v>
                </c:pt>
                <c:pt idx="477">
                  <c:v>41616</c:v>
                </c:pt>
                <c:pt idx="478">
                  <c:v>41615</c:v>
                </c:pt>
                <c:pt idx="479">
                  <c:v>41614</c:v>
                </c:pt>
                <c:pt idx="480">
                  <c:v>41613</c:v>
                </c:pt>
                <c:pt idx="481">
                  <c:v>41612</c:v>
                </c:pt>
                <c:pt idx="482">
                  <c:v>41611</c:v>
                </c:pt>
                <c:pt idx="483">
                  <c:v>41610</c:v>
                </c:pt>
                <c:pt idx="484">
                  <c:v>41609</c:v>
                </c:pt>
                <c:pt idx="485">
                  <c:v>41608</c:v>
                </c:pt>
                <c:pt idx="486">
                  <c:v>41607</c:v>
                </c:pt>
                <c:pt idx="487">
                  <c:v>41606</c:v>
                </c:pt>
                <c:pt idx="488">
                  <c:v>41605</c:v>
                </c:pt>
                <c:pt idx="489">
                  <c:v>41604</c:v>
                </c:pt>
                <c:pt idx="490">
                  <c:v>41603</c:v>
                </c:pt>
                <c:pt idx="491">
                  <c:v>41602</c:v>
                </c:pt>
                <c:pt idx="492">
                  <c:v>41601</c:v>
                </c:pt>
                <c:pt idx="493">
                  <c:v>41600</c:v>
                </c:pt>
                <c:pt idx="494">
                  <c:v>41599</c:v>
                </c:pt>
                <c:pt idx="495">
                  <c:v>41598</c:v>
                </c:pt>
                <c:pt idx="496">
                  <c:v>41597</c:v>
                </c:pt>
                <c:pt idx="497">
                  <c:v>41596</c:v>
                </c:pt>
                <c:pt idx="498">
                  <c:v>41595</c:v>
                </c:pt>
                <c:pt idx="499">
                  <c:v>41594</c:v>
                </c:pt>
                <c:pt idx="500">
                  <c:v>41593</c:v>
                </c:pt>
                <c:pt idx="501">
                  <c:v>41592</c:v>
                </c:pt>
                <c:pt idx="502">
                  <c:v>41591</c:v>
                </c:pt>
                <c:pt idx="503">
                  <c:v>41590</c:v>
                </c:pt>
                <c:pt idx="504">
                  <c:v>41589</c:v>
                </c:pt>
                <c:pt idx="505">
                  <c:v>41588</c:v>
                </c:pt>
                <c:pt idx="506">
                  <c:v>41587</c:v>
                </c:pt>
                <c:pt idx="507">
                  <c:v>41586</c:v>
                </c:pt>
                <c:pt idx="508">
                  <c:v>41585</c:v>
                </c:pt>
                <c:pt idx="509">
                  <c:v>41584</c:v>
                </c:pt>
                <c:pt idx="510">
                  <c:v>41583</c:v>
                </c:pt>
                <c:pt idx="511">
                  <c:v>41582</c:v>
                </c:pt>
                <c:pt idx="512">
                  <c:v>41581</c:v>
                </c:pt>
                <c:pt idx="513">
                  <c:v>41580</c:v>
                </c:pt>
                <c:pt idx="514">
                  <c:v>41579</c:v>
                </c:pt>
                <c:pt idx="515">
                  <c:v>41578</c:v>
                </c:pt>
                <c:pt idx="516">
                  <c:v>41577</c:v>
                </c:pt>
                <c:pt idx="517">
                  <c:v>41576</c:v>
                </c:pt>
                <c:pt idx="518">
                  <c:v>41575</c:v>
                </c:pt>
                <c:pt idx="519">
                  <c:v>41574</c:v>
                </c:pt>
                <c:pt idx="520">
                  <c:v>41573</c:v>
                </c:pt>
                <c:pt idx="521">
                  <c:v>41572</c:v>
                </c:pt>
                <c:pt idx="522">
                  <c:v>41571</c:v>
                </c:pt>
                <c:pt idx="523">
                  <c:v>41570</c:v>
                </c:pt>
                <c:pt idx="524">
                  <c:v>41569</c:v>
                </c:pt>
                <c:pt idx="525">
                  <c:v>41568</c:v>
                </c:pt>
                <c:pt idx="526">
                  <c:v>41567</c:v>
                </c:pt>
                <c:pt idx="527">
                  <c:v>41566</c:v>
                </c:pt>
                <c:pt idx="528">
                  <c:v>41565</c:v>
                </c:pt>
                <c:pt idx="529">
                  <c:v>41564</c:v>
                </c:pt>
                <c:pt idx="530">
                  <c:v>41563</c:v>
                </c:pt>
                <c:pt idx="531">
                  <c:v>41562</c:v>
                </c:pt>
                <c:pt idx="532">
                  <c:v>41561</c:v>
                </c:pt>
                <c:pt idx="533">
                  <c:v>41560</c:v>
                </c:pt>
                <c:pt idx="534">
                  <c:v>41559</c:v>
                </c:pt>
                <c:pt idx="535">
                  <c:v>41558</c:v>
                </c:pt>
                <c:pt idx="536">
                  <c:v>41557</c:v>
                </c:pt>
                <c:pt idx="537">
                  <c:v>41556</c:v>
                </c:pt>
                <c:pt idx="538">
                  <c:v>41555</c:v>
                </c:pt>
                <c:pt idx="539">
                  <c:v>41554</c:v>
                </c:pt>
                <c:pt idx="540">
                  <c:v>41553</c:v>
                </c:pt>
                <c:pt idx="541">
                  <c:v>41552</c:v>
                </c:pt>
                <c:pt idx="542">
                  <c:v>41551</c:v>
                </c:pt>
                <c:pt idx="543">
                  <c:v>41550</c:v>
                </c:pt>
                <c:pt idx="544">
                  <c:v>41549</c:v>
                </c:pt>
                <c:pt idx="545">
                  <c:v>41548</c:v>
                </c:pt>
                <c:pt idx="546">
                  <c:v>41547</c:v>
                </c:pt>
                <c:pt idx="547">
                  <c:v>41546</c:v>
                </c:pt>
                <c:pt idx="548">
                  <c:v>41545</c:v>
                </c:pt>
                <c:pt idx="549">
                  <c:v>41544</c:v>
                </c:pt>
                <c:pt idx="550">
                  <c:v>41543</c:v>
                </c:pt>
                <c:pt idx="551">
                  <c:v>41542</c:v>
                </c:pt>
                <c:pt idx="552">
                  <c:v>41541</c:v>
                </c:pt>
                <c:pt idx="553">
                  <c:v>41540</c:v>
                </c:pt>
                <c:pt idx="554">
                  <c:v>41539</c:v>
                </c:pt>
                <c:pt idx="555">
                  <c:v>41538</c:v>
                </c:pt>
                <c:pt idx="556">
                  <c:v>41537</c:v>
                </c:pt>
                <c:pt idx="557">
                  <c:v>41536</c:v>
                </c:pt>
                <c:pt idx="558">
                  <c:v>41535</c:v>
                </c:pt>
                <c:pt idx="559">
                  <c:v>41534</c:v>
                </c:pt>
                <c:pt idx="560">
                  <c:v>41533</c:v>
                </c:pt>
                <c:pt idx="561">
                  <c:v>41532</c:v>
                </c:pt>
                <c:pt idx="562">
                  <c:v>41531</c:v>
                </c:pt>
                <c:pt idx="563">
                  <c:v>41530</c:v>
                </c:pt>
                <c:pt idx="564">
                  <c:v>41529</c:v>
                </c:pt>
                <c:pt idx="565">
                  <c:v>41528</c:v>
                </c:pt>
                <c:pt idx="566">
                  <c:v>41527</c:v>
                </c:pt>
                <c:pt idx="567">
                  <c:v>41526</c:v>
                </c:pt>
                <c:pt idx="568">
                  <c:v>41525</c:v>
                </c:pt>
                <c:pt idx="569">
                  <c:v>41524</c:v>
                </c:pt>
                <c:pt idx="570">
                  <c:v>41523</c:v>
                </c:pt>
                <c:pt idx="571">
                  <c:v>41522</c:v>
                </c:pt>
                <c:pt idx="572">
                  <c:v>41521</c:v>
                </c:pt>
                <c:pt idx="573">
                  <c:v>41520</c:v>
                </c:pt>
                <c:pt idx="574">
                  <c:v>41519</c:v>
                </c:pt>
                <c:pt idx="575">
                  <c:v>41518</c:v>
                </c:pt>
                <c:pt idx="576">
                  <c:v>41517</c:v>
                </c:pt>
                <c:pt idx="577">
                  <c:v>41516</c:v>
                </c:pt>
                <c:pt idx="578">
                  <c:v>41515</c:v>
                </c:pt>
                <c:pt idx="579">
                  <c:v>41514</c:v>
                </c:pt>
                <c:pt idx="580">
                  <c:v>41513</c:v>
                </c:pt>
                <c:pt idx="581">
                  <c:v>41512</c:v>
                </c:pt>
                <c:pt idx="582">
                  <c:v>41511</c:v>
                </c:pt>
                <c:pt idx="583">
                  <c:v>41510</c:v>
                </c:pt>
                <c:pt idx="584">
                  <c:v>41509</c:v>
                </c:pt>
                <c:pt idx="585">
                  <c:v>41508</c:v>
                </c:pt>
                <c:pt idx="586">
                  <c:v>41507</c:v>
                </c:pt>
                <c:pt idx="587">
                  <c:v>41506</c:v>
                </c:pt>
                <c:pt idx="588">
                  <c:v>41505</c:v>
                </c:pt>
                <c:pt idx="589">
                  <c:v>41504</c:v>
                </c:pt>
                <c:pt idx="590">
                  <c:v>41503</c:v>
                </c:pt>
                <c:pt idx="591">
                  <c:v>41502</c:v>
                </c:pt>
                <c:pt idx="592">
                  <c:v>41501</c:v>
                </c:pt>
                <c:pt idx="593">
                  <c:v>41500</c:v>
                </c:pt>
                <c:pt idx="594">
                  <c:v>41499</c:v>
                </c:pt>
                <c:pt idx="595">
                  <c:v>41498</c:v>
                </c:pt>
                <c:pt idx="596">
                  <c:v>41497</c:v>
                </c:pt>
                <c:pt idx="597">
                  <c:v>41496</c:v>
                </c:pt>
                <c:pt idx="598">
                  <c:v>41495</c:v>
                </c:pt>
                <c:pt idx="599">
                  <c:v>41494</c:v>
                </c:pt>
                <c:pt idx="600">
                  <c:v>41493</c:v>
                </c:pt>
                <c:pt idx="601">
                  <c:v>41492</c:v>
                </c:pt>
                <c:pt idx="602">
                  <c:v>41491</c:v>
                </c:pt>
                <c:pt idx="603">
                  <c:v>41490</c:v>
                </c:pt>
                <c:pt idx="604">
                  <c:v>41489</c:v>
                </c:pt>
                <c:pt idx="605">
                  <c:v>41488</c:v>
                </c:pt>
                <c:pt idx="606">
                  <c:v>41487</c:v>
                </c:pt>
                <c:pt idx="607">
                  <c:v>41486</c:v>
                </c:pt>
                <c:pt idx="608">
                  <c:v>41485</c:v>
                </c:pt>
                <c:pt idx="609">
                  <c:v>41484</c:v>
                </c:pt>
                <c:pt idx="610">
                  <c:v>41483</c:v>
                </c:pt>
                <c:pt idx="611">
                  <c:v>41482</c:v>
                </c:pt>
                <c:pt idx="612">
                  <c:v>41481</c:v>
                </c:pt>
                <c:pt idx="613">
                  <c:v>41480</c:v>
                </c:pt>
                <c:pt idx="614">
                  <c:v>41479</c:v>
                </c:pt>
                <c:pt idx="615">
                  <c:v>41478</c:v>
                </c:pt>
                <c:pt idx="616">
                  <c:v>41477</c:v>
                </c:pt>
                <c:pt idx="617">
                  <c:v>41476</c:v>
                </c:pt>
                <c:pt idx="618">
                  <c:v>41475</c:v>
                </c:pt>
                <c:pt idx="619">
                  <c:v>41474</c:v>
                </c:pt>
                <c:pt idx="620">
                  <c:v>41473</c:v>
                </c:pt>
                <c:pt idx="621">
                  <c:v>41472</c:v>
                </c:pt>
                <c:pt idx="622">
                  <c:v>41471</c:v>
                </c:pt>
                <c:pt idx="623">
                  <c:v>41470</c:v>
                </c:pt>
                <c:pt idx="624">
                  <c:v>41469</c:v>
                </c:pt>
                <c:pt idx="625">
                  <c:v>41468</c:v>
                </c:pt>
                <c:pt idx="626">
                  <c:v>41467</c:v>
                </c:pt>
                <c:pt idx="627">
                  <c:v>41466</c:v>
                </c:pt>
                <c:pt idx="628">
                  <c:v>41465</c:v>
                </c:pt>
                <c:pt idx="629">
                  <c:v>41464</c:v>
                </c:pt>
                <c:pt idx="630">
                  <c:v>41463</c:v>
                </c:pt>
                <c:pt idx="631">
                  <c:v>41462</c:v>
                </c:pt>
                <c:pt idx="632">
                  <c:v>41461</c:v>
                </c:pt>
                <c:pt idx="633">
                  <c:v>41460</c:v>
                </c:pt>
                <c:pt idx="634">
                  <c:v>41459</c:v>
                </c:pt>
                <c:pt idx="635">
                  <c:v>41458</c:v>
                </c:pt>
                <c:pt idx="636">
                  <c:v>41457</c:v>
                </c:pt>
                <c:pt idx="637">
                  <c:v>41456</c:v>
                </c:pt>
                <c:pt idx="638">
                  <c:v>41455</c:v>
                </c:pt>
                <c:pt idx="639">
                  <c:v>41454</c:v>
                </c:pt>
                <c:pt idx="640">
                  <c:v>41453</c:v>
                </c:pt>
                <c:pt idx="641">
                  <c:v>41452</c:v>
                </c:pt>
                <c:pt idx="642">
                  <c:v>41451</c:v>
                </c:pt>
                <c:pt idx="643">
                  <c:v>41450</c:v>
                </c:pt>
                <c:pt idx="644">
                  <c:v>41449</c:v>
                </c:pt>
                <c:pt idx="645">
                  <c:v>41448</c:v>
                </c:pt>
                <c:pt idx="646">
                  <c:v>41447</c:v>
                </c:pt>
                <c:pt idx="647">
                  <c:v>41446</c:v>
                </c:pt>
                <c:pt idx="648">
                  <c:v>41445</c:v>
                </c:pt>
                <c:pt idx="649">
                  <c:v>41444</c:v>
                </c:pt>
                <c:pt idx="650">
                  <c:v>41443</c:v>
                </c:pt>
                <c:pt idx="651">
                  <c:v>41442</c:v>
                </c:pt>
                <c:pt idx="652">
                  <c:v>41441</c:v>
                </c:pt>
                <c:pt idx="653">
                  <c:v>41440</c:v>
                </c:pt>
                <c:pt idx="654">
                  <c:v>41439</c:v>
                </c:pt>
                <c:pt idx="655">
                  <c:v>41438</c:v>
                </c:pt>
                <c:pt idx="656">
                  <c:v>41437</c:v>
                </c:pt>
                <c:pt idx="657">
                  <c:v>41436</c:v>
                </c:pt>
                <c:pt idx="658">
                  <c:v>41435</c:v>
                </c:pt>
                <c:pt idx="659">
                  <c:v>41434</c:v>
                </c:pt>
                <c:pt idx="660">
                  <c:v>41433</c:v>
                </c:pt>
                <c:pt idx="661">
                  <c:v>41432</c:v>
                </c:pt>
                <c:pt idx="662">
                  <c:v>41431</c:v>
                </c:pt>
                <c:pt idx="663">
                  <c:v>41430</c:v>
                </c:pt>
                <c:pt idx="664">
                  <c:v>41429</c:v>
                </c:pt>
                <c:pt idx="665">
                  <c:v>41428</c:v>
                </c:pt>
                <c:pt idx="666">
                  <c:v>41427</c:v>
                </c:pt>
                <c:pt idx="667">
                  <c:v>41426</c:v>
                </c:pt>
                <c:pt idx="668">
                  <c:v>41425</c:v>
                </c:pt>
                <c:pt idx="669">
                  <c:v>41424</c:v>
                </c:pt>
                <c:pt idx="670">
                  <c:v>41423</c:v>
                </c:pt>
                <c:pt idx="671">
                  <c:v>41422</c:v>
                </c:pt>
                <c:pt idx="672">
                  <c:v>41421</c:v>
                </c:pt>
                <c:pt idx="673">
                  <c:v>41420</c:v>
                </c:pt>
                <c:pt idx="674">
                  <c:v>41419</c:v>
                </c:pt>
                <c:pt idx="675">
                  <c:v>41418</c:v>
                </c:pt>
                <c:pt idx="676">
                  <c:v>41417</c:v>
                </c:pt>
                <c:pt idx="677">
                  <c:v>41416</c:v>
                </c:pt>
                <c:pt idx="678">
                  <c:v>41415</c:v>
                </c:pt>
                <c:pt idx="679">
                  <c:v>41414</c:v>
                </c:pt>
                <c:pt idx="680">
                  <c:v>41413</c:v>
                </c:pt>
                <c:pt idx="681">
                  <c:v>41412</c:v>
                </c:pt>
                <c:pt idx="682">
                  <c:v>41411</c:v>
                </c:pt>
                <c:pt idx="683">
                  <c:v>41410</c:v>
                </c:pt>
                <c:pt idx="684">
                  <c:v>41409</c:v>
                </c:pt>
                <c:pt idx="685">
                  <c:v>41408</c:v>
                </c:pt>
                <c:pt idx="686">
                  <c:v>41407</c:v>
                </c:pt>
                <c:pt idx="687">
                  <c:v>41406</c:v>
                </c:pt>
                <c:pt idx="688">
                  <c:v>41405</c:v>
                </c:pt>
                <c:pt idx="689">
                  <c:v>41404</c:v>
                </c:pt>
                <c:pt idx="690">
                  <c:v>41403</c:v>
                </c:pt>
                <c:pt idx="691">
                  <c:v>41402</c:v>
                </c:pt>
                <c:pt idx="692">
                  <c:v>41401</c:v>
                </c:pt>
                <c:pt idx="693">
                  <c:v>41400</c:v>
                </c:pt>
                <c:pt idx="694">
                  <c:v>41399</c:v>
                </c:pt>
                <c:pt idx="695">
                  <c:v>41398</c:v>
                </c:pt>
                <c:pt idx="696">
                  <c:v>41397</c:v>
                </c:pt>
                <c:pt idx="697">
                  <c:v>41396</c:v>
                </c:pt>
                <c:pt idx="698">
                  <c:v>41395</c:v>
                </c:pt>
                <c:pt idx="699">
                  <c:v>41394</c:v>
                </c:pt>
                <c:pt idx="700">
                  <c:v>41393</c:v>
                </c:pt>
                <c:pt idx="701">
                  <c:v>41392</c:v>
                </c:pt>
                <c:pt idx="702">
                  <c:v>41391</c:v>
                </c:pt>
                <c:pt idx="703">
                  <c:v>41390</c:v>
                </c:pt>
                <c:pt idx="704">
                  <c:v>41389</c:v>
                </c:pt>
                <c:pt idx="705">
                  <c:v>41388</c:v>
                </c:pt>
                <c:pt idx="706">
                  <c:v>41387</c:v>
                </c:pt>
                <c:pt idx="707">
                  <c:v>41386</c:v>
                </c:pt>
                <c:pt idx="708">
                  <c:v>41385</c:v>
                </c:pt>
                <c:pt idx="709">
                  <c:v>41384</c:v>
                </c:pt>
                <c:pt idx="710">
                  <c:v>41383</c:v>
                </c:pt>
                <c:pt idx="711">
                  <c:v>41382</c:v>
                </c:pt>
                <c:pt idx="712">
                  <c:v>41381</c:v>
                </c:pt>
                <c:pt idx="713">
                  <c:v>41380</c:v>
                </c:pt>
                <c:pt idx="714">
                  <c:v>41379</c:v>
                </c:pt>
                <c:pt idx="715">
                  <c:v>41378</c:v>
                </c:pt>
                <c:pt idx="716">
                  <c:v>41377</c:v>
                </c:pt>
                <c:pt idx="717">
                  <c:v>41376</c:v>
                </c:pt>
                <c:pt idx="718">
                  <c:v>41375</c:v>
                </c:pt>
                <c:pt idx="719">
                  <c:v>41374</c:v>
                </c:pt>
                <c:pt idx="720">
                  <c:v>41373</c:v>
                </c:pt>
                <c:pt idx="721">
                  <c:v>41372</c:v>
                </c:pt>
                <c:pt idx="722">
                  <c:v>41371</c:v>
                </c:pt>
                <c:pt idx="723">
                  <c:v>41370</c:v>
                </c:pt>
                <c:pt idx="724">
                  <c:v>41369</c:v>
                </c:pt>
                <c:pt idx="725">
                  <c:v>41368</c:v>
                </c:pt>
                <c:pt idx="726">
                  <c:v>41367</c:v>
                </c:pt>
                <c:pt idx="727">
                  <c:v>41366</c:v>
                </c:pt>
                <c:pt idx="728">
                  <c:v>41365</c:v>
                </c:pt>
                <c:pt idx="729">
                  <c:v>41364</c:v>
                </c:pt>
                <c:pt idx="730">
                  <c:v>41363</c:v>
                </c:pt>
                <c:pt idx="731">
                  <c:v>41362</c:v>
                </c:pt>
                <c:pt idx="732">
                  <c:v>41361</c:v>
                </c:pt>
                <c:pt idx="733">
                  <c:v>41360</c:v>
                </c:pt>
                <c:pt idx="734">
                  <c:v>41359</c:v>
                </c:pt>
                <c:pt idx="735">
                  <c:v>41358</c:v>
                </c:pt>
                <c:pt idx="736">
                  <c:v>41357</c:v>
                </c:pt>
                <c:pt idx="737">
                  <c:v>41356</c:v>
                </c:pt>
                <c:pt idx="738">
                  <c:v>41355</c:v>
                </c:pt>
                <c:pt idx="739">
                  <c:v>41354</c:v>
                </c:pt>
                <c:pt idx="740">
                  <c:v>41353</c:v>
                </c:pt>
                <c:pt idx="741">
                  <c:v>41352</c:v>
                </c:pt>
                <c:pt idx="742">
                  <c:v>41351</c:v>
                </c:pt>
                <c:pt idx="743">
                  <c:v>41350</c:v>
                </c:pt>
                <c:pt idx="744">
                  <c:v>41349</c:v>
                </c:pt>
                <c:pt idx="745">
                  <c:v>41348</c:v>
                </c:pt>
                <c:pt idx="746">
                  <c:v>41347</c:v>
                </c:pt>
                <c:pt idx="747">
                  <c:v>41346</c:v>
                </c:pt>
                <c:pt idx="748">
                  <c:v>41345</c:v>
                </c:pt>
                <c:pt idx="749">
                  <c:v>41344</c:v>
                </c:pt>
                <c:pt idx="750">
                  <c:v>41343</c:v>
                </c:pt>
                <c:pt idx="751">
                  <c:v>41342</c:v>
                </c:pt>
                <c:pt idx="752">
                  <c:v>41341</c:v>
                </c:pt>
                <c:pt idx="753">
                  <c:v>41340</c:v>
                </c:pt>
                <c:pt idx="754">
                  <c:v>41339</c:v>
                </c:pt>
                <c:pt idx="755">
                  <c:v>41338</c:v>
                </c:pt>
                <c:pt idx="756">
                  <c:v>41337</c:v>
                </c:pt>
                <c:pt idx="757">
                  <c:v>41336</c:v>
                </c:pt>
                <c:pt idx="758">
                  <c:v>41335</c:v>
                </c:pt>
                <c:pt idx="759">
                  <c:v>41334</c:v>
                </c:pt>
                <c:pt idx="760">
                  <c:v>41333</c:v>
                </c:pt>
                <c:pt idx="761">
                  <c:v>41332</c:v>
                </c:pt>
                <c:pt idx="762">
                  <c:v>41331</c:v>
                </c:pt>
                <c:pt idx="763">
                  <c:v>41330</c:v>
                </c:pt>
                <c:pt idx="764">
                  <c:v>41329</c:v>
                </c:pt>
                <c:pt idx="765">
                  <c:v>41328</c:v>
                </c:pt>
                <c:pt idx="766">
                  <c:v>41327</c:v>
                </c:pt>
                <c:pt idx="767">
                  <c:v>41326</c:v>
                </c:pt>
                <c:pt idx="768">
                  <c:v>41325</c:v>
                </c:pt>
                <c:pt idx="769">
                  <c:v>41324</c:v>
                </c:pt>
                <c:pt idx="770">
                  <c:v>41323</c:v>
                </c:pt>
                <c:pt idx="771">
                  <c:v>41322</c:v>
                </c:pt>
                <c:pt idx="772">
                  <c:v>41321</c:v>
                </c:pt>
                <c:pt idx="773">
                  <c:v>41320</c:v>
                </c:pt>
                <c:pt idx="774">
                  <c:v>41319</c:v>
                </c:pt>
                <c:pt idx="775">
                  <c:v>41318</c:v>
                </c:pt>
                <c:pt idx="776">
                  <c:v>41317</c:v>
                </c:pt>
                <c:pt idx="777">
                  <c:v>41316</c:v>
                </c:pt>
                <c:pt idx="778">
                  <c:v>41315</c:v>
                </c:pt>
                <c:pt idx="779">
                  <c:v>41314</c:v>
                </c:pt>
                <c:pt idx="780">
                  <c:v>41313</c:v>
                </c:pt>
                <c:pt idx="781">
                  <c:v>41312</c:v>
                </c:pt>
                <c:pt idx="782">
                  <c:v>41311</c:v>
                </c:pt>
                <c:pt idx="783">
                  <c:v>41310</c:v>
                </c:pt>
                <c:pt idx="784">
                  <c:v>41309</c:v>
                </c:pt>
                <c:pt idx="785">
                  <c:v>41308</c:v>
                </c:pt>
                <c:pt idx="786">
                  <c:v>41307</c:v>
                </c:pt>
                <c:pt idx="787">
                  <c:v>41306</c:v>
                </c:pt>
                <c:pt idx="788">
                  <c:v>41305</c:v>
                </c:pt>
                <c:pt idx="789">
                  <c:v>41304</c:v>
                </c:pt>
                <c:pt idx="790">
                  <c:v>41303</c:v>
                </c:pt>
                <c:pt idx="791">
                  <c:v>41302</c:v>
                </c:pt>
                <c:pt idx="792">
                  <c:v>41301</c:v>
                </c:pt>
                <c:pt idx="793">
                  <c:v>41300</c:v>
                </c:pt>
                <c:pt idx="794">
                  <c:v>41299</c:v>
                </c:pt>
                <c:pt idx="795">
                  <c:v>41298</c:v>
                </c:pt>
                <c:pt idx="796">
                  <c:v>41297</c:v>
                </c:pt>
                <c:pt idx="797">
                  <c:v>41296</c:v>
                </c:pt>
                <c:pt idx="798">
                  <c:v>41295</c:v>
                </c:pt>
                <c:pt idx="799">
                  <c:v>41294</c:v>
                </c:pt>
                <c:pt idx="800">
                  <c:v>41293</c:v>
                </c:pt>
                <c:pt idx="801">
                  <c:v>41292</c:v>
                </c:pt>
                <c:pt idx="802">
                  <c:v>41291</c:v>
                </c:pt>
                <c:pt idx="803">
                  <c:v>41290</c:v>
                </c:pt>
                <c:pt idx="804">
                  <c:v>41289</c:v>
                </c:pt>
                <c:pt idx="805">
                  <c:v>41288</c:v>
                </c:pt>
                <c:pt idx="806">
                  <c:v>41287</c:v>
                </c:pt>
                <c:pt idx="807">
                  <c:v>41286</c:v>
                </c:pt>
                <c:pt idx="808">
                  <c:v>41285</c:v>
                </c:pt>
                <c:pt idx="809">
                  <c:v>41284</c:v>
                </c:pt>
                <c:pt idx="810">
                  <c:v>41283</c:v>
                </c:pt>
                <c:pt idx="811">
                  <c:v>41282</c:v>
                </c:pt>
                <c:pt idx="812">
                  <c:v>41281</c:v>
                </c:pt>
                <c:pt idx="813">
                  <c:v>41280</c:v>
                </c:pt>
                <c:pt idx="814">
                  <c:v>41279</c:v>
                </c:pt>
                <c:pt idx="815">
                  <c:v>41278</c:v>
                </c:pt>
                <c:pt idx="816">
                  <c:v>41277</c:v>
                </c:pt>
                <c:pt idx="817">
                  <c:v>41276</c:v>
                </c:pt>
                <c:pt idx="818">
                  <c:v>41275</c:v>
                </c:pt>
                <c:pt idx="819">
                  <c:v>41274</c:v>
                </c:pt>
                <c:pt idx="820">
                  <c:v>41273</c:v>
                </c:pt>
                <c:pt idx="821">
                  <c:v>41272</c:v>
                </c:pt>
                <c:pt idx="822">
                  <c:v>41271</c:v>
                </c:pt>
                <c:pt idx="823">
                  <c:v>41270</c:v>
                </c:pt>
                <c:pt idx="824">
                  <c:v>41269</c:v>
                </c:pt>
                <c:pt idx="825">
                  <c:v>41268</c:v>
                </c:pt>
                <c:pt idx="826">
                  <c:v>41267</c:v>
                </c:pt>
                <c:pt idx="827">
                  <c:v>41266</c:v>
                </c:pt>
                <c:pt idx="828">
                  <c:v>41265</c:v>
                </c:pt>
                <c:pt idx="829">
                  <c:v>41264</c:v>
                </c:pt>
                <c:pt idx="830">
                  <c:v>41263</c:v>
                </c:pt>
                <c:pt idx="831">
                  <c:v>41262</c:v>
                </c:pt>
                <c:pt idx="832">
                  <c:v>41261</c:v>
                </c:pt>
                <c:pt idx="833">
                  <c:v>41260</c:v>
                </c:pt>
                <c:pt idx="834">
                  <c:v>41259</c:v>
                </c:pt>
                <c:pt idx="835">
                  <c:v>41258</c:v>
                </c:pt>
                <c:pt idx="836">
                  <c:v>41257</c:v>
                </c:pt>
                <c:pt idx="837">
                  <c:v>41256</c:v>
                </c:pt>
                <c:pt idx="838">
                  <c:v>41255</c:v>
                </c:pt>
                <c:pt idx="839">
                  <c:v>41254</c:v>
                </c:pt>
                <c:pt idx="840">
                  <c:v>41253</c:v>
                </c:pt>
                <c:pt idx="841">
                  <c:v>41252</c:v>
                </c:pt>
                <c:pt idx="842">
                  <c:v>41251</c:v>
                </c:pt>
                <c:pt idx="843">
                  <c:v>41250</c:v>
                </c:pt>
                <c:pt idx="844">
                  <c:v>41249</c:v>
                </c:pt>
                <c:pt idx="845">
                  <c:v>41248</c:v>
                </c:pt>
                <c:pt idx="846">
                  <c:v>41247</c:v>
                </c:pt>
                <c:pt idx="847">
                  <c:v>41246</c:v>
                </c:pt>
                <c:pt idx="848">
                  <c:v>41245</c:v>
                </c:pt>
                <c:pt idx="849">
                  <c:v>41244</c:v>
                </c:pt>
                <c:pt idx="850">
                  <c:v>41243</c:v>
                </c:pt>
                <c:pt idx="851">
                  <c:v>41242</c:v>
                </c:pt>
                <c:pt idx="852">
                  <c:v>41241</c:v>
                </c:pt>
                <c:pt idx="853">
                  <c:v>41240</c:v>
                </c:pt>
                <c:pt idx="854">
                  <c:v>41239</c:v>
                </c:pt>
                <c:pt idx="855">
                  <c:v>41238</c:v>
                </c:pt>
                <c:pt idx="856">
                  <c:v>41237</c:v>
                </c:pt>
                <c:pt idx="857">
                  <c:v>41236</c:v>
                </c:pt>
                <c:pt idx="858">
                  <c:v>41235</c:v>
                </c:pt>
                <c:pt idx="859">
                  <c:v>41234</c:v>
                </c:pt>
                <c:pt idx="860">
                  <c:v>41233</c:v>
                </c:pt>
                <c:pt idx="861">
                  <c:v>41232</c:v>
                </c:pt>
                <c:pt idx="862">
                  <c:v>41231</c:v>
                </c:pt>
                <c:pt idx="863">
                  <c:v>41230</c:v>
                </c:pt>
                <c:pt idx="864">
                  <c:v>41229</c:v>
                </c:pt>
                <c:pt idx="865">
                  <c:v>41228</c:v>
                </c:pt>
                <c:pt idx="866">
                  <c:v>41227</c:v>
                </c:pt>
                <c:pt idx="867">
                  <c:v>41226</c:v>
                </c:pt>
                <c:pt idx="868">
                  <c:v>41225</c:v>
                </c:pt>
                <c:pt idx="869">
                  <c:v>41224</c:v>
                </c:pt>
                <c:pt idx="870">
                  <c:v>41223</c:v>
                </c:pt>
                <c:pt idx="871">
                  <c:v>41222</c:v>
                </c:pt>
                <c:pt idx="872">
                  <c:v>41221</c:v>
                </c:pt>
                <c:pt idx="873">
                  <c:v>41220</c:v>
                </c:pt>
                <c:pt idx="874">
                  <c:v>41219</c:v>
                </c:pt>
                <c:pt idx="875">
                  <c:v>41218</c:v>
                </c:pt>
                <c:pt idx="876">
                  <c:v>41217</c:v>
                </c:pt>
                <c:pt idx="877">
                  <c:v>41216</c:v>
                </c:pt>
                <c:pt idx="878">
                  <c:v>41215</c:v>
                </c:pt>
                <c:pt idx="879">
                  <c:v>41214</c:v>
                </c:pt>
                <c:pt idx="880">
                  <c:v>41213</c:v>
                </c:pt>
                <c:pt idx="881">
                  <c:v>41212</c:v>
                </c:pt>
                <c:pt idx="882">
                  <c:v>41211</c:v>
                </c:pt>
                <c:pt idx="883">
                  <c:v>41210</c:v>
                </c:pt>
                <c:pt idx="884">
                  <c:v>41209</c:v>
                </c:pt>
                <c:pt idx="885">
                  <c:v>41208</c:v>
                </c:pt>
                <c:pt idx="886">
                  <c:v>41207</c:v>
                </c:pt>
                <c:pt idx="887">
                  <c:v>41206</c:v>
                </c:pt>
                <c:pt idx="888">
                  <c:v>41205</c:v>
                </c:pt>
                <c:pt idx="889">
                  <c:v>41204</c:v>
                </c:pt>
                <c:pt idx="890">
                  <c:v>41203</c:v>
                </c:pt>
                <c:pt idx="891">
                  <c:v>41202</c:v>
                </c:pt>
                <c:pt idx="892">
                  <c:v>41201</c:v>
                </c:pt>
                <c:pt idx="893">
                  <c:v>41200</c:v>
                </c:pt>
                <c:pt idx="894">
                  <c:v>41199</c:v>
                </c:pt>
                <c:pt idx="895">
                  <c:v>41198</c:v>
                </c:pt>
                <c:pt idx="896">
                  <c:v>41197</c:v>
                </c:pt>
                <c:pt idx="897">
                  <c:v>41196</c:v>
                </c:pt>
                <c:pt idx="898">
                  <c:v>41195</c:v>
                </c:pt>
                <c:pt idx="899">
                  <c:v>41194</c:v>
                </c:pt>
                <c:pt idx="900">
                  <c:v>41193</c:v>
                </c:pt>
                <c:pt idx="901">
                  <c:v>41192</c:v>
                </c:pt>
                <c:pt idx="902">
                  <c:v>41191</c:v>
                </c:pt>
                <c:pt idx="903">
                  <c:v>41190</c:v>
                </c:pt>
                <c:pt idx="904">
                  <c:v>41189</c:v>
                </c:pt>
                <c:pt idx="905">
                  <c:v>41188</c:v>
                </c:pt>
                <c:pt idx="906">
                  <c:v>41187</c:v>
                </c:pt>
                <c:pt idx="907">
                  <c:v>41186</c:v>
                </c:pt>
                <c:pt idx="908">
                  <c:v>41185</c:v>
                </c:pt>
                <c:pt idx="909">
                  <c:v>41184</c:v>
                </c:pt>
                <c:pt idx="910">
                  <c:v>41183</c:v>
                </c:pt>
                <c:pt idx="911">
                  <c:v>41182</c:v>
                </c:pt>
                <c:pt idx="912">
                  <c:v>41181</c:v>
                </c:pt>
                <c:pt idx="913">
                  <c:v>41180</c:v>
                </c:pt>
                <c:pt idx="914">
                  <c:v>41179</c:v>
                </c:pt>
                <c:pt idx="915">
                  <c:v>41178</c:v>
                </c:pt>
                <c:pt idx="916">
                  <c:v>41177</c:v>
                </c:pt>
                <c:pt idx="917">
                  <c:v>41176</c:v>
                </c:pt>
                <c:pt idx="918">
                  <c:v>41175</c:v>
                </c:pt>
                <c:pt idx="919">
                  <c:v>41174</c:v>
                </c:pt>
                <c:pt idx="920">
                  <c:v>41173</c:v>
                </c:pt>
                <c:pt idx="921">
                  <c:v>41172</c:v>
                </c:pt>
                <c:pt idx="922">
                  <c:v>41171</c:v>
                </c:pt>
                <c:pt idx="923">
                  <c:v>41170</c:v>
                </c:pt>
                <c:pt idx="924">
                  <c:v>41169</c:v>
                </c:pt>
                <c:pt idx="925">
                  <c:v>41168</c:v>
                </c:pt>
                <c:pt idx="926">
                  <c:v>41167</c:v>
                </c:pt>
                <c:pt idx="927">
                  <c:v>41166</c:v>
                </c:pt>
                <c:pt idx="928">
                  <c:v>41165</c:v>
                </c:pt>
                <c:pt idx="929">
                  <c:v>41164</c:v>
                </c:pt>
                <c:pt idx="930">
                  <c:v>41163</c:v>
                </c:pt>
                <c:pt idx="931">
                  <c:v>41162</c:v>
                </c:pt>
                <c:pt idx="932">
                  <c:v>41161</c:v>
                </c:pt>
                <c:pt idx="933">
                  <c:v>41160</c:v>
                </c:pt>
                <c:pt idx="934">
                  <c:v>41159</c:v>
                </c:pt>
                <c:pt idx="935">
                  <c:v>41158</c:v>
                </c:pt>
                <c:pt idx="936">
                  <c:v>41157</c:v>
                </c:pt>
                <c:pt idx="937">
                  <c:v>41156</c:v>
                </c:pt>
                <c:pt idx="938">
                  <c:v>41155</c:v>
                </c:pt>
                <c:pt idx="939">
                  <c:v>41154</c:v>
                </c:pt>
                <c:pt idx="940">
                  <c:v>41153</c:v>
                </c:pt>
                <c:pt idx="941">
                  <c:v>41152</c:v>
                </c:pt>
                <c:pt idx="942">
                  <c:v>41151</c:v>
                </c:pt>
                <c:pt idx="943">
                  <c:v>41150</c:v>
                </c:pt>
                <c:pt idx="944">
                  <c:v>41149</c:v>
                </c:pt>
                <c:pt idx="945">
                  <c:v>41148</c:v>
                </c:pt>
                <c:pt idx="946">
                  <c:v>41147</c:v>
                </c:pt>
                <c:pt idx="947">
                  <c:v>41146</c:v>
                </c:pt>
                <c:pt idx="948">
                  <c:v>41145</c:v>
                </c:pt>
                <c:pt idx="949">
                  <c:v>41144</c:v>
                </c:pt>
                <c:pt idx="950">
                  <c:v>41143</c:v>
                </c:pt>
                <c:pt idx="951">
                  <c:v>41142</c:v>
                </c:pt>
                <c:pt idx="952">
                  <c:v>41141</c:v>
                </c:pt>
                <c:pt idx="953">
                  <c:v>41140</c:v>
                </c:pt>
                <c:pt idx="954">
                  <c:v>41139</c:v>
                </c:pt>
                <c:pt idx="955">
                  <c:v>41138</c:v>
                </c:pt>
                <c:pt idx="956">
                  <c:v>41137</c:v>
                </c:pt>
                <c:pt idx="957">
                  <c:v>41136</c:v>
                </c:pt>
                <c:pt idx="958">
                  <c:v>41135</c:v>
                </c:pt>
                <c:pt idx="959">
                  <c:v>41134</c:v>
                </c:pt>
                <c:pt idx="960">
                  <c:v>41133</c:v>
                </c:pt>
                <c:pt idx="961">
                  <c:v>41132</c:v>
                </c:pt>
                <c:pt idx="962">
                  <c:v>41131</c:v>
                </c:pt>
                <c:pt idx="963">
                  <c:v>41130</c:v>
                </c:pt>
                <c:pt idx="964">
                  <c:v>41129</c:v>
                </c:pt>
                <c:pt idx="965">
                  <c:v>41128</c:v>
                </c:pt>
                <c:pt idx="966">
                  <c:v>41127</c:v>
                </c:pt>
                <c:pt idx="967">
                  <c:v>41126</c:v>
                </c:pt>
                <c:pt idx="968">
                  <c:v>41125</c:v>
                </c:pt>
                <c:pt idx="969">
                  <c:v>41124</c:v>
                </c:pt>
                <c:pt idx="970">
                  <c:v>41123</c:v>
                </c:pt>
                <c:pt idx="971">
                  <c:v>41122</c:v>
                </c:pt>
                <c:pt idx="972">
                  <c:v>41121</c:v>
                </c:pt>
                <c:pt idx="973">
                  <c:v>41120</c:v>
                </c:pt>
                <c:pt idx="974">
                  <c:v>41119</c:v>
                </c:pt>
                <c:pt idx="975">
                  <c:v>41118</c:v>
                </c:pt>
                <c:pt idx="976">
                  <c:v>41117</c:v>
                </c:pt>
                <c:pt idx="977">
                  <c:v>41116</c:v>
                </c:pt>
                <c:pt idx="978">
                  <c:v>41115</c:v>
                </c:pt>
                <c:pt idx="979">
                  <c:v>41114</c:v>
                </c:pt>
                <c:pt idx="980">
                  <c:v>41113</c:v>
                </c:pt>
                <c:pt idx="981">
                  <c:v>41112</c:v>
                </c:pt>
                <c:pt idx="982">
                  <c:v>41111</c:v>
                </c:pt>
                <c:pt idx="983">
                  <c:v>41110</c:v>
                </c:pt>
                <c:pt idx="984">
                  <c:v>41109</c:v>
                </c:pt>
                <c:pt idx="985">
                  <c:v>41108</c:v>
                </c:pt>
                <c:pt idx="986">
                  <c:v>41107</c:v>
                </c:pt>
                <c:pt idx="987">
                  <c:v>41106</c:v>
                </c:pt>
                <c:pt idx="988">
                  <c:v>41105</c:v>
                </c:pt>
                <c:pt idx="989">
                  <c:v>41104</c:v>
                </c:pt>
                <c:pt idx="990">
                  <c:v>41103</c:v>
                </c:pt>
                <c:pt idx="991">
                  <c:v>41102</c:v>
                </c:pt>
                <c:pt idx="992">
                  <c:v>41101</c:v>
                </c:pt>
                <c:pt idx="993">
                  <c:v>41100</c:v>
                </c:pt>
                <c:pt idx="994">
                  <c:v>41099</c:v>
                </c:pt>
                <c:pt idx="995">
                  <c:v>41098</c:v>
                </c:pt>
                <c:pt idx="996">
                  <c:v>41097</c:v>
                </c:pt>
                <c:pt idx="997">
                  <c:v>41096</c:v>
                </c:pt>
                <c:pt idx="998">
                  <c:v>41095</c:v>
                </c:pt>
                <c:pt idx="999">
                  <c:v>41094</c:v>
                </c:pt>
                <c:pt idx="1000">
                  <c:v>41093</c:v>
                </c:pt>
                <c:pt idx="1001">
                  <c:v>41092</c:v>
                </c:pt>
                <c:pt idx="1002">
                  <c:v>41091</c:v>
                </c:pt>
                <c:pt idx="1003">
                  <c:v>41090</c:v>
                </c:pt>
                <c:pt idx="1004">
                  <c:v>41089</c:v>
                </c:pt>
                <c:pt idx="1005">
                  <c:v>41088</c:v>
                </c:pt>
                <c:pt idx="1006">
                  <c:v>41087</c:v>
                </c:pt>
                <c:pt idx="1007">
                  <c:v>41086</c:v>
                </c:pt>
                <c:pt idx="1008">
                  <c:v>41085</c:v>
                </c:pt>
                <c:pt idx="1009">
                  <c:v>41084</c:v>
                </c:pt>
                <c:pt idx="1010">
                  <c:v>41083</c:v>
                </c:pt>
                <c:pt idx="1011">
                  <c:v>41082</c:v>
                </c:pt>
                <c:pt idx="1012">
                  <c:v>41081</c:v>
                </c:pt>
                <c:pt idx="1013">
                  <c:v>41080</c:v>
                </c:pt>
                <c:pt idx="1014">
                  <c:v>41079</c:v>
                </c:pt>
                <c:pt idx="1015">
                  <c:v>41078</c:v>
                </c:pt>
                <c:pt idx="1016">
                  <c:v>41077</c:v>
                </c:pt>
                <c:pt idx="1017">
                  <c:v>41076</c:v>
                </c:pt>
                <c:pt idx="1018">
                  <c:v>41075</c:v>
                </c:pt>
                <c:pt idx="1019">
                  <c:v>41074</c:v>
                </c:pt>
                <c:pt idx="1020">
                  <c:v>41073</c:v>
                </c:pt>
                <c:pt idx="1021">
                  <c:v>41072</c:v>
                </c:pt>
                <c:pt idx="1022">
                  <c:v>41071</c:v>
                </c:pt>
                <c:pt idx="1023">
                  <c:v>41070</c:v>
                </c:pt>
                <c:pt idx="1024">
                  <c:v>41069</c:v>
                </c:pt>
                <c:pt idx="1025">
                  <c:v>41068</c:v>
                </c:pt>
                <c:pt idx="1026">
                  <c:v>41067</c:v>
                </c:pt>
                <c:pt idx="1027">
                  <c:v>41066</c:v>
                </c:pt>
                <c:pt idx="1028">
                  <c:v>41065</c:v>
                </c:pt>
                <c:pt idx="1029">
                  <c:v>41064</c:v>
                </c:pt>
                <c:pt idx="1030">
                  <c:v>41063</c:v>
                </c:pt>
                <c:pt idx="1031">
                  <c:v>41062</c:v>
                </c:pt>
                <c:pt idx="1032">
                  <c:v>41061</c:v>
                </c:pt>
                <c:pt idx="1033">
                  <c:v>41060</c:v>
                </c:pt>
                <c:pt idx="1034">
                  <c:v>41059</c:v>
                </c:pt>
                <c:pt idx="1035">
                  <c:v>41058</c:v>
                </c:pt>
                <c:pt idx="1036">
                  <c:v>41057</c:v>
                </c:pt>
                <c:pt idx="1037">
                  <c:v>41056</c:v>
                </c:pt>
                <c:pt idx="1038">
                  <c:v>41055</c:v>
                </c:pt>
                <c:pt idx="1039">
                  <c:v>41054</c:v>
                </c:pt>
                <c:pt idx="1040">
                  <c:v>41053</c:v>
                </c:pt>
                <c:pt idx="1041">
                  <c:v>41052</c:v>
                </c:pt>
                <c:pt idx="1042">
                  <c:v>41051</c:v>
                </c:pt>
                <c:pt idx="1043">
                  <c:v>41050</c:v>
                </c:pt>
                <c:pt idx="1044">
                  <c:v>41049</c:v>
                </c:pt>
                <c:pt idx="1045">
                  <c:v>41048</c:v>
                </c:pt>
                <c:pt idx="1046">
                  <c:v>41047</c:v>
                </c:pt>
                <c:pt idx="1047">
                  <c:v>41046</c:v>
                </c:pt>
                <c:pt idx="1048">
                  <c:v>41045</c:v>
                </c:pt>
                <c:pt idx="1049">
                  <c:v>41044</c:v>
                </c:pt>
                <c:pt idx="1050">
                  <c:v>41043</c:v>
                </c:pt>
                <c:pt idx="1051">
                  <c:v>41042</c:v>
                </c:pt>
                <c:pt idx="1052">
                  <c:v>41041</c:v>
                </c:pt>
                <c:pt idx="1053">
                  <c:v>41040</c:v>
                </c:pt>
                <c:pt idx="1054">
                  <c:v>41039</c:v>
                </c:pt>
                <c:pt idx="1055">
                  <c:v>41038</c:v>
                </c:pt>
                <c:pt idx="1056">
                  <c:v>41037</c:v>
                </c:pt>
                <c:pt idx="1057">
                  <c:v>41036</c:v>
                </c:pt>
                <c:pt idx="1058">
                  <c:v>41034</c:v>
                </c:pt>
                <c:pt idx="1059">
                  <c:v>41033</c:v>
                </c:pt>
                <c:pt idx="1060">
                  <c:v>41032</c:v>
                </c:pt>
                <c:pt idx="1061">
                  <c:v>41031</c:v>
                </c:pt>
                <c:pt idx="1062">
                  <c:v>41030</c:v>
                </c:pt>
                <c:pt idx="1063">
                  <c:v>41029</c:v>
                </c:pt>
                <c:pt idx="1064">
                  <c:v>41028</c:v>
                </c:pt>
                <c:pt idx="1065">
                  <c:v>41027</c:v>
                </c:pt>
                <c:pt idx="1066">
                  <c:v>41026</c:v>
                </c:pt>
                <c:pt idx="1067">
                  <c:v>41025</c:v>
                </c:pt>
                <c:pt idx="1068">
                  <c:v>41024</c:v>
                </c:pt>
                <c:pt idx="1069">
                  <c:v>41023</c:v>
                </c:pt>
                <c:pt idx="1070">
                  <c:v>41022</c:v>
                </c:pt>
                <c:pt idx="1071">
                  <c:v>41021</c:v>
                </c:pt>
                <c:pt idx="1072">
                  <c:v>41020</c:v>
                </c:pt>
                <c:pt idx="1073">
                  <c:v>41019</c:v>
                </c:pt>
                <c:pt idx="1074">
                  <c:v>41018</c:v>
                </c:pt>
                <c:pt idx="1075">
                  <c:v>41017</c:v>
                </c:pt>
                <c:pt idx="1076">
                  <c:v>41016</c:v>
                </c:pt>
                <c:pt idx="1077">
                  <c:v>41015</c:v>
                </c:pt>
                <c:pt idx="1078">
                  <c:v>41014</c:v>
                </c:pt>
                <c:pt idx="1079">
                  <c:v>41013</c:v>
                </c:pt>
                <c:pt idx="1080">
                  <c:v>41012</c:v>
                </c:pt>
                <c:pt idx="1081">
                  <c:v>41011</c:v>
                </c:pt>
                <c:pt idx="1082">
                  <c:v>41010</c:v>
                </c:pt>
                <c:pt idx="1083">
                  <c:v>41009</c:v>
                </c:pt>
                <c:pt idx="1084">
                  <c:v>41008</c:v>
                </c:pt>
                <c:pt idx="1085">
                  <c:v>41007</c:v>
                </c:pt>
                <c:pt idx="1086">
                  <c:v>41006</c:v>
                </c:pt>
                <c:pt idx="1087">
                  <c:v>41005</c:v>
                </c:pt>
                <c:pt idx="1088">
                  <c:v>41004</c:v>
                </c:pt>
                <c:pt idx="1089">
                  <c:v>41003</c:v>
                </c:pt>
                <c:pt idx="1090">
                  <c:v>41002</c:v>
                </c:pt>
                <c:pt idx="1091">
                  <c:v>41001</c:v>
                </c:pt>
                <c:pt idx="1092">
                  <c:v>41000</c:v>
                </c:pt>
                <c:pt idx="1093">
                  <c:v>40999</c:v>
                </c:pt>
                <c:pt idx="1094">
                  <c:v>40998</c:v>
                </c:pt>
                <c:pt idx="1095">
                  <c:v>40997</c:v>
                </c:pt>
                <c:pt idx="1096">
                  <c:v>40996</c:v>
                </c:pt>
                <c:pt idx="1097">
                  <c:v>40995</c:v>
                </c:pt>
                <c:pt idx="1098">
                  <c:v>40994</c:v>
                </c:pt>
                <c:pt idx="1099">
                  <c:v>40992</c:v>
                </c:pt>
                <c:pt idx="1100">
                  <c:v>40991</c:v>
                </c:pt>
                <c:pt idx="1101">
                  <c:v>40990</c:v>
                </c:pt>
                <c:pt idx="1102">
                  <c:v>40989</c:v>
                </c:pt>
                <c:pt idx="1103">
                  <c:v>40988</c:v>
                </c:pt>
                <c:pt idx="1104">
                  <c:v>40987</c:v>
                </c:pt>
                <c:pt idx="1105">
                  <c:v>40986</c:v>
                </c:pt>
                <c:pt idx="1106">
                  <c:v>40985</c:v>
                </c:pt>
                <c:pt idx="1107">
                  <c:v>40984</c:v>
                </c:pt>
                <c:pt idx="1108">
                  <c:v>40983</c:v>
                </c:pt>
                <c:pt idx="1109">
                  <c:v>40982</c:v>
                </c:pt>
                <c:pt idx="1110">
                  <c:v>40981</c:v>
                </c:pt>
                <c:pt idx="1111">
                  <c:v>40980</c:v>
                </c:pt>
                <c:pt idx="1112">
                  <c:v>40979</c:v>
                </c:pt>
                <c:pt idx="1113">
                  <c:v>40978</c:v>
                </c:pt>
                <c:pt idx="1114">
                  <c:v>40977</c:v>
                </c:pt>
                <c:pt idx="1115">
                  <c:v>40976</c:v>
                </c:pt>
                <c:pt idx="1116">
                  <c:v>40975</c:v>
                </c:pt>
                <c:pt idx="1117">
                  <c:v>40974</c:v>
                </c:pt>
                <c:pt idx="1118">
                  <c:v>40973</c:v>
                </c:pt>
                <c:pt idx="1119">
                  <c:v>40972</c:v>
                </c:pt>
                <c:pt idx="1120">
                  <c:v>40971</c:v>
                </c:pt>
                <c:pt idx="1121">
                  <c:v>40970</c:v>
                </c:pt>
                <c:pt idx="1122">
                  <c:v>40969</c:v>
                </c:pt>
                <c:pt idx="1123">
                  <c:v>40968</c:v>
                </c:pt>
                <c:pt idx="1124">
                  <c:v>40967</c:v>
                </c:pt>
                <c:pt idx="1125">
                  <c:v>40966</c:v>
                </c:pt>
                <c:pt idx="1126">
                  <c:v>40965</c:v>
                </c:pt>
                <c:pt idx="1127">
                  <c:v>40964</c:v>
                </c:pt>
                <c:pt idx="1128">
                  <c:v>40963</c:v>
                </c:pt>
                <c:pt idx="1129">
                  <c:v>40962</c:v>
                </c:pt>
                <c:pt idx="1130">
                  <c:v>40961</c:v>
                </c:pt>
                <c:pt idx="1131">
                  <c:v>40960</c:v>
                </c:pt>
                <c:pt idx="1132">
                  <c:v>40959</c:v>
                </c:pt>
                <c:pt idx="1133">
                  <c:v>40958</c:v>
                </c:pt>
                <c:pt idx="1134">
                  <c:v>40957</c:v>
                </c:pt>
                <c:pt idx="1135">
                  <c:v>40956</c:v>
                </c:pt>
                <c:pt idx="1136">
                  <c:v>40955</c:v>
                </c:pt>
                <c:pt idx="1137">
                  <c:v>40954</c:v>
                </c:pt>
                <c:pt idx="1138">
                  <c:v>40953</c:v>
                </c:pt>
                <c:pt idx="1139">
                  <c:v>40952</c:v>
                </c:pt>
                <c:pt idx="1140">
                  <c:v>40951</c:v>
                </c:pt>
                <c:pt idx="1141">
                  <c:v>40950</c:v>
                </c:pt>
                <c:pt idx="1142">
                  <c:v>40949</c:v>
                </c:pt>
                <c:pt idx="1143">
                  <c:v>40948</c:v>
                </c:pt>
                <c:pt idx="1144">
                  <c:v>40947</c:v>
                </c:pt>
                <c:pt idx="1145">
                  <c:v>40946</c:v>
                </c:pt>
                <c:pt idx="1146">
                  <c:v>40945</c:v>
                </c:pt>
                <c:pt idx="1147">
                  <c:v>40944</c:v>
                </c:pt>
                <c:pt idx="1148">
                  <c:v>40943</c:v>
                </c:pt>
                <c:pt idx="1149">
                  <c:v>40942</c:v>
                </c:pt>
                <c:pt idx="1150">
                  <c:v>40941</c:v>
                </c:pt>
                <c:pt idx="1151">
                  <c:v>40940</c:v>
                </c:pt>
                <c:pt idx="1152">
                  <c:v>40939</c:v>
                </c:pt>
                <c:pt idx="1153">
                  <c:v>40938</c:v>
                </c:pt>
                <c:pt idx="1154">
                  <c:v>40937</c:v>
                </c:pt>
                <c:pt idx="1155">
                  <c:v>40936</c:v>
                </c:pt>
                <c:pt idx="1156">
                  <c:v>40935</c:v>
                </c:pt>
                <c:pt idx="1157">
                  <c:v>40934</c:v>
                </c:pt>
                <c:pt idx="1158">
                  <c:v>40933</c:v>
                </c:pt>
                <c:pt idx="1159">
                  <c:v>40932</c:v>
                </c:pt>
                <c:pt idx="1160">
                  <c:v>40931</c:v>
                </c:pt>
                <c:pt idx="1161">
                  <c:v>40930</c:v>
                </c:pt>
                <c:pt idx="1162">
                  <c:v>40929</c:v>
                </c:pt>
                <c:pt idx="1163">
                  <c:v>40928</c:v>
                </c:pt>
                <c:pt idx="1164">
                  <c:v>40927</c:v>
                </c:pt>
                <c:pt idx="1165">
                  <c:v>40926</c:v>
                </c:pt>
                <c:pt idx="1166">
                  <c:v>40925</c:v>
                </c:pt>
                <c:pt idx="1167">
                  <c:v>40924</c:v>
                </c:pt>
                <c:pt idx="1168">
                  <c:v>40923</c:v>
                </c:pt>
                <c:pt idx="1169">
                  <c:v>40922</c:v>
                </c:pt>
                <c:pt idx="1170">
                  <c:v>40921</c:v>
                </c:pt>
                <c:pt idx="1171">
                  <c:v>40920</c:v>
                </c:pt>
                <c:pt idx="1172">
                  <c:v>40919</c:v>
                </c:pt>
                <c:pt idx="1173">
                  <c:v>40918</c:v>
                </c:pt>
                <c:pt idx="1174">
                  <c:v>40917</c:v>
                </c:pt>
                <c:pt idx="1175">
                  <c:v>40916</c:v>
                </c:pt>
                <c:pt idx="1176">
                  <c:v>40915</c:v>
                </c:pt>
                <c:pt idx="1177">
                  <c:v>40914</c:v>
                </c:pt>
                <c:pt idx="1178">
                  <c:v>40913</c:v>
                </c:pt>
                <c:pt idx="1179">
                  <c:v>40912</c:v>
                </c:pt>
                <c:pt idx="1180">
                  <c:v>40911</c:v>
                </c:pt>
                <c:pt idx="1181">
                  <c:v>40910</c:v>
                </c:pt>
                <c:pt idx="1182">
                  <c:v>40909</c:v>
                </c:pt>
                <c:pt idx="1183">
                  <c:v>40908</c:v>
                </c:pt>
                <c:pt idx="1184">
                  <c:v>40907</c:v>
                </c:pt>
                <c:pt idx="1185">
                  <c:v>40906</c:v>
                </c:pt>
                <c:pt idx="1186">
                  <c:v>40905</c:v>
                </c:pt>
                <c:pt idx="1187">
                  <c:v>40904</c:v>
                </c:pt>
                <c:pt idx="1188">
                  <c:v>40903</c:v>
                </c:pt>
                <c:pt idx="1189">
                  <c:v>40902</c:v>
                </c:pt>
                <c:pt idx="1190">
                  <c:v>40901</c:v>
                </c:pt>
                <c:pt idx="1191">
                  <c:v>40900</c:v>
                </c:pt>
                <c:pt idx="1192">
                  <c:v>40899</c:v>
                </c:pt>
                <c:pt idx="1193">
                  <c:v>40898</c:v>
                </c:pt>
                <c:pt idx="1194">
                  <c:v>40897</c:v>
                </c:pt>
                <c:pt idx="1195">
                  <c:v>40896</c:v>
                </c:pt>
                <c:pt idx="1196">
                  <c:v>40895</c:v>
                </c:pt>
                <c:pt idx="1197">
                  <c:v>40894</c:v>
                </c:pt>
                <c:pt idx="1198">
                  <c:v>40893</c:v>
                </c:pt>
                <c:pt idx="1199">
                  <c:v>40892</c:v>
                </c:pt>
                <c:pt idx="1200">
                  <c:v>40891</c:v>
                </c:pt>
                <c:pt idx="1201">
                  <c:v>40890</c:v>
                </c:pt>
                <c:pt idx="1202">
                  <c:v>40889</c:v>
                </c:pt>
                <c:pt idx="1203">
                  <c:v>40888</c:v>
                </c:pt>
                <c:pt idx="1204">
                  <c:v>40887</c:v>
                </c:pt>
                <c:pt idx="1205">
                  <c:v>40886</c:v>
                </c:pt>
                <c:pt idx="1206">
                  <c:v>40885</c:v>
                </c:pt>
                <c:pt idx="1207">
                  <c:v>40884</c:v>
                </c:pt>
                <c:pt idx="1208">
                  <c:v>40883</c:v>
                </c:pt>
                <c:pt idx="1209">
                  <c:v>40882</c:v>
                </c:pt>
                <c:pt idx="1210">
                  <c:v>40881</c:v>
                </c:pt>
                <c:pt idx="1211">
                  <c:v>40880</c:v>
                </c:pt>
                <c:pt idx="1212">
                  <c:v>40879</c:v>
                </c:pt>
                <c:pt idx="1213">
                  <c:v>40878</c:v>
                </c:pt>
                <c:pt idx="1214">
                  <c:v>40877</c:v>
                </c:pt>
                <c:pt idx="1215">
                  <c:v>40876</c:v>
                </c:pt>
                <c:pt idx="1216">
                  <c:v>40875</c:v>
                </c:pt>
                <c:pt idx="1217">
                  <c:v>40874</c:v>
                </c:pt>
                <c:pt idx="1218">
                  <c:v>40873</c:v>
                </c:pt>
                <c:pt idx="1219">
                  <c:v>40872</c:v>
                </c:pt>
                <c:pt idx="1220">
                  <c:v>40871</c:v>
                </c:pt>
                <c:pt idx="1221">
                  <c:v>40870</c:v>
                </c:pt>
                <c:pt idx="1222">
                  <c:v>40869</c:v>
                </c:pt>
                <c:pt idx="1223">
                  <c:v>40868</c:v>
                </c:pt>
                <c:pt idx="1224">
                  <c:v>40867</c:v>
                </c:pt>
                <c:pt idx="1225">
                  <c:v>40866</c:v>
                </c:pt>
                <c:pt idx="1226">
                  <c:v>40865</c:v>
                </c:pt>
                <c:pt idx="1227">
                  <c:v>40864</c:v>
                </c:pt>
                <c:pt idx="1228">
                  <c:v>40863</c:v>
                </c:pt>
                <c:pt idx="1229">
                  <c:v>40862</c:v>
                </c:pt>
                <c:pt idx="1230">
                  <c:v>40861</c:v>
                </c:pt>
                <c:pt idx="1231">
                  <c:v>40860</c:v>
                </c:pt>
                <c:pt idx="1232">
                  <c:v>40859</c:v>
                </c:pt>
                <c:pt idx="1233">
                  <c:v>40858</c:v>
                </c:pt>
                <c:pt idx="1234">
                  <c:v>40857</c:v>
                </c:pt>
                <c:pt idx="1235">
                  <c:v>40856</c:v>
                </c:pt>
                <c:pt idx="1236">
                  <c:v>40855</c:v>
                </c:pt>
                <c:pt idx="1237">
                  <c:v>40854</c:v>
                </c:pt>
                <c:pt idx="1238">
                  <c:v>40853</c:v>
                </c:pt>
                <c:pt idx="1239">
                  <c:v>40852</c:v>
                </c:pt>
                <c:pt idx="1240">
                  <c:v>40851</c:v>
                </c:pt>
                <c:pt idx="1241">
                  <c:v>40850</c:v>
                </c:pt>
                <c:pt idx="1242">
                  <c:v>40849</c:v>
                </c:pt>
                <c:pt idx="1243">
                  <c:v>40848</c:v>
                </c:pt>
                <c:pt idx="1244">
                  <c:v>40847</c:v>
                </c:pt>
                <c:pt idx="1245">
                  <c:v>40846</c:v>
                </c:pt>
                <c:pt idx="1246">
                  <c:v>40845</c:v>
                </c:pt>
                <c:pt idx="1247">
                  <c:v>40844</c:v>
                </c:pt>
                <c:pt idx="1248">
                  <c:v>40843</c:v>
                </c:pt>
                <c:pt idx="1249">
                  <c:v>40842</c:v>
                </c:pt>
                <c:pt idx="1250">
                  <c:v>40841</c:v>
                </c:pt>
                <c:pt idx="1251">
                  <c:v>40840</c:v>
                </c:pt>
                <c:pt idx="1252">
                  <c:v>40839</c:v>
                </c:pt>
                <c:pt idx="1253">
                  <c:v>40838</c:v>
                </c:pt>
                <c:pt idx="1254">
                  <c:v>40837</c:v>
                </c:pt>
                <c:pt idx="1255">
                  <c:v>40836</c:v>
                </c:pt>
                <c:pt idx="1256">
                  <c:v>40835</c:v>
                </c:pt>
                <c:pt idx="1257">
                  <c:v>40834</c:v>
                </c:pt>
                <c:pt idx="1258">
                  <c:v>40833</c:v>
                </c:pt>
                <c:pt idx="1259">
                  <c:v>40832</c:v>
                </c:pt>
                <c:pt idx="1260">
                  <c:v>40831</c:v>
                </c:pt>
                <c:pt idx="1261">
                  <c:v>40830</c:v>
                </c:pt>
                <c:pt idx="1262">
                  <c:v>40829</c:v>
                </c:pt>
                <c:pt idx="1263">
                  <c:v>40828</c:v>
                </c:pt>
                <c:pt idx="1264">
                  <c:v>40827</c:v>
                </c:pt>
                <c:pt idx="1265">
                  <c:v>40826</c:v>
                </c:pt>
                <c:pt idx="1266">
                  <c:v>40825</c:v>
                </c:pt>
                <c:pt idx="1267">
                  <c:v>40824</c:v>
                </c:pt>
                <c:pt idx="1268">
                  <c:v>40823</c:v>
                </c:pt>
                <c:pt idx="1269">
                  <c:v>40822</c:v>
                </c:pt>
                <c:pt idx="1270">
                  <c:v>40821</c:v>
                </c:pt>
                <c:pt idx="1271">
                  <c:v>40820</c:v>
                </c:pt>
                <c:pt idx="1272">
                  <c:v>40819</c:v>
                </c:pt>
                <c:pt idx="1273">
                  <c:v>40818</c:v>
                </c:pt>
                <c:pt idx="1274">
                  <c:v>40817</c:v>
                </c:pt>
                <c:pt idx="1275">
                  <c:v>40816</c:v>
                </c:pt>
                <c:pt idx="1276">
                  <c:v>40815</c:v>
                </c:pt>
                <c:pt idx="1277">
                  <c:v>40814</c:v>
                </c:pt>
                <c:pt idx="1278">
                  <c:v>40813</c:v>
                </c:pt>
                <c:pt idx="1279">
                  <c:v>40812</c:v>
                </c:pt>
                <c:pt idx="1280">
                  <c:v>40811</c:v>
                </c:pt>
                <c:pt idx="1281">
                  <c:v>40810</c:v>
                </c:pt>
                <c:pt idx="1282">
                  <c:v>40809</c:v>
                </c:pt>
                <c:pt idx="1283">
                  <c:v>40808</c:v>
                </c:pt>
                <c:pt idx="1284">
                  <c:v>40807</c:v>
                </c:pt>
                <c:pt idx="1285">
                  <c:v>40806</c:v>
                </c:pt>
                <c:pt idx="1286">
                  <c:v>40805</c:v>
                </c:pt>
                <c:pt idx="1287">
                  <c:v>40804</c:v>
                </c:pt>
                <c:pt idx="1288">
                  <c:v>40803</c:v>
                </c:pt>
                <c:pt idx="1289">
                  <c:v>40802</c:v>
                </c:pt>
                <c:pt idx="1290">
                  <c:v>40801</c:v>
                </c:pt>
                <c:pt idx="1291">
                  <c:v>40800</c:v>
                </c:pt>
                <c:pt idx="1292">
                  <c:v>40799</c:v>
                </c:pt>
                <c:pt idx="1293">
                  <c:v>40798</c:v>
                </c:pt>
                <c:pt idx="1294">
                  <c:v>40797</c:v>
                </c:pt>
                <c:pt idx="1295">
                  <c:v>40796</c:v>
                </c:pt>
                <c:pt idx="1296">
                  <c:v>40795</c:v>
                </c:pt>
                <c:pt idx="1297">
                  <c:v>40794</c:v>
                </c:pt>
                <c:pt idx="1298">
                  <c:v>40793</c:v>
                </c:pt>
                <c:pt idx="1299">
                  <c:v>40792</c:v>
                </c:pt>
                <c:pt idx="1300">
                  <c:v>40791</c:v>
                </c:pt>
                <c:pt idx="1301">
                  <c:v>40790</c:v>
                </c:pt>
                <c:pt idx="1302">
                  <c:v>40789</c:v>
                </c:pt>
                <c:pt idx="1303">
                  <c:v>40788</c:v>
                </c:pt>
                <c:pt idx="1304">
                  <c:v>40787</c:v>
                </c:pt>
                <c:pt idx="1305">
                  <c:v>40786</c:v>
                </c:pt>
                <c:pt idx="1306">
                  <c:v>40785</c:v>
                </c:pt>
                <c:pt idx="1307">
                  <c:v>40784</c:v>
                </c:pt>
                <c:pt idx="1308">
                  <c:v>40783</c:v>
                </c:pt>
                <c:pt idx="1309">
                  <c:v>40782</c:v>
                </c:pt>
                <c:pt idx="1310">
                  <c:v>40781</c:v>
                </c:pt>
                <c:pt idx="1311">
                  <c:v>40780</c:v>
                </c:pt>
                <c:pt idx="1312">
                  <c:v>40779</c:v>
                </c:pt>
                <c:pt idx="1313">
                  <c:v>40778</c:v>
                </c:pt>
                <c:pt idx="1314">
                  <c:v>40777</c:v>
                </c:pt>
                <c:pt idx="1315">
                  <c:v>40776</c:v>
                </c:pt>
                <c:pt idx="1316">
                  <c:v>40775</c:v>
                </c:pt>
                <c:pt idx="1317">
                  <c:v>40774</c:v>
                </c:pt>
                <c:pt idx="1318">
                  <c:v>40773</c:v>
                </c:pt>
                <c:pt idx="1319">
                  <c:v>40772</c:v>
                </c:pt>
                <c:pt idx="1320">
                  <c:v>40771</c:v>
                </c:pt>
                <c:pt idx="1321">
                  <c:v>40770</c:v>
                </c:pt>
                <c:pt idx="1322">
                  <c:v>40769</c:v>
                </c:pt>
                <c:pt idx="1323">
                  <c:v>40768</c:v>
                </c:pt>
                <c:pt idx="1324">
                  <c:v>40767</c:v>
                </c:pt>
                <c:pt idx="1325">
                  <c:v>40766</c:v>
                </c:pt>
                <c:pt idx="1326">
                  <c:v>40765</c:v>
                </c:pt>
                <c:pt idx="1327">
                  <c:v>40764</c:v>
                </c:pt>
                <c:pt idx="1328">
                  <c:v>40763</c:v>
                </c:pt>
                <c:pt idx="1329">
                  <c:v>40762</c:v>
                </c:pt>
                <c:pt idx="1330">
                  <c:v>40761</c:v>
                </c:pt>
                <c:pt idx="1331">
                  <c:v>40760</c:v>
                </c:pt>
                <c:pt idx="1332">
                  <c:v>40759</c:v>
                </c:pt>
                <c:pt idx="1333">
                  <c:v>40758</c:v>
                </c:pt>
                <c:pt idx="1334">
                  <c:v>40757</c:v>
                </c:pt>
                <c:pt idx="1335">
                  <c:v>40756</c:v>
                </c:pt>
                <c:pt idx="1336">
                  <c:v>40755</c:v>
                </c:pt>
                <c:pt idx="1337">
                  <c:v>40754</c:v>
                </c:pt>
                <c:pt idx="1338">
                  <c:v>40753</c:v>
                </c:pt>
                <c:pt idx="1339">
                  <c:v>40752</c:v>
                </c:pt>
                <c:pt idx="1340">
                  <c:v>40751</c:v>
                </c:pt>
                <c:pt idx="1341">
                  <c:v>40750</c:v>
                </c:pt>
                <c:pt idx="1342">
                  <c:v>40749</c:v>
                </c:pt>
                <c:pt idx="1343">
                  <c:v>40748</c:v>
                </c:pt>
                <c:pt idx="1344">
                  <c:v>40747</c:v>
                </c:pt>
                <c:pt idx="1345">
                  <c:v>40746</c:v>
                </c:pt>
                <c:pt idx="1346">
                  <c:v>40745</c:v>
                </c:pt>
                <c:pt idx="1347">
                  <c:v>40744</c:v>
                </c:pt>
                <c:pt idx="1348">
                  <c:v>40743</c:v>
                </c:pt>
                <c:pt idx="1349">
                  <c:v>40742</c:v>
                </c:pt>
                <c:pt idx="1350">
                  <c:v>40741</c:v>
                </c:pt>
                <c:pt idx="1351">
                  <c:v>40740</c:v>
                </c:pt>
                <c:pt idx="1352">
                  <c:v>40739</c:v>
                </c:pt>
                <c:pt idx="1353">
                  <c:v>40738</c:v>
                </c:pt>
                <c:pt idx="1354">
                  <c:v>40737</c:v>
                </c:pt>
                <c:pt idx="1355">
                  <c:v>40736</c:v>
                </c:pt>
                <c:pt idx="1356">
                  <c:v>40735</c:v>
                </c:pt>
                <c:pt idx="1357">
                  <c:v>40734</c:v>
                </c:pt>
                <c:pt idx="1358">
                  <c:v>40733</c:v>
                </c:pt>
                <c:pt idx="1359">
                  <c:v>40732</c:v>
                </c:pt>
                <c:pt idx="1360">
                  <c:v>40731</c:v>
                </c:pt>
                <c:pt idx="1361">
                  <c:v>40730</c:v>
                </c:pt>
                <c:pt idx="1362">
                  <c:v>40729</c:v>
                </c:pt>
                <c:pt idx="1363">
                  <c:v>40728</c:v>
                </c:pt>
                <c:pt idx="1364">
                  <c:v>40727</c:v>
                </c:pt>
                <c:pt idx="1365">
                  <c:v>40726</c:v>
                </c:pt>
                <c:pt idx="1366">
                  <c:v>40725</c:v>
                </c:pt>
                <c:pt idx="1367">
                  <c:v>40724</c:v>
                </c:pt>
                <c:pt idx="1368">
                  <c:v>40723</c:v>
                </c:pt>
                <c:pt idx="1369">
                  <c:v>40722</c:v>
                </c:pt>
                <c:pt idx="1370">
                  <c:v>40721</c:v>
                </c:pt>
                <c:pt idx="1371">
                  <c:v>40720</c:v>
                </c:pt>
                <c:pt idx="1372">
                  <c:v>40719</c:v>
                </c:pt>
                <c:pt idx="1373">
                  <c:v>40718</c:v>
                </c:pt>
                <c:pt idx="1374">
                  <c:v>40717</c:v>
                </c:pt>
                <c:pt idx="1375">
                  <c:v>40716</c:v>
                </c:pt>
                <c:pt idx="1376">
                  <c:v>40715</c:v>
                </c:pt>
                <c:pt idx="1377">
                  <c:v>40714</c:v>
                </c:pt>
                <c:pt idx="1378">
                  <c:v>40713</c:v>
                </c:pt>
                <c:pt idx="1379">
                  <c:v>40712</c:v>
                </c:pt>
                <c:pt idx="1380">
                  <c:v>40711</c:v>
                </c:pt>
                <c:pt idx="1381">
                  <c:v>40710</c:v>
                </c:pt>
                <c:pt idx="1382">
                  <c:v>40709</c:v>
                </c:pt>
                <c:pt idx="1383">
                  <c:v>40708</c:v>
                </c:pt>
                <c:pt idx="1384">
                  <c:v>40707</c:v>
                </c:pt>
                <c:pt idx="1385">
                  <c:v>40706</c:v>
                </c:pt>
                <c:pt idx="1386">
                  <c:v>40705</c:v>
                </c:pt>
                <c:pt idx="1387">
                  <c:v>40704</c:v>
                </c:pt>
                <c:pt idx="1388">
                  <c:v>40703</c:v>
                </c:pt>
                <c:pt idx="1389">
                  <c:v>40702</c:v>
                </c:pt>
                <c:pt idx="1390">
                  <c:v>40701</c:v>
                </c:pt>
                <c:pt idx="1391">
                  <c:v>40700</c:v>
                </c:pt>
                <c:pt idx="1392">
                  <c:v>40699</c:v>
                </c:pt>
                <c:pt idx="1393">
                  <c:v>40698</c:v>
                </c:pt>
                <c:pt idx="1394">
                  <c:v>40697</c:v>
                </c:pt>
                <c:pt idx="1395">
                  <c:v>40696</c:v>
                </c:pt>
                <c:pt idx="1396">
                  <c:v>40695</c:v>
                </c:pt>
                <c:pt idx="1397">
                  <c:v>40694</c:v>
                </c:pt>
                <c:pt idx="1398">
                  <c:v>40693</c:v>
                </c:pt>
                <c:pt idx="1399">
                  <c:v>40692</c:v>
                </c:pt>
                <c:pt idx="1400">
                  <c:v>40691</c:v>
                </c:pt>
                <c:pt idx="1401">
                  <c:v>40690</c:v>
                </c:pt>
                <c:pt idx="1402">
                  <c:v>40689</c:v>
                </c:pt>
                <c:pt idx="1403">
                  <c:v>40688</c:v>
                </c:pt>
                <c:pt idx="1404">
                  <c:v>40687</c:v>
                </c:pt>
                <c:pt idx="1405">
                  <c:v>40686</c:v>
                </c:pt>
                <c:pt idx="1406">
                  <c:v>40685</c:v>
                </c:pt>
                <c:pt idx="1407">
                  <c:v>40684</c:v>
                </c:pt>
                <c:pt idx="1408">
                  <c:v>40683</c:v>
                </c:pt>
                <c:pt idx="1409">
                  <c:v>40682</c:v>
                </c:pt>
                <c:pt idx="1410">
                  <c:v>40681</c:v>
                </c:pt>
                <c:pt idx="1411">
                  <c:v>40680</c:v>
                </c:pt>
                <c:pt idx="1412">
                  <c:v>40679</c:v>
                </c:pt>
                <c:pt idx="1413">
                  <c:v>40678</c:v>
                </c:pt>
                <c:pt idx="1414">
                  <c:v>40677</c:v>
                </c:pt>
                <c:pt idx="1415">
                  <c:v>40676</c:v>
                </c:pt>
                <c:pt idx="1416">
                  <c:v>40675</c:v>
                </c:pt>
                <c:pt idx="1417">
                  <c:v>40674</c:v>
                </c:pt>
                <c:pt idx="1418">
                  <c:v>40673</c:v>
                </c:pt>
                <c:pt idx="1419">
                  <c:v>40672</c:v>
                </c:pt>
                <c:pt idx="1420">
                  <c:v>40671</c:v>
                </c:pt>
                <c:pt idx="1421">
                  <c:v>40670</c:v>
                </c:pt>
                <c:pt idx="1422">
                  <c:v>40669</c:v>
                </c:pt>
                <c:pt idx="1423">
                  <c:v>40668</c:v>
                </c:pt>
                <c:pt idx="1424">
                  <c:v>40667</c:v>
                </c:pt>
                <c:pt idx="1425">
                  <c:v>40666</c:v>
                </c:pt>
                <c:pt idx="1426">
                  <c:v>40665</c:v>
                </c:pt>
                <c:pt idx="1427">
                  <c:v>40664</c:v>
                </c:pt>
                <c:pt idx="1428">
                  <c:v>40663</c:v>
                </c:pt>
                <c:pt idx="1429">
                  <c:v>40662</c:v>
                </c:pt>
                <c:pt idx="1430">
                  <c:v>40661</c:v>
                </c:pt>
                <c:pt idx="1431">
                  <c:v>40660</c:v>
                </c:pt>
                <c:pt idx="1432">
                  <c:v>40659</c:v>
                </c:pt>
                <c:pt idx="1433">
                  <c:v>40658</c:v>
                </c:pt>
                <c:pt idx="1434">
                  <c:v>40657</c:v>
                </c:pt>
                <c:pt idx="1435">
                  <c:v>40656</c:v>
                </c:pt>
                <c:pt idx="1436">
                  <c:v>40655</c:v>
                </c:pt>
                <c:pt idx="1437">
                  <c:v>40654</c:v>
                </c:pt>
                <c:pt idx="1438">
                  <c:v>40653</c:v>
                </c:pt>
                <c:pt idx="1439">
                  <c:v>40652</c:v>
                </c:pt>
                <c:pt idx="1440">
                  <c:v>40651</c:v>
                </c:pt>
                <c:pt idx="1441">
                  <c:v>40650</c:v>
                </c:pt>
                <c:pt idx="1442">
                  <c:v>40649</c:v>
                </c:pt>
                <c:pt idx="1443">
                  <c:v>40648</c:v>
                </c:pt>
                <c:pt idx="1444">
                  <c:v>40647</c:v>
                </c:pt>
                <c:pt idx="1445">
                  <c:v>40646</c:v>
                </c:pt>
                <c:pt idx="1446">
                  <c:v>40645</c:v>
                </c:pt>
                <c:pt idx="1447">
                  <c:v>40644</c:v>
                </c:pt>
                <c:pt idx="1448">
                  <c:v>40643</c:v>
                </c:pt>
                <c:pt idx="1449">
                  <c:v>40642</c:v>
                </c:pt>
                <c:pt idx="1450">
                  <c:v>40641</c:v>
                </c:pt>
                <c:pt idx="1451">
                  <c:v>40640</c:v>
                </c:pt>
                <c:pt idx="1452">
                  <c:v>40639</c:v>
                </c:pt>
                <c:pt idx="1453">
                  <c:v>40638</c:v>
                </c:pt>
                <c:pt idx="1454">
                  <c:v>40637</c:v>
                </c:pt>
                <c:pt idx="1455">
                  <c:v>40636</c:v>
                </c:pt>
                <c:pt idx="1456">
                  <c:v>40635</c:v>
                </c:pt>
                <c:pt idx="1457">
                  <c:v>40634</c:v>
                </c:pt>
                <c:pt idx="1458">
                  <c:v>40633</c:v>
                </c:pt>
                <c:pt idx="1459">
                  <c:v>40632</c:v>
                </c:pt>
                <c:pt idx="1460">
                  <c:v>40631</c:v>
                </c:pt>
                <c:pt idx="1461">
                  <c:v>40630</c:v>
                </c:pt>
                <c:pt idx="1462">
                  <c:v>40629</c:v>
                </c:pt>
                <c:pt idx="1463">
                  <c:v>40628</c:v>
                </c:pt>
                <c:pt idx="1464">
                  <c:v>40627</c:v>
                </c:pt>
                <c:pt idx="1465">
                  <c:v>40626</c:v>
                </c:pt>
                <c:pt idx="1466">
                  <c:v>40625</c:v>
                </c:pt>
                <c:pt idx="1467">
                  <c:v>40624</c:v>
                </c:pt>
                <c:pt idx="1468">
                  <c:v>40623</c:v>
                </c:pt>
                <c:pt idx="1469">
                  <c:v>40622</c:v>
                </c:pt>
                <c:pt idx="1470">
                  <c:v>40621</c:v>
                </c:pt>
                <c:pt idx="1471">
                  <c:v>40620</c:v>
                </c:pt>
                <c:pt idx="1472">
                  <c:v>40619</c:v>
                </c:pt>
                <c:pt idx="1473">
                  <c:v>40618</c:v>
                </c:pt>
                <c:pt idx="1474">
                  <c:v>40617</c:v>
                </c:pt>
                <c:pt idx="1475">
                  <c:v>40616</c:v>
                </c:pt>
                <c:pt idx="1476">
                  <c:v>40615</c:v>
                </c:pt>
                <c:pt idx="1477">
                  <c:v>40614</c:v>
                </c:pt>
                <c:pt idx="1478">
                  <c:v>40613</c:v>
                </c:pt>
                <c:pt idx="1479">
                  <c:v>40612</c:v>
                </c:pt>
                <c:pt idx="1480">
                  <c:v>40611</c:v>
                </c:pt>
                <c:pt idx="1481">
                  <c:v>40610</c:v>
                </c:pt>
                <c:pt idx="1482">
                  <c:v>40609</c:v>
                </c:pt>
                <c:pt idx="1483">
                  <c:v>40608</c:v>
                </c:pt>
                <c:pt idx="1484">
                  <c:v>40607</c:v>
                </c:pt>
                <c:pt idx="1485">
                  <c:v>40606</c:v>
                </c:pt>
                <c:pt idx="1486">
                  <c:v>40605</c:v>
                </c:pt>
                <c:pt idx="1487">
                  <c:v>40604</c:v>
                </c:pt>
                <c:pt idx="1488">
                  <c:v>40603</c:v>
                </c:pt>
                <c:pt idx="1489">
                  <c:v>40602</c:v>
                </c:pt>
                <c:pt idx="1490">
                  <c:v>40601</c:v>
                </c:pt>
                <c:pt idx="1491">
                  <c:v>40600</c:v>
                </c:pt>
                <c:pt idx="1492">
                  <c:v>40599</c:v>
                </c:pt>
                <c:pt idx="1493">
                  <c:v>40598</c:v>
                </c:pt>
                <c:pt idx="1494">
                  <c:v>40597</c:v>
                </c:pt>
                <c:pt idx="1495">
                  <c:v>40596</c:v>
                </c:pt>
                <c:pt idx="1496">
                  <c:v>40595</c:v>
                </c:pt>
                <c:pt idx="1497">
                  <c:v>40594</c:v>
                </c:pt>
                <c:pt idx="1498">
                  <c:v>40593</c:v>
                </c:pt>
                <c:pt idx="1499">
                  <c:v>40592</c:v>
                </c:pt>
                <c:pt idx="1500">
                  <c:v>40591</c:v>
                </c:pt>
                <c:pt idx="1501">
                  <c:v>40590</c:v>
                </c:pt>
                <c:pt idx="1502">
                  <c:v>40589</c:v>
                </c:pt>
                <c:pt idx="1503">
                  <c:v>40588</c:v>
                </c:pt>
                <c:pt idx="1504">
                  <c:v>40587</c:v>
                </c:pt>
                <c:pt idx="1505">
                  <c:v>40585</c:v>
                </c:pt>
                <c:pt idx="1506">
                  <c:v>40584</c:v>
                </c:pt>
                <c:pt idx="1507">
                  <c:v>40583</c:v>
                </c:pt>
                <c:pt idx="1508">
                  <c:v>40582</c:v>
                </c:pt>
                <c:pt idx="1509">
                  <c:v>40581</c:v>
                </c:pt>
                <c:pt idx="1510">
                  <c:v>40579</c:v>
                </c:pt>
                <c:pt idx="1511">
                  <c:v>40578</c:v>
                </c:pt>
                <c:pt idx="1512">
                  <c:v>40577</c:v>
                </c:pt>
                <c:pt idx="1513">
                  <c:v>40576</c:v>
                </c:pt>
                <c:pt idx="1514">
                  <c:v>40575</c:v>
                </c:pt>
                <c:pt idx="1515">
                  <c:v>40574</c:v>
                </c:pt>
                <c:pt idx="1516">
                  <c:v>40573</c:v>
                </c:pt>
                <c:pt idx="1517">
                  <c:v>40572</c:v>
                </c:pt>
                <c:pt idx="1518">
                  <c:v>40571</c:v>
                </c:pt>
                <c:pt idx="1519">
                  <c:v>40570</c:v>
                </c:pt>
                <c:pt idx="1520">
                  <c:v>40569</c:v>
                </c:pt>
                <c:pt idx="1521">
                  <c:v>40568</c:v>
                </c:pt>
                <c:pt idx="1522">
                  <c:v>40567</c:v>
                </c:pt>
                <c:pt idx="1523">
                  <c:v>40565</c:v>
                </c:pt>
                <c:pt idx="1524">
                  <c:v>40564</c:v>
                </c:pt>
                <c:pt idx="1525">
                  <c:v>40563</c:v>
                </c:pt>
                <c:pt idx="1526">
                  <c:v>40562</c:v>
                </c:pt>
                <c:pt idx="1527">
                  <c:v>40561</c:v>
                </c:pt>
                <c:pt idx="1528">
                  <c:v>40560</c:v>
                </c:pt>
                <c:pt idx="1529">
                  <c:v>40559</c:v>
                </c:pt>
                <c:pt idx="1530">
                  <c:v>40558</c:v>
                </c:pt>
                <c:pt idx="1531">
                  <c:v>40557</c:v>
                </c:pt>
                <c:pt idx="1532">
                  <c:v>40556</c:v>
                </c:pt>
                <c:pt idx="1533">
                  <c:v>40555</c:v>
                </c:pt>
                <c:pt idx="1534">
                  <c:v>40554</c:v>
                </c:pt>
                <c:pt idx="1535">
                  <c:v>40553</c:v>
                </c:pt>
                <c:pt idx="1536">
                  <c:v>40552</c:v>
                </c:pt>
                <c:pt idx="1537">
                  <c:v>40551</c:v>
                </c:pt>
                <c:pt idx="1538">
                  <c:v>40550</c:v>
                </c:pt>
                <c:pt idx="1539">
                  <c:v>40549</c:v>
                </c:pt>
                <c:pt idx="1540">
                  <c:v>40548</c:v>
                </c:pt>
                <c:pt idx="1541">
                  <c:v>40547</c:v>
                </c:pt>
                <c:pt idx="1542">
                  <c:v>40546</c:v>
                </c:pt>
                <c:pt idx="1543">
                  <c:v>40545</c:v>
                </c:pt>
                <c:pt idx="1544">
                  <c:v>40544</c:v>
                </c:pt>
                <c:pt idx="1545">
                  <c:v>40543</c:v>
                </c:pt>
                <c:pt idx="1546">
                  <c:v>40542</c:v>
                </c:pt>
                <c:pt idx="1547">
                  <c:v>40541</c:v>
                </c:pt>
                <c:pt idx="1548">
                  <c:v>40540</c:v>
                </c:pt>
                <c:pt idx="1549">
                  <c:v>40539</c:v>
                </c:pt>
                <c:pt idx="1550">
                  <c:v>40538</c:v>
                </c:pt>
                <c:pt idx="1551">
                  <c:v>40537</c:v>
                </c:pt>
                <c:pt idx="1552">
                  <c:v>40536</c:v>
                </c:pt>
                <c:pt idx="1553">
                  <c:v>40535</c:v>
                </c:pt>
                <c:pt idx="1554">
                  <c:v>40534</c:v>
                </c:pt>
                <c:pt idx="1555">
                  <c:v>40533</c:v>
                </c:pt>
                <c:pt idx="1556">
                  <c:v>40532</c:v>
                </c:pt>
                <c:pt idx="1557">
                  <c:v>40531</c:v>
                </c:pt>
                <c:pt idx="1558">
                  <c:v>40530</c:v>
                </c:pt>
                <c:pt idx="1559">
                  <c:v>40529</c:v>
                </c:pt>
                <c:pt idx="1560">
                  <c:v>40528</c:v>
                </c:pt>
                <c:pt idx="1561">
                  <c:v>40527</c:v>
                </c:pt>
                <c:pt idx="1562">
                  <c:v>40526</c:v>
                </c:pt>
                <c:pt idx="1563">
                  <c:v>40525</c:v>
                </c:pt>
                <c:pt idx="1564">
                  <c:v>40523</c:v>
                </c:pt>
                <c:pt idx="1565">
                  <c:v>40522</c:v>
                </c:pt>
                <c:pt idx="1566">
                  <c:v>40521</c:v>
                </c:pt>
                <c:pt idx="1567">
                  <c:v>40520</c:v>
                </c:pt>
                <c:pt idx="1568">
                  <c:v>40519</c:v>
                </c:pt>
                <c:pt idx="1569">
                  <c:v>40518</c:v>
                </c:pt>
                <c:pt idx="1570">
                  <c:v>40516</c:v>
                </c:pt>
                <c:pt idx="1571">
                  <c:v>40515</c:v>
                </c:pt>
                <c:pt idx="1572">
                  <c:v>40514</c:v>
                </c:pt>
                <c:pt idx="1573">
                  <c:v>40513</c:v>
                </c:pt>
                <c:pt idx="1574">
                  <c:v>40512</c:v>
                </c:pt>
                <c:pt idx="1575">
                  <c:v>40511</c:v>
                </c:pt>
                <c:pt idx="1576">
                  <c:v>40510</c:v>
                </c:pt>
                <c:pt idx="1577">
                  <c:v>40508</c:v>
                </c:pt>
                <c:pt idx="1578">
                  <c:v>40507</c:v>
                </c:pt>
                <c:pt idx="1579">
                  <c:v>40506</c:v>
                </c:pt>
                <c:pt idx="1580">
                  <c:v>40505</c:v>
                </c:pt>
                <c:pt idx="1581">
                  <c:v>40504</c:v>
                </c:pt>
                <c:pt idx="1582">
                  <c:v>40502</c:v>
                </c:pt>
                <c:pt idx="1583">
                  <c:v>40501</c:v>
                </c:pt>
                <c:pt idx="1584">
                  <c:v>40500</c:v>
                </c:pt>
                <c:pt idx="1585">
                  <c:v>40499</c:v>
                </c:pt>
                <c:pt idx="1586">
                  <c:v>40498</c:v>
                </c:pt>
                <c:pt idx="1587">
                  <c:v>40497</c:v>
                </c:pt>
                <c:pt idx="1588">
                  <c:v>40495</c:v>
                </c:pt>
                <c:pt idx="1589">
                  <c:v>40494</c:v>
                </c:pt>
                <c:pt idx="1590">
                  <c:v>40493</c:v>
                </c:pt>
                <c:pt idx="1591">
                  <c:v>40492</c:v>
                </c:pt>
                <c:pt idx="1592">
                  <c:v>40491</c:v>
                </c:pt>
                <c:pt idx="1593">
                  <c:v>40490</c:v>
                </c:pt>
                <c:pt idx="1594">
                  <c:v>40489</c:v>
                </c:pt>
                <c:pt idx="1595">
                  <c:v>40488</c:v>
                </c:pt>
                <c:pt idx="1596">
                  <c:v>40487</c:v>
                </c:pt>
                <c:pt idx="1597">
                  <c:v>40486</c:v>
                </c:pt>
                <c:pt idx="1598">
                  <c:v>40485</c:v>
                </c:pt>
                <c:pt idx="1599">
                  <c:v>40484</c:v>
                </c:pt>
                <c:pt idx="1600">
                  <c:v>40483</c:v>
                </c:pt>
                <c:pt idx="1601">
                  <c:v>40482</c:v>
                </c:pt>
                <c:pt idx="1602">
                  <c:v>40481</c:v>
                </c:pt>
                <c:pt idx="1603">
                  <c:v>40480</c:v>
                </c:pt>
                <c:pt idx="1604">
                  <c:v>40479</c:v>
                </c:pt>
                <c:pt idx="1605">
                  <c:v>40478</c:v>
                </c:pt>
                <c:pt idx="1606">
                  <c:v>40477</c:v>
                </c:pt>
                <c:pt idx="1607">
                  <c:v>40476</c:v>
                </c:pt>
                <c:pt idx="1608">
                  <c:v>40475</c:v>
                </c:pt>
                <c:pt idx="1609">
                  <c:v>40473</c:v>
                </c:pt>
                <c:pt idx="1610">
                  <c:v>40472</c:v>
                </c:pt>
                <c:pt idx="1611">
                  <c:v>40471</c:v>
                </c:pt>
                <c:pt idx="1612">
                  <c:v>40470</c:v>
                </c:pt>
                <c:pt idx="1613">
                  <c:v>40469</c:v>
                </c:pt>
                <c:pt idx="1614">
                  <c:v>40467</c:v>
                </c:pt>
                <c:pt idx="1615">
                  <c:v>40466</c:v>
                </c:pt>
                <c:pt idx="1616">
                  <c:v>40465</c:v>
                </c:pt>
                <c:pt idx="1617">
                  <c:v>40464</c:v>
                </c:pt>
                <c:pt idx="1618">
                  <c:v>40463</c:v>
                </c:pt>
                <c:pt idx="1619">
                  <c:v>40462</c:v>
                </c:pt>
                <c:pt idx="1620">
                  <c:v>40461</c:v>
                </c:pt>
                <c:pt idx="1621">
                  <c:v>40460</c:v>
                </c:pt>
                <c:pt idx="1622">
                  <c:v>40459</c:v>
                </c:pt>
                <c:pt idx="1623">
                  <c:v>40458</c:v>
                </c:pt>
                <c:pt idx="1624">
                  <c:v>40457</c:v>
                </c:pt>
                <c:pt idx="1625">
                  <c:v>40456</c:v>
                </c:pt>
                <c:pt idx="1626">
                  <c:v>40455</c:v>
                </c:pt>
                <c:pt idx="1627">
                  <c:v>40454</c:v>
                </c:pt>
                <c:pt idx="1628">
                  <c:v>40452</c:v>
                </c:pt>
                <c:pt idx="1629">
                  <c:v>40451</c:v>
                </c:pt>
                <c:pt idx="1630">
                  <c:v>40450</c:v>
                </c:pt>
                <c:pt idx="1631">
                  <c:v>40449</c:v>
                </c:pt>
                <c:pt idx="1632">
                  <c:v>40448</c:v>
                </c:pt>
                <c:pt idx="1633">
                  <c:v>40447</c:v>
                </c:pt>
                <c:pt idx="1634">
                  <c:v>40446</c:v>
                </c:pt>
                <c:pt idx="1635">
                  <c:v>40445</c:v>
                </c:pt>
                <c:pt idx="1636">
                  <c:v>40444</c:v>
                </c:pt>
                <c:pt idx="1637">
                  <c:v>40443</c:v>
                </c:pt>
                <c:pt idx="1638">
                  <c:v>40442</c:v>
                </c:pt>
                <c:pt idx="1639">
                  <c:v>40441</c:v>
                </c:pt>
                <c:pt idx="1640">
                  <c:v>40438</c:v>
                </c:pt>
                <c:pt idx="1641">
                  <c:v>40437</c:v>
                </c:pt>
                <c:pt idx="1642">
                  <c:v>40436</c:v>
                </c:pt>
                <c:pt idx="1643">
                  <c:v>40435</c:v>
                </c:pt>
                <c:pt idx="1644">
                  <c:v>40434</c:v>
                </c:pt>
                <c:pt idx="1645">
                  <c:v>40431</c:v>
                </c:pt>
                <c:pt idx="1646">
                  <c:v>40430</c:v>
                </c:pt>
                <c:pt idx="1647">
                  <c:v>40429</c:v>
                </c:pt>
                <c:pt idx="1648">
                  <c:v>40428</c:v>
                </c:pt>
                <c:pt idx="1649">
                  <c:v>40427</c:v>
                </c:pt>
                <c:pt idx="1650">
                  <c:v>40424</c:v>
                </c:pt>
                <c:pt idx="1651">
                  <c:v>40423</c:v>
                </c:pt>
                <c:pt idx="1652">
                  <c:v>40422</c:v>
                </c:pt>
                <c:pt idx="1653">
                  <c:v>40421</c:v>
                </c:pt>
                <c:pt idx="1654">
                  <c:v>40420</c:v>
                </c:pt>
                <c:pt idx="1655">
                  <c:v>40417</c:v>
                </c:pt>
                <c:pt idx="1656">
                  <c:v>40416</c:v>
                </c:pt>
                <c:pt idx="1657">
                  <c:v>40415</c:v>
                </c:pt>
                <c:pt idx="1658">
                  <c:v>40414</c:v>
                </c:pt>
                <c:pt idx="1659">
                  <c:v>40413</c:v>
                </c:pt>
                <c:pt idx="1660">
                  <c:v>40410</c:v>
                </c:pt>
                <c:pt idx="1661">
                  <c:v>40409</c:v>
                </c:pt>
                <c:pt idx="1662">
                  <c:v>40408</c:v>
                </c:pt>
                <c:pt idx="1663">
                  <c:v>40407</c:v>
                </c:pt>
                <c:pt idx="1664">
                  <c:v>40406</c:v>
                </c:pt>
                <c:pt idx="1665">
                  <c:v>40403</c:v>
                </c:pt>
                <c:pt idx="1666">
                  <c:v>40402</c:v>
                </c:pt>
                <c:pt idx="1667">
                  <c:v>40401</c:v>
                </c:pt>
                <c:pt idx="1668">
                  <c:v>40400</c:v>
                </c:pt>
                <c:pt idx="1669">
                  <c:v>40399</c:v>
                </c:pt>
                <c:pt idx="1670">
                  <c:v>40396</c:v>
                </c:pt>
                <c:pt idx="1671">
                  <c:v>40395</c:v>
                </c:pt>
                <c:pt idx="1672">
                  <c:v>40394</c:v>
                </c:pt>
                <c:pt idx="1673">
                  <c:v>40393</c:v>
                </c:pt>
                <c:pt idx="1674">
                  <c:v>40392</c:v>
                </c:pt>
                <c:pt idx="1675">
                  <c:v>40389</c:v>
                </c:pt>
                <c:pt idx="1676">
                  <c:v>40388</c:v>
                </c:pt>
                <c:pt idx="1677">
                  <c:v>40387</c:v>
                </c:pt>
                <c:pt idx="1678">
                  <c:v>40386</c:v>
                </c:pt>
                <c:pt idx="1679">
                  <c:v>40385</c:v>
                </c:pt>
                <c:pt idx="1680">
                  <c:v>40382</c:v>
                </c:pt>
                <c:pt idx="1681">
                  <c:v>40381</c:v>
                </c:pt>
                <c:pt idx="1682">
                  <c:v>40380</c:v>
                </c:pt>
                <c:pt idx="1683">
                  <c:v>40379</c:v>
                </c:pt>
                <c:pt idx="1684">
                  <c:v>40378</c:v>
                </c:pt>
                <c:pt idx="1685">
                  <c:v>40375</c:v>
                </c:pt>
                <c:pt idx="1686">
                  <c:v>40374</c:v>
                </c:pt>
                <c:pt idx="1687">
                  <c:v>40373</c:v>
                </c:pt>
                <c:pt idx="1688">
                  <c:v>40372</c:v>
                </c:pt>
                <c:pt idx="1689">
                  <c:v>40371</c:v>
                </c:pt>
                <c:pt idx="1690">
                  <c:v>40368</c:v>
                </c:pt>
                <c:pt idx="1691">
                  <c:v>40367</c:v>
                </c:pt>
                <c:pt idx="1692">
                  <c:v>40366</c:v>
                </c:pt>
                <c:pt idx="1693">
                  <c:v>40365</c:v>
                </c:pt>
                <c:pt idx="1694">
                  <c:v>40364</c:v>
                </c:pt>
                <c:pt idx="1695">
                  <c:v>40363</c:v>
                </c:pt>
                <c:pt idx="1696">
                  <c:v>40362</c:v>
                </c:pt>
                <c:pt idx="1697">
                  <c:v>40361</c:v>
                </c:pt>
                <c:pt idx="1698">
                  <c:v>40360</c:v>
                </c:pt>
                <c:pt idx="1699">
                  <c:v>40359</c:v>
                </c:pt>
                <c:pt idx="1700">
                  <c:v>40358</c:v>
                </c:pt>
                <c:pt idx="1701">
                  <c:v>40357</c:v>
                </c:pt>
                <c:pt idx="1702">
                  <c:v>40356</c:v>
                </c:pt>
                <c:pt idx="1703">
                  <c:v>40355</c:v>
                </c:pt>
                <c:pt idx="1704">
                  <c:v>40354</c:v>
                </c:pt>
                <c:pt idx="1705">
                  <c:v>40353</c:v>
                </c:pt>
                <c:pt idx="1706">
                  <c:v>40352</c:v>
                </c:pt>
                <c:pt idx="1707">
                  <c:v>40351</c:v>
                </c:pt>
                <c:pt idx="1708">
                  <c:v>40350</c:v>
                </c:pt>
                <c:pt idx="1709">
                  <c:v>40349</c:v>
                </c:pt>
                <c:pt idx="1710">
                  <c:v>40348</c:v>
                </c:pt>
                <c:pt idx="1711">
                  <c:v>40347</c:v>
                </c:pt>
                <c:pt idx="1712">
                  <c:v>40346</c:v>
                </c:pt>
                <c:pt idx="1713">
                  <c:v>40345</c:v>
                </c:pt>
                <c:pt idx="1714">
                  <c:v>40344</c:v>
                </c:pt>
                <c:pt idx="1715">
                  <c:v>40343</c:v>
                </c:pt>
                <c:pt idx="1716">
                  <c:v>40342</c:v>
                </c:pt>
                <c:pt idx="1717">
                  <c:v>40341</c:v>
                </c:pt>
                <c:pt idx="1718">
                  <c:v>40340</c:v>
                </c:pt>
                <c:pt idx="1719">
                  <c:v>40339</c:v>
                </c:pt>
                <c:pt idx="1720">
                  <c:v>40338</c:v>
                </c:pt>
                <c:pt idx="1721">
                  <c:v>40337</c:v>
                </c:pt>
                <c:pt idx="1722">
                  <c:v>40336</c:v>
                </c:pt>
                <c:pt idx="1723">
                  <c:v>40335</c:v>
                </c:pt>
                <c:pt idx="1724">
                  <c:v>40334</c:v>
                </c:pt>
                <c:pt idx="1725">
                  <c:v>40333</c:v>
                </c:pt>
                <c:pt idx="1726">
                  <c:v>40332</c:v>
                </c:pt>
                <c:pt idx="1727">
                  <c:v>40331</c:v>
                </c:pt>
                <c:pt idx="1728">
                  <c:v>40330</c:v>
                </c:pt>
                <c:pt idx="1729">
                  <c:v>40329</c:v>
                </c:pt>
                <c:pt idx="1730">
                  <c:v>40328</c:v>
                </c:pt>
                <c:pt idx="1731">
                  <c:v>40327</c:v>
                </c:pt>
                <c:pt idx="1732">
                  <c:v>40326</c:v>
                </c:pt>
                <c:pt idx="1733">
                  <c:v>40325</c:v>
                </c:pt>
                <c:pt idx="1734">
                  <c:v>40324</c:v>
                </c:pt>
                <c:pt idx="1735">
                  <c:v>40323</c:v>
                </c:pt>
                <c:pt idx="1736">
                  <c:v>40322</c:v>
                </c:pt>
                <c:pt idx="1737">
                  <c:v>40321</c:v>
                </c:pt>
                <c:pt idx="1738">
                  <c:v>40320</c:v>
                </c:pt>
                <c:pt idx="1739">
                  <c:v>40319</c:v>
                </c:pt>
                <c:pt idx="1740">
                  <c:v>40318</c:v>
                </c:pt>
                <c:pt idx="1741">
                  <c:v>40317</c:v>
                </c:pt>
                <c:pt idx="1742">
                  <c:v>40316</c:v>
                </c:pt>
                <c:pt idx="1743">
                  <c:v>40315</c:v>
                </c:pt>
                <c:pt idx="1744">
                  <c:v>40314</c:v>
                </c:pt>
                <c:pt idx="1745">
                  <c:v>40313</c:v>
                </c:pt>
                <c:pt idx="1746">
                  <c:v>40312</c:v>
                </c:pt>
                <c:pt idx="1747">
                  <c:v>40311</c:v>
                </c:pt>
                <c:pt idx="1748">
                  <c:v>40310</c:v>
                </c:pt>
                <c:pt idx="1749">
                  <c:v>40309</c:v>
                </c:pt>
                <c:pt idx="1750">
                  <c:v>40308</c:v>
                </c:pt>
                <c:pt idx="1751">
                  <c:v>40305</c:v>
                </c:pt>
                <c:pt idx="1752">
                  <c:v>40304</c:v>
                </c:pt>
                <c:pt idx="1753">
                  <c:v>40303</c:v>
                </c:pt>
                <c:pt idx="1754">
                  <c:v>40302</c:v>
                </c:pt>
                <c:pt idx="1755">
                  <c:v>40301</c:v>
                </c:pt>
                <c:pt idx="1756">
                  <c:v>40300</c:v>
                </c:pt>
                <c:pt idx="1757">
                  <c:v>40299</c:v>
                </c:pt>
                <c:pt idx="1758">
                  <c:v>40298</c:v>
                </c:pt>
                <c:pt idx="1759">
                  <c:v>40297</c:v>
                </c:pt>
                <c:pt idx="1760">
                  <c:v>40296</c:v>
                </c:pt>
                <c:pt idx="1761">
                  <c:v>40295</c:v>
                </c:pt>
                <c:pt idx="1762">
                  <c:v>40294</c:v>
                </c:pt>
                <c:pt idx="1763">
                  <c:v>40293</c:v>
                </c:pt>
                <c:pt idx="1764">
                  <c:v>40292</c:v>
                </c:pt>
                <c:pt idx="1765">
                  <c:v>40291</c:v>
                </c:pt>
                <c:pt idx="1766">
                  <c:v>40290</c:v>
                </c:pt>
                <c:pt idx="1767">
                  <c:v>40289</c:v>
                </c:pt>
                <c:pt idx="1768">
                  <c:v>40288</c:v>
                </c:pt>
                <c:pt idx="1769">
                  <c:v>40287</c:v>
                </c:pt>
                <c:pt idx="1770">
                  <c:v>40286</c:v>
                </c:pt>
                <c:pt idx="1771">
                  <c:v>40284</c:v>
                </c:pt>
                <c:pt idx="1772">
                  <c:v>40283</c:v>
                </c:pt>
                <c:pt idx="1773">
                  <c:v>40282</c:v>
                </c:pt>
                <c:pt idx="1774">
                  <c:v>40281</c:v>
                </c:pt>
                <c:pt idx="1775">
                  <c:v>40280</c:v>
                </c:pt>
                <c:pt idx="1776">
                  <c:v>40279</c:v>
                </c:pt>
                <c:pt idx="1777">
                  <c:v>40278</c:v>
                </c:pt>
                <c:pt idx="1778">
                  <c:v>40277</c:v>
                </c:pt>
                <c:pt idx="1779">
                  <c:v>40276</c:v>
                </c:pt>
                <c:pt idx="1780">
                  <c:v>40275</c:v>
                </c:pt>
                <c:pt idx="1781">
                  <c:v>40274</c:v>
                </c:pt>
                <c:pt idx="1782">
                  <c:v>40273</c:v>
                </c:pt>
                <c:pt idx="1783">
                  <c:v>40272</c:v>
                </c:pt>
                <c:pt idx="1784">
                  <c:v>40271</c:v>
                </c:pt>
                <c:pt idx="1785">
                  <c:v>40270</c:v>
                </c:pt>
                <c:pt idx="1786">
                  <c:v>40269</c:v>
                </c:pt>
                <c:pt idx="1787">
                  <c:v>40268</c:v>
                </c:pt>
                <c:pt idx="1788">
                  <c:v>40267</c:v>
                </c:pt>
                <c:pt idx="1789">
                  <c:v>40266</c:v>
                </c:pt>
                <c:pt idx="1790">
                  <c:v>40265</c:v>
                </c:pt>
                <c:pt idx="1791">
                  <c:v>40264</c:v>
                </c:pt>
                <c:pt idx="1792">
                  <c:v>40263</c:v>
                </c:pt>
                <c:pt idx="1793">
                  <c:v>40262</c:v>
                </c:pt>
                <c:pt idx="1794">
                  <c:v>40261</c:v>
                </c:pt>
                <c:pt idx="1795">
                  <c:v>40260</c:v>
                </c:pt>
                <c:pt idx="1796">
                  <c:v>40259</c:v>
                </c:pt>
                <c:pt idx="1797">
                  <c:v>40258</c:v>
                </c:pt>
                <c:pt idx="1798">
                  <c:v>40257</c:v>
                </c:pt>
                <c:pt idx="1799">
                  <c:v>40256</c:v>
                </c:pt>
                <c:pt idx="1800">
                  <c:v>40255</c:v>
                </c:pt>
                <c:pt idx="1801">
                  <c:v>40254</c:v>
                </c:pt>
                <c:pt idx="1802">
                  <c:v>40253</c:v>
                </c:pt>
                <c:pt idx="1803">
                  <c:v>40252</c:v>
                </c:pt>
                <c:pt idx="1804">
                  <c:v>40251</c:v>
                </c:pt>
                <c:pt idx="1805">
                  <c:v>40250</c:v>
                </c:pt>
                <c:pt idx="1806">
                  <c:v>40249</c:v>
                </c:pt>
                <c:pt idx="1807">
                  <c:v>40248</c:v>
                </c:pt>
                <c:pt idx="1808">
                  <c:v>40247</c:v>
                </c:pt>
                <c:pt idx="1809">
                  <c:v>40246</c:v>
                </c:pt>
                <c:pt idx="1810">
                  <c:v>40245</c:v>
                </c:pt>
                <c:pt idx="1811">
                  <c:v>40244</c:v>
                </c:pt>
                <c:pt idx="1812">
                  <c:v>40243</c:v>
                </c:pt>
                <c:pt idx="1813">
                  <c:v>40242</c:v>
                </c:pt>
                <c:pt idx="1814">
                  <c:v>40241</c:v>
                </c:pt>
                <c:pt idx="1815">
                  <c:v>40240</c:v>
                </c:pt>
                <c:pt idx="1816">
                  <c:v>40239</c:v>
                </c:pt>
                <c:pt idx="1817">
                  <c:v>40238</c:v>
                </c:pt>
                <c:pt idx="1818">
                  <c:v>40237</c:v>
                </c:pt>
                <c:pt idx="1819">
                  <c:v>40236</c:v>
                </c:pt>
                <c:pt idx="1820">
                  <c:v>40235</c:v>
                </c:pt>
                <c:pt idx="1821">
                  <c:v>40234</c:v>
                </c:pt>
                <c:pt idx="1822">
                  <c:v>40233</c:v>
                </c:pt>
                <c:pt idx="1823">
                  <c:v>40232</c:v>
                </c:pt>
                <c:pt idx="1824">
                  <c:v>40231</c:v>
                </c:pt>
                <c:pt idx="1825">
                  <c:v>40230</c:v>
                </c:pt>
                <c:pt idx="1826">
                  <c:v>40228</c:v>
                </c:pt>
                <c:pt idx="1827">
                  <c:v>40227</c:v>
                </c:pt>
                <c:pt idx="1828">
                  <c:v>40226</c:v>
                </c:pt>
                <c:pt idx="1829">
                  <c:v>40225</c:v>
                </c:pt>
                <c:pt idx="1830">
                  <c:v>40224</c:v>
                </c:pt>
                <c:pt idx="1831">
                  <c:v>40223</c:v>
                </c:pt>
                <c:pt idx="1832">
                  <c:v>40222</c:v>
                </c:pt>
                <c:pt idx="1833">
                  <c:v>40221</c:v>
                </c:pt>
                <c:pt idx="1834">
                  <c:v>40220</c:v>
                </c:pt>
                <c:pt idx="1835">
                  <c:v>40219</c:v>
                </c:pt>
                <c:pt idx="1836">
                  <c:v>40218</c:v>
                </c:pt>
                <c:pt idx="1837">
                  <c:v>40217</c:v>
                </c:pt>
                <c:pt idx="1838">
                  <c:v>40216</c:v>
                </c:pt>
                <c:pt idx="1839">
                  <c:v>40215</c:v>
                </c:pt>
                <c:pt idx="1840">
                  <c:v>40214</c:v>
                </c:pt>
                <c:pt idx="1841">
                  <c:v>40213</c:v>
                </c:pt>
                <c:pt idx="1842">
                  <c:v>40212</c:v>
                </c:pt>
                <c:pt idx="1843">
                  <c:v>40211</c:v>
                </c:pt>
                <c:pt idx="1844">
                  <c:v>40210</c:v>
                </c:pt>
                <c:pt idx="1845">
                  <c:v>40209</c:v>
                </c:pt>
                <c:pt idx="1846">
                  <c:v>40208</c:v>
                </c:pt>
                <c:pt idx="1847">
                  <c:v>40207</c:v>
                </c:pt>
                <c:pt idx="1848">
                  <c:v>40206</c:v>
                </c:pt>
                <c:pt idx="1849">
                  <c:v>40205</c:v>
                </c:pt>
                <c:pt idx="1850">
                  <c:v>40204</c:v>
                </c:pt>
                <c:pt idx="1851">
                  <c:v>40203</c:v>
                </c:pt>
                <c:pt idx="1852">
                  <c:v>40202</c:v>
                </c:pt>
                <c:pt idx="1853">
                  <c:v>40201</c:v>
                </c:pt>
                <c:pt idx="1854">
                  <c:v>40200</c:v>
                </c:pt>
                <c:pt idx="1855">
                  <c:v>40199</c:v>
                </c:pt>
                <c:pt idx="1856">
                  <c:v>40198</c:v>
                </c:pt>
                <c:pt idx="1857">
                  <c:v>40197</c:v>
                </c:pt>
                <c:pt idx="1858">
                  <c:v>40196</c:v>
                </c:pt>
                <c:pt idx="1859">
                  <c:v>40195</c:v>
                </c:pt>
                <c:pt idx="1860">
                  <c:v>40193</c:v>
                </c:pt>
                <c:pt idx="1861">
                  <c:v>40192</c:v>
                </c:pt>
                <c:pt idx="1862">
                  <c:v>40191</c:v>
                </c:pt>
                <c:pt idx="1863">
                  <c:v>40190</c:v>
                </c:pt>
                <c:pt idx="1864">
                  <c:v>40189</c:v>
                </c:pt>
                <c:pt idx="1865">
                  <c:v>40188</c:v>
                </c:pt>
                <c:pt idx="1866">
                  <c:v>40187</c:v>
                </c:pt>
                <c:pt idx="1867">
                  <c:v>40186</c:v>
                </c:pt>
                <c:pt idx="1868">
                  <c:v>40185</c:v>
                </c:pt>
                <c:pt idx="1869">
                  <c:v>40184</c:v>
                </c:pt>
                <c:pt idx="1870">
                  <c:v>40183</c:v>
                </c:pt>
                <c:pt idx="1871">
                  <c:v>40182</c:v>
                </c:pt>
                <c:pt idx="1872">
                  <c:v>40181</c:v>
                </c:pt>
                <c:pt idx="1873">
                  <c:v>40179</c:v>
                </c:pt>
                <c:pt idx="1874">
                  <c:v>40178</c:v>
                </c:pt>
                <c:pt idx="1875">
                  <c:v>40177</c:v>
                </c:pt>
                <c:pt idx="1876">
                  <c:v>40176</c:v>
                </c:pt>
                <c:pt idx="1877">
                  <c:v>40175</c:v>
                </c:pt>
                <c:pt idx="1878">
                  <c:v>40174</c:v>
                </c:pt>
                <c:pt idx="1879">
                  <c:v>40172</c:v>
                </c:pt>
                <c:pt idx="1880">
                  <c:v>40171</c:v>
                </c:pt>
                <c:pt idx="1881">
                  <c:v>40170</c:v>
                </c:pt>
                <c:pt idx="1882">
                  <c:v>40169</c:v>
                </c:pt>
                <c:pt idx="1883">
                  <c:v>40168</c:v>
                </c:pt>
                <c:pt idx="1884">
                  <c:v>40167</c:v>
                </c:pt>
                <c:pt idx="1885">
                  <c:v>40166</c:v>
                </c:pt>
                <c:pt idx="1886">
                  <c:v>40165</c:v>
                </c:pt>
                <c:pt idx="1887">
                  <c:v>40164</c:v>
                </c:pt>
                <c:pt idx="1888">
                  <c:v>40163</c:v>
                </c:pt>
                <c:pt idx="1889">
                  <c:v>40162</c:v>
                </c:pt>
                <c:pt idx="1890">
                  <c:v>40161</c:v>
                </c:pt>
                <c:pt idx="1891">
                  <c:v>40160</c:v>
                </c:pt>
                <c:pt idx="1892">
                  <c:v>40159</c:v>
                </c:pt>
                <c:pt idx="1893">
                  <c:v>40158</c:v>
                </c:pt>
                <c:pt idx="1894">
                  <c:v>40157</c:v>
                </c:pt>
                <c:pt idx="1895">
                  <c:v>40156</c:v>
                </c:pt>
                <c:pt idx="1896">
                  <c:v>40155</c:v>
                </c:pt>
                <c:pt idx="1897">
                  <c:v>40154</c:v>
                </c:pt>
                <c:pt idx="1898">
                  <c:v>40153</c:v>
                </c:pt>
                <c:pt idx="1899">
                  <c:v>40152</c:v>
                </c:pt>
                <c:pt idx="1900">
                  <c:v>40151</c:v>
                </c:pt>
                <c:pt idx="1901">
                  <c:v>40150</c:v>
                </c:pt>
                <c:pt idx="1902">
                  <c:v>40149</c:v>
                </c:pt>
                <c:pt idx="1903">
                  <c:v>40148</c:v>
                </c:pt>
                <c:pt idx="1904">
                  <c:v>40147</c:v>
                </c:pt>
                <c:pt idx="1905">
                  <c:v>40146</c:v>
                </c:pt>
                <c:pt idx="1906">
                  <c:v>40145</c:v>
                </c:pt>
                <c:pt idx="1907">
                  <c:v>40144</c:v>
                </c:pt>
                <c:pt idx="1908">
                  <c:v>40143</c:v>
                </c:pt>
                <c:pt idx="1909">
                  <c:v>40142</c:v>
                </c:pt>
                <c:pt idx="1910">
                  <c:v>40141</c:v>
                </c:pt>
                <c:pt idx="1911">
                  <c:v>40140</c:v>
                </c:pt>
                <c:pt idx="1912">
                  <c:v>40139</c:v>
                </c:pt>
                <c:pt idx="1913">
                  <c:v>40138</c:v>
                </c:pt>
                <c:pt idx="1914">
                  <c:v>40137</c:v>
                </c:pt>
                <c:pt idx="1915">
                  <c:v>40136</c:v>
                </c:pt>
                <c:pt idx="1916">
                  <c:v>40135</c:v>
                </c:pt>
                <c:pt idx="1917">
                  <c:v>40134</c:v>
                </c:pt>
                <c:pt idx="1918">
                  <c:v>40133</c:v>
                </c:pt>
                <c:pt idx="1919">
                  <c:v>40132</c:v>
                </c:pt>
                <c:pt idx="1920">
                  <c:v>40131</c:v>
                </c:pt>
                <c:pt idx="1921">
                  <c:v>40130</c:v>
                </c:pt>
                <c:pt idx="1922">
                  <c:v>40129</c:v>
                </c:pt>
                <c:pt idx="1923">
                  <c:v>40128</c:v>
                </c:pt>
                <c:pt idx="1924">
                  <c:v>40127</c:v>
                </c:pt>
                <c:pt idx="1925">
                  <c:v>40126</c:v>
                </c:pt>
                <c:pt idx="1926">
                  <c:v>40125</c:v>
                </c:pt>
                <c:pt idx="1927">
                  <c:v>40124</c:v>
                </c:pt>
                <c:pt idx="1928">
                  <c:v>40123</c:v>
                </c:pt>
                <c:pt idx="1929">
                  <c:v>40122</c:v>
                </c:pt>
                <c:pt idx="1930">
                  <c:v>40121</c:v>
                </c:pt>
                <c:pt idx="1931">
                  <c:v>40120</c:v>
                </c:pt>
                <c:pt idx="1932">
                  <c:v>40119</c:v>
                </c:pt>
                <c:pt idx="1933">
                  <c:v>40118</c:v>
                </c:pt>
                <c:pt idx="1934">
                  <c:v>40116</c:v>
                </c:pt>
                <c:pt idx="1935">
                  <c:v>40115</c:v>
                </c:pt>
                <c:pt idx="1936">
                  <c:v>40114</c:v>
                </c:pt>
                <c:pt idx="1937">
                  <c:v>40113</c:v>
                </c:pt>
                <c:pt idx="1938">
                  <c:v>40112</c:v>
                </c:pt>
                <c:pt idx="1939">
                  <c:v>40111</c:v>
                </c:pt>
                <c:pt idx="1940">
                  <c:v>40109</c:v>
                </c:pt>
                <c:pt idx="1941">
                  <c:v>40108</c:v>
                </c:pt>
                <c:pt idx="1942">
                  <c:v>40107</c:v>
                </c:pt>
                <c:pt idx="1943">
                  <c:v>40106</c:v>
                </c:pt>
                <c:pt idx="1944">
                  <c:v>40105</c:v>
                </c:pt>
                <c:pt idx="1945">
                  <c:v>40104</c:v>
                </c:pt>
                <c:pt idx="1946">
                  <c:v>40102</c:v>
                </c:pt>
                <c:pt idx="1947">
                  <c:v>40101</c:v>
                </c:pt>
                <c:pt idx="1948">
                  <c:v>40100</c:v>
                </c:pt>
                <c:pt idx="1949">
                  <c:v>40099</c:v>
                </c:pt>
                <c:pt idx="1950">
                  <c:v>40098</c:v>
                </c:pt>
                <c:pt idx="1951">
                  <c:v>40097</c:v>
                </c:pt>
                <c:pt idx="1952">
                  <c:v>40095</c:v>
                </c:pt>
                <c:pt idx="1953">
                  <c:v>40094</c:v>
                </c:pt>
                <c:pt idx="1954">
                  <c:v>40093</c:v>
                </c:pt>
                <c:pt idx="1955">
                  <c:v>40092</c:v>
                </c:pt>
                <c:pt idx="1956">
                  <c:v>40091</c:v>
                </c:pt>
                <c:pt idx="1957">
                  <c:v>40090</c:v>
                </c:pt>
                <c:pt idx="1958">
                  <c:v>40088</c:v>
                </c:pt>
                <c:pt idx="1959">
                  <c:v>40087</c:v>
                </c:pt>
                <c:pt idx="1960">
                  <c:v>40086</c:v>
                </c:pt>
                <c:pt idx="1961">
                  <c:v>40085</c:v>
                </c:pt>
                <c:pt idx="1962">
                  <c:v>40084</c:v>
                </c:pt>
                <c:pt idx="1963">
                  <c:v>40083</c:v>
                </c:pt>
                <c:pt idx="1964">
                  <c:v>40081</c:v>
                </c:pt>
                <c:pt idx="1965">
                  <c:v>40080</c:v>
                </c:pt>
                <c:pt idx="1966">
                  <c:v>40079</c:v>
                </c:pt>
                <c:pt idx="1967">
                  <c:v>40078</c:v>
                </c:pt>
                <c:pt idx="1968">
                  <c:v>40077</c:v>
                </c:pt>
                <c:pt idx="1969">
                  <c:v>40074</c:v>
                </c:pt>
                <c:pt idx="1970">
                  <c:v>40073</c:v>
                </c:pt>
                <c:pt idx="1971">
                  <c:v>40072</c:v>
                </c:pt>
                <c:pt idx="1972">
                  <c:v>40071</c:v>
                </c:pt>
                <c:pt idx="1973">
                  <c:v>40070</c:v>
                </c:pt>
                <c:pt idx="1974">
                  <c:v>40069</c:v>
                </c:pt>
                <c:pt idx="1975">
                  <c:v>40067</c:v>
                </c:pt>
                <c:pt idx="1976">
                  <c:v>40066</c:v>
                </c:pt>
                <c:pt idx="1977">
                  <c:v>40065</c:v>
                </c:pt>
                <c:pt idx="1978">
                  <c:v>40064</c:v>
                </c:pt>
                <c:pt idx="1979">
                  <c:v>40063</c:v>
                </c:pt>
                <c:pt idx="1980">
                  <c:v>40060</c:v>
                </c:pt>
                <c:pt idx="1981">
                  <c:v>40059</c:v>
                </c:pt>
                <c:pt idx="1982">
                  <c:v>40058</c:v>
                </c:pt>
                <c:pt idx="1983">
                  <c:v>40057</c:v>
                </c:pt>
                <c:pt idx="1984">
                  <c:v>40056</c:v>
                </c:pt>
                <c:pt idx="1985">
                  <c:v>40053</c:v>
                </c:pt>
                <c:pt idx="1986">
                  <c:v>40052</c:v>
                </c:pt>
                <c:pt idx="1987">
                  <c:v>40051</c:v>
                </c:pt>
                <c:pt idx="1988">
                  <c:v>40050</c:v>
                </c:pt>
                <c:pt idx="1989">
                  <c:v>40049</c:v>
                </c:pt>
                <c:pt idx="1990">
                  <c:v>40046</c:v>
                </c:pt>
                <c:pt idx="1991">
                  <c:v>40045</c:v>
                </c:pt>
                <c:pt idx="1992">
                  <c:v>40044</c:v>
                </c:pt>
                <c:pt idx="1993">
                  <c:v>40043</c:v>
                </c:pt>
                <c:pt idx="1994">
                  <c:v>40042</c:v>
                </c:pt>
                <c:pt idx="1995">
                  <c:v>40039</c:v>
                </c:pt>
                <c:pt idx="1996">
                  <c:v>40038</c:v>
                </c:pt>
                <c:pt idx="1997">
                  <c:v>40037</c:v>
                </c:pt>
                <c:pt idx="1998">
                  <c:v>40036</c:v>
                </c:pt>
                <c:pt idx="1999">
                  <c:v>40035</c:v>
                </c:pt>
                <c:pt idx="2000">
                  <c:v>40032</c:v>
                </c:pt>
                <c:pt idx="2001">
                  <c:v>40031</c:v>
                </c:pt>
                <c:pt idx="2002">
                  <c:v>40030</c:v>
                </c:pt>
                <c:pt idx="2003">
                  <c:v>40029</c:v>
                </c:pt>
                <c:pt idx="2004">
                  <c:v>40028</c:v>
                </c:pt>
                <c:pt idx="2005">
                  <c:v>40025</c:v>
                </c:pt>
                <c:pt idx="2006">
                  <c:v>40024</c:v>
                </c:pt>
                <c:pt idx="2007">
                  <c:v>40023</c:v>
                </c:pt>
                <c:pt idx="2008">
                  <c:v>40022</c:v>
                </c:pt>
                <c:pt idx="2009">
                  <c:v>40021</c:v>
                </c:pt>
                <c:pt idx="2010">
                  <c:v>40018</c:v>
                </c:pt>
                <c:pt idx="2011">
                  <c:v>40017</c:v>
                </c:pt>
                <c:pt idx="2012">
                  <c:v>40016</c:v>
                </c:pt>
                <c:pt idx="2013">
                  <c:v>40015</c:v>
                </c:pt>
                <c:pt idx="2014">
                  <c:v>40014</c:v>
                </c:pt>
                <c:pt idx="2015">
                  <c:v>40011</c:v>
                </c:pt>
                <c:pt idx="2016">
                  <c:v>40010</c:v>
                </c:pt>
                <c:pt idx="2017">
                  <c:v>40009</c:v>
                </c:pt>
                <c:pt idx="2018">
                  <c:v>40008</c:v>
                </c:pt>
                <c:pt idx="2019">
                  <c:v>40007</c:v>
                </c:pt>
                <c:pt idx="2020">
                  <c:v>40004</c:v>
                </c:pt>
                <c:pt idx="2021">
                  <c:v>40003</c:v>
                </c:pt>
                <c:pt idx="2022">
                  <c:v>40002</c:v>
                </c:pt>
                <c:pt idx="2023">
                  <c:v>40001</c:v>
                </c:pt>
                <c:pt idx="2024">
                  <c:v>40000</c:v>
                </c:pt>
                <c:pt idx="2025">
                  <c:v>39997</c:v>
                </c:pt>
                <c:pt idx="2026">
                  <c:v>39996</c:v>
                </c:pt>
                <c:pt idx="2027">
                  <c:v>39995</c:v>
                </c:pt>
                <c:pt idx="2028">
                  <c:v>39994</c:v>
                </c:pt>
                <c:pt idx="2029">
                  <c:v>39993</c:v>
                </c:pt>
                <c:pt idx="2030">
                  <c:v>39990</c:v>
                </c:pt>
                <c:pt idx="2031">
                  <c:v>39989</c:v>
                </c:pt>
                <c:pt idx="2032">
                  <c:v>39988</c:v>
                </c:pt>
                <c:pt idx="2033">
                  <c:v>39987</c:v>
                </c:pt>
                <c:pt idx="2034">
                  <c:v>39986</c:v>
                </c:pt>
                <c:pt idx="2035">
                  <c:v>39983</c:v>
                </c:pt>
                <c:pt idx="2036">
                  <c:v>39982</c:v>
                </c:pt>
                <c:pt idx="2037">
                  <c:v>39981</c:v>
                </c:pt>
                <c:pt idx="2038">
                  <c:v>39980</c:v>
                </c:pt>
                <c:pt idx="2039">
                  <c:v>39979</c:v>
                </c:pt>
                <c:pt idx="2040">
                  <c:v>39976</c:v>
                </c:pt>
                <c:pt idx="2041">
                  <c:v>39975</c:v>
                </c:pt>
                <c:pt idx="2042">
                  <c:v>39974</c:v>
                </c:pt>
                <c:pt idx="2043">
                  <c:v>39973</c:v>
                </c:pt>
                <c:pt idx="2044">
                  <c:v>39972</c:v>
                </c:pt>
                <c:pt idx="2045">
                  <c:v>39969</c:v>
                </c:pt>
                <c:pt idx="2046">
                  <c:v>39968</c:v>
                </c:pt>
                <c:pt idx="2047">
                  <c:v>39967</c:v>
                </c:pt>
                <c:pt idx="2048">
                  <c:v>39966</c:v>
                </c:pt>
                <c:pt idx="2049">
                  <c:v>39965</c:v>
                </c:pt>
                <c:pt idx="2050">
                  <c:v>39962</c:v>
                </c:pt>
                <c:pt idx="2051">
                  <c:v>39961</c:v>
                </c:pt>
                <c:pt idx="2052">
                  <c:v>39960</c:v>
                </c:pt>
                <c:pt idx="2053">
                  <c:v>39959</c:v>
                </c:pt>
                <c:pt idx="2054">
                  <c:v>39958</c:v>
                </c:pt>
                <c:pt idx="2055">
                  <c:v>39955</c:v>
                </c:pt>
                <c:pt idx="2056">
                  <c:v>39954</c:v>
                </c:pt>
                <c:pt idx="2057">
                  <c:v>39953</c:v>
                </c:pt>
                <c:pt idx="2058">
                  <c:v>39952</c:v>
                </c:pt>
                <c:pt idx="2059">
                  <c:v>39951</c:v>
                </c:pt>
                <c:pt idx="2060">
                  <c:v>39948</c:v>
                </c:pt>
                <c:pt idx="2061">
                  <c:v>39947</c:v>
                </c:pt>
                <c:pt idx="2062">
                  <c:v>39946</c:v>
                </c:pt>
                <c:pt idx="2063">
                  <c:v>39945</c:v>
                </c:pt>
                <c:pt idx="2064">
                  <c:v>39944</c:v>
                </c:pt>
                <c:pt idx="2065">
                  <c:v>39941</c:v>
                </c:pt>
                <c:pt idx="2066">
                  <c:v>39940</c:v>
                </c:pt>
                <c:pt idx="2067">
                  <c:v>39939</c:v>
                </c:pt>
                <c:pt idx="2068">
                  <c:v>39938</c:v>
                </c:pt>
                <c:pt idx="2069">
                  <c:v>39937</c:v>
                </c:pt>
                <c:pt idx="2070">
                  <c:v>39934</c:v>
                </c:pt>
                <c:pt idx="2071">
                  <c:v>39933</c:v>
                </c:pt>
                <c:pt idx="2072">
                  <c:v>39932</c:v>
                </c:pt>
                <c:pt idx="2073">
                  <c:v>39931</c:v>
                </c:pt>
                <c:pt idx="2074">
                  <c:v>39930</c:v>
                </c:pt>
                <c:pt idx="2075">
                  <c:v>39927</c:v>
                </c:pt>
                <c:pt idx="2076">
                  <c:v>39926</c:v>
                </c:pt>
                <c:pt idx="2077">
                  <c:v>39925</c:v>
                </c:pt>
                <c:pt idx="2078">
                  <c:v>39924</c:v>
                </c:pt>
                <c:pt idx="2079">
                  <c:v>39923</c:v>
                </c:pt>
                <c:pt idx="2080">
                  <c:v>39920</c:v>
                </c:pt>
                <c:pt idx="2081">
                  <c:v>39919</c:v>
                </c:pt>
                <c:pt idx="2082">
                  <c:v>39918</c:v>
                </c:pt>
                <c:pt idx="2083">
                  <c:v>39917</c:v>
                </c:pt>
                <c:pt idx="2084">
                  <c:v>39916</c:v>
                </c:pt>
                <c:pt idx="2085">
                  <c:v>39913</c:v>
                </c:pt>
                <c:pt idx="2086">
                  <c:v>39912</c:v>
                </c:pt>
                <c:pt idx="2087">
                  <c:v>39911</c:v>
                </c:pt>
                <c:pt idx="2088">
                  <c:v>39910</c:v>
                </c:pt>
                <c:pt idx="2089">
                  <c:v>39909</c:v>
                </c:pt>
                <c:pt idx="2090">
                  <c:v>39906</c:v>
                </c:pt>
                <c:pt idx="2091">
                  <c:v>39905</c:v>
                </c:pt>
                <c:pt idx="2092">
                  <c:v>39904</c:v>
                </c:pt>
                <c:pt idx="2093">
                  <c:v>39903</c:v>
                </c:pt>
                <c:pt idx="2094">
                  <c:v>39902</c:v>
                </c:pt>
                <c:pt idx="2095">
                  <c:v>39899</c:v>
                </c:pt>
                <c:pt idx="2096">
                  <c:v>39898</c:v>
                </c:pt>
                <c:pt idx="2097">
                  <c:v>39897</c:v>
                </c:pt>
                <c:pt idx="2098">
                  <c:v>39896</c:v>
                </c:pt>
                <c:pt idx="2099">
                  <c:v>39895</c:v>
                </c:pt>
                <c:pt idx="2100">
                  <c:v>39892</c:v>
                </c:pt>
                <c:pt idx="2101">
                  <c:v>39891</c:v>
                </c:pt>
                <c:pt idx="2102">
                  <c:v>39890</c:v>
                </c:pt>
                <c:pt idx="2103">
                  <c:v>39889</c:v>
                </c:pt>
                <c:pt idx="2104">
                  <c:v>39888</c:v>
                </c:pt>
                <c:pt idx="2105">
                  <c:v>39885</c:v>
                </c:pt>
                <c:pt idx="2106">
                  <c:v>39884</c:v>
                </c:pt>
                <c:pt idx="2107">
                  <c:v>39883</c:v>
                </c:pt>
                <c:pt idx="2108">
                  <c:v>39882</c:v>
                </c:pt>
                <c:pt idx="2109">
                  <c:v>39881</c:v>
                </c:pt>
                <c:pt idx="2110">
                  <c:v>39878</c:v>
                </c:pt>
                <c:pt idx="2111">
                  <c:v>39877</c:v>
                </c:pt>
                <c:pt idx="2112">
                  <c:v>39876</c:v>
                </c:pt>
                <c:pt idx="2113">
                  <c:v>39875</c:v>
                </c:pt>
                <c:pt idx="2114">
                  <c:v>39874</c:v>
                </c:pt>
                <c:pt idx="2115">
                  <c:v>39871</c:v>
                </c:pt>
                <c:pt idx="2116">
                  <c:v>39870</c:v>
                </c:pt>
                <c:pt idx="2117">
                  <c:v>39869</c:v>
                </c:pt>
                <c:pt idx="2118">
                  <c:v>39868</c:v>
                </c:pt>
                <c:pt idx="2119">
                  <c:v>39867</c:v>
                </c:pt>
                <c:pt idx="2120">
                  <c:v>39864</c:v>
                </c:pt>
                <c:pt idx="2121">
                  <c:v>39863</c:v>
                </c:pt>
                <c:pt idx="2122">
                  <c:v>39862</c:v>
                </c:pt>
                <c:pt idx="2123">
                  <c:v>39861</c:v>
                </c:pt>
                <c:pt idx="2124">
                  <c:v>39860</c:v>
                </c:pt>
                <c:pt idx="2125">
                  <c:v>39857</c:v>
                </c:pt>
                <c:pt idx="2126">
                  <c:v>39856</c:v>
                </c:pt>
                <c:pt idx="2127">
                  <c:v>39855</c:v>
                </c:pt>
                <c:pt idx="2128">
                  <c:v>39854</c:v>
                </c:pt>
                <c:pt idx="2129">
                  <c:v>39853</c:v>
                </c:pt>
                <c:pt idx="2130">
                  <c:v>39850</c:v>
                </c:pt>
                <c:pt idx="2131">
                  <c:v>39849</c:v>
                </c:pt>
                <c:pt idx="2132">
                  <c:v>39848</c:v>
                </c:pt>
                <c:pt idx="2133">
                  <c:v>39847</c:v>
                </c:pt>
                <c:pt idx="2134">
                  <c:v>39846</c:v>
                </c:pt>
                <c:pt idx="2135">
                  <c:v>39843</c:v>
                </c:pt>
                <c:pt idx="2136">
                  <c:v>39842</c:v>
                </c:pt>
                <c:pt idx="2137">
                  <c:v>39841</c:v>
                </c:pt>
                <c:pt idx="2138">
                  <c:v>39840</c:v>
                </c:pt>
                <c:pt idx="2139">
                  <c:v>39839</c:v>
                </c:pt>
                <c:pt idx="2140">
                  <c:v>39836</c:v>
                </c:pt>
                <c:pt idx="2141">
                  <c:v>39835</c:v>
                </c:pt>
                <c:pt idx="2142">
                  <c:v>39834</c:v>
                </c:pt>
                <c:pt idx="2143">
                  <c:v>39833</c:v>
                </c:pt>
                <c:pt idx="2144">
                  <c:v>39832</c:v>
                </c:pt>
                <c:pt idx="2145">
                  <c:v>39829</c:v>
                </c:pt>
                <c:pt idx="2146">
                  <c:v>39828</c:v>
                </c:pt>
                <c:pt idx="2147">
                  <c:v>39827</c:v>
                </c:pt>
                <c:pt idx="2148">
                  <c:v>39826</c:v>
                </c:pt>
                <c:pt idx="2149">
                  <c:v>39825</c:v>
                </c:pt>
                <c:pt idx="2150">
                  <c:v>39822</c:v>
                </c:pt>
                <c:pt idx="2151">
                  <c:v>39821</c:v>
                </c:pt>
                <c:pt idx="2152">
                  <c:v>39820</c:v>
                </c:pt>
                <c:pt idx="2153">
                  <c:v>39819</c:v>
                </c:pt>
                <c:pt idx="2154">
                  <c:v>39818</c:v>
                </c:pt>
                <c:pt idx="2155">
                  <c:v>39815</c:v>
                </c:pt>
                <c:pt idx="2156">
                  <c:v>39814</c:v>
                </c:pt>
                <c:pt idx="2157">
                  <c:v>39813</c:v>
                </c:pt>
                <c:pt idx="2158">
                  <c:v>39812</c:v>
                </c:pt>
                <c:pt idx="2159">
                  <c:v>39811</c:v>
                </c:pt>
                <c:pt idx="2160">
                  <c:v>39808</c:v>
                </c:pt>
                <c:pt idx="2161">
                  <c:v>39807</c:v>
                </c:pt>
                <c:pt idx="2162">
                  <c:v>39806</c:v>
                </c:pt>
                <c:pt idx="2163">
                  <c:v>39805</c:v>
                </c:pt>
                <c:pt idx="2164">
                  <c:v>39804</c:v>
                </c:pt>
                <c:pt idx="2165">
                  <c:v>39801</c:v>
                </c:pt>
                <c:pt idx="2166">
                  <c:v>39800</c:v>
                </c:pt>
                <c:pt idx="2167">
                  <c:v>39799</c:v>
                </c:pt>
                <c:pt idx="2168">
                  <c:v>39798</c:v>
                </c:pt>
                <c:pt idx="2169">
                  <c:v>39797</c:v>
                </c:pt>
                <c:pt idx="2170">
                  <c:v>39794</c:v>
                </c:pt>
                <c:pt idx="2171">
                  <c:v>39793</c:v>
                </c:pt>
                <c:pt idx="2172">
                  <c:v>39792</c:v>
                </c:pt>
                <c:pt idx="2173">
                  <c:v>39791</c:v>
                </c:pt>
                <c:pt idx="2174">
                  <c:v>39790</c:v>
                </c:pt>
                <c:pt idx="2175">
                  <c:v>39787</c:v>
                </c:pt>
                <c:pt idx="2176">
                  <c:v>39786</c:v>
                </c:pt>
                <c:pt idx="2177">
                  <c:v>39785</c:v>
                </c:pt>
                <c:pt idx="2178">
                  <c:v>39784</c:v>
                </c:pt>
                <c:pt idx="2179">
                  <c:v>39783</c:v>
                </c:pt>
                <c:pt idx="2180">
                  <c:v>39780</c:v>
                </c:pt>
                <c:pt idx="2181">
                  <c:v>39779</c:v>
                </c:pt>
                <c:pt idx="2182">
                  <c:v>39778</c:v>
                </c:pt>
                <c:pt idx="2183">
                  <c:v>39777</c:v>
                </c:pt>
                <c:pt idx="2184">
                  <c:v>39776</c:v>
                </c:pt>
                <c:pt idx="2185">
                  <c:v>39773</c:v>
                </c:pt>
                <c:pt idx="2186">
                  <c:v>39772</c:v>
                </c:pt>
                <c:pt idx="2187">
                  <c:v>39771</c:v>
                </c:pt>
                <c:pt idx="2188">
                  <c:v>39770</c:v>
                </c:pt>
                <c:pt idx="2189">
                  <c:v>39769</c:v>
                </c:pt>
                <c:pt idx="2190">
                  <c:v>39766</c:v>
                </c:pt>
                <c:pt idx="2191">
                  <c:v>39765</c:v>
                </c:pt>
                <c:pt idx="2192">
                  <c:v>39764</c:v>
                </c:pt>
                <c:pt idx="2193">
                  <c:v>39763</c:v>
                </c:pt>
                <c:pt idx="2194">
                  <c:v>39762</c:v>
                </c:pt>
                <c:pt idx="2195">
                  <c:v>39759</c:v>
                </c:pt>
                <c:pt idx="2196">
                  <c:v>39758</c:v>
                </c:pt>
                <c:pt idx="2197">
                  <c:v>39757</c:v>
                </c:pt>
                <c:pt idx="2198">
                  <c:v>39756</c:v>
                </c:pt>
                <c:pt idx="2199">
                  <c:v>39755</c:v>
                </c:pt>
                <c:pt idx="2200">
                  <c:v>39752</c:v>
                </c:pt>
                <c:pt idx="2201">
                  <c:v>39751</c:v>
                </c:pt>
                <c:pt idx="2202">
                  <c:v>39750</c:v>
                </c:pt>
                <c:pt idx="2203">
                  <c:v>39749</c:v>
                </c:pt>
                <c:pt idx="2204">
                  <c:v>39748</c:v>
                </c:pt>
                <c:pt idx="2205">
                  <c:v>39745</c:v>
                </c:pt>
                <c:pt idx="2206">
                  <c:v>39744</c:v>
                </c:pt>
                <c:pt idx="2207">
                  <c:v>39743</c:v>
                </c:pt>
                <c:pt idx="2208">
                  <c:v>39742</c:v>
                </c:pt>
                <c:pt idx="2209">
                  <c:v>39741</c:v>
                </c:pt>
                <c:pt idx="2210">
                  <c:v>39738</c:v>
                </c:pt>
                <c:pt idx="2211">
                  <c:v>39737</c:v>
                </c:pt>
                <c:pt idx="2212">
                  <c:v>39736</c:v>
                </c:pt>
                <c:pt idx="2213">
                  <c:v>39735</c:v>
                </c:pt>
                <c:pt idx="2214">
                  <c:v>39734</c:v>
                </c:pt>
                <c:pt idx="2215">
                  <c:v>39731</c:v>
                </c:pt>
                <c:pt idx="2216">
                  <c:v>39730</c:v>
                </c:pt>
                <c:pt idx="2217">
                  <c:v>39729</c:v>
                </c:pt>
                <c:pt idx="2218">
                  <c:v>39728</c:v>
                </c:pt>
                <c:pt idx="2219">
                  <c:v>39727</c:v>
                </c:pt>
                <c:pt idx="2220">
                  <c:v>39724</c:v>
                </c:pt>
                <c:pt idx="2221">
                  <c:v>39723</c:v>
                </c:pt>
                <c:pt idx="2222">
                  <c:v>39722</c:v>
                </c:pt>
                <c:pt idx="2223">
                  <c:v>39721</c:v>
                </c:pt>
                <c:pt idx="2224">
                  <c:v>39720</c:v>
                </c:pt>
                <c:pt idx="2225">
                  <c:v>39717</c:v>
                </c:pt>
                <c:pt idx="2226">
                  <c:v>39716</c:v>
                </c:pt>
                <c:pt idx="2227">
                  <c:v>39715</c:v>
                </c:pt>
                <c:pt idx="2228">
                  <c:v>39714</c:v>
                </c:pt>
                <c:pt idx="2229">
                  <c:v>39713</c:v>
                </c:pt>
                <c:pt idx="2230">
                  <c:v>39710</c:v>
                </c:pt>
                <c:pt idx="2231">
                  <c:v>39709</c:v>
                </c:pt>
                <c:pt idx="2232">
                  <c:v>39708</c:v>
                </c:pt>
                <c:pt idx="2233">
                  <c:v>39707</c:v>
                </c:pt>
                <c:pt idx="2234">
                  <c:v>39706</c:v>
                </c:pt>
                <c:pt idx="2235">
                  <c:v>39703</c:v>
                </c:pt>
                <c:pt idx="2236">
                  <c:v>39702</c:v>
                </c:pt>
                <c:pt idx="2237">
                  <c:v>39701</c:v>
                </c:pt>
                <c:pt idx="2238">
                  <c:v>39700</c:v>
                </c:pt>
                <c:pt idx="2239">
                  <c:v>39699</c:v>
                </c:pt>
                <c:pt idx="2240">
                  <c:v>39696</c:v>
                </c:pt>
                <c:pt idx="2241">
                  <c:v>39695</c:v>
                </c:pt>
                <c:pt idx="2242">
                  <c:v>39694</c:v>
                </c:pt>
                <c:pt idx="2243">
                  <c:v>39693</c:v>
                </c:pt>
                <c:pt idx="2244">
                  <c:v>39692</c:v>
                </c:pt>
                <c:pt idx="2245">
                  <c:v>39689</c:v>
                </c:pt>
                <c:pt idx="2246">
                  <c:v>39688</c:v>
                </c:pt>
                <c:pt idx="2247">
                  <c:v>39687</c:v>
                </c:pt>
                <c:pt idx="2248">
                  <c:v>39686</c:v>
                </c:pt>
                <c:pt idx="2249">
                  <c:v>39685</c:v>
                </c:pt>
                <c:pt idx="2250">
                  <c:v>39682</c:v>
                </c:pt>
                <c:pt idx="2251">
                  <c:v>39681</c:v>
                </c:pt>
                <c:pt idx="2252">
                  <c:v>39680</c:v>
                </c:pt>
                <c:pt idx="2253">
                  <c:v>39679</c:v>
                </c:pt>
                <c:pt idx="2254">
                  <c:v>39678</c:v>
                </c:pt>
                <c:pt idx="2255">
                  <c:v>39675</c:v>
                </c:pt>
                <c:pt idx="2256">
                  <c:v>39674</c:v>
                </c:pt>
                <c:pt idx="2257">
                  <c:v>39673</c:v>
                </c:pt>
                <c:pt idx="2258">
                  <c:v>39672</c:v>
                </c:pt>
                <c:pt idx="2259">
                  <c:v>39671</c:v>
                </c:pt>
                <c:pt idx="2260">
                  <c:v>39668</c:v>
                </c:pt>
                <c:pt idx="2261">
                  <c:v>39667</c:v>
                </c:pt>
                <c:pt idx="2262">
                  <c:v>39666</c:v>
                </c:pt>
                <c:pt idx="2263">
                  <c:v>39665</c:v>
                </c:pt>
                <c:pt idx="2264">
                  <c:v>39664</c:v>
                </c:pt>
                <c:pt idx="2265">
                  <c:v>39661</c:v>
                </c:pt>
                <c:pt idx="2266">
                  <c:v>39660</c:v>
                </c:pt>
                <c:pt idx="2267">
                  <c:v>39659</c:v>
                </c:pt>
                <c:pt idx="2268">
                  <c:v>39658</c:v>
                </c:pt>
                <c:pt idx="2269">
                  <c:v>39657</c:v>
                </c:pt>
                <c:pt idx="2270">
                  <c:v>39654</c:v>
                </c:pt>
                <c:pt idx="2271">
                  <c:v>39653</c:v>
                </c:pt>
                <c:pt idx="2272">
                  <c:v>39652</c:v>
                </c:pt>
                <c:pt idx="2273">
                  <c:v>39651</c:v>
                </c:pt>
                <c:pt idx="2274">
                  <c:v>39650</c:v>
                </c:pt>
                <c:pt idx="2275">
                  <c:v>39647</c:v>
                </c:pt>
                <c:pt idx="2276">
                  <c:v>39646</c:v>
                </c:pt>
                <c:pt idx="2277">
                  <c:v>39645</c:v>
                </c:pt>
                <c:pt idx="2278">
                  <c:v>39644</c:v>
                </c:pt>
                <c:pt idx="2279">
                  <c:v>39643</c:v>
                </c:pt>
                <c:pt idx="2280">
                  <c:v>39640</c:v>
                </c:pt>
                <c:pt idx="2281">
                  <c:v>39639</c:v>
                </c:pt>
                <c:pt idx="2282">
                  <c:v>39638</c:v>
                </c:pt>
                <c:pt idx="2283">
                  <c:v>39637</c:v>
                </c:pt>
                <c:pt idx="2284">
                  <c:v>39636</c:v>
                </c:pt>
                <c:pt idx="2285">
                  <c:v>39633</c:v>
                </c:pt>
                <c:pt idx="2286">
                  <c:v>39632</c:v>
                </c:pt>
                <c:pt idx="2287">
                  <c:v>39631</c:v>
                </c:pt>
                <c:pt idx="2288">
                  <c:v>39630</c:v>
                </c:pt>
                <c:pt idx="2289">
                  <c:v>39629</c:v>
                </c:pt>
                <c:pt idx="2290">
                  <c:v>39626</c:v>
                </c:pt>
                <c:pt idx="2291">
                  <c:v>39625</c:v>
                </c:pt>
                <c:pt idx="2292">
                  <c:v>39624</c:v>
                </c:pt>
                <c:pt idx="2293">
                  <c:v>39623</c:v>
                </c:pt>
                <c:pt idx="2294">
                  <c:v>39622</c:v>
                </c:pt>
                <c:pt idx="2295">
                  <c:v>39619</c:v>
                </c:pt>
                <c:pt idx="2296">
                  <c:v>39618</c:v>
                </c:pt>
                <c:pt idx="2297">
                  <c:v>39617</c:v>
                </c:pt>
                <c:pt idx="2298">
                  <c:v>39616</c:v>
                </c:pt>
                <c:pt idx="2299">
                  <c:v>39615</c:v>
                </c:pt>
                <c:pt idx="2300">
                  <c:v>39612</c:v>
                </c:pt>
                <c:pt idx="2301">
                  <c:v>39611</c:v>
                </c:pt>
                <c:pt idx="2302">
                  <c:v>39610</c:v>
                </c:pt>
                <c:pt idx="2303">
                  <c:v>39609</c:v>
                </c:pt>
                <c:pt idx="2304">
                  <c:v>39608</c:v>
                </c:pt>
                <c:pt idx="2305">
                  <c:v>39605</c:v>
                </c:pt>
                <c:pt idx="2306">
                  <c:v>39604</c:v>
                </c:pt>
                <c:pt idx="2307">
                  <c:v>39603</c:v>
                </c:pt>
                <c:pt idx="2308">
                  <c:v>39602</c:v>
                </c:pt>
                <c:pt idx="2309">
                  <c:v>39601</c:v>
                </c:pt>
                <c:pt idx="2310">
                  <c:v>39598</c:v>
                </c:pt>
                <c:pt idx="2311">
                  <c:v>39597</c:v>
                </c:pt>
                <c:pt idx="2312">
                  <c:v>39596</c:v>
                </c:pt>
                <c:pt idx="2313">
                  <c:v>39595</c:v>
                </c:pt>
                <c:pt idx="2314">
                  <c:v>39594</c:v>
                </c:pt>
                <c:pt idx="2315">
                  <c:v>39591</c:v>
                </c:pt>
                <c:pt idx="2316">
                  <c:v>39590</c:v>
                </c:pt>
                <c:pt idx="2317">
                  <c:v>39589</c:v>
                </c:pt>
                <c:pt idx="2318">
                  <c:v>39588</c:v>
                </c:pt>
                <c:pt idx="2319">
                  <c:v>39587</c:v>
                </c:pt>
                <c:pt idx="2320">
                  <c:v>39584</c:v>
                </c:pt>
                <c:pt idx="2321">
                  <c:v>39583</c:v>
                </c:pt>
                <c:pt idx="2322">
                  <c:v>39582</c:v>
                </c:pt>
                <c:pt idx="2323">
                  <c:v>39581</c:v>
                </c:pt>
                <c:pt idx="2324">
                  <c:v>39580</c:v>
                </c:pt>
                <c:pt idx="2325">
                  <c:v>39577</c:v>
                </c:pt>
                <c:pt idx="2326">
                  <c:v>39576</c:v>
                </c:pt>
                <c:pt idx="2327">
                  <c:v>39575</c:v>
                </c:pt>
                <c:pt idx="2328">
                  <c:v>39574</c:v>
                </c:pt>
                <c:pt idx="2329">
                  <c:v>39573</c:v>
                </c:pt>
                <c:pt idx="2330">
                  <c:v>39570</c:v>
                </c:pt>
                <c:pt idx="2331">
                  <c:v>39569</c:v>
                </c:pt>
                <c:pt idx="2332">
                  <c:v>39568</c:v>
                </c:pt>
                <c:pt idx="2333">
                  <c:v>39567</c:v>
                </c:pt>
                <c:pt idx="2334">
                  <c:v>39566</c:v>
                </c:pt>
                <c:pt idx="2335">
                  <c:v>39563</c:v>
                </c:pt>
                <c:pt idx="2336">
                  <c:v>39562</c:v>
                </c:pt>
                <c:pt idx="2337">
                  <c:v>39561</c:v>
                </c:pt>
                <c:pt idx="2338">
                  <c:v>39560</c:v>
                </c:pt>
                <c:pt idx="2339">
                  <c:v>39559</c:v>
                </c:pt>
                <c:pt idx="2340">
                  <c:v>39556</c:v>
                </c:pt>
                <c:pt idx="2341">
                  <c:v>39555</c:v>
                </c:pt>
                <c:pt idx="2342">
                  <c:v>39554</c:v>
                </c:pt>
                <c:pt idx="2343">
                  <c:v>39553</c:v>
                </c:pt>
                <c:pt idx="2344">
                  <c:v>39552</c:v>
                </c:pt>
                <c:pt idx="2345">
                  <c:v>39549</c:v>
                </c:pt>
                <c:pt idx="2346">
                  <c:v>39548</c:v>
                </c:pt>
                <c:pt idx="2347">
                  <c:v>39547</c:v>
                </c:pt>
                <c:pt idx="2348">
                  <c:v>39546</c:v>
                </c:pt>
                <c:pt idx="2349">
                  <c:v>39545</c:v>
                </c:pt>
                <c:pt idx="2350">
                  <c:v>39542</c:v>
                </c:pt>
                <c:pt idx="2351">
                  <c:v>39541</c:v>
                </c:pt>
                <c:pt idx="2352">
                  <c:v>39540</c:v>
                </c:pt>
                <c:pt idx="2353">
                  <c:v>39539</c:v>
                </c:pt>
                <c:pt idx="2354">
                  <c:v>39538</c:v>
                </c:pt>
                <c:pt idx="2355">
                  <c:v>39535</c:v>
                </c:pt>
                <c:pt idx="2356">
                  <c:v>39534</c:v>
                </c:pt>
                <c:pt idx="2357">
                  <c:v>39533</c:v>
                </c:pt>
                <c:pt idx="2358">
                  <c:v>39532</c:v>
                </c:pt>
                <c:pt idx="2359">
                  <c:v>39531</c:v>
                </c:pt>
                <c:pt idx="2360">
                  <c:v>39528</c:v>
                </c:pt>
                <c:pt idx="2361">
                  <c:v>39527</c:v>
                </c:pt>
                <c:pt idx="2362">
                  <c:v>39526</c:v>
                </c:pt>
                <c:pt idx="2363">
                  <c:v>39525</c:v>
                </c:pt>
                <c:pt idx="2364">
                  <c:v>39524</c:v>
                </c:pt>
                <c:pt idx="2365">
                  <c:v>39521</c:v>
                </c:pt>
                <c:pt idx="2366">
                  <c:v>39520</c:v>
                </c:pt>
                <c:pt idx="2367">
                  <c:v>39519</c:v>
                </c:pt>
                <c:pt idx="2368">
                  <c:v>39518</c:v>
                </c:pt>
                <c:pt idx="2369">
                  <c:v>39517</c:v>
                </c:pt>
                <c:pt idx="2370">
                  <c:v>39514</c:v>
                </c:pt>
                <c:pt idx="2371">
                  <c:v>39513</c:v>
                </c:pt>
                <c:pt idx="2372">
                  <c:v>39512</c:v>
                </c:pt>
                <c:pt idx="2373">
                  <c:v>39511</c:v>
                </c:pt>
                <c:pt idx="2374">
                  <c:v>39510</c:v>
                </c:pt>
                <c:pt idx="2375">
                  <c:v>39507</c:v>
                </c:pt>
                <c:pt idx="2376">
                  <c:v>39506</c:v>
                </c:pt>
                <c:pt idx="2377">
                  <c:v>39505</c:v>
                </c:pt>
                <c:pt idx="2378">
                  <c:v>39504</c:v>
                </c:pt>
                <c:pt idx="2379">
                  <c:v>39503</c:v>
                </c:pt>
                <c:pt idx="2380">
                  <c:v>39500</c:v>
                </c:pt>
                <c:pt idx="2381">
                  <c:v>39499</c:v>
                </c:pt>
                <c:pt idx="2382">
                  <c:v>39498</c:v>
                </c:pt>
                <c:pt idx="2383">
                  <c:v>39497</c:v>
                </c:pt>
                <c:pt idx="2384">
                  <c:v>39496</c:v>
                </c:pt>
                <c:pt idx="2385">
                  <c:v>39493</c:v>
                </c:pt>
                <c:pt idx="2386">
                  <c:v>39492</c:v>
                </c:pt>
                <c:pt idx="2387">
                  <c:v>39491</c:v>
                </c:pt>
                <c:pt idx="2388">
                  <c:v>39490</c:v>
                </c:pt>
                <c:pt idx="2389">
                  <c:v>39489</c:v>
                </c:pt>
                <c:pt idx="2390">
                  <c:v>39486</c:v>
                </c:pt>
                <c:pt idx="2391">
                  <c:v>39485</c:v>
                </c:pt>
                <c:pt idx="2392">
                  <c:v>39484</c:v>
                </c:pt>
                <c:pt idx="2393">
                  <c:v>39483</c:v>
                </c:pt>
                <c:pt idx="2394">
                  <c:v>39482</c:v>
                </c:pt>
                <c:pt idx="2395">
                  <c:v>39479</c:v>
                </c:pt>
                <c:pt idx="2396">
                  <c:v>39478</c:v>
                </c:pt>
                <c:pt idx="2397">
                  <c:v>39477</c:v>
                </c:pt>
                <c:pt idx="2398">
                  <c:v>39476</c:v>
                </c:pt>
                <c:pt idx="2399">
                  <c:v>39475</c:v>
                </c:pt>
                <c:pt idx="2400">
                  <c:v>39472</c:v>
                </c:pt>
                <c:pt idx="2401">
                  <c:v>39471</c:v>
                </c:pt>
                <c:pt idx="2402">
                  <c:v>39470</c:v>
                </c:pt>
                <c:pt idx="2403">
                  <c:v>39469</c:v>
                </c:pt>
                <c:pt idx="2404">
                  <c:v>39468</c:v>
                </c:pt>
                <c:pt idx="2405">
                  <c:v>39465</c:v>
                </c:pt>
                <c:pt idx="2406">
                  <c:v>39464</c:v>
                </c:pt>
                <c:pt idx="2407">
                  <c:v>39463</c:v>
                </c:pt>
                <c:pt idx="2408">
                  <c:v>39462</c:v>
                </c:pt>
                <c:pt idx="2409">
                  <c:v>39461</c:v>
                </c:pt>
                <c:pt idx="2410">
                  <c:v>39458</c:v>
                </c:pt>
                <c:pt idx="2411">
                  <c:v>39457</c:v>
                </c:pt>
                <c:pt idx="2412">
                  <c:v>39456</c:v>
                </c:pt>
                <c:pt idx="2413">
                  <c:v>39455</c:v>
                </c:pt>
                <c:pt idx="2414">
                  <c:v>39454</c:v>
                </c:pt>
                <c:pt idx="2415">
                  <c:v>39451</c:v>
                </c:pt>
                <c:pt idx="2416">
                  <c:v>39450</c:v>
                </c:pt>
                <c:pt idx="2417">
                  <c:v>39449</c:v>
                </c:pt>
                <c:pt idx="2418">
                  <c:v>39448</c:v>
                </c:pt>
                <c:pt idx="2419">
                  <c:v>39447</c:v>
                </c:pt>
                <c:pt idx="2420">
                  <c:v>39444</c:v>
                </c:pt>
                <c:pt idx="2421">
                  <c:v>39443</c:v>
                </c:pt>
                <c:pt idx="2422">
                  <c:v>39442</c:v>
                </c:pt>
                <c:pt idx="2423">
                  <c:v>39441</c:v>
                </c:pt>
                <c:pt idx="2424">
                  <c:v>39440</c:v>
                </c:pt>
                <c:pt idx="2425">
                  <c:v>39437</c:v>
                </c:pt>
                <c:pt idx="2426">
                  <c:v>39436</c:v>
                </c:pt>
                <c:pt idx="2427">
                  <c:v>39435</c:v>
                </c:pt>
                <c:pt idx="2428">
                  <c:v>39434</c:v>
                </c:pt>
                <c:pt idx="2429">
                  <c:v>39433</c:v>
                </c:pt>
                <c:pt idx="2430">
                  <c:v>39430</c:v>
                </c:pt>
                <c:pt idx="2431">
                  <c:v>39429</c:v>
                </c:pt>
                <c:pt idx="2432">
                  <c:v>39428</c:v>
                </c:pt>
                <c:pt idx="2433">
                  <c:v>39427</c:v>
                </c:pt>
                <c:pt idx="2434">
                  <c:v>39426</c:v>
                </c:pt>
                <c:pt idx="2435">
                  <c:v>39423</c:v>
                </c:pt>
                <c:pt idx="2436">
                  <c:v>39422</c:v>
                </c:pt>
                <c:pt idx="2437">
                  <c:v>39421</c:v>
                </c:pt>
                <c:pt idx="2438">
                  <c:v>39420</c:v>
                </c:pt>
                <c:pt idx="2439">
                  <c:v>39419</c:v>
                </c:pt>
                <c:pt idx="2440">
                  <c:v>39416</c:v>
                </c:pt>
                <c:pt idx="2441">
                  <c:v>39415</c:v>
                </c:pt>
                <c:pt idx="2442">
                  <c:v>39414</c:v>
                </c:pt>
                <c:pt idx="2443">
                  <c:v>39413</c:v>
                </c:pt>
                <c:pt idx="2444">
                  <c:v>39412</c:v>
                </c:pt>
                <c:pt idx="2445">
                  <c:v>39409</c:v>
                </c:pt>
                <c:pt idx="2446">
                  <c:v>39408</c:v>
                </c:pt>
                <c:pt idx="2447">
                  <c:v>39407</c:v>
                </c:pt>
                <c:pt idx="2448">
                  <c:v>39406</c:v>
                </c:pt>
                <c:pt idx="2449">
                  <c:v>39405</c:v>
                </c:pt>
                <c:pt idx="2450">
                  <c:v>39402</c:v>
                </c:pt>
                <c:pt idx="2451">
                  <c:v>39401</c:v>
                </c:pt>
                <c:pt idx="2452">
                  <c:v>39400</c:v>
                </c:pt>
                <c:pt idx="2453">
                  <c:v>39399</c:v>
                </c:pt>
                <c:pt idx="2454">
                  <c:v>39398</c:v>
                </c:pt>
                <c:pt idx="2455">
                  <c:v>39395</c:v>
                </c:pt>
                <c:pt idx="2456">
                  <c:v>39394</c:v>
                </c:pt>
                <c:pt idx="2457">
                  <c:v>39393</c:v>
                </c:pt>
                <c:pt idx="2458">
                  <c:v>39392</c:v>
                </c:pt>
                <c:pt idx="2459">
                  <c:v>39391</c:v>
                </c:pt>
                <c:pt idx="2460">
                  <c:v>39388</c:v>
                </c:pt>
                <c:pt idx="2461">
                  <c:v>39387</c:v>
                </c:pt>
                <c:pt idx="2462">
                  <c:v>39386</c:v>
                </c:pt>
                <c:pt idx="2463">
                  <c:v>39385</c:v>
                </c:pt>
                <c:pt idx="2464">
                  <c:v>39384</c:v>
                </c:pt>
                <c:pt idx="2465">
                  <c:v>39381</c:v>
                </c:pt>
                <c:pt idx="2466">
                  <c:v>39380</c:v>
                </c:pt>
                <c:pt idx="2467">
                  <c:v>39379</c:v>
                </c:pt>
                <c:pt idx="2468">
                  <c:v>39378</c:v>
                </c:pt>
                <c:pt idx="2469">
                  <c:v>39377</c:v>
                </c:pt>
                <c:pt idx="2470">
                  <c:v>39374</c:v>
                </c:pt>
                <c:pt idx="2471">
                  <c:v>39373</c:v>
                </c:pt>
                <c:pt idx="2472">
                  <c:v>39372</c:v>
                </c:pt>
                <c:pt idx="2473">
                  <c:v>39371</c:v>
                </c:pt>
                <c:pt idx="2474">
                  <c:v>39370</c:v>
                </c:pt>
                <c:pt idx="2475">
                  <c:v>39367</c:v>
                </c:pt>
                <c:pt idx="2476">
                  <c:v>39366</c:v>
                </c:pt>
                <c:pt idx="2477">
                  <c:v>39365</c:v>
                </c:pt>
                <c:pt idx="2478">
                  <c:v>39364</c:v>
                </c:pt>
                <c:pt idx="2479">
                  <c:v>39363</c:v>
                </c:pt>
                <c:pt idx="2480">
                  <c:v>39360</c:v>
                </c:pt>
                <c:pt idx="2481">
                  <c:v>39359</c:v>
                </c:pt>
                <c:pt idx="2482">
                  <c:v>39358</c:v>
                </c:pt>
                <c:pt idx="2483">
                  <c:v>39357</c:v>
                </c:pt>
                <c:pt idx="2484">
                  <c:v>39356</c:v>
                </c:pt>
                <c:pt idx="2485">
                  <c:v>39353</c:v>
                </c:pt>
                <c:pt idx="2486">
                  <c:v>39352</c:v>
                </c:pt>
                <c:pt idx="2487">
                  <c:v>39351</c:v>
                </c:pt>
                <c:pt idx="2488">
                  <c:v>39350</c:v>
                </c:pt>
                <c:pt idx="2489">
                  <c:v>39349</c:v>
                </c:pt>
                <c:pt idx="2490">
                  <c:v>39346</c:v>
                </c:pt>
                <c:pt idx="2491">
                  <c:v>39345</c:v>
                </c:pt>
                <c:pt idx="2492">
                  <c:v>39344</c:v>
                </c:pt>
                <c:pt idx="2493">
                  <c:v>39343</c:v>
                </c:pt>
                <c:pt idx="2494">
                  <c:v>39342</c:v>
                </c:pt>
                <c:pt idx="2495">
                  <c:v>39339</c:v>
                </c:pt>
                <c:pt idx="2496">
                  <c:v>39338</c:v>
                </c:pt>
                <c:pt idx="2497">
                  <c:v>39337</c:v>
                </c:pt>
                <c:pt idx="2498">
                  <c:v>39336</c:v>
                </c:pt>
                <c:pt idx="2499">
                  <c:v>39335</c:v>
                </c:pt>
                <c:pt idx="2500">
                  <c:v>39332</c:v>
                </c:pt>
                <c:pt idx="2501">
                  <c:v>39331</c:v>
                </c:pt>
                <c:pt idx="2502">
                  <c:v>39330</c:v>
                </c:pt>
                <c:pt idx="2503">
                  <c:v>39329</c:v>
                </c:pt>
                <c:pt idx="2504">
                  <c:v>39328</c:v>
                </c:pt>
                <c:pt idx="2505">
                  <c:v>39325</c:v>
                </c:pt>
                <c:pt idx="2506">
                  <c:v>39324</c:v>
                </c:pt>
                <c:pt idx="2507">
                  <c:v>39323</c:v>
                </c:pt>
                <c:pt idx="2508">
                  <c:v>39322</c:v>
                </c:pt>
                <c:pt idx="2509">
                  <c:v>39321</c:v>
                </c:pt>
                <c:pt idx="2510">
                  <c:v>39318</c:v>
                </c:pt>
                <c:pt idx="2511">
                  <c:v>39317</c:v>
                </c:pt>
                <c:pt idx="2512">
                  <c:v>39316</c:v>
                </c:pt>
                <c:pt idx="2513">
                  <c:v>39315</c:v>
                </c:pt>
                <c:pt idx="2514">
                  <c:v>39314</c:v>
                </c:pt>
                <c:pt idx="2515">
                  <c:v>39311</c:v>
                </c:pt>
                <c:pt idx="2516">
                  <c:v>39310</c:v>
                </c:pt>
                <c:pt idx="2517">
                  <c:v>39309</c:v>
                </c:pt>
                <c:pt idx="2518">
                  <c:v>39308</c:v>
                </c:pt>
                <c:pt idx="2519">
                  <c:v>39307</c:v>
                </c:pt>
                <c:pt idx="2520">
                  <c:v>39304</c:v>
                </c:pt>
                <c:pt idx="2521">
                  <c:v>39303</c:v>
                </c:pt>
                <c:pt idx="2522">
                  <c:v>39302</c:v>
                </c:pt>
                <c:pt idx="2523">
                  <c:v>39301</c:v>
                </c:pt>
                <c:pt idx="2524">
                  <c:v>39300</c:v>
                </c:pt>
                <c:pt idx="2525">
                  <c:v>39297</c:v>
                </c:pt>
                <c:pt idx="2526">
                  <c:v>39296</c:v>
                </c:pt>
                <c:pt idx="2527">
                  <c:v>39295</c:v>
                </c:pt>
                <c:pt idx="2528">
                  <c:v>39294</c:v>
                </c:pt>
                <c:pt idx="2529">
                  <c:v>39293</c:v>
                </c:pt>
                <c:pt idx="2530">
                  <c:v>39290</c:v>
                </c:pt>
                <c:pt idx="2531">
                  <c:v>39289</c:v>
                </c:pt>
                <c:pt idx="2532">
                  <c:v>39288</c:v>
                </c:pt>
                <c:pt idx="2533">
                  <c:v>39287</c:v>
                </c:pt>
                <c:pt idx="2534">
                  <c:v>39286</c:v>
                </c:pt>
                <c:pt idx="2535">
                  <c:v>39283</c:v>
                </c:pt>
                <c:pt idx="2536">
                  <c:v>39282</c:v>
                </c:pt>
                <c:pt idx="2537">
                  <c:v>39281</c:v>
                </c:pt>
                <c:pt idx="2538">
                  <c:v>39280</c:v>
                </c:pt>
                <c:pt idx="2539">
                  <c:v>39279</c:v>
                </c:pt>
                <c:pt idx="2540">
                  <c:v>39276</c:v>
                </c:pt>
                <c:pt idx="2541">
                  <c:v>39275</c:v>
                </c:pt>
                <c:pt idx="2542">
                  <c:v>39274</c:v>
                </c:pt>
                <c:pt idx="2543">
                  <c:v>39273</c:v>
                </c:pt>
                <c:pt idx="2544">
                  <c:v>39272</c:v>
                </c:pt>
                <c:pt idx="2545">
                  <c:v>39269</c:v>
                </c:pt>
                <c:pt idx="2546">
                  <c:v>39268</c:v>
                </c:pt>
                <c:pt idx="2547">
                  <c:v>39267</c:v>
                </c:pt>
                <c:pt idx="2548">
                  <c:v>39266</c:v>
                </c:pt>
                <c:pt idx="2549">
                  <c:v>39265</c:v>
                </c:pt>
                <c:pt idx="2550">
                  <c:v>39262</c:v>
                </c:pt>
                <c:pt idx="2551">
                  <c:v>39261</c:v>
                </c:pt>
                <c:pt idx="2552">
                  <c:v>39260</c:v>
                </c:pt>
                <c:pt idx="2553">
                  <c:v>39259</c:v>
                </c:pt>
                <c:pt idx="2554">
                  <c:v>39258</c:v>
                </c:pt>
                <c:pt idx="2555">
                  <c:v>39255</c:v>
                </c:pt>
                <c:pt idx="2556">
                  <c:v>39254</c:v>
                </c:pt>
                <c:pt idx="2557">
                  <c:v>39253</c:v>
                </c:pt>
                <c:pt idx="2558">
                  <c:v>39252</c:v>
                </c:pt>
                <c:pt idx="2559">
                  <c:v>39251</c:v>
                </c:pt>
                <c:pt idx="2560">
                  <c:v>39248</c:v>
                </c:pt>
                <c:pt idx="2561">
                  <c:v>39247</c:v>
                </c:pt>
                <c:pt idx="2562">
                  <c:v>39246</c:v>
                </c:pt>
                <c:pt idx="2563">
                  <c:v>39245</c:v>
                </c:pt>
                <c:pt idx="2564">
                  <c:v>39244</c:v>
                </c:pt>
                <c:pt idx="2565">
                  <c:v>39241</c:v>
                </c:pt>
                <c:pt idx="2566">
                  <c:v>39240</c:v>
                </c:pt>
                <c:pt idx="2567">
                  <c:v>39239</c:v>
                </c:pt>
                <c:pt idx="2568">
                  <c:v>39238</c:v>
                </c:pt>
                <c:pt idx="2569">
                  <c:v>39237</c:v>
                </c:pt>
                <c:pt idx="2570">
                  <c:v>39234</c:v>
                </c:pt>
                <c:pt idx="2571">
                  <c:v>39233</c:v>
                </c:pt>
                <c:pt idx="2572">
                  <c:v>39232</c:v>
                </c:pt>
                <c:pt idx="2573">
                  <c:v>39231</c:v>
                </c:pt>
                <c:pt idx="2574">
                  <c:v>39230</c:v>
                </c:pt>
                <c:pt idx="2575">
                  <c:v>39227</c:v>
                </c:pt>
                <c:pt idx="2576">
                  <c:v>39226</c:v>
                </c:pt>
                <c:pt idx="2577">
                  <c:v>39225</c:v>
                </c:pt>
                <c:pt idx="2578">
                  <c:v>39224</c:v>
                </c:pt>
                <c:pt idx="2579">
                  <c:v>39223</c:v>
                </c:pt>
                <c:pt idx="2580">
                  <c:v>39220</c:v>
                </c:pt>
                <c:pt idx="2581">
                  <c:v>39219</c:v>
                </c:pt>
                <c:pt idx="2582">
                  <c:v>39218</c:v>
                </c:pt>
                <c:pt idx="2583">
                  <c:v>39217</c:v>
                </c:pt>
                <c:pt idx="2584">
                  <c:v>39216</c:v>
                </c:pt>
                <c:pt idx="2585">
                  <c:v>39213</c:v>
                </c:pt>
                <c:pt idx="2586">
                  <c:v>39212</c:v>
                </c:pt>
                <c:pt idx="2587">
                  <c:v>39211</c:v>
                </c:pt>
                <c:pt idx="2588">
                  <c:v>39210</c:v>
                </c:pt>
                <c:pt idx="2589">
                  <c:v>39209</c:v>
                </c:pt>
                <c:pt idx="2590">
                  <c:v>39206</c:v>
                </c:pt>
                <c:pt idx="2591">
                  <c:v>39205</c:v>
                </c:pt>
                <c:pt idx="2592">
                  <c:v>39204</c:v>
                </c:pt>
                <c:pt idx="2593">
                  <c:v>39203</c:v>
                </c:pt>
                <c:pt idx="2594">
                  <c:v>39202</c:v>
                </c:pt>
                <c:pt idx="2595">
                  <c:v>39199</c:v>
                </c:pt>
                <c:pt idx="2596">
                  <c:v>39198</c:v>
                </c:pt>
                <c:pt idx="2597">
                  <c:v>39197</c:v>
                </c:pt>
                <c:pt idx="2598">
                  <c:v>39196</c:v>
                </c:pt>
                <c:pt idx="2599">
                  <c:v>39195</c:v>
                </c:pt>
                <c:pt idx="2600">
                  <c:v>39192</c:v>
                </c:pt>
                <c:pt idx="2601">
                  <c:v>39191</c:v>
                </c:pt>
                <c:pt idx="2602">
                  <c:v>39190</c:v>
                </c:pt>
                <c:pt idx="2603">
                  <c:v>39189</c:v>
                </c:pt>
                <c:pt idx="2604">
                  <c:v>39188</c:v>
                </c:pt>
                <c:pt idx="2605">
                  <c:v>39185</c:v>
                </c:pt>
                <c:pt idx="2606">
                  <c:v>39184</c:v>
                </c:pt>
                <c:pt idx="2607">
                  <c:v>39183</c:v>
                </c:pt>
                <c:pt idx="2608">
                  <c:v>39182</c:v>
                </c:pt>
                <c:pt idx="2609">
                  <c:v>39181</c:v>
                </c:pt>
                <c:pt idx="2610">
                  <c:v>39178</c:v>
                </c:pt>
                <c:pt idx="2611">
                  <c:v>39177</c:v>
                </c:pt>
                <c:pt idx="2612">
                  <c:v>39176</c:v>
                </c:pt>
                <c:pt idx="2613">
                  <c:v>39175</c:v>
                </c:pt>
                <c:pt idx="2614">
                  <c:v>39174</c:v>
                </c:pt>
                <c:pt idx="2615">
                  <c:v>39171</c:v>
                </c:pt>
                <c:pt idx="2616">
                  <c:v>39170</c:v>
                </c:pt>
                <c:pt idx="2617">
                  <c:v>39169</c:v>
                </c:pt>
                <c:pt idx="2618">
                  <c:v>39168</c:v>
                </c:pt>
                <c:pt idx="2619">
                  <c:v>39167</c:v>
                </c:pt>
                <c:pt idx="2620">
                  <c:v>39164</c:v>
                </c:pt>
                <c:pt idx="2621">
                  <c:v>39163</c:v>
                </c:pt>
                <c:pt idx="2622">
                  <c:v>39162</c:v>
                </c:pt>
                <c:pt idx="2623">
                  <c:v>39161</c:v>
                </c:pt>
                <c:pt idx="2624">
                  <c:v>39160</c:v>
                </c:pt>
                <c:pt idx="2625">
                  <c:v>39157</c:v>
                </c:pt>
                <c:pt idx="2626">
                  <c:v>39156</c:v>
                </c:pt>
                <c:pt idx="2627">
                  <c:v>39155</c:v>
                </c:pt>
                <c:pt idx="2628">
                  <c:v>39154</c:v>
                </c:pt>
                <c:pt idx="2629">
                  <c:v>39153</c:v>
                </c:pt>
                <c:pt idx="2630">
                  <c:v>39150</c:v>
                </c:pt>
                <c:pt idx="2631">
                  <c:v>39149</c:v>
                </c:pt>
                <c:pt idx="2632">
                  <c:v>39148</c:v>
                </c:pt>
                <c:pt idx="2633">
                  <c:v>39147</c:v>
                </c:pt>
                <c:pt idx="2634">
                  <c:v>39146</c:v>
                </c:pt>
                <c:pt idx="2635">
                  <c:v>39143</c:v>
                </c:pt>
                <c:pt idx="2636">
                  <c:v>39142</c:v>
                </c:pt>
                <c:pt idx="2637">
                  <c:v>39141</c:v>
                </c:pt>
                <c:pt idx="2638">
                  <c:v>39140</c:v>
                </c:pt>
                <c:pt idx="2639">
                  <c:v>39139</c:v>
                </c:pt>
                <c:pt idx="2640">
                  <c:v>39136</c:v>
                </c:pt>
                <c:pt idx="2641">
                  <c:v>39135</c:v>
                </c:pt>
                <c:pt idx="2642">
                  <c:v>39134</c:v>
                </c:pt>
                <c:pt idx="2643">
                  <c:v>39133</c:v>
                </c:pt>
                <c:pt idx="2644">
                  <c:v>39132</c:v>
                </c:pt>
                <c:pt idx="2645">
                  <c:v>39129</c:v>
                </c:pt>
                <c:pt idx="2646">
                  <c:v>39128</c:v>
                </c:pt>
                <c:pt idx="2647">
                  <c:v>39127</c:v>
                </c:pt>
                <c:pt idx="2648">
                  <c:v>39126</c:v>
                </c:pt>
                <c:pt idx="2649">
                  <c:v>39125</c:v>
                </c:pt>
                <c:pt idx="2650">
                  <c:v>39122</c:v>
                </c:pt>
                <c:pt idx="2651">
                  <c:v>39121</c:v>
                </c:pt>
                <c:pt idx="2652">
                  <c:v>39120</c:v>
                </c:pt>
                <c:pt idx="2653">
                  <c:v>39119</c:v>
                </c:pt>
                <c:pt idx="2654">
                  <c:v>39118</c:v>
                </c:pt>
                <c:pt idx="2655">
                  <c:v>39115</c:v>
                </c:pt>
                <c:pt idx="2656">
                  <c:v>39114</c:v>
                </c:pt>
                <c:pt idx="2657">
                  <c:v>39113</c:v>
                </c:pt>
                <c:pt idx="2658">
                  <c:v>39112</c:v>
                </c:pt>
                <c:pt idx="2659">
                  <c:v>39111</c:v>
                </c:pt>
                <c:pt idx="2660">
                  <c:v>39108</c:v>
                </c:pt>
                <c:pt idx="2661">
                  <c:v>39107</c:v>
                </c:pt>
                <c:pt idx="2662">
                  <c:v>39106</c:v>
                </c:pt>
                <c:pt idx="2663">
                  <c:v>39105</c:v>
                </c:pt>
                <c:pt idx="2664">
                  <c:v>39104</c:v>
                </c:pt>
                <c:pt idx="2665">
                  <c:v>39101</c:v>
                </c:pt>
                <c:pt idx="2666">
                  <c:v>39100</c:v>
                </c:pt>
                <c:pt idx="2667">
                  <c:v>39099</c:v>
                </c:pt>
                <c:pt idx="2668">
                  <c:v>39098</c:v>
                </c:pt>
                <c:pt idx="2669">
                  <c:v>39097</c:v>
                </c:pt>
                <c:pt idx="2670">
                  <c:v>39094</c:v>
                </c:pt>
                <c:pt idx="2671">
                  <c:v>39093</c:v>
                </c:pt>
                <c:pt idx="2672">
                  <c:v>39092</c:v>
                </c:pt>
                <c:pt idx="2673">
                  <c:v>39091</c:v>
                </c:pt>
                <c:pt idx="2674">
                  <c:v>39090</c:v>
                </c:pt>
                <c:pt idx="2675">
                  <c:v>39087</c:v>
                </c:pt>
                <c:pt idx="2676">
                  <c:v>39086</c:v>
                </c:pt>
                <c:pt idx="2677">
                  <c:v>39085</c:v>
                </c:pt>
                <c:pt idx="2678">
                  <c:v>39084</c:v>
                </c:pt>
                <c:pt idx="2679">
                  <c:v>39083</c:v>
                </c:pt>
                <c:pt idx="2680">
                  <c:v>39080</c:v>
                </c:pt>
                <c:pt idx="2681">
                  <c:v>39079</c:v>
                </c:pt>
                <c:pt idx="2682">
                  <c:v>39078</c:v>
                </c:pt>
                <c:pt idx="2683">
                  <c:v>39077</c:v>
                </c:pt>
                <c:pt idx="2684">
                  <c:v>39076</c:v>
                </c:pt>
                <c:pt idx="2685">
                  <c:v>39073</c:v>
                </c:pt>
                <c:pt idx="2686">
                  <c:v>39072</c:v>
                </c:pt>
                <c:pt idx="2687">
                  <c:v>39071</c:v>
                </c:pt>
                <c:pt idx="2688">
                  <c:v>39070</c:v>
                </c:pt>
                <c:pt idx="2689">
                  <c:v>39069</c:v>
                </c:pt>
                <c:pt idx="2690">
                  <c:v>39066</c:v>
                </c:pt>
                <c:pt idx="2691">
                  <c:v>39065</c:v>
                </c:pt>
                <c:pt idx="2692">
                  <c:v>39064</c:v>
                </c:pt>
                <c:pt idx="2693">
                  <c:v>39063</c:v>
                </c:pt>
                <c:pt idx="2694">
                  <c:v>39062</c:v>
                </c:pt>
                <c:pt idx="2695">
                  <c:v>39059</c:v>
                </c:pt>
                <c:pt idx="2696">
                  <c:v>39058</c:v>
                </c:pt>
                <c:pt idx="2697">
                  <c:v>39057</c:v>
                </c:pt>
                <c:pt idx="2698">
                  <c:v>39056</c:v>
                </c:pt>
                <c:pt idx="2699">
                  <c:v>39055</c:v>
                </c:pt>
                <c:pt idx="2700">
                  <c:v>39052</c:v>
                </c:pt>
                <c:pt idx="2701">
                  <c:v>39051</c:v>
                </c:pt>
                <c:pt idx="2702">
                  <c:v>39050</c:v>
                </c:pt>
                <c:pt idx="2703">
                  <c:v>39049</c:v>
                </c:pt>
                <c:pt idx="2704">
                  <c:v>39048</c:v>
                </c:pt>
                <c:pt idx="2705">
                  <c:v>39045</c:v>
                </c:pt>
                <c:pt idx="2706">
                  <c:v>39044</c:v>
                </c:pt>
                <c:pt idx="2707">
                  <c:v>39043</c:v>
                </c:pt>
                <c:pt idx="2708">
                  <c:v>39042</c:v>
                </c:pt>
                <c:pt idx="2709">
                  <c:v>39041</c:v>
                </c:pt>
                <c:pt idx="2710">
                  <c:v>39038</c:v>
                </c:pt>
                <c:pt idx="2711">
                  <c:v>39037</c:v>
                </c:pt>
                <c:pt idx="2712">
                  <c:v>39036</c:v>
                </c:pt>
                <c:pt idx="2713">
                  <c:v>39035</c:v>
                </c:pt>
                <c:pt idx="2714">
                  <c:v>39034</c:v>
                </c:pt>
                <c:pt idx="2715">
                  <c:v>39031</c:v>
                </c:pt>
                <c:pt idx="2716">
                  <c:v>39030</c:v>
                </c:pt>
                <c:pt idx="2717">
                  <c:v>39029</c:v>
                </c:pt>
                <c:pt idx="2718">
                  <c:v>39028</c:v>
                </c:pt>
                <c:pt idx="2719">
                  <c:v>39027</c:v>
                </c:pt>
                <c:pt idx="2720">
                  <c:v>39024</c:v>
                </c:pt>
                <c:pt idx="2721">
                  <c:v>39023</c:v>
                </c:pt>
                <c:pt idx="2722">
                  <c:v>39022</c:v>
                </c:pt>
                <c:pt idx="2723">
                  <c:v>39021</c:v>
                </c:pt>
                <c:pt idx="2724">
                  <c:v>39020</c:v>
                </c:pt>
                <c:pt idx="2725">
                  <c:v>39017</c:v>
                </c:pt>
                <c:pt idx="2726">
                  <c:v>39016</c:v>
                </c:pt>
                <c:pt idx="2727">
                  <c:v>39015</c:v>
                </c:pt>
                <c:pt idx="2728">
                  <c:v>39014</c:v>
                </c:pt>
                <c:pt idx="2729">
                  <c:v>39013</c:v>
                </c:pt>
                <c:pt idx="2730">
                  <c:v>39010</c:v>
                </c:pt>
                <c:pt idx="2731">
                  <c:v>39009</c:v>
                </c:pt>
                <c:pt idx="2732">
                  <c:v>39008</c:v>
                </c:pt>
                <c:pt idx="2733">
                  <c:v>39007</c:v>
                </c:pt>
                <c:pt idx="2734">
                  <c:v>39006</c:v>
                </c:pt>
                <c:pt idx="2735">
                  <c:v>39003</c:v>
                </c:pt>
                <c:pt idx="2736">
                  <c:v>39002</c:v>
                </c:pt>
                <c:pt idx="2737">
                  <c:v>39001</c:v>
                </c:pt>
                <c:pt idx="2738">
                  <c:v>39000</c:v>
                </c:pt>
                <c:pt idx="2739">
                  <c:v>38999</c:v>
                </c:pt>
                <c:pt idx="2740">
                  <c:v>38996</c:v>
                </c:pt>
                <c:pt idx="2741">
                  <c:v>38995</c:v>
                </c:pt>
                <c:pt idx="2742">
                  <c:v>38994</c:v>
                </c:pt>
                <c:pt idx="2743">
                  <c:v>38993</c:v>
                </c:pt>
                <c:pt idx="2744">
                  <c:v>38992</c:v>
                </c:pt>
                <c:pt idx="2745">
                  <c:v>38989</c:v>
                </c:pt>
                <c:pt idx="2746">
                  <c:v>38988</c:v>
                </c:pt>
                <c:pt idx="2747">
                  <c:v>38987</c:v>
                </c:pt>
                <c:pt idx="2748">
                  <c:v>38986</c:v>
                </c:pt>
                <c:pt idx="2749">
                  <c:v>38985</c:v>
                </c:pt>
                <c:pt idx="2750">
                  <c:v>38982</c:v>
                </c:pt>
                <c:pt idx="2751">
                  <c:v>38981</c:v>
                </c:pt>
                <c:pt idx="2752">
                  <c:v>38980</c:v>
                </c:pt>
                <c:pt idx="2753">
                  <c:v>38979</c:v>
                </c:pt>
                <c:pt idx="2754">
                  <c:v>38978</c:v>
                </c:pt>
                <c:pt idx="2755">
                  <c:v>38975</c:v>
                </c:pt>
                <c:pt idx="2756">
                  <c:v>38974</c:v>
                </c:pt>
                <c:pt idx="2757">
                  <c:v>38973</c:v>
                </c:pt>
                <c:pt idx="2758">
                  <c:v>38972</c:v>
                </c:pt>
                <c:pt idx="2759">
                  <c:v>38971</c:v>
                </c:pt>
                <c:pt idx="2760">
                  <c:v>38968</c:v>
                </c:pt>
                <c:pt idx="2761">
                  <c:v>38967</c:v>
                </c:pt>
                <c:pt idx="2762">
                  <c:v>38966</c:v>
                </c:pt>
                <c:pt idx="2763">
                  <c:v>38965</c:v>
                </c:pt>
                <c:pt idx="2764">
                  <c:v>38964</c:v>
                </c:pt>
                <c:pt idx="2765">
                  <c:v>38961</c:v>
                </c:pt>
                <c:pt idx="2766">
                  <c:v>38960</c:v>
                </c:pt>
                <c:pt idx="2767">
                  <c:v>38959</c:v>
                </c:pt>
                <c:pt idx="2768">
                  <c:v>38958</c:v>
                </c:pt>
                <c:pt idx="2769">
                  <c:v>38957</c:v>
                </c:pt>
                <c:pt idx="2770">
                  <c:v>38954</c:v>
                </c:pt>
                <c:pt idx="2771">
                  <c:v>38953</c:v>
                </c:pt>
                <c:pt idx="2772">
                  <c:v>38952</c:v>
                </c:pt>
                <c:pt idx="2773">
                  <c:v>38951</c:v>
                </c:pt>
                <c:pt idx="2774">
                  <c:v>38950</c:v>
                </c:pt>
                <c:pt idx="2775">
                  <c:v>38947</c:v>
                </c:pt>
                <c:pt idx="2776">
                  <c:v>38946</c:v>
                </c:pt>
                <c:pt idx="2777">
                  <c:v>38945</c:v>
                </c:pt>
                <c:pt idx="2778">
                  <c:v>38944</c:v>
                </c:pt>
                <c:pt idx="2779">
                  <c:v>38943</c:v>
                </c:pt>
                <c:pt idx="2780">
                  <c:v>38940</c:v>
                </c:pt>
                <c:pt idx="2781">
                  <c:v>38939</c:v>
                </c:pt>
                <c:pt idx="2782">
                  <c:v>38938</c:v>
                </c:pt>
                <c:pt idx="2783">
                  <c:v>38937</c:v>
                </c:pt>
                <c:pt idx="2784">
                  <c:v>38936</c:v>
                </c:pt>
                <c:pt idx="2785">
                  <c:v>38933</c:v>
                </c:pt>
                <c:pt idx="2786">
                  <c:v>38932</c:v>
                </c:pt>
                <c:pt idx="2787">
                  <c:v>38931</c:v>
                </c:pt>
                <c:pt idx="2788">
                  <c:v>38930</c:v>
                </c:pt>
                <c:pt idx="2789">
                  <c:v>38929</c:v>
                </c:pt>
                <c:pt idx="2790">
                  <c:v>38926</c:v>
                </c:pt>
                <c:pt idx="2791">
                  <c:v>38925</c:v>
                </c:pt>
                <c:pt idx="2792">
                  <c:v>38924</c:v>
                </c:pt>
                <c:pt idx="2793">
                  <c:v>38923</c:v>
                </c:pt>
                <c:pt idx="2794">
                  <c:v>38922</c:v>
                </c:pt>
                <c:pt idx="2795">
                  <c:v>38919</c:v>
                </c:pt>
                <c:pt idx="2796">
                  <c:v>38918</c:v>
                </c:pt>
                <c:pt idx="2797">
                  <c:v>38917</c:v>
                </c:pt>
                <c:pt idx="2798">
                  <c:v>38916</c:v>
                </c:pt>
                <c:pt idx="2799">
                  <c:v>38915</c:v>
                </c:pt>
                <c:pt idx="2800">
                  <c:v>38912</c:v>
                </c:pt>
                <c:pt idx="2801">
                  <c:v>38911</c:v>
                </c:pt>
                <c:pt idx="2802">
                  <c:v>38910</c:v>
                </c:pt>
                <c:pt idx="2803">
                  <c:v>38909</c:v>
                </c:pt>
                <c:pt idx="2804">
                  <c:v>38908</c:v>
                </c:pt>
                <c:pt idx="2805">
                  <c:v>38905</c:v>
                </c:pt>
                <c:pt idx="2806">
                  <c:v>38904</c:v>
                </c:pt>
                <c:pt idx="2807">
                  <c:v>38903</c:v>
                </c:pt>
                <c:pt idx="2808">
                  <c:v>38902</c:v>
                </c:pt>
                <c:pt idx="2809">
                  <c:v>38901</c:v>
                </c:pt>
                <c:pt idx="2810">
                  <c:v>38898</c:v>
                </c:pt>
                <c:pt idx="2811">
                  <c:v>38897</c:v>
                </c:pt>
                <c:pt idx="2812">
                  <c:v>38896</c:v>
                </c:pt>
                <c:pt idx="2813">
                  <c:v>38895</c:v>
                </c:pt>
                <c:pt idx="2814">
                  <c:v>38894</c:v>
                </c:pt>
                <c:pt idx="2815">
                  <c:v>38891</c:v>
                </c:pt>
                <c:pt idx="2816">
                  <c:v>38890</c:v>
                </c:pt>
                <c:pt idx="2817">
                  <c:v>38889</c:v>
                </c:pt>
                <c:pt idx="2818">
                  <c:v>38888</c:v>
                </c:pt>
                <c:pt idx="2819">
                  <c:v>38887</c:v>
                </c:pt>
                <c:pt idx="2820">
                  <c:v>38884</c:v>
                </c:pt>
                <c:pt idx="2821">
                  <c:v>38883</c:v>
                </c:pt>
                <c:pt idx="2822">
                  <c:v>38882</c:v>
                </c:pt>
                <c:pt idx="2823">
                  <c:v>38881</c:v>
                </c:pt>
                <c:pt idx="2824">
                  <c:v>38880</c:v>
                </c:pt>
                <c:pt idx="2825">
                  <c:v>38877</c:v>
                </c:pt>
                <c:pt idx="2826">
                  <c:v>38876</c:v>
                </c:pt>
                <c:pt idx="2827">
                  <c:v>38875</c:v>
                </c:pt>
                <c:pt idx="2828">
                  <c:v>38874</c:v>
                </c:pt>
                <c:pt idx="2829">
                  <c:v>38873</c:v>
                </c:pt>
                <c:pt idx="2830">
                  <c:v>38870</c:v>
                </c:pt>
                <c:pt idx="2831">
                  <c:v>38869</c:v>
                </c:pt>
                <c:pt idx="2832">
                  <c:v>38868</c:v>
                </c:pt>
                <c:pt idx="2833">
                  <c:v>38867</c:v>
                </c:pt>
                <c:pt idx="2834">
                  <c:v>38866</c:v>
                </c:pt>
                <c:pt idx="2835">
                  <c:v>38863</c:v>
                </c:pt>
                <c:pt idx="2836">
                  <c:v>38862</c:v>
                </c:pt>
                <c:pt idx="2837">
                  <c:v>38861</c:v>
                </c:pt>
                <c:pt idx="2838">
                  <c:v>38860</c:v>
                </c:pt>
                <c:pt idx="2839">
                  <c:v>38859</c:v>
                </c:pt>
                <c:pt idx="2840">
                  <c:v>38856</c:v>
                </c:pt>
                <c:pt idx="2841">
                  <c:v>38855</c:v>
                </c:pt>
                <c:pt idx="2842">
                  <c:v>38854</c:v>
                </c:pt>
                <c:pt idx="2843">
                  <c:v>38853</c:v>
                </c:pt>
                <c:pt idx="2844">
                  <c:v>38852</c:v>
                </c:pt>
                <c:pt idx="2845">
                  <c:v>38849</c:v>
                </c:pt>
                <c:pt idx="2846">
                  <c:v>38848</c:v>
                </c:pt>
                <c:pt idx="2847">
                  <c:v>38847</c:v>
                </c:pt>
                <c:pt idx="2848">
                  <c:v>38846</c:v>
                </c:pt>
                <c:pt idx="2849">
                  <c:v>38845</c:v>
                </c:pt>
                <c:pt idx="2850">
                  <c:v>38842</c:v>
                </c:pt>
                <c:pt idx="2851">
                  <c:v>38841</c:v>
                </c:pt>
                <c:pt idx="2852">
                  <c:v>38840</c:v>
                </c:pt>
                <c:pt idx="2853">
                  <c:v>38839</c:v>
                </c:pt>
                <c:pt idx="2854">
                  <c:v>38838</c:v>
                </c:pt>
                <c:pt idx="2855">
                  <c:v>38835</c:v>
                </c:pt>
                <c:pt idx="2856">
                  <c:v>38834</c:v>
                </c:pt>
                <c:pt idx="2857">
                  <c:v>38833</c:v>
                </c:pt>
                <c:pt idx="2858">
                  <c:v>38832</c:v>
                </c:pt>
                <c:pt idx="2859">
                  <c:v>38831</c:v>
                </c:pt>
                <c:pt idx="2860">
                  <c:v>38828</c:v>
                </c:pt>
                <c:pt idx="2861">
                  <c:v>38827</c:v>
                </c:pt>
                <c:pt idx="2862">
                  <c:v>38826</c:v>
                </c:pt>
                <c:pt idx="2863">
                  <c:v>38825</c:v>
                </c:pt>
                <c:pt idx="2864">
                  <c:v>38824</c:v>
                </c:pt>
                <c:pt idx="2865">
                  <c:v>38821</c:v>
                </c:pt>
                <c:pt idx="2866">
                  <c:v>38820</c:v>
                </c:pt>
                <c:pt idx="2867">
                  <c:v>38819</c:v>
                </c:pt>
                <c:pt idx="2868">
                  <c:v>38818</c:v>
                </c:pt>
                <c:pt idx="2869">
                  <c:v>38817</c:v>
                </c:pt>
                <c:pt idx="2870">
                  <c:v>38814</c:v>
                </c:pt>
                <c:pt idx="2871">
                  <c:v>38813</c:v>
                </c:pt>
                <c:pt idx="2872">
                  <c:v>38812</c:v>
                </c:pt>
                <c:pt idx="2873">
                  <c:v>38811</c:v>
                </c:pt>
                <c:pt idx="2874">
                  <c:v>38810</c:v>
                </c:pt>
                <c:pt idx="2875">
                  <c:v>38807</c:v>
                </c:pt>
                <c:pt idx="2876">
                  <c:v>38806</c:v>
                </c:pt>
                <c:pt idx="2877">
                  <c:v>38805</c:v>
                </c:pt>
                <c:pt idx="2878">
                  <c:v>38804</c:v>
                </c:pt>
                <c:pt idx="2879">
                  <c:v>38803</c:v>
                </c:pt>
                <c:pt idx="2880">
                  <c:v>38800</c:v>
                </c:pt>
                <c:pt idx="2881">
                  <c:v>38799</c:v>
                </c:pt>
                <c:pt idx="2882">
                  <c:v>38798</c:v>
                </c:pt>
                <c:pt idx="2883">
                  <c:v>38797</c:v>
                </c:pt>
                <c:pt idx="2884">
                  <c:v>38796</c:v>
                </c:pt>
                <c:pt idx="2885">
                  <c:v>38793</c:v>
                </c:pt>
                <c:pt idx="2886">
                  <c:v>38792</c:v>
                </c:pt>
                <c:pt idx="2887">
                  <c:v>38791</c:v>
                </c:pt>
                <c:pt idx="2888">
                  <c:v>38790</c:v>
                </c:pt>
                <c:pt idx="2889">
                  <c:v>38789</c:v>
                </c:pt>
                <c:pt idx="2890">
                  <c:v>38786</c:v>
                </c:pt>
                <c:pt idx="2891">
                  <c:v>38785</c:v>
                </c:pt>
                <c:pt idx="2892">
                  <c:v>38784</c:v>
                </c:pt>
                <c:pt idx="2893">
                  <c:v>38783</c:v>
                </c:pt>
                <c:pt idx="2894">
                  <c:v>38782</c:v>
                </c:pt>
                <c:pt idx="2895">
                  <c:v>38779</c:v>
                </c:pt>
                <c:pt idx="2896">
                  <c:v>38778</c:v>
                </c:pt>
                <c:pt idx="2897">
                  <c:v>38777</c:v>
                </c:pt>
                <c:pt idx="2898">
                  <c:v>38776</c:v>
                </c:pt>
                <c:pt idx="2899">
                  <c:v>38775</c:v>
                </c:pt>
                <c:pt idx="2900">
                  <c:v>38772</c:v>
                </c:pt>
                <c:pt idx="2901">
                  <c:v>38771</c:v>
                </c:pt>
                <c:pt idx="2902">
                  <c:v>38770</c:v>
                </c:pt>
                <c:pt idx="2903">
                  <c:v>38769</c:v>
                </c:pt>
                <c:pt idx="2904">
                  <c:v>38768</c:v>
                </c:pt>
                <c:pt idx="2905">
                  <c:v>38765</c:v>
                </c:pt>
                <c:pt idx="2906">
                  <c:v>38764</c:v>
                </c:pt>
                <c:pt idx="2907">
                  <c:v>38763</c:v>
                </c:pt>
                <c:pt idx="2908">
                  <c:v>38762</c:v>
                </c:pt>
                <c:pt idx="2909">
                  <c:v>38761</c:v>
                </c:pt>
                <c:pt idx="2910">
                  <c:v>38758</c:v>
                </c:pt>
                <c:pt idx="2911">
                  <c:v>38757</c:v>
                </c:pt>
                <c:pt idx="2912">
                  <c:v>38756</c:v>
                </c:pt>
                <c:pt idx="2913">
                  <c:v>38755</c:v>
                </c:pt>
                <c:pt idx="2914">
                  <c:v>38754</c:v>
                </c:pt>
                <c:pt idx="2915">
                  <c:v>38751</c:v>
                </c:pt>
                <c:pt idx="2916">
                  <c:v>38750</c:v>
                </c:pt>
                <c:pt idx="2917">
                  <c:v>38749</c:v>
                </c:pt>
                <c:pt idx="2918">
                  <c:v>38748</c:v>
                </c:pt>
                <c:pt idx="2919">
                  <c:v>38747</c:v>
                </c:pt>
                <c:pt idx="2920">
                  <c:v>38744</c:v>
                </c:pt>
                <c:pt idx="2921">
                  <c:v>38743</c:v>
                </c:pt>
                <c:pt idx="2922">
                  <c:v>38742</c:v>
                </c:pt>
                <c:pt idx="2923">
                  <c:v>38741</c:v>
                </c:pt>
                <c:pt idx="2924">
                  <c:v>38740</c:v>
                </c:pt>
                <c:pt idx="2925">
                  <c:v>38737</c:v>
                </c:pt>
                <c:pt idx="2926">
                  <c:v>38736</c:v>
                </c:pt>
                <c:pt idx="2927">
                  <c:v>38735</c:v>
                </c:pt>
                <c:pt idx="2928">
                  <c:v>38734</c:v>
                </c:pt>
                <c:pt idx="2929">
                  <c:v>38733</c:v>
                </c:pt>
                <c:pt idx="2930">
                  <c:v>38730</c:v>
                </c:pt>
                <c:pt idx="2931">
                  <c:v>38729</c:v>
                </c:pt>
                <c:pt idx="2932">
                  <c:v>38728</c:v>
                </c:pt>
                <c:pt idx="2933">
                  <c:v>38727</c:v>
                </c:pt>
                <c:pt idx="2934">
                  <c:v>38726</c:v>
                </c:pt>
                <c:pt idx="2935">
                  <c:v>38723</c:v>
                </c:pt>
                <c:pt idx="2936">
                  <c:v>38722</c:v>
                </c:pt>
                <c:pt idx="2937">
                  <c:v>38721</c:v>
                </c:pt>
                <c:pt idx="2938">
                  <c:v>38720</c:v>
                </c:pt>
                <c:pt idx="2939">
                  <c:v>38719</c:v>
                </c:pt>
                <c:pt idx="2940">
                  <c:v>38716</c:v>
                </c:pt>
                <c:pt idx="2941">
                  <c:v>38715</c:v>
                </c:pt>
                <c:pt idx="2942">
                  <c:v>38714</c:v>
                </c:pt>
                <c:pt idx="2943">
                  <c:v>38713</c:v>
                </c:pt>
                <c:pt idx="2944">
                  <c:v>38712</c:v>
                </c:pt>
                <c:pt idx="2945">
                  <c:v>38709</c:v>
                </c:pt>
                <c:pt idx="2946">
                  <c:v>38708</c:v>
                </c:pt>
                <c:pt idx="2947">
                  <c:v>38707</c:v>
                </c:pt>
                <c:pt idx="2948">
                  <c:v>38706</c:v>
                </c:pt>
                <c:pt idx="2949">
                  <c:v>38705</c:v>
                </c:pt>
                <c:pt idx="2950">
                  <c:v>38702</c:v>
                </c:pt>
                <c:pt idx="2951">
                  <c:v>38701</c:v>
                </c:pt>
                <c:pt idx="2952">
                  <c:v>38700</c:v>
                </c:pt>
                <c:pt idx="2953">
                  <c:v>38699</c:v>
                </c:pt>
                <c:pt idx="2954">
                  <c:v>38698</c:v>
                </c:pt>
                <c:pt idx="2955">
                  <c:v>38695</c:v>
                </c:pt>
                <c:pt idx="2956">
                  <c:v>38694</c:v>
                </c:pt>
                <c:pt idx="2957">
                  <c:v>38693</c:v>
                </c:pt>
                <c:pt idx="2958">
                  <c:v>38692</c:v>
                </c:pt>
                <c:pt idx="2959">
                  <c:v>38691</c:v>
                </c:pt>
                <c:pt idx="2960">
                  <c:v>38688</c:v>
                </c:pt>
                <c:pt idx="2961">
                  <c:v>38687</c:v>
                </c:pt>
                <c:pt idx="2962">
                  <c:v>38686</c:v>
                </c:pt>
                <c:pt idx="2963">
                  <c:v>38685</c:v>
                </c:pt>
                <c:pt idx="2964">
                  <c:v>38684</c:v>
                </c:pt>
                <c:pt idx="2965">
                  <c:v>38681</c:v>
                </c:pt>
                <c:pt idx="2966">
                  <c:v>38680</c:v>
                </c:pt>
                <c:pt idx="2967">
                  <c:v>38679</c:v>
                </c:pt>
                <c:pt idx="2968">
                  <c:v>38678</c:v>
                </c:pt>
                <c:pt idx="2969">
                  <c:v>38677</c:v>
                </c:pt>
                <c:pt idx="2970">
                  <c:v>38674</c:v>
                </c:pt>
                <c:pt idx="2971">
                  <c:v>38673</c:v>
                </c:pt>
                <c:pt idx="2972">
                  <c:v>38672</c:v>
                </c:pt>
                <c:pt idx="2973">
                  <c:v>38671</c:v>
                </c:pt>
                <c:pt idx="2974">
                  <c:v>38670</c:v>
                </c:pt>
                <c:pt idx="2975">
                  <c:v>38667</c:v>
                </c:pt>
                <c:pt idx="2976">
                  <c:v>38666</c:v>
                </c:pt>
                <c:pt idx="2977">
                  <c:v>38665</c:v>
                </c:pt>
                <c:pt idx="2978">
                  <c:v>38664</c:v>
                </c:pt>
                <c:pt idx="2979">
                  <c:v>38663</c:v>
                </c:pt>
                <c:pt idx="2980">
                  <c:v>38660</c:v>
                </c:pt>
                <c:pt idx="2981">
                  <c:v>38659</c:v>
                </c:pt>
                <c:pt idx="2982">
                  <c:v>38658</c:v>
                </c:pt>
                <c:pt idx="2983">
                  <c:v>38657</c:v>
                </c:pt>
                <c:pt idx="2984">
                  <c:v>38656</c:v>
                </c:pt>
                <c:pt idx="2985">
                  <c:v>38653</c:v>
                </c:pt>
                <c:pt idx="2986">
                  <c:v>38652</c:v>
                </c:pt>
                <c:pt idx="2987">
                  <c:v>38651</c:v>
                </c:pt>
                <c:pt idx="2988">
                  <c:v>38650</c:v>
                </c:pt>
                <c:pt idx="2989">
                  <c:v>38649</c:v>
                </c:pt>
                <c:pt idx="2990">
                  <c:v>38646</c:v>
                </c:pt>
                <c:pt idx="2991">
                  <c:v>38645</c:v>
                </c:pt>
                <c:pt idx="2992">
                  <c:v>38644</c:v>
                </c:pt>
                <c:pt idx="2993">
                  <c:v>38643</c:v>
                </c:pt>
                <c:pt idx="2994">
                  <c:v>38642</c:v>
                </c:pt>
                <c:pt idx="2995">
                  <c:v>38639</c:v>
                </c:pt>
                <c:pt idx="2996">
                  <c:v>38638</c:v>
                </c:pt>
                <c:pt idx="2997">
                  <c:v>38637</c:v>
                </c:pt>
                <c:pt idx="2998">
                  <c:v>38636</c:v>
                </c:pt>
                <c:pt idx="2999">
                  <c:v>38635</c:v>
                </c:pt>
                <c:pt idx="3000">
                  <c:v>38632</c:v>
                </c:pt>
                <c:pt idx="3001">
                  <c:v>38631</c:v>
                </c:pt>
                <c:pt idx="3002">
                  <c:v>38630</c:v>
                </c:pt>
                <c:pt idx="3003">
                  <c:v>38629</c:v>
                </c:pt>
                <c:pt idx="3004">
                  <c:v>38628</c:v>
                </c:pt>
                <c:pt idx="3005">
                  <c:v>38625</c:v>
                </c:pt>
                <c:pt idx="3006">
                  <c:v>38624</c:v>
                </c:pt>
                <c:pt idx="3007">
                  <c:v>38623</c:v>
                </c:pt>
                <c:pt idx="3008">
                  <c:v>38622</c:v>
                </c:pt>
                <c:pt idx="3009">
                  <c:v>38621</c:v>
                </c:pt>
                <c:pt idx="3010">
                  <c:v>38618</c:v>
                </c:pt>
                <c:pt idx="3011">
                  <c:v>38617</c:v>
                </c:pt>
                <c:pt idx="3012">
                  <c:v>38616</c:v>
                </c:pt>
                <c:pt idx="3013">
                  <c:v>38615</c:v>
                </c:pt>
                <c:pt idx="3014">
                  <c:v>38614</c:v>
                </c:pt>
                <c:pt idx="3015">
                  <c:v>38611</c:v>
                </c:pt>
                <c:pt idx="3016">
                  <c:v>38610</c:v>
                </c:pt>
                <c:pt idx="3017">
                  <c:v>38609</c:v>
                </c:pt>
                <c:pt idx="3018">
                  <c:v>38608</c:v>
                </c:pt>
                <c:pt idx="3019">
                  <c:v>38607</c:v>
                </c:pt>
                <c:pt idx="3020">
                  <c:v>38604</c:v>
                </c:pt>
                <c:pt idx="3021">
                  <c:v>38603</c:v>
                </c:pt>
                <c:pt idx="3022">
                  <c:v>38602</c:v>
                </c:pt>
                <c:pt idx="3023">
                  <c:v>38601</c:v>
                </c:pt>
                <c:pt idx="3024">
                  <c:v>38600</c:v>
                </c:pt>
                <c:pt idx="3025">
                  <c:v>38597</c:v>
                </c:pt>
                <c:pt idx="3026">
                  <c:v>38596</c:v>
                </c:pt>
                <c:pt idx="3027">
                  <c:v>38595</c:v>
                </c:pt>
                <c:pt idx="3028">
                  <c:v>38594</c:v>
                </c:pt>
                <c:pt idx="3029">
                  <c:v>38593</c:v>
                </c:pt>
                <c:pt idx="3030">
                  <c:v>38590</c:v>
                </c:pt>
                <c:pt idx="3031">
                  <c:v>38589</c:v>
                </c:pt>
                <c:pt idx="3032">
                  <c:v>38588</c:v>
                </c:pt>
                <c:pt idx="3033">
                  <c:v>38587</c:v>
                </c:pt>
                <c:pt idx="3034">
                  <c:v>38586</c:v>
                </c:pt>
                <c:pt idx="3035">
                  <c:v>38583</c:v>
                </c:pt>
                <c:pt idx="3036">
                  <c:v>38582</c:v>
                </c:pt>
                <c:pt idx="3037">
                  <c:v>38581</c:v>
                </c:pt>
                <c:pt idx="3038">
                  <c:v>38580</c:v>
                </c:pt>
                <c:pt idx="3039">
                  <c:v>38579</c:v>
                </c:pt>
                <c:pt idx="3040">
                  <c:v>38576</c:v>
                </c:pt>
                <c:pt idx="3041">
                  <c:v>38575</c:v>
                </c:pt>
                <c:pt idx="3042">
                  <c:v>38574</c:v>
                </c:pt>
                <c:pt idx="3043">
                  <c:v>38573</c:v>
                </c:pt>
                <c:pt idx="3044">
                  <c:v>38572</c:v>
                </c:pt>
                <c:pt idx="3045">
                  <c:v>38569</c:v>
                </c:pt>
                <c:pt idx="3046">
                  <c:v>38568</c:v>
                </c:pt>
                <c:pt idx="3047">
                  <c:v>38567</c:v>
                </c:pt>
                <c:pt idx="3048">
                  <c:v>38566</c:v>
                </c:pt>
                <c:pt idx="3049">
                  <c:v>38565</c:v>
                </c:pt>
                <c:pt idx="3050">
                  <c:v>38562</c:v>
                </c:pt>
                <c:pt idx="3051">
                  <c:v>38561</c:v>
                </c:pt>
                <c:pt idx="3052">
                  <c:v>38560</c:v>
                </c:pt>
                <c:pt idx="3053">
                  <c:v>38559</c:v>
                </c:pt>
                <c:pt idx="3054">
                  <c:v>38558</c:v>
                </c:pt>
                <c:pt idx="3055">
                  <c:v>38555</c:v>
                </c:pt>
                <c:pt idx="3056">
                  <c:v>38554</c:v>
                </c:pt>
                <c:pt idx="3057">
                  <c:v>38553</c:v>
                </c:pt>
                <c:pt idx="3058">
                  <c:v>38552</c:v>
                </c:pt>
                <c:pt idx="3059">
                  <c:v>38551</c:v>
                </c:pt>
                <c:pt idx="3060">
                  <c:v>38548</c:v>
                </c:pt>
                <c:pt idx="3061">
                  <c:v>38547</c:v>
                </c:pt>
                <c:pt idx="3062">
                  <c:v>38546</c:v>
                </c:pt>
                <c:pt idx="3063">
                  <c:v>38545</c:v>
                </c:pt>
                <c:pt idx="3064">
                  <c:v>38544</c:v>
                </c:pt>
                <c:pt idx="3065">
                  <c:v>38541</c:v>
                </c:pt>
                <c:pt idx="3066">
                  <c:v>38540</c:v>
                </c:pt>
                <c:pt idx="3067">
                  <c:v>38539</c:v>
                </c:pt>
                <c:pt idx="3068">
                  <c:v>38538</c:v>
                </c:pt>
                <c:pt idx="3069">
                  <c:v>38537</c:v>
                </c:pt>
                <c:pt idx="3070">
                  <c:v>38534</c:v>
                </c:pt>
                <c:pt idx="3071">
                  <c:v>38533</c:v>
                </c:pt>
                <c:pt idx="3072">
                  <c:v>38532</c:v>
                </c:pt>
                <c:pt idx="3073">
                  <c:v>38531</c:v>
                </c:pt>
                <c:pt idx="3074">
                  <c:v>38530</c:v>
                </c:pt>
                <c:pt idx="3075">
                  <c:v>38527</c:v>
                </c:pt>
                <c:pt idx="3076">
                  <c:v>38526</c:v>
                </c:pt>
                <c:pt idx="3077">
                  <c:v>38525</c:v>
                </c:pt>
                <c:pt idx="3078">
                  <c:v>38524</c:v>
                </c:pt>
                <c:pt idx="3079">
                  <c:v>38523</c:v>
                </c:pt>
                <c:pt idx="3080">
                  <c:v>38520</c:v>
                </c:pt>
                <c:pt idx="3081">
                  <c:v>38519</c:v>
                </c:pt>
                <c:pt idx="3082">
                  <c:v>38518</c:v>
                </c:pt>
                <c:pt idx="3083">
                  <c:v>38517</c:v>
                </c:pt>
                <c:pt idx="3084">
                  <c:v>38516</c:v>
                </c:pt>
                <c:pt idx="3085">
                  <c:v>38513</c:v>
                </c:pt>
                <c:pt idx="3086">
                  <c:v>38512</c:v>
                </c:pt>
                <c:pt idx="3087">
                  <c:v>38511</c:v>
                </c:pt>
                <c:pt idx="3088">
                  <c:v>38510</c:v>
                </c:pt>
                <c:pt idx="3089">
                  <c:v>38509</c:v>
                </c:pt>
                <c:pt idx="3090">
                  <c:v>38506</c:v>
                </c:pt>
                <c:pt idx="3091">
                  <c:v>38505</c:v>
                </c:pt>
                <c:pt idx="3092">
                  <c:v>38504</c:v>
                </c:pt>
                <c:pt idx="3093">
                  <c:v>38503</c:v>
                </c:pt>
                <c:pt idx="3094">
                  <c:v>38502</c:v>
                </c:pt>
                <c:pt idx="3095">
                  <c:v>38499</c:v>
                </c:pt>
                <c:pt idx="3096">
                  <c:v>38498</c:v>
                </c:pt>
                <c:pt idx="3097">
                  <c:v>38497</c:v>
                </c:pt>
                <c:pt idx="3098">
                  <c:v>38496</c:v>
                </c:pt>
                <c:pt idx="3099">
                  <c:v>38495</c:v>
                </c:pt>
                <c:pt idx="3100">
                  <c:v>38492</c:v>
                </c:pt>
                <c:pt idx="3101">
                  <c:v>38491</c:v>
                </c:pt>
                <c:pt idx="3102">
                  <c:v>38490</c:v>
                </c:pt>
                <c:pt idx="3103">
                  <c:v>38489</c:v>
                </c:pt>
                <c:pt idx="3104">
                  <c:v>38488</c:v>
                </c:pt>
                <c:pt idx="3105">
                  <c:v>38485</c:v>
                </c:pt>
                <c:pt idx="3106">
                  <c:v>38484</c:v>
                </c:pt>
                <c:pt idx="3107">
                  <c:v>38483</c:v>
                </c:pt>
                <c:pt idx="3108">
                  <c:v>38482</c:v>
                </c:pt>
                <c:pt idx="3109">
                  <c:v>38481</c:v>
                </c:pt>
                <c:pt idx="3110">
                  <c:v>38478</c:v>
                </c:pt>
                <c:pt idx="3111">
                  <c:v>38477</c:v>
                </c:pt>
                <c:pt idx="3112">
                  <c:v>38476</c:v>
                </c:pt>
                <c:pt idx="3113">
                  <c:v>38475</c:v>
                </c:pt>
                <c:pt idx="3114">
                  <c:v>38474</c:v>
                </c:pt>
                <c:pt idx="3115">
                  <c:v>38471</c:v>
                </c:pt>
                <c:pt idx="3116">
                  <c:v>38470</c:v>
                </c:pt>
                <c:pt idx="3117">
                  <c:v>38469</c:v>
                </c:pt>
                <c:pt idx="3118">
                  <c:v>38468</c:v>
                </c:pt>
                <c:pt idx="3119">
                  <c:v>38467</c:v>
                </c:pt>
                <c:pt idx="3120">
                  <c:v>38464</c:v>
                </c:pt>
                <c:pt idx="3121">
                  <c:v>38463</c:v>
                </c:pt>
                <c:pt idx="3122">
                  <c:v>38462</c:v>
                </c:pt>
                <c:pt idx="3123">
                  <c:v>38461</c:v>
                </c:pt>
                <c:pt idx="3124">
                  <c:v>38460</c:v>
                </c:pt>
                <c:pt idx="3125">
                  <c:v>38457</c:v>
                </c:pt>
                <c:pt idx="3126">
                  <c:v>38456</c:v>
                </c:pt>
                <c:pt idx="3127">
                  <c:v>38455</c:v>
                </c:pt>
                <c:pt idx="3128">
                  <c:v>38454</c:v>
                </c:pt>
                <c:pt idx="3129">
                  <c:v>38453</c:v>
                </c:pt>
                <c:pt idx="3130">
                  <c:v>38450</c:v>
                </c:pt>
                <c:pt idx="3131">
                  <c:v>38449</c:v>
                </c:pt>
                <c:pt idx="3132">
                  <c:v>38448</c:v>
                </c:pt>
                <c:pt idx="3133">
                  <c:v>38447</c:v>
                </c:pt>
                <c:pt idx="3134">
                  <c:v>38446</c:v>
                </c:pt>
                <c:pt idx="3135">
                  <c:v>38443</c:v>
                </c:pt>
                <c:pt idx="3136">
                  <c:v>38442</c:v>
                </c:pt>
                <c:pt idx="3137">
                  <c:v>38441</c:v>
                </c:pt>
                <c:pt idx="3138">
                  <c:v>38440</c:v>
                </c:pt>
                <c:pt idx="3139">
                  <c:v>38439</c:v>
                </c:pt>
                <c:pt idx="3140">
                  <c:v>38436</c:v>
                </c:pt>
                <c:pt idx="3141">
                  <c:v>38435</c:v>
                </c:pt>
                <c:pt idx="3142">
                  <c:v>38434</c:v>
                </c:pt>
                <c:pt idx="3143">
                  <c:v>38433</c:v>
                </c:pt>
                <c:pt idx="3144">
                  <c:v>38432</c:v>
                </c:pt>
                <c:pt idx="3145">
                  <c:v>38429</c:v>
                </c:pt>
                <c:pt idx="3146">
                  <c:v>38428</c:v>
                </c:pt>
                <c:pt idx="3147">
                  <c:v>38427</c:v>
                </c:pt>
                <c:pt idx="3148">
                  <c:v>38426</c:v>
                </c:pt>
                <c:pt idx="3149">
                  <c:v>38425</c:v>
                </c:pt>
                <c:pt idx="3150">
                  <c:v>38422</c:v>
                </c:pt>
                <c:pt idx="3151">
                  <c:v>38421</c:v>
                </c:pt>
                <c:pt idx="3152">
                  <c:v>38420</c:v>
                </c:pt>
                <c:pt idx="3153">
                  <c:v>38419</c:v>
                </c:pt>
                <c:pt idx="3154">
                  <c:v>38418</c:v>
                </c:pt>
                <c:pt idx="3155">
                  <c:v>38415</c:v>
                </c:pt>
                <c:pt idx="3156">
                  <c:v>38414</c:v>
                </c:pt>
                <c:pt idx="3157">
                  <c:v>38413</c:v>
                </c:pt>
                <c:pt idx="3158">
                  <c:v>38412</c:v>
                </c:pt>
                <c:pt idx="3159">
                  <c:v>38411</c:v>
                </c:pt>
                <c:pt idx="3160">
                  <c:v>38408</c:v>
                </c:pt>
                <c:pt idx="3161">
                  <c:v>38407</c:v>
                </c:pt>
                <c:pt idx="3162">
                  <c:v>38406</c:v>
                </c:pt>
                <c:pt idx="3163">
                  <c:v>38405</c:v>
                </c:pt>
                <c:pt idx="3164">
                  <c:v>38404</c:v>
                </c:pt>
                <c:pt idx="3165">
                  <c:v>38401</c:v>
                </c:pt>
                <c:pt idx="3166">
                  <c:v>38400</c:v>
                </c:pt>
                <c:pt idx="3167">
                  <c:v>38399</c:v>
                </c:pt>
                <c:pt idx="3168">
                  <c:v>38398</c:v>
                </c:pt>
                <c:pt idx="3169">
                  <c:v>38397</c:v>
                </c:pt>
                <c:pt idx="3170">
                  <c:v>38394</c:v>
                </c:pt>
                <c:pt idx="3171">
                  <c:v>38393</c:v>
                </c:pt>
                <c:pt idx="3172">
                  <c:v>38392</c:v>
                </c:pt>
                <c:pt idx="3173">
                  <c:v>38391</c:v>
                </c:pt>
                <c:pt idx="3174">
                  <c:v>38390</c:v>
                </c:pt>
                <c:pt idx="3175">
                  <c:v>38387</c:v>
                </c:pt>
                <c:pt idx="3176">
                  <c:v>38386</c:v>
                </c:pt>
                <c:pt idx="3177">
                  <c:v>38385</c:v>
                </c:pt>
                <c:pt idx="3178">
                  <c:v>38384</c:v>
                </c:pt>
                <c:pt idx="3179">
                  <c:v>38383</c:v>
                </c:pt>
                <c:pt idx="3180">
                  <c:v>38380</c:v>
                </c:pt>
                <c:pt idx="3181">
                  <c:v>38379</c:v>
                </c:pt>
                <c:pt idx="3182">
                  <c:v>38378</c:v>
                </c:pt>
                <c:pt idx="3183">
                  <c:v>38377</c:v>
                </c:pt>
                <c:pt idx="3184">
                  <c:v>38376</c:v>
                </c:pt>
                <c:pt idx="3185">
                  <c:v>38373</c:v>
                </c:pt>
                <c:pt idx="3186">
                  <c:v>38372</c:v>
                </c:pt>
                <c:pt idx="3187">
                  <c:v>38371</c:v>
                </c:pt>
                <c:pt idx="3188">
                  <c:v>38370</c:v>
                </c:pt>
                <c:pt idx="3189">
                  <c:v>38369</c:v>
                </c:pt>
                <c:pt idx="3190">
                  <c:v>38366</c:v>
                </c:pt>
                <c:pt idx="3191">
                  <c:v>38365</c:v>
                </c:pt>
                <c:pt idx="3192">
                  <c:v>38364</c:v>
                </c:pt>
                <c:pt idx="3193">
                  <c:v>38363</c:v>
                </c:pt>
                <c:pt idx="3194">
                  <c:v>38362</c:v>
                </c:pt>
                <c:pt idx="3195">
                  <c:v>38359</c:v>
                </c:pt>
                <c:pt idx="3196">
                  <c:v>38358</c:v>
                </c:pt>
                <c:pt idx="3197">
                  <c:v>38357</c:v>
                </c:pt>
                <c:pt idx="3198">
                  <c:v>38356</c:v>
                </c:pt>
                <c:pt idx="3199">
                  <c:v>38355</c:v>
                </c:pt>
                <c:pt idx="3200">
                  <c:v>38352</c:v>
                </c:pt>
                <c:pt idx="3201">
                  <c:v>38351</c:v>
                </c:pt>
                <c:pt idx="3202">
                  <c:v>38350</c:v>
                </c:pt>
                <c:pt idx="3203">
                  <c:v>38349</c:v>
                </c:pt>
                <c:pt idx="3204">
                  <c:v>38348</c:v>
                </c:pt>
                <c:pt idx="3205">
                  <c:v>38345</c:v>
                </c:pt>
                <c:pt idx="3206">
                  <c:v>38344</c:v>
                </c:pt>
                <c:pt idx="3207">
                  <c:v>38343</c:v>
                </c:pt>
                <c:pt idx="3208">
                  <c:v>38342</c:v>
                </c:pt>
                <c:pt idx="3209">
                  <c:v>38341</c:v>
                </c:pt>
                <c:pt idx="3210">
                  <c:v>38338</c:v>
                </c:pt>
                <c:pt idx="3211">
                  <c:v>38337</c:v>
                </c:pt>
                <c:pt idx="3212">
                  <c:v>38336</c:v>
                </c:pt>
                <c:pt idx="3213">
                  <c:v>38335</c:v>
                </c:pt>
                <c:pt idx="3214">
                  <c:v>38334</c:v>
                </c:pt>
                <c:pt idx="3215">
                  <c:v>38331</c:v>
                </c:pt>
                <c:pt idx="3216">
                  <c:v>38330</c:v>
                </c:pt>
                <c:pt idx="3217">
                  <c:v>38329</c:v>
                </c:pt>
                <c:pt idx="3218">
                  <c:v>38328</c:v>
                </c:pt>
                <c:pt idx="3219">
                  <c:v>38327</c:v>
                </c:pt>
                <c:pt idx="3220">
                  <c:v>38324</c:v>
                </c:pt>
                <c:pt idx="3221">
                  <c:v>38323</c:v>
                </c:pt>
                <c:pt idx="3222">
                  <c:v>38322</c:v>
                </c:pt>
                <c:pt idx="3223">
                  <c:v>38321</c:v>
                </c:pt>
                <c:pt idx="3224">
                  <c:v>38320</c:v>
                </c:pt>
                <c:pt idx="3225">
                  <c:v>38317</c:v>
                </c:pt>
                <c:pt idx="3226">
                  <c:v>38316</c:v>
                </c:pt>
                <c:pt idx="3227">
                  <c:v>38315</c:v>
                </c:pt>
                <c:pt idx="3228">
                  <c:v>38314</c:v>
                </c:pt>
                <c:pt idx="3229">
                  <c:v>38313</c:v>
                </c:pt>
                <c:pt idx="3230">
                  <c:v>38310</c:v>
                </c:pt>
                <c:pt idx="3231">
                  <c:v>38309</c:v>
                </c:pt>
                <c:pt idx="3232">
                  <c:v>38308</c:v>
                </c:pt>
                <c:pt idx="3233">
                  <c:v>38307</c:v>
                </c:pt>
                <c:pt idx="3234">
                  <c:v>38306</c:v>
                </c:pt>
                <c:pt idx="3235">
                  <c:v>38303</c:v>
                </c:pt>
                <c:pt idx="3236">
                  <c:v>38302</c:v>
                </c:pt>
                <c:pt idx="3237">
                  <c:v>38301</c:v>
                </c:pt>
                <c:pt idx="3238">
                  <c:v>38300</c:v>
                </c:pt>
                <c:pt idx="3239">
                  <c:v>38299</c:v>
                </c:pt>
                <c:pt idx="3240">
                  <c:v>38296</c:v>
                </c:pt>
                <c:pt idx="3241">
                  <c:v>38295</c:v>
                </c:pt>
                <c:pt idx="3242">
                  <c:v>38294</c:v>
                </c:pt>
                <c:pt idx="3243">
                  <c:v>38293</c:v>
                </c:pt>
                <c:pt idx="3244">
                  <c:v>38292</c:v>
                </c:pt>
                <c:pt idx="3245">
                  <c:v>38289</c:v>
                </c:pt>
                <c:pt idx="3246">
                  <c:v>38288</c:v>
                </c:pt>
                <c:pt idx="3247">
                  <c:v>38287</c:v>
                </c:pt>
                <c:pt idx="3248">
                  <c:v>38286</c:v>
                </c:pt>
                <c:pt idx="3249">
                  <c:v>38285</c:v>
                </c:pt>
                <c:pt idx="3250">
                  <c:v>38282</c:v>
                </c:pt>
                <c:pt idx="3251">
                  <c:v>38281</c:v>
                </c:pt>
                <c:pt idx="3252">
                  <c:v>38280</c:v>
                </c:pt>
                <c:pt idx="3253">
                  <c:v>38279</c:v>
                </c:pt>
                <c:pt idx="3254">
                  <c:v>38278</c:v>
                </c:pt>
                <c:pt idx="3255">
                  <c:v>38275</c:v>
                </c:pt>
                <c:pt idx="3256">
                  <c:v>38274</c:v>
                </c:pt>
                <c:pt idx="3257">
                  <c:v>38273</c:v>
                </c:pt>
                <c:pt idx="3258">
                  <c:v>38272</c:v>
                </c:pt>
                <c:pt idx="3259">
                  <c:v>38271</c:v>
                </c:pt>
                <c:pt idx="3260">
                  <c:v>38268</c:v>
                </c:pt>
                <c:pt idx="3261">
                  <c:v>38267</c:v>
                </c:pt>
                <c:pt idx="3262">
                  <c:v>38266</c:v>
                </c:pt>
                <c:pt idx="3263">
                  <c:v>38265</c:v>
                </c:pt>
                <c:pt idx="3264">
                  <c:v>38264</c:v>
                </c:pt>
                <c:pt idx="3265">
                  <c:v>38261</c:v>
                </c:pt>
                <c:pt idx="3266">
                  <c:v>38260</c:v>
                </c:pt>
                <c:pt idx="3267">
                  <c:v>38259</c:v>
                </c:pt>
                <c:pt idx="3268">
                  <c:v>38258</c:v>
                </c:pt>
                <c:pt idx="3269">
                  <c:v>38257</c:v>
                </c:pt>
                <c:pt idx="3270">
                  <c:v>38254</c:v>
                </c:pt>
                <c:pt idx="3271">
                  <c:v>38253</c:v>
                </c:pt>
                <c:pt idx="3272">
                  <c:v>38252</c:v>
                </c:pt>
                <c:pt idx="3273">
                  <c:v>38251</c:v>
                </c:pt>
                <c:pt idx="3274">
                  <c:v>38250</c:v>
                </c:pt>
                <c:pt idx="3275">
                  <c:v>38247</c:v>
                </c:pt>
                <c:pt idx="3276">
                  <c:v>38246</c:v>
                </c:pt>
                <c:pt idx="3277">
                  <c:v>38245</c:v>
                </c:pt>
                <c:pt idx="3278">
                  <c:v>38244</c:v>
                </c:pt>
                <c:pt idx="3279">
                  <c:v>38243</c:v>
                </c:pt>
                <c:pt idx="3280">
                  <c:v>38240</c:v>
                </c:pt>
                <c:pt idx="3281">
                  <c:v>38239</c:v>
                </c:pt>
                <c:pt idx="3282">
                  <c:v>38238</c:v>
                </c:pt>
                <c:pt idx="3283">
                  <c:v>38237</c:v>
                </c:pt>
                <c:pt idx="3284">
                  <c:v>38236</c:v>
                </c:pt>
                <c:pt idx="3285">
                  <c:v>38233</c:v>
                </c:pt>
                <c:pt idx="3286">
                  <c:v>38232</c:v>
                </c:pt>
                <c:pt idx="3287">
                  <c:v>38231</c:v>
                </c:pt>
                <c:pt idx="3288">
                  <c:v>38230</c:v>
                </c:pt>
                <c:pt idx="3289">
                  <c:v>38229</c:v>
                </c:pt>
                <c:pt idx="3290">
                  <c:v>38226</c:v>
                </c:pt>
                <c:pt idx="3291">
                  <c:v>38225</c:v>
                </c:pt>
                <c:pt idx="3292">
                  <c:v>38224</c:v>
                </c:pt>
                <c:pt idx="3293">
                  <c:v>38223</c:v>
                </c:pt>
                <c:pt idx="3294">
                  <c:v>38222</c:v>
                </c:pt>
                <c:pt idx="3295">
                  <c:v>38219</c:v>
                </c:pt>
                <c:pt idx="3296">
                  <c:v>38218</c:v>
                </c:pt>
                <c:pt idx="3297">
                  <c:v>38217</c:v>
                </c:pt>
                <c:pt idx="3298">
                  <c:v>38216</c:v>
                </c:pt>
                <c:pt idx="3299">
                  <c:v>38215</c:v>
                </c:pt>
                <c:pt idx="3300">
                  <c:v>38212</c:v>
                </c:pt>
                <c:pt idx="3301">
                  <c:v>38211</c:v>
                </c:pt>
                <c:pt idx="3302">
                  <c:v>38210</c:v>
                </c:pt>
                <c:pt idx="3303">
                  <c:v>38209</c:v>
                </c:pt>
                <c:pt idx="3304">
                  <c:v>38208</c:v>
                </c:pt>
                <c:pt idx="3305">
                  <c:v>38205</c:v>
                </c:pt>
                <c:pt idx="3306">
                  <c:v>38204</c:v>
                </c:pt>
                <c:pt idx="3307">
                  <c:v>38203</c:v>
                </c:pt>
                <c:pt idx="3308">
                  <c:v>38202</c:v>
                </c:pt>
                <c:pt idx="3309">
                  <c:v>38201</c:v>
                </c:pt>
                <c:pt idx="3310">
                  <c:v>38198</c:v>
                </c:pt>
                <c:pt idx="3311">
                  <c:v>38197</c:v>
                </c:pt>
                <c:pt idx="3312">
                  <c:v>38196</c:v>
                </c:pt>
                <c:pt idx="3313">
                  <c:v>38195</c:v>
                </c:pt>
                <c:pt idx="3314">
                  <c:v>38194</c:v>
                </c:pt>
                <c:pt idx="3315">
                  <c:v>38191</c:v>
                </c:pt>
                <c:pt idx="3316">
                  <c:v>38190</c:v>
                </c:pt>
                <c:pt idx="3317">
                  <c:v>38189</c:v>
                </c:pt>
                <c:pt idx="3318">
                  <c:v>38188</c:v>
                </c:pt>
                <c:pt idx="3319">
                  <c:v>38187</c:v>
                </c:pt>
                <c:pt idx="3320">
                  <c:v>38184</c:v>
                </c:pt>
                <c:pt idx="3321">
                  <c:v>38183</c:v>
                </c:pt>
                <c:pt idx="3322">
                  <c:v>38182</c:v>
                </c:pt>
                <c:pt idx="3323">
                  <c:v>38181</c:v>
                </c:pt>
                <c:pt idx="3324">
                  <c:v>38180</c:v>
                </c:pt>
                <c:pt idx="3325">
                  <c:v>38177</c:v>
                </c:pt>
                <c:pt idx="3326">
                  <c:v>38176</c:v>
                </c:pt>
                <c:pt idx="3327">
                  <c:v>38175</c:v>
                </c:pt>
                <c:pt idx="3328">
                  <c:v>38174</c:v>
                </c:pt>
                <c:pt idx="3329">
                  <c:v>38173</c:v>
                </c:pt>
                <c:pt idx="3330">
                  <c:v>38170</c:v>
                </c:pt>
                <c:pt idx="3331">
                  <c:v>38169</c:v>
                </c:pt>
                <c:pt idx="3332">
                  <c:v>38168</c:v>
                </c:pt>
                <c:pt idx="3333">
                  <c:v>38167</c:v>
                </c:pt>
                <c:pt idx="3334">
                  <c:v>38166</c:v>
                </c:pt>
                <c:pt idx="3335">
                  <c:v>38163</c:v>
                </c:pt>
                <c:pt idx="3336">
                  <c:v>38162</c:v>
                </c:pt>
                <c:pt idx="3337">
                  <c:v>38161</c:v>
                </c:pt>
                <c:pt idx="3338">
                  <c:v>38160</c:v>
                </c:pt>
                <c:pt idx="3339">
                  <c:v>38159</c:v>
                </c:pt>
                <c:pt idx="3340">
                  <c:v>38156</c:v>
                </c:pt>
                <c:pt idx="3341">
                  <c:v>38155</c:v>
                </c:pt>
                <c:pt idx="3342">
                  <c:v>38154</c:v>
                </c:pt>
                <c:pt idx="3343">
                  <c:v>38153</c:v>
                </c:pt>
                <c:pt idx="3344">
                  <c:v>38152</c:v>
                </c:pt>
                <c:pt idx="3345">
                  <c:v>38149</c:v>
                </c:pt>
                <c:pt idx="3346">
                  <c:v>38148</c:v>
                </c:pt>
                <c:pt idx="3347">
                  <c:v>38147</c:v>
                </c:pt>
                <c:pt idx="3348">
                  <c:v>38146</c:v>
                </c:pt>
                <c:pt idx="3349">
                  <c:v>38145</c:v>
                </c:pt>
                <c:pt idx="3350">
                  <c:v>38142</c:v>
                </c:pt>
                <c:pt idx="3351">
                  <c:v>38141</c:v>
                </c:pt>
                <c:pt idx="3352">
                  <c:v>38140</c:v>
                </c:pt>
                <c:pt idx="3353">
                  <c:v>38139</c:v>
                </c:pt>
                <c:pt idx="3354">
                  <c:v>38138</c:v>
                </c:pt>
                <c:pt idx="3355">
                  <c:v>38135</c:v>
                </c:pt>
                <c:pt idx="3356">
                  <c:v>38134</c:v>
                </c:pt>
                <c:pt idx="3357">
                  <c:v>38133</c:v>
                </c:pt>
                <c:pt idx="3358">
                  <c:v>38132</c:v>
                </c:pt>
                <c:pt idx="3359">
                  <c:v>38131</c:v>
                </c:pt>
                <c:pt idx="3360">
                  <c:v>38128</c:v>
                </c:pt>
                <c:pt idx="3361">
                  <c:v>38127</c:v>
                </c:pt>
                <c:pt idx="3362">
                  <c:v>38126</c:v>
                </c:pt>
                <c:pt idx="3363">
                  <c:v>38125</c:v>
                </c:pt>
                <c:pt idx="3364">
                  <c:v>38124</c:v>
                </c:pt>
                <c:pt idx="3365">
                  <c:v>38121</c:v>
                </c:pt>
                <c:pt idx="3366">
                  <c:v>38120</c:v>
                </c:pt>
                <c:pt idx="3367">
                  <c:v>38119</c:v>
                </c:pt>
                <c:pt idx="3368">
                  <c:v>38118</c:v>
                </c:pt>
                <c:pt idx="3369">
                  <c:v>38117</c:v>
                </c:pt>
                <c:pt idx="3370">
                  <c:v>38114</c:v>
                </c:pt>
                <c:pt idx="3371">
                  <c:v>38113</c:v>
                </c:pt>
                <c:pt idx="3372">
                  <c:v>38112</c:v>
                </c:pt>
                <c:pt idx="3373">
                  <c:v>38111</c:v>
                </c:pt>
                <c:pt idx="3374">
                  <c:v>38110</c:v>
                </c:pt>
                <c:pt idx="3375">
                  <c:v>38107</c:v>
                </c:pt>
                <c:pt idx="3376">
                  <c:v>38106</c:v>
                </c:pt>
                <c:pt idx="3377">
                  <c:v>38105</c:v>
                </c:pt>
                <c:pt idx="3378">
                  <c:v>38104</c:v>
                </c:pt>
                <c:pt idx="3379">
                  <c:v>38103</c:v>
                </c:pt>
                <c:pt idx="3380">
                  <c:v>38100</c:v>
                </c:pt>
                <c:pt idx="3381">
                  <c:v>38099</c:v>
                </c:pt>
                <c:pt idx="3382">
                  <c:v>38098</c:v>
                </c:pt>
                <c:pt idx="3383">
                  <c:v>38097</c:v>
                </c:pt>
                <c:pt idx="3384">
                  <c:v>38096</c:v>
                </c:pt>
                <c:pt idx="3385">
                  <c:v>38093</c:v>
                </c:pt>
                <c:pt idx="3386">
                  <c:v>38092</c:v>
                </c:pt>
                <c:pt idx="3387">
                  <c:v>38091</c:v>
                </c:pt>
                <c:pt idx="3388">
                  <c:v>38090</c:v>
                </c:pt>
                <c:pt idx="3389">
                  <c:v>38089</c:v>
                </c:pt>
                <c:pt idx="3390">
                  <c:v>38086</c:v>
                </c:pt>
                <c:pt idx="3391">
                  <c:v>38085</c:v>
                </c:pt>
                <c:pt idx="3392">
                  <c:v>38084</c:v>
                </c:pt>
                <c:pt idx="3393">
                  <c:v>38083</c:v>
                </c:pt>
                <c:pt idx="3394">
                  <c:v>38082</c:v>
                </c:pt>
                <c:pt idx="3395">
                  <c:v>38079</c:v>
                </c:pt>
                <c:pt idx="3396">
                  <c:v>38078</c:v>
                </c:pt>
                <c:pt idx="3397">
                  <c:v>38077</c:v>
                </c:pt>
                <c:pt idx="3398">
                  <c:v>38076</c:v>
                </c:pt>
                <c:pt idx="3399">
                  <c:v>38075</c:v>
                </c:pt>
                <c:pt idx="3400">
                  <c:v>38072</c:v>
                </c:pt>
                <c:pt idx="3401">
                  <c:v>38071</c:v>
                </c:pt>
                <c:pt idx="3402">
                  <c:v>38070</c:v>
                </c:pt>
                <c:pt idx="3403">
                  <c:v>38069</c:v>
                </c:pt>
                <c:pt idx="3404">
                  <c:v>38068</c:v>
                </c:pt>
                <c:pt idx="3405">
                  <c:v>38065</c:v>
                </c:pt>
                <c:pt idx="3406">
                  <c:v>38064</c:v>
                </c:pt>
                <c:pt idx="3407">
                  <c:v>38063</c:v>
                </c:pt>
                <c:pt idx="3408">
                  <c:v>38062</c:v>
                </c:pt>
                <c:pt idx="3409">
                  <c:v>38061</c:v>
                </c:pt>
                <c:pt idx="3410">
                  <c:v>38058</c:v>
                </c:pt>
                <c:pt idx="3411">
                  <c:v>38057</c:v>
                </c:pt>
                <c:pt idx="3412">
                  <c:v>38056</c:v>
                </c:pt>
                <c:pt idx="3413">
                  <c:v>38055</c:v>
                </c:pt>
                <c:pt idx="3414">
                  <c:v>38054</c:v>
                </c:pt>
                <c:pt idx="3415">
                  <c:v>38051</c:v>
                </c:pt>
                <c:pt idx="3416">
                  <c:v>38050</c:v>
                </c:pt>
                <c:pt idx="3417">
                  <c:v>38049</c:v>
                </c:pt>
                <c:pt idx="3418">
                  <c:v>38048</c:v>
                </c:pt>
                <c:pt idx="3419">
                  <c:v>38047</c:v>
                </c:pt>
                <c:pt idx="3420">
                  <c:v>38044</c:v>
                </c:pt>
                <c:pt idx="3421">
                  <c:v>38043</c:v>
                </c:pt>
                <c:pt idx="3422">
                  <c:v>38042</c:v>
                </c:pt>
                <c:pt idx="3423">
                  <c:v>38041</c:v>
                </c:pt>
                <c:pt idx="3424">
                  <c:v>38040</c:v>
                </c:pt>
                <c:pt idx="3425">
                  <c:v>38037</c:v>
                </c:pt>
                <c:pt idx="3426">
                  <c:v>38036</c:v>
                </c:pt>
                <c:pt idx="3427">
                  <c:v>38035</c:v>
                </c:pt>
                <c:pt idx="3428">
                  <c:v>38034</c:v>
                </c:pt>
                <c:pt idx="3429">
                  <c:v>38033</c:v>
                </c:pt>
                <c:pt idx="3430">
                  <c:v>38030</c:v>
                </c:pt>
                <c:pt idx="3431">
                  <c:v>38029</c:v>
                </c:pt>
                <c:pt idx="3432">
                  <c:v>38028</c:v>
                </c:pt>
                <c:pt idx="3433">
                  <c:v>38027</c:v>
                </c:pt>
                <c:pt idx="3434">
                  <c:v>38026</c:v>
                </c:pt>
                <c:pt idx="3435">
                  <c:v>38023</c:v>
                </c:pt>
                <c:pt idx="3436">
                  <c:v>38022</c:v>
                </c:pt>
                <c:pt idx="3437">
                  <c:v>38021</c:v>
                </c:pt>
                <c:pt idx="3438">
                  <c:v>38020</c:v>
                </c:pt>
                <c:pt idx="3439">
                  <c:v>38019</c:v>
                </c:pt>
                <c:pt idx="3440">
                  <c:v>38016</c:v>
                </c:pt>
                <c:pt idx="3441">
                  <c:v>38015</c:v>
                </c:pt>
                <c:pt idx="3442">
                  <c:v>38014</c:v>
                </c:pt>
                <c:pt idx="3443">
                  <c:v>38013</c:v>
                </c:pt>
                <c:pt idx="3444">
                  <c:v>38012</c:v>
                </c:pt>
                <c:pt idx="3445">
                  <c:v>38009</c:v>
                </c:pt>
                <c:pt idx="3446">
                  <c:v>38008</c:v>
                </c:pt>
                <c:pt idx="3447">
                  <c:v>38007</c:v>
                </c:pt>
                <c:pt idx="3448">
                  <c:v>38006</c:v>
                </c:pt>
                <c:pt idx="3449">
                  <c:v>38005</c:v>
                </c:pt>
                <c:pt idx="3450">
                  <c:v>38002</c:v>
                </c:pt>
                <c:pt idx="3451">
                  <c:v>38001</c:v>
                </c:pt>
                <c:pt idx="3452">
                  <c:v>38000</c:v>
                </c:pt>
                <c:pt idx="3453">
                  <c:v>37999</c:v>
                </c:pt>
                <c:pt idx="3454">
                  <c:v>37998</c:v>
                </c:pt>
                <c:pt idx="3455">
                  <c:v>37995</c:v>
                </c:pt>
                <c:pt idx="3456">
                  <c:v>37994</c:v>
                </c:pt>
                <c:pt idx="3457">
                  <c:v>37993</c:v>
                </c:pt>
                <c:pt idx="3458">
                  <c:v>37992</c:v>
                </c:pt>
                <c:pt idx="3459">
                  <c:v>37991</c:v>
                </c:pt>
                <c:pt idx="3460">
                  <c:v>37988</c:v>
                </c:pt>
                <c:pt idx="3461">
                  <c:v>37987</c:v>
                </c:pt>
                <c:pt idx="3462">
                  <c:v>37986</c:v>
                </c:pt>
                <c:pt idx="3463">
                  <c:v>37985</c:v>
                </c:pt>
                <c:pt idx="3464">
                  <c:v>37984</c:v>
                </c:pt>
                <c:pt idx="3465">
                  <c:v>37981</c:v>
                </c:pt>
                <c:pt idx="3466">
                  <c:v>37980</c:v>
                </c:pt>
                <c:pt idx="3467">
                  <c:v>37979</c:v>
                </c:pt>
                <c:pt idx="3468">
                  <c:v>37978</c:v>
                </c:pt>
                <c:pt idx="3469">
                  <c:v>37977</c:v>
                </c:pt>
                <c:pt idx="3470">
                  <c:v>37974</c:v>
                </c:pt>
                <c:pt idx="3471">
                  <c:v>37973</c:v>
                </c:pt>
                <c:pt idx="3472">
                  <c:v>37972</c:v>
                </c:pt>
                <c:pt idx="3473">
                  <c:v>37971</c:v>
                </c:pt>
                <c:pt idx="3474">
                  <c:v>37970</c:v>
                </c:pt>
                <c:pt idx="3475">
                  <c:v>37967</c:v>
                </c:pt>
                <c:pt idx="3476">
                  <c:v>37966</c:v>
                </c:pt>
                <c:pt idx="3477">
                  <c:v>37965</c:v>
                </c:pt>
                <c:pt idx="3478">
                  <c:v>37964</c:v>
                </c:pt>
                <c:pt idx="3479">
                  <c:v>37963</c:v>
                </c:pt>
                <c:pt idx="3480">
                  <c:v>37960</c:v>
                </c:pt>
                <c:pt idx="3481">
                  <c:v>37959</c:v>
                </c:pt>
                <c:pt idx="3482">
                  <c:v>37958</c:v>
                </c:pt>
                <c:pt idx="3483">
                  <c:v>37957</c:v>
                </c:pt>
                <c:pt idx="3484">
                  <c:v>37956</c:v>
                </c:pt>
                <c:pt idx="3485">
                  <c:v>37953</c:v>
                </c:pt>
                <c:pt idx="3486">
                  <c:v>37952</c:v>
                </c:pt>
                <c:pt idx="3487">
                  <c:v>37951</c:v>
                </c:pt>
                <c:pt idx="3488">
                  <c:v>37950</c:v>
                </c:pt>
                <c:pt idx="3489">
                  <c:v>37949</c:v>
                </c:pt>
                <c:pt idx="3490">
                  <c:v>37946</c:v>
                </c:pt>
                <c:pt idx="3491">
                  <c:v>37945</c:v>
                </c:pt>
                <c:pt idx="3492">
                  <c:v>37944</c:v>
                </c:pt>
                <c:pt idx="3493">
                  <c:v>37943</c:v>
                </c:pt>
                <c:pt idx="3494">
                  <c:v>37942</c:v>
                </c:pt>
                <c:pt idx="3495">
                  <c:v>37939</c:v>
                </c:pt>
                <c:pt idx="3496">
                  <c:v>37938</c:v>
                </c:pt>
                <c:pt idx="3497">
                  <c:v>37937</c:v>
                </c:pt>
                <c:pt idx="3498">
                  <c:v>37936</c:v>
                </c:pt>
                <c:pt idx="3499">
                  <c:v>37935</c:v>
                </c:pt>
                <c:pt idx="3500">
                  <c:v>37932</c:v>
                </c:pt>
                <c:pt idx="3501">
                  <c:v>37931</c:v>
                </c:pt>
                <c:pt idx="3502">
                  <c:v>37930</c:v>
                </c:pt>
                <c:pt idx="3503">
                  <c:v>37929</c:v>
                </c:pt>
                <c:pt idx="3504">
                  <c:v>37928</c:v>
                </c:pt>
                <c:pt idx="3505">
                  <c:v>37925</c:v>
                </c:pt>
                <c:pt idx="3506">
                  <c:v>37924</c:v>
                </c:pt>
                <c:pt idx="3507">
                  <c:v>37923</c:v>
                </c:pt>
                <c:pt idx="3508">
                  <c:v>37922</c:v>
                </c:pt>
                <c:pt idx="3509">
                  <c:v>37921</c:v>
                </c:pt>
                <c:pt idx="3510">
                  <c:v>37918</c:v>
                </c:pt>
                <c:pt idx="3511">
                  <c:v>37917</c:v>
                </c:pt>
                <c:pt idx="3512">
                  <c:v>37916</c:v>
                </c:pt>
                <c:pt idx="3513">
                  <c:v>37915</c:v>
                </c:pt>
                <c:pt idx="3514">
                  <c:v>37914</c:v>
                </c:pt>
                <c:pt idx="3515">
                  <c:v>37911</c:v>
                </c:pt>
                <c:pt idx="3516">
                  <c:v>37910</c:v>
                </c:pt>
                <c:pt idx="3517">
                  <c:v>37909</c:v>
                </c:pt>
                <c:pt idx="3518">
                  <c:v>37908</c:v>
                </c:pt>
                <c:pt idx="3519">
                  <c:v>37907</c:v>
                </c:pt>
                <c:pt idx="3520">
                  <c:v>37904</c:v>
                </c:pt>
                <c:pt idx="3521">
                  <c:v>37903</c:v>
                </c:pt>
                <c:pt idx="3522">
                  <c:v>37902</c:v>
                </c:pt>
                <c:pt idx="3523">
                  <c:v>37901</c:v>
                </c:pt>
                <c:pt idx="3524">
                  <c:v>37900</c:v>
                </c:pt>
                <c:pt idx="3525">
                  <c:v>37897</c:v>
                </c:pt>
                <c:pt idx="3526">
                  <c:v>37896</c:v>
                </c:pt>
                <c:pt idx="3527">
                  <c:v>37895</c:v>
                </c:pt>
                <c:pt idx="3528">
                  <c:v>37894</c:v>
                </c:pt>
                <c:pt idx="3529">
                  <c:v>37893</c:v>
                </c:pt>
                <c:pt idx="3530">
                  <c:v>37890</c:v>
                </c:pt>
                <c:pt idx="3531">
                  <c:v>37889</c:v>
                </c:pt>
                <c:pt idx="3532">
                  <c:v>37888</c:v>
                </c:pt>
                <c:pt idx="3533">
                  <c:v>37887</c:v>
                </c:pt>
                <c:pt idx="3534">
                  <c:v>37886</c:v>
                </c:pt>
                <c:pt idx="3535">
                  <c:v>37883</c:v>
                </c:pt>
                <c:pt idx="3536">
                  <c:v>37882</c:v>
                </c:pt>
                <c:pt idx="3537">
                  <c:v>37881</c:v>
                </c:pt>
                <c:pt idx="3538">
                  <c:v>37880</c:v>
                </c:pt>
                <c:pt idx="3539">
                  <c:v>37879</c:v>
                </c:pt>
                <c:pt idx="3540">
                  <c:v>37876</c:v>
                </c:pt>
                <c:pt idx="3541">
                  <c:v>37875</c:v>
                </c:pt>
                <c:pt idx="3542">
                  <c:v>37874</c:v>
                </c:pt>
                <c:pt idx="3543">
                  <c:v>37873</c:v>
                </c:pt>
                <c:pt idx="3544">
                  <c:v>37872</c:v>
                </c:pt>
                <c:pt idx="3545">
                  <c:v>37869</c:v>
                </c:pt>
                <c:pt idx="3546">
                  <c:v>37868</c:v>
                </c:pt>
                <c:pt idx="3547">
                  <c:v>37867</c:v>
                </c:pt>
                <c:pt idx="3548">
                  <c:v>37866</c:v>
                </c:pt>
                <c:pt idx="3549">
                  <c:v>37865</c:v>
                </c:pt>
                <c:pt idx="3550">
                  <c:v>37862</c:v>
                </c:pt>
                <c:pt idx="3551">
                  <c:v>37861</c:v>
                </c:pt>
                <c:pt idx="3552">
                  <c:v>37860</c:v>
                </c:pt>
                <c:pt idx="3553">
                  <c:v>37859</c:v>
                </c:pt>
                <c:pt idx="3554">
                  <c:v>37858</c:v>
                </c:pt>
                <c:pt idx="3555">
                  <c:v>37855</c:v>
                </c:pt>
                <c:pt idx="3556">
                  <c:v>37854</c:v>
                </c:pt>
                <c:pt idx="3557">
                  <c:v>37853</c:v>
                </c:pt>
                <c:pt idx="3558">
                  <c:v>37852</c:v>
                </c:pt>
                <c:pt idx="3559">
                  <c:v>37851</c:v>
                </c:pt>
                <c:pt idx="3560">
                  <c:v>37848</c:v>
                </c:pt>
                <c:pt idx="3561">
                  <c:v>37847</c:v>
                </c:pt>
                <c:pt idx="3562">
                  <c:v>37846</c:v>
                </c:pt>
                <c:pt idx="3563">
                  <c:v>37845</c:v>
                </c:pt>
                <c:pt idx="3564">
                  <c:v>37844</c:v>
                </c:pt>
                <c:pt idx="3565">
                  <c:v>37841</c:v>
                </c:pt>
                <c:pt idx="3566">
                  <c:v>37840</c:v>
                </c:pt>
                <c:pt idx="3567">
                  <c:v>37839</c:v>
                </c:pt>
                <c:pt idx="3568">
                  <c:v>37838</c:v>
                </c:pt>
                <c:pt idx="3569">
                  <c:v>37837</c:v>
                </c:pt>
                <c:pt idx="3570">
                  <c:v>37834</c:v>
                </c:pt>
                <c:pt idx="3571">
                  <c:v>37833</c:v>
                </c:pt>
                <c:pt idx="3572">
                  <c:v>37832</c:v>
                </c:pt>
                <c:pt idx="3573">
                  <c:v>37831</c:v>
                </c:pt>
                <c:pt idx="3574">
                  <c:v>37830</c:v>
                </c:pt>
                <c:pt idx="3575">
                  <c:v>37827</c:v>
                </c:pt>
                <c:pt idx="3576">
                  <c:v>37826</c:v>
                </c:pt>
                <c:pt idx="3577">
                  <c:v>37825</c:v>
                </c:pt>
                <c:pt idx="3578">
                  <c:v>37824</c:v>
                </c:pt>
                <c:pt idx="3579">
                  <c:v>37823</c:v>
                </c:pt>
                <c:pt idx="3580">
                  <c:v>37820</c:v>
                </c:pt>
                <c:pt idx="3581">
                  <c:v>37819</c:v>
                </c:pt>
                <c:pt idx="3582">
                  <c:v>37818</c:v>
                </c:pt>
                <c:pt idx="3583">
                  <c:v>37817</c:v>
                </c:pt>
                <c:pt idx="3584">
                  <c:v>37816</c:v>
                </c:pt>
                <c:pt idx="3585">
                  <c:v>37813</c:v>
                </c:pt>
                <c:pt idx="3586">
                  <c:v>37812</c:v>
                </c:pt>
                <c:pt idx="3587">
                  <c:v>37811</c:v>
                </c:pt>
                <c:pt idx="3588">
                  <c:v>37810</c:v>
                </c:pt>
                <c:pt idx="3589">
                  <c:v>37809</c:v>
                </c:pt>
                <c:pt idx="3590">
                  <c:v>37806</c:v>
                </c:pt>
                <c:pt idx="3591">
                  <c:v>37805</c:v>
                </c:pt>
                <c:pt idx="3592">
                  <c:v>37804</c:v>
                </c:pt>
                <c:pt idx="3593">
                  <c:v>37803</c:v>
                </c:pt>
                <c:pt idx="3594">
                  <c:v>37802</c:v>
                </c:pt>
                <c:pt idx="3595">
                  <c:v>37799</c:v>
                </c:pt>
                <c:pt idx="3596">
                  <c:v>37798</c:v>
                </c:pt>
                <c:pt idx="3597">
                  <c:v>37797</c:v>
                </c:pt>
                <c:pt idx="3598">
                  <c:v>37796</c:v>
                </c:pt>
                <c:pt idx="3599">
                  <c:v>37795</c:v>
                </c:pt>
                <c:pt idx="3600">
                  <c:v>37792</c:v>
                </c:pt>
                <c:pt idx="3601">
                  <c:v>37791</c:v>
                </c:pt>
                <c:pt idx="3602">
                  <c:v>37790</c:v>
                </c:pt>
                <c:pt idx="3603">
                  <c:v>37789</c:v>
                </c:pt>
                <c:pt idx="3604">
                  <c:v>37788</c:v>
                </c:pt>
                <c:pt idx="3605">
                  <c:v>37785</c:v>
                </c:pt>
                <c:pt idx="3606">
                  <c:v>37784</c:v>
                </c:pt>
                <c:pt idx="3607">
                  <c:v>37783</c:v>
                </c:pt>
                <c:pt idx="3608">
                  <c:v>37782</c:v>
                </c:pt>
                <c:pt idx="3609">
                  <c:v>37781</c:v>
                </c:pt>
                <c:pt idx="3610">
                  <c:v>37778</c:v>
                </c:pt>
                <c:pt idx="3611">
                  <c:v>37777</c:v>
                </c:pt>
                <c:pt idx="3612">
                  <c:v>37776</c:v>
                </c:pt>
                <c:pt idx="3613">
                  <c:v>37775</c:v>
                </c:pt>
                <c:pt idx="3614">
                  <c:v>37774</c:v>
                </c:pt>
                <c:pt idx="3615">
                  <c:v>37771</c:v>
                </c:pt>
                <c:pt idx="3616">
                  <c:v>37770</c:v>
                </c:pt>
                <c:pt idx="3617">
                  <c:v>37769</c:v>
                </c:pt>
                <c:pt idx="3618">
                  <c:v>37768</c:v>
                </c:pt>
                <c:pt idx="3619">
                  <c:v>37767</c:v>
                </c:pt>
                <c:pt idx="3620">
                  <c:v>37764</c:v>
                </c:pt>
                <c:pt idx="3621">
                  <c:v>37763</c:v>
                </c:pt>
                <c:pt idx="3622">
                  <c:v>37762</c:v>
                </c:pt>
                <c:pt idx="3623">
                  <c:v>37761</c:v>
                </c:pt>
                <c:pt idx="3624">
                  <c:v>37760</c:v>
                </c:pt>
                <c:pt idx="3625">
                  <c:v>37757</c:v>
                </c:pt>
                <c:pt idx="3626">
                  <c:v>37756</c:v>
                </c:pt>
                <c:pt idx="3627">
                  <c:v>37755</c:v>
                </c:pt>
                <c:pt idx="3628">
                  <c:v>37754</c:v>
                </c:pt>
                <c:pt idx="3629">
                  <c:v>37753</c:v>
                </c:pt>
                <c:pt idx="3630">
                  <c:v>37750</c:v>
                </c:pt>
                <c:pt idx="3631">
                  <c:v>37749</c:v>
                </c:pt>
                <c:pt idx="3632">
                  <c:v>37748</c:v>
                </c:pt>
                <c:pt idx="3633">
                  <c:v>37747</c:v>
                </c:pt>
                <c:pt idx="3634">
                  <c:v>37746</c:v>
                </c:pt>
                <c:pt idx="3635">
                  <c:v>37743</c:v>
                </c:pt>
                <c:pt idx="3636">
                  <c:v>37742</c:v>
                </c:pt>
                <c:pt idx="3637">
                  <c:v>37741</c:v>
                </c:pt>
                <c:pt idx="3638">
                  <c:v>37740</c:v>
                </c:pt>
                <c:pt idx="3639">
                  <c:v>37739</c:v>
                </c:pt>
                <c:pt idx="3640">
                  <c:v>37736</c:v>
                </c:pt>
                <c:pt idx="3641">
                  <c:v>37735</c:v>
                </c:pt>
                <c:pt idx="3642">
                  <c:v>37734</c:v>
                </c:pt>
                <c:pt idx="3643">
                  <c:v>37733</c:v>
                </c:pt>
                <c:pt idx="3644">
                  <c:v>37732</c:v>
                </c:pt>
                <c:pt idx="3645">
                  <c:v>37729</c:v>
                </c:pt>
                <c:pt idx="3646">
                  <c:v>37728</c:v>
                </c:pt>
                <c:pt idx="3647">
                  <c:v>37727</c:v>
                </c:pt>
                <c:pt idx="3648">
                  <c:v>37726</c:v>
                </c:pt>
                <c:pt idx="3649">
                  <c:v>37725</c:v>
                </c:pt>
                <c:pt idx="3650">
                  <c:v>37722</c:v>
                </c:pt>
                <c:pt idx="3651">
                  <c:v>37721</c:v>
                </c:pt>
                <c:pt idx="3652">
                  <c:v>37720</c:v>
                </c:pt>
                <c:pt idx="3653">
                  <c:v>37719</c:v>
                </c:pt>
                <c:pt idx="3654">
                  <c:v>37718</c:v>
                </c:pt>
                <c:pt idx="3655">
                  <c:v>37715</c:v>
                </c:pt>
                <c:pt idx="3656">
                  <c:v>37714</c:v>
                </c:pt>
                <c:pt idx="3657">
                  <c:v>37713</c:v>
                </c:pt>
                <c:pt idx="3658">
                  <c:v>37712</c:v>
                </c:pt>
                <c:pt idx="3659">
                  <c:v>37711</c:v>
                </c:pt>
                <c:pt idx="3660">
                  <c:v>37708</c:v>
                </c:pt>
                <c:pt idx="3661">
                  <c:v>37707</c:v>
                </c:pt>
                <c:pt idx="3662">
                  <c:v>37706</c:v>
                </c:pt>
                <c:pt idx="3663">
                  <c:v>37705</c:v>
                </c:pt>
                <c:pt idx="3664">
                  <c:v>37704</c:v>
                </c:pt>
                <c:pt idx="3665">
                  <c:v>37701</c:v>
                </c:pt>
                <c:pt idx="3666">
                  <c:v>37700</c:v>
                </c:pt>
                <c:pt idx="3667">
                  <c:v>37699</c:v>
                </c:pt>
                <c:pt idx="3668">
                  <c:v>37698</c:v>
                </c:pt>
                <c:pt idx="3669">
                  <c:v>37697</c:v>
                </c:pt>
                <c:pt idx="3670">
                  <c:v>37694</c:v>
                </c:pt>
                <c:pt idx="3671">
                  <c:v>37693</c:v>
                </c:pt>
                <c:pt idx="3672">
                  <c:v>37692</c:v>
                </c:pt>
                <c:pt idx="3673">
                  <c:v>37691</c:v>
                </c:pt>
                <c:pt idx="3674">
                  <c:v>37690</c:v>
                </c:pt>
                <c:pt idx="3675">
                  <c:v>37687</c:v>
                </c:pt>
                <c:pt idx="3676">
                  <c:v>37686</c:v>
                </c:pt>
                <c:pt idx="3677">
                  <c:v>37685</c:v>
                </c:pt>
                <c:pt idx="3678">
                  <c:v>37684</c:v>
                </c:pt>
                <c:pt idx="3679">
                  <c:v>37683</c:v>
                </c:pt>
                <c:pt idx="3680">
                  <c:v>37680</c:v>
                </c:pt>
                <c:pt idx="3681">
                  <c:v>37679</c:v>
                </c:pt>
                <c:pt idx="3682">
                  <c:v>37678</c:v>
                </c:pt>
                <c:pt idx="3683">
                  <c:v>37677</c:v>
                </c:pt>
                <c:pt idx="3684">
                  <c:v>37676</c:v>
                </c:pt>
                <c:pt idx="3685">
                  <c:v>37673</c:v>
                </c:pt>
                <c:pt idx="3686">
                  <c:v>37672</c:v>
                </c:pt>
                <c:pt idx="3687">
                  <c:v>37671</c:v>
                </c:pt>
                <c:pt idx="3688">
                  <c:v>37670</c:v>
                </c:pt>
                <c:pt idx="3689">
                  <c:v>37669</c:v>
                </c:pt>
                <c:pt idx="3690">
                  <c:v>37666</c:v>
                </c:pt>
                <c:pt idx="3691">
                  <c:v>37665</c:v>
                </c:pt>
                <c:pt idx="3692">
                  <c:v>37664</c:v>
                </c:pt>
                <c:pt idx="3693">
                  <c:v>37663</c:v>
                </c:pt>
                <c:pt idx="3694">
                  <c:v>37662</c:v>
                </c:pt>
                <c:pt idx="3695">
                  <c:v>37659</c:v>
                </c:pt>
                <c:pt idx="3696">
                  <c:v>37658</c:v>
                </c:pt>
                <c:pt idx="3697">
                  <c:v>37657</c:v>
                </c:pt>
                <c:pt idx="3698">
                  <c:v>37656</c:v>
                </c:pt>
                <c:pt idx="3699">
                  <c:v>37655</c:v>
                </c:pt>
                <c:pt idx="3700">
                  <c:v>37652</c:v>
                </c:pt>
                <c:pt idx="3701">
                  <c:v>37651</c:v>
                </c:pt>
                <c:pt idx="3702">
                  <c:v>37650</c:v>
                </c:pt>
                <c:pt idx="3703">
                  <c:v>37649</c:v>
                </c:pt>
                <c:pt idx="3704">
                  <c:v>37648</c:v>
                </c:pt>
                <c:pt idx="3705">
                  <c:v>37645</c:v>
                </c:pt>
                <c:pt idx="3706">
                  <c:v>37644</c:v>
                </c:pt>
                <c:pt idx="3707">
                  <c:v>37643</c:v>
                </c:pt>
                <c:pt idx="3708">
                  <c:v>37642</c:v>
                </c:pt>
                <c:pt idx="3709">
                  <c:v>37641</c:v>
                </c:pt>
                <c:pt idx="3710">
                  <c:v>37638</c:v>
                </c:pt>
                <c:pt idx="3711">
                  <c:v>37637</c:v>
                </c:pt>
                <c:pt idx="3712">
                  <c:v>37636</c:v>
                </c:pt>
                <c:pt idx="3713">
                  <c:v>37635</c:v>
                </c:pt>
                <c:pt idx="3714">
                  <c:v>37634</c:v>
                </c:pt>
                <c:pt idx="3715">
                  <c:v>37631</c:v>
                </c:pt>
                <c:pt idx="3716">
                  <c:v>37630</c:v>
                </c:pt>
                <c:pt idx="3717">
                  <c:v>37629</c:v>
                </c:pt>
                <c:pt idx="3718">
                  <c:v>37628</c:v>
                </c:pt>
                <c:pt idx="3719">
                  <c:v>37627</c:v>
                </c:pt>
                <c:pt idx="3720">
                  <c:v>37624</c:v>
                </c:pt>
                <c:pt idx="3721">
                  <c:v>37623</c:v>
                </c:pt>
                <c:pt idx="3722">
                  <c:v>37622</c:v>
                </c:pt>
                <c:pt idx="3723">
                  <c:v>37621</c:v>
                </c:pt>
                <c:pt idx="3724">
                  <c:v>37620</c:v>
                </c:pt>
                <c:pt idx="3725">
                  <c:v>37617</c:v>
                </c:pt>
                <c:pt idx="3726">
                  <c:v>37616</c:v>
                </c:pt>
                <c:pt idx="3727">
                  <c:v>37615</c:v>
                </c:pt>
                <c:pt idx="3728">
                  <c:v>37614</c:v>
                </c:pt>
                <c:pt idx="3729">
                  <c:v>37613</c:v>
                </c:pt>
                <c:pt idx="3730">
                  <c:v>37610</c:v>
                </c:pt>
                <c:pt idx="3731">
                  <c:v>37609</c:v>
                </c:pt>
                <c:pt idx="3732">
                  <c:v>37608</c:v>
                </c:pt>
                <c:pt idx="3733">
                  <c:v>37607</c:v>
                </c:pt>
                <c:pt idx="3734">
                  <c:v>37606</c:v>
                </c:pt>
                <c:pt idx="3735">
                  <c:v>37603</c:v>
                </c:pt>
                <c:pt idx="3736">
                  <c:v>37602</c:v>
                </c:pt>
                <c:pt idx="3737">
                  <c:v>37601</c:v>
                </c:pt>
                <c:pt idx="3738">
                  <c:v>37600</c:v>
                </c:pt>
                <c:pt idx="3739">
                  <c:v>37599</c:v>
                </c:pt>
                <c:pt idx="3740">
                  <c:v>37596</c:v>
                </c:pt>
                <c:pt idx="3741">
                  <c:v>37595</c:v>
                </c:pt>
                <c:pt idx="3742">
                  <c:v>37594</c:v>
                </c:pt>
                <c:pt idx="3743">
                  <c:v>37593</c:v>
                </c:pt>
                <c:pt idx="3744">
                  <c:v>37592</c:v>
                </c:pt>
                <c:pt idx="3745">
                  <c:v>37589</c:v>
                </c:pt>
                <c:pt idx="3746">
                  <c:v>37588</c:v>
                </c:pt>
                <c:pt idx="3747">
                  <c:v>37587</c:v>
                </c:pt>
                <c:pt idx="3748">
                  <c:v>37586</c:v>
                </c:pt>
                <c:pt idx="3749">
                  <c:v>37585</c:v>
                </c:pt>
                <c:pt idx="3750">
                  <c:v>37582</c:v>
                </c:pt>
                <c:pt idx="3751">
                  <c:v>37581</c:v>
                </c:pt>
                <c:pt idx="3752">
                  <c:v>37580</c:v>
                </c:pt>
                <c:pt idx="3753">
                  <c:v>37579</c:v>
                </c:pt>
                <c:pt idx="3754">
                  <c:v>37578</c:v>
                </c:pt>
                <c:pt idx="3755">
                  <c:v>37575</c:v>
                </c:pt>
                <c:pt idx="3756">
                  <c:v>37574</c:v>
                </c:pt>
                <c:pt idx="3757">
                  <c:v>37573</c:v>
                </c:pt>
                <c:pt idx="3758">
                  <c:v>37572</c:v>
                </c:pt>
                <c:pt idx="3759">
                  <c:v>37571</c:v>
                </c:pt>
                <c:pt idx="3760">
                  <c:v>37568</c:v>
                </c:pt>
                <c:pt idx="3761">
                  <c:v>37567</c:v>
                </c:pt>
                <c:pt idx="3762">
                  <c:v>37566</c:v>
                </c:pt>
                <c:pt idx="3763">
                  <c:v>37565</c:v>
                </c:pt>
                <c:pt idx="3764">
                  <c:v>37564</c:v>
                </c:pt>
                <c:pt idx="3765">
                  <c:v>37561</c:v>
                </c:pt>
                <c:pt idx="3766">
                  <c:v>37560</c:v>
                </c:pt>
                <c:pt idx="3767">
                  <c:v>37559</c:v>
                </c:pt>
                <c:pt idx="3768">
                  <c:v>37558</c:v>
                </c:pt>
                <c:pt idx="3769">
                  <c:v>37557</c:v>
                </c:pt>
                <c:pt idx="3770">
                  <c:v>37554</c:v>
                </c:pt>
                <c:pt idx="3771">
                  <c:v>37553</c:v>
                </c:pt>
                <c:pt idx="3772">
                  <c:v>37552</c:v>
                </c:pt>
                <c:pt idx="3773">
                  <c:v>37551</c:v>
                </c:pt>
                <c:pt idx="3774">
                  <c:v>37550</c:v>
                </c:pt>
                <c:pt idx="3775">
                  <c:v>37547</c:v>
                </c:pt>
                <c:pt idx="3776">
                  <c:v>37546</c:v>
                </c:pt>
                <c:pt idx="3777">
                  <c:v>37545</c:v>
                </c:pt>
                <c:pt idx="3778">
                  <c:v>37544</c:v>
                </c:pt>
                <c:pt idx="3779">
                  <c:v>37543</c:v>
                </c:pt>
                <c:pt idx="3780">
                  <c:v>37540</c:v>
                </c:pt>
                <c:pt idx="3781">
                  <c:v>37539</c:v>
                </c:pt>
                <c:pt idx="3782">
                  <c:v>37538</c:v>
                </c:pt>
                <c:pt idx="3783">
                  <c:v>37537</c:v>
                </c:pt>
                <c:pt idx="3784">
                  <c:v>37536</c:v>
                </c:pt>
                <c:pt idx="3785">
                  <c:v>37533</c:v>
                </c:pt>
                <c:pt idx="3786">
                  <c:v>37532</c:v>
                </c:pt>
                <c:pt idx="3787">
                  <c:v>37531</c:v>
                </c:pt>
                <c:pt idx="3788">
                  <c:v>37530</c:v>
                </c:pt>
                <c:pt idx="3789">
                  <c:v>37529</c:v>
                </c:pt>
                <c:pt idx="3790">
                  <c:v>37526</c:v>
                </c:pt>
                <c:pt idx="3791">
                  <c:v>37525</c:v>
                </c:pt>
                <c:pt idx="3792">
                  <c:v>37524</c:v>
                </c:pt>
                <c:pt idx="3793">
                  <c:v>37523</c:v>
                </c:pt>
                <c:pt idx="3794">
                  <c:v>37522</c:v>
                </c:pt>
                <c:pt idx="3795">
                  <c:v>37519</c:v>
                </c:pt>
                <c:pt idx="3796">
                  <c:v>37518</c:v>
                </c:pt>
                <c:pt idx="3797">
                  <c:v>37517</c:v>
                </c:pt>
                <c:pt idx="3798">
                  <c:v>37516</c:v>
                </c:pt>
                <c:pt idx="3799">
                  <c:v>37515</c:v>
                </c:pt>
                <c:pt idx="3800">
                  <c:v>37512</c:v>
                </c:pt>
                <c:pt idx="3801">
                  <c:v>37511</c:v>
                </c:pt>
                <c:pt idx="3802">
                  <c:v>37510</c:v>
                </c:pt>
                <c:pt idx="3803">
                  <c:v>37509</c:v>
                </c:pt>
                <c:pt idx="3804">
                  <c:v>37508</c:v>
                </c:pt>
                <c:pt idx="3805">
                  <c:v>37505</c:v>
                </c:pt>
                <c:pt idx="3806">
                  <c:v>37504</c:v>
                </c:pt>
                <c:pt idx="3807">
                  <c:v>37503</c:v>
                </c:pt>
                <c:pt idx="3808">
                  <c:v>37502</c:v>
                </c:pt>
                <c:pt idx="3809">
                  <c:v>37501</c:v>
                </c:pt>
                <c:pt idx="3810">
                  <c:v>37498</c:v>
                </c:pt>
                <c:pt idx="3811">
                  <c:v>37497</c:v>
                </c:pt>
                <c:pt idx="3812">
                  <c:v>37496</c:v>
                </c:pt>
                <c:pt idx="3813">
                  <c:v>37495</c:v>
                </c:pt>
                <c:pt idx="3814">
                  <c:v>37494</c:v>
                </c:pt>
                <c:pt idx="3815">
                  <c:v>37491</c:v>
                </c:pt>
                <c:pt idx="3816">
                  <c:v>37490</c:v>
                </c:pt>
                <c:pt idx="3817">
                  <c:v>37489</c:v>
                </c:pt>
                <c:pt idx="3818">
                  <c:v>37488</c:v>
                </c:pt>
                <c:pt idx="3819">
                  <c:v>37487</c:v>
                </c:pt>
                <c:pt idx="3820">
                  <c:v>37484</c:v>
                </c:pt>
                <c:pt idx="3821">
                  <c:v>37483</c:v>
                </c:pt>
                <c:pt idx="3822">
                  <c:v>37482</c:v>
                </c:pt>
                <c:pt idx="3823">
                  <c:v>37481</c:v>
                </c:pt>
                <c:pt idx="3824">
                  <c:v>37480</c:v>
                </c:pt>
                <c:pt idx="3825">
                  <c:v>37477</c:v>
                </c:pt>
                <c:pt idx="3826">
                  <c:v>37476</c:v>
                </c:pt>
                <c:pt idx="3827">
                  <c:v>37475</c:v>
                </c:pt>
                <c:pt idx="3828">
                  <c:v>37474</c:v>
                </c:pt>
                <c:pt idx="3829">
                  <c:v>37473</c:v>
                </c:pt>
                <c:pt idx="3830">
                  <c:v>37470</c:v>
                </c:pt>
                <c:pt idx="3831">
                  <c:v>37469</c:v>
                </c:pt>
                <c:pt idx="3832">
                  <c:v>37468</c:v>
                </c:pt>
                <c:pt idx="3833">
                  <c:v>37467</c:v>
                </c:pt>
                <c:pt idx="3834">
                  <c:v>37466</c:v>
                </c:pt>
                <c:pt idx="3835">
                  <c:v>37463</c:v>
                </c:pt>
                <c:pt idx="3836">
                  <c:v>37462</c:v>
                </c:pt>
                <c:pt idx="3837">
                  <c:v>37461</c:v>
                </c:pt>
                <c:pt idx="3838">
                  <c:v>37460</c:v>
                </c:pt>
                <c:pt idx="3839">
                  <c:v>37459</c:v>
                </c:pt>
                <c:pt idx="3840">
                  <c:v>37456</c:v>
                </c:pt>
                <c:pt idx="3841">
                  <c:v>37455</c:v>
                </c:pt>
                <c:pt idx="3842">
                  <c:v>37454</c:v>
                </c:pt>
                <c:pt idx="3843">
                  <c:v>37453</c:v>
                </c:pt>
                <c:pt idx="3844">
                  <c:v>37452</c:v>
                </c:pt>
                <c:pt idx="3845">
                  <c:v>37449</c:v>
                </c:pt>
                <c:pt idx="3846">
                  <c:v>37448</c:v>
                </c:pt>
                <c:pt idx="3847">
                  <c:v>37447</c:v>
                </c:pt>
                <c:pt idx="3848">
                  <c:v>37446</c:v>
                </c:pt>
                <c:pt idx="3849">
                  <c:v>37445</c:v>
                </c:pt>
                <c:pt idx="3850">
                  <c:v>37442</c:v>
                </c:pt>
                <c:pt idx="3851">
                  <c:v>37441</c:v>
                </c:pt>
                <c:pt idx="3852">
                  <c:v>37440</c:v>
                </c:pt>
                <c:pt idx="3853">
                  <c:v>37439</c:v>
                </c:pt>
                <c:pt idx="3854">
                  <c:v>37438</c:v>
                </c:pt>
                <c:pt idx="3855">
                  <c:v>37435</c:v>
                </c:pt>
                <c:pt idx="3856">
                  <c:v>37434</c:v>
                </c:pt>
                <c:pt idx="3857">
                  <c:v>37433</c:v>
                </c:pt>
                <c:pt idx="3858">
                  <c:v>37432</c:v>
                </c:pt>
                <c:pt idx="3859">
                  <c:v>37431</c:v>
                </c:pt>
                <c:pt idx="3860">
                  <c:v>37428</c:v>
                </c:pt>
                <c:pt idx="3861">
                  <c:v>37427</c:v>
                </c:pt>
                <c:pt idx="3862">
                  <c:v>37426</c:v>
                </c:pt>
                <c:pt idx="3863">
                  <c:v>37425</c:v>
                </c:pt>
                <c:pt idx="3864">
                  <c:v>37424</c:v>
                </c:pt>
                <c:pt idx="3865">
                  <c:v>37421</c:v>
                </c:pt>
                <c:pt idx="3866">
                  <c:v>37420</c:v>
                </c:pt>
                <c:pt idx="3867">
                  <c:v>37419</c:v>
                </c:pt>
                <c:pt idx="3868">
                  <c:v>37418</c:v>
                </c:pt>
                <c:pt idx="3869">
                  <c:v>37417</c:v>
                </c:pt>
                <c:pt idx="3870">
                  <c:v>37414</c:v>
                </c:pt>
                <c:pt idx="3871">
                  <c:v>37413</c:v>
                </c:pt>
                <c:pt idx="3872">
                  <c:v>37412</c:v>
                </c:pt>
                <c:pt idx="3873">
                  <c:v>37411</c:v>
                </c:pt>
                <c:pt idx="3874">
                  <c:v>37410</c:v>
                </c:pt>
                <c:pt idx="3875">
                  <c:v>37407</c:v>
                </c:pt>
                <c:pt idx="3876">
                  <c:v>37406</c:v>
                </c:pt>
                <c:pt idx="3877">
                  <c:v>37405</c:v>
                </c:pt>
                <c:pt idx="3878">
                  <c:v>37404</c:v>
                </c:pt>
                <c:pt idx="3879">
                  <c:v>37403</c:v>
                </c:pt>
                <c:pt idx="3880">
                  <c:v>37400</c:v>
                </c:pt>
                <c:pt idx="3881">
                  <c:v>37399</c:v>
                </c:pt>
                <c:pt idx="3882">
                  <c:v>37398</c:v>
                </c:pt>
                <c:pt idx="3883">
                  <c:v>37397</c:v>
                </c:pt>
                <c:pt idx="3884">
                  <c:v>37396</c:v>
                </c:pt>
                <c:pt idx="3885">
                  <c:v>37393</c:v>
                </c:pt>
                <c:pt idx="3886">
                  <c:v>37392</c:v>
                </c:pt>
                <c:pt idx="3887">
                  <c:v>37391</c:v>
                </c:pt>
                <c:pt idx="3888">
                  <c:v>37390</c:v>
                </c:pt>
                <c:pt idx="3889">
                  <c:v>37389</c:v>
                </c:pt>
                <c:pt idx="3890">
                  <c:v>37386</c:v>
                </c:pt>
                <c:pt idx="3891">
                  <c:v>37385</c:v>
                </c:pt>
                <c:pt idx="3892">
                  <c:v>37384</c:v>
                </c:pt>
                <c:pt idx="3893">
                  <c:v>37383</c:v>
                </c:pt>
                <c:pt idx="3894">
                  <c:v>37382</c:v>
                </c:pt>
                <c:pt idx="3895">
                  <c:v>37379</c:v>
                </c:pt>
                <c:pt idx="3896">
                  <c:v>37378</c:v>
                </c:pt>
                <c:pt idx="3897">
                  <c:v>37377</c:v>
                </c:pt>
                <c:pt idx="3898">
                  <c:v>37376</c:v>
                </c:pt>
                <c:pt idx="3899">
                  <c:v>37375</c:v>
                </c:pt>
                <c:pt idx="3900">
                  <c:v>37372</c:v>
                </c:pt>
                <c:pt idx="3901">
                  <c:v>37371</c:v>
                </c:pt>
                <c:pt idx="3902">
                  <c:v>37370</c:v>
                </c:pt>
                <c:pt idx="3903">
                  <c:v>37369</c:v>
                </c:pt>
                <c:pt idx="3904">
                  <c:v>37368</c:v>
                </c:pt>
                <c:pt idx="3905">
                  <c:v>37365</c:v>
                </c:pt>
                <c:pt idx="3906">
                  <c:v>37364</c:v>
                </c:pt>
                <c:pt idx="3907">
                  <c:v>37363</c:v>
                </c:pt>
                <c:pt idx="3908">
                  <c:v>37362</c:v>
                </c:pt>
                <c:pt idx="3909">
                  <c:v>37361</c:v>
                </c:pt>
                <c:pt idx="3910">
                  <c:v>37358</c:v>
                </c:pt>
                <c:pt idx="3911">
                  <c:v>37357</c:v>
                </c:pt>
                <c:pt idx="3912">
                  <c:v>37356</c:v>
                </c:pt>
                <c:pt idx="3913">
                  <c:v>37355</c:v>
                </c:pt>
                <c:pt idx="3914">
                  <c:v>37354</c:v>
                </c:pt>
                <c:pt idx="3915">
                  <c:v>37351</c:v>
                </c:pt>
                <c:pt idx="3916">
                  <c:v>37350</c:v>
                </c:pt>
                <c:pt idx="3917">
                  <c:v>37349</c:v>
                </c:pt>
                <c:pt idx="3918">
                  <c:v>37348</c:v>
                </c:pt>
                <c:pt idx="3919">
                  <c:v>37347</c:v>
                </c:pt>
                <c:pt idx="3920">
                  <c:v>37344</c:v>
                </c:pt>
                <c:pt idx="3921">
                  <c:v>37343</c:v>
                </c:pt>
                <c:pt idx="3922">
                  <c:v>37342</c:v>
                </c:pt>
                <c:pt idx="3923">
                  <c:v>37341</c:v>
                </c:pt>
                <c:pt idx="3924">
                  <c:v>37340</c:v>
                </c:pt>
                <c:pt idx="3925">
                  <c:v>37337</c:v>
                </c:pt>
                <c:pt idx="3926">
                  <c:v>37336</c:v>
                </c:pt>
                <c:pt idx="3927">
                  <c:v>37335</c:v>
                </c:pt>
                <c:pt idx="3928">
                  <c:v>37334</c:v>
                </c:pt>
                <c:pt idx="3929">
                  <c:v>37333</c:v>
                </c:pt>
                <c:pt idx="3930">
                  <c:v>37330</c:v>
                </c:pt>
                <c:pt idx="3931">
                  <c:v>37329</c:v>
                </c:pt>
                <c:pt idx="3932">
                  <c:v>37328</c:v>
                </c:pt>
                <c:pt idx="3933">
                  <c:v>37327</c:v>
                </c:pt>
                <c:pt idx="3934">
                  <c:v>37326</c:v>
                </c:pt>
                <c:pt idx="3935">
                  <c:v>37323</c:v>
                </c:pt>
                <c:pt idx="3936">
                  <c:v>37322</c:v>
                </c:pt>
                <c:pt idx="3937">
                  <c:v>37321</c:v>
                </c:pt>
                <c:pt idx="3938">
                  <c:v>37320</c:v>
                </c:pt>
                <c:pt idx="3939">
                  <c:v>37319</c:v>
                </c:pt>
                <c:pt idx="3940">
                  <c:v>37316</c:v>
                </c:pt>
                <c:pt idx="3941">
                  <c:v>37315</c:v>
                </c:pt>
                <c:pt idx="3942">
                  <c:v>37314</c:v>
                </c:pt>
                <c:pt idx="3943">
                  <c:v>37313</c:v>
                </c:pt>
                <c:pt idx="3944">
                  <c:v>37312</c:v>
                </c:pt>
                <c:pt idx="3945">
                  <c:v>37309</c:v>
                </c:pt>
                <c:pt idx="3946">
                  <c:v>37308</c:v>
                </c:pt>
                <c:pt idx="3947">
                  <c:v>37307</c:v>
                </c:pt>
                <c:pt idx="3948">
                  <c:v>37306</c:v>
                </c:pt>
                <c:pt idx="3949">
                  <c:v>37305</c:v>
                </c:pt>
                <c:pt idx="3950">
                  <c:v>37302</c:v>
                </c:pt>
                <c:pt idx="3951">
                  <c:v>37301</c:v>
                </c:pt>
                <c:pt idx="3952">
                  <c:v>37300</c:v>
                </c:pt>
                <c:pt idx="3953">
                  <c:v>37299</c:v>
                </c:pt>
                <c:pt idx="3954">
                  <c:v>37298</c:v>
                </c:pt>
                <c:pt idx="3955">
                  <c:v>37295</c:v>
                </c:pt>
                <c:pt idx="3956">
                  <c:v>37294</c:v>
                </c:pt>
                <c:pt idx="3957">
                  <c:v>37293</c:v>
                </c:pt>
                <c:pt idx="3958">
                  <c:v>37292</c:v>
                </c:pt>
                <c:pt idx="3959">
                  <c:v>37291</c:v>
                </c:pt>
                <c:pt idx="3960">
                  <c:v>37288</c:v>
                </c:pt>
                <c:pt idx="3961">
                  <c:v>37287</c:v>
                </c:pt>
                <c:pt idx="3962">
                  <c:v>37286</c:v>
                </c:pt>
                <c:pt idx="3963">
                  <c:v>37285</c:v>
                </c:pt>
                <c:pt idx="3964">
                  <c:v>37284</c:v>
                </c:pt>
                <c:pt idx="3965">
                  <c:v>37281</c:v>
                </c:pt>
                <c:pt idx="3966">
                  <c:v>37280</c:v>
                </c:pt>
                <c:pt idx="3967">
                  <c:v>37279</c:v>
                </c:pt>
                <c:pt idx="3968">
                  <c:v>37278</c:v>
                </c:pt>
                <c:pt idx="3969">
                  <c:v>37277</c:v>
                </c:pt>
                <c:pt idx="3970">
                  <c:v>37274</c:v>
                </c:pt>
                <c:pt idx="3971">
                  <c:v>37273</c:v>
                </c:pt>
                <c:pt idx="3972">
                  <c:v>37272</c:v>
                </c:pt>
                <c:pt idx="3973">
                  <c:v>37271</c:v>
                </c:pt>
                <c:pt idx="3974">
                  <c:v>37270</c:v>
                </c:pt>
                <c:pt idx="3975">
                  <c:v>37267</c:v>
                </c:pt>
                <c:pt idx="3976">
                  <c:v>37266</c:v>
                </c:pt>
                <c:pt idx="3977">
                  <c:v>37265</c:v>
                </c:pt>
                <c:pt idx="3978">
                  <c:v>37264</c:v>
                </c:pt>
                <c:pt idx="3979">
                  <c:v>37263</c:v>
                </c:pt>
                <c:pt idx="3980">
                  <c:v>37260</c:v>
                </c:pt>
                <c:pt idx="3981">
                  <c:v>37259</c:v>
                </c:pt>
                <c:pt idx="3982">
                  <c:v>37258</c:v>
                </c:pt>
                <c:pt idx="3983">
                  <c:v>37257</c:v>
                </c:pt>
                <c:pt idx="3984">
                  <c:v>37256</c:v>
                </c:pt>
                <c:pt idx="3985">
                  <c:v>37253</c:v>
                </c:pt>
                <c:pt idx="3986">
                  <c:v>37252</c:v>
                </c:pt>
                <c:pt idx="3987">
                  <c:v>37251</c:v>
                </c:pt>
                <c:pt idx="3988">
                  <c:v>37250</c:v>
                </c:pt>
                <c:pt idx="3989">
                  <c:v>37249</c:v>
                </c:pt>
                <c:pt idx="3990">
                  <c:v>37246</c:v>
                </c:pt>
                <c:pt idx="3991">
                  <c:v>37245</c:v>
                </c:pt>
                <c:pt idx="3992">
                  <c:v>37244</c:v>
                </c:pt>
                <c:pt idx="3993">
                  <c:v>37243</c:v>
                </c:pt>
                <c:pt idx="3994">
                  <c:v>37242</c:v>
                </c:pt>
                <c:pt idx="3995">
                  <c:v>37239</c:v>
                </c:pt>
                <c:pt idx="3996">
                  <c:v>37238</c:v>
                </c:pt>
                <c:pt idx="3997">
                  <c:v>37237</c:v>
                </c:pt>
                <c:pt idx="3998">
                  <c:v>37236</c:v>
                </c:pt>
                <c:pt idx="3999">
                  <c:v>37235</c:v>
                </c:pt>
                <c:pt idx="4000">
                  <c:v>37232</c:v>
                </c:pt>
                <c:pt idx="4001">
                  <c:v>37231</c:v>
                </c:pt>
                <c:pt idx="4002">
                  <c:v>37230</c:v>
                </c:pt>
                <c:pt idx="4003">
                  <c:v>37229</c:v>
                </c:pt>
                <c:pt idx="4004">
                  <c:v>37228</c:v>
                </c:pt>
                <c:pt idx="4005">
                  <c:v>37225</c:v>
                </c:pt>
                <c:pt idx="4006">
                  <c:v>37224</c:v>
                </c:pt>
                <c:pt idx="4007">
                  <c:v>37223</c:v>
                </c:pt>
                <c:pt idx="4008">
                  <c:v>37222</c:v>
                </c:pt>
                <c:pt idx="4009">
                  <c:v>37221</c:v>
                </c:pt>
                <c:pt idx="4010">
                  <c:v>37218</c:v>
                </c:pt>
                <c:pt idx="4011">
                  <c:v>37217</c:v>
                </c:pt>
                <c:pt idx="4012">
                  <c:v>37216</c:v>
                </c:pt>
                <c:pt idx="4013">
                  <c:v>37215</c:v>
                </c:pt>
                <c:pt idx="4014">
                  <c:v>37214</c:v>
                </c:pt>
                <c:pt idx="4015">
                  <c:v>37211</c:v>
                </c:pt>
                <c:pt idx="4016">
                  <c:v>37210</c:v>
                </c:pt>
                <c:pt idx="4017">
                  <c:v>37209</c:v>
                </c:pt>
                <c:pt idx="4018">
                  <c:v>37208</c:v>
                </c:pt>
                <c:pt idx="4019">
                  <c:v>37207</c:v>
                </c:pt>
                <c:pt idx="4020">
                  <c:v>37204</c:v>
                </c:pt>
                <c:pt idx="4021">
                  <c:v>37203</c:v>
                </c:pt>
                <c:pt idx="4022">
                  <c:v>37202</c:v>
                </c:pt>
                <c:pt idx="4023">
                  <c:v>37201</c:v>
                </c:pt>
                <c:pt idx="4024">
                  <c:v>37200</c:v>
                </c:pt>
                <c:pt idx="4025">
                  <c:v>37197</c:v>
                </c:pt>
                <c:pt idx="4026">
                  <c:v>37196</c:v>
                </c:pt>
                <c:pt idx="4027">
                  <c:v>37195</c:v>
                </c:pt>
                <c:pt idx="4028">
                  <c:v>37194</c:v>
                </c:pt>
                <c:pt idx="4029">
                  <c:v>37193</c:v>
                </c:pt>
                <c:pt idx="4030">
                  <c:v>37190</c:v>
                </c:pt>
                <c:pt idx="4031">
                  <c:v>37189</c:v>
                </c:pt>
                <c:pt idx="4032">
                  <c:v>37188</c:v>
                </c:pt>
                <c:pt idx="4033">
                  <c:v>37187</c:v>
                </c:pt>
                <c:pt idx="4034">
                  <c:v>37186</c:v>
                </c:pt>
                <c:pt idx="4035">
                  <c:v>37183</c:v>
                </c:pt>
                <c:pt idx="4036">
                  <c:v>37182</c:v>
                </c:pt>
                <c:pt idx="4037">
                  <c:v>37181</c:v>
                </c:pt>
                <c:pt idx="4038">
                  <c:v>37180</c:v>
                </c:pt>
                <c:pt idx="4039">
                  <c:v>37179</c:v>
                </c:pt>
                <c:pt idx="4040">
                  <c:v>37176</c:v>
                </c:pt>
                <c:pt idx="4041">
                  <c:v>37175</c:v>
                </c:pt>
                <c:pt idx="4042">
                  <c:v>37174</c:v>
                </c:pt>
                <c:pt idx="4043">
                  <c:v>37173</c:v>
                </c:pt>
                <c:pt idx="4044">
                  <c:v>37172</c:v>
                </c:pt>
                <c:pt idx="4045">
                  <c:v>37169</c:v>
                </c:pt>
                <c:pt idx="4046">
                  <c:v>37168</c:v>
                </c:pt>
                <c:pt idx="4047">
                  <c:v>37167</c:v>
                </c:pt>
                <c:pt idx="4048">
                  <c:v>37166</c:v>
                </c:pt>
                <c:pt idx="4049">
                  <c:v>37165</c:v>
                </c:pt>
                <c:pt idx="4050">
                  <c:v>37162</c:v>
                </c:pt>
                <c:pt idx="4051">
                  <c:v>37161</c:v>
                </c:pt>
                <c:pt idx="4052">
                  <c:v>37160</c:v>
                </c:pt>
                <c:pt idx="4053">
                  <c:v>37159</c:v>
                </c:pt>
                <c:pt idx="4054">
                  <c:v>37158</c:v>
                </c:pt>
                <c:pt idx="4055">
                  <c:v>37155</c:v>
                </c:pt>
                <c:pt idx="4056">
                  <c:v>37154</c:v>
                </c:pt>
                <c:pt idx="4057">
                  <c:v>37153</c:v>
                </c:pt>
                <c:pt idx="4058">
                  <c:v>37152</c:v>
                </c:pt>
                <c:pt idx="4059">
                  <c:v>37151</c:v>
                </c:pt>
                <c:pt idx="4060">
                  <c:v>37148</c:v>
                </c:pt>
                <c:pt idx="4061">
                  <c:v>37147</c:v>
                </c:pt>
                <c:pt idx="4062">
                  <c:v>37146</c:v>
                </c:pt>
                <c:pt idx="4063">
                  <c:v>37145</c:v>
                </c:pt>
                <c:pt idx="4064">
                  <c:v>37144</c:v>
                </c:pt>
                <c:pt idx="4065">
                  <c:v>37141</c:v>
                </c:pt>
                <c:pt idx="4066">
                  <c:v>37140</c:v>
                </c:pt>
                <c:pt idx="4067">
                  <c:v>37139</c:v>
                </c:pt>
                <c:pt idx="4068">
                  <c:v>37138</c:v>
                </c:pt>
                <c:pt idx="4069">
                  <c:v>37137</c:v>
                </c:pt>
                <c:pt idx="4070">
                  <c:v>37134</c:v>
                </c:pt>
                <c:pt idx="4071">
                  <c:v>37133</c:v>
                </c:pt>
                <c:pt idx="4072">
                  <c:v>37132</c:v>
                </c:pt>
                <c:pt idx="4073">
                  <c:v>37131</c:v>
                </c:pt>
                <c:pt idx="4074">
                  <c:v>37130</c:v>
                </c:pt>
                <c:pt idx="4075">
                  <c:v>37127</c:v>
                </c:pt>
                <c:pt idx="4076">
                  <c:v>37126</c:v>
                </c:pt>
                <c:pt idx="4077">
                  <c:v>37125</c:v>
                </c:pt>
                <c:pt idx="4078">
                  <c:v>37124</c:v>
                </c:pt>
                <c:pt idx="4079">
                  <c:v>37123</c:v>
                </c:pt>
                <c:pt idx="4080">
                  <c:v>37120</c:v>
                </c:pt>
                <c:pt idx="4081">
                  <c:v>37119</c:v>
                </c:pt>
                <c:pt idx="4082">
                  <c:v>37118</c:v>
                </c:pt>
                <c:pt idx="4083">
                  <c:v>37117</c:v>
                </c:pt>
                <c:pt idx="4084">
                  <c:v>37116</c:v>
                </c:pt>
                <c:pt idx="4085">
                  <c:v>37113</c:v>
                </c:pt>
                <c:pt idx="4086">
                  <c:v>37112</c:v>
                </c:pt>
                <c:pt idx="4087">
                  <c:v>37111</c:v>
                </c:pt>
                <c:pt idx="4088">
                  <c:v>37110</c:v>
                </c:pt>
                <c:pt idx="4089">
                  <c:v>37109</c:v>
                </c:pt>
                <c:pt idx="4090">
                  <c:v>37106</c:v>
                </c:pt>
                <c:pt idx="4091">
                  <c:v>37105</c:v>
                </c:pt>
                <c:pt idx="4092">
                  <c:v>37104</c:v>
                </c:pt>
                <c:pt idx="4093">
                  <c:v>37103</c:v>
                </c:pt>
                <c:pt idx="4094">
                  <c:v>37102</c:v>
                </c:pt>
                <c:pt idx="4095">
                  <c:v>37099</c:v>
                </c:pt>
                <c:pt idx="4096">
                  <c:v>37098</c:v>
                </c:pt>
                <c:pt idx="4097">
                  <c:v>37097</c:v>
                </c:pt>
                <c:pt idx="4098">
                  <c:v>37096</c:v>
                </c:pt>
                <c:pt idx="4099">
                  <c:v>37095</c:v>
                </c:pt>
                <c:pt idx="4100">
                  <c:v>37092</c:v>
                </c:pt>
                <c:pt idx="4101">
                  <c:v>37091</c:v>
                </c:pt>
                <c:pt idx="4102">
                  <c:v>37090</c:v>
                </c:pt>
                <c:pt idx="4103">
                  <c:v>37089</c:v>
                </c:pt>
                <c:pt idx="4104">
                  <c:v>37088</c:v>
                </c:pt>
                <c:pt idx="4105">
                  <c:v>37085</c:v>
                </c:pt>
                <c:pt idx="4106">
                  <c:v>37084</c:v>
                </c:pt>
                <c:pt idx="4107">
                  <c:v>37083</c:v>
                </c:pt>
                <c:pt idx="4108">
                  <c:v>37082</c:v>
                </c:pt>
                <c:pt idx="4109">
                  <c:v>37081</c:v>
                </c:pt>
                <c:pt idx="4110">
                  <c:v>37078</c:v>
                </c:pt>
                <c:pt idx="4111">
                  <c:v>37077</c:v>
                </c:pt>
                <c:pt idx="4112">
                  <c:v>37076</c:v>
                </c:pt>
                <c:pt idx="4113">
                  <c:v>37075</c:v>
                </c:pt>
                <c:pt idx="4114">
                  <c:v>37074</c:v>
                </c:pt>
                <c:pt idx="4115">
                  <c:v>37071</c:v>
                </c:pt>
                <c:pt idx="4116">
                  <c:v>37070</c:v>
                </c:pt>
                <c:pt idx="4117">
                  <c:v>37069</c:v>
                </c:pt>
                <c:pt idx="4118">
                  <c:v>37068</c:v>
                </c:pt>
                <c:pt idx="4119">
                  <c:v>37067</c:v>
                </c:pt>
                <c:pt idx="4120">
                  <c:v>37064</c:v>
                </c:pt>
                <c:pt idx="4121">
                  <c:v>37063</c:v>
                </c:pt>
                <c:pt idx="4122">
                  <c:v>37062</c:v>
                </c:pt>
                <c:pt idx="4123">
                  <c:v>37061</c:v>
                </c:pt>
                <c:pt idx="4124">
                  <c:v>37060</c:v>
                </c:pt>
                <c:pt idx="4125">
                  <c:v>37057</c:v>
                </c:pt>
                <c:pt idx="4126">
                  <c:v>37056</c:v>
                </c:pt>
                <c:pt idx="4127">
                  <c:v>37055</c:v>
                </c:pt>
                <c:pt idx="4128">
                  <c:v>37054</c:v>
                </c:pt>
                <c:pt idx="4129">
                  <c:v>37053</c:v>
                </c:pt>
                <c:pt idx="4130">
                  <c:v>37050</c:v>
                </c:pt>
                <c:pt idx="4131">
                  <c:v>37049</c:v>
                </c:pt>
                <c:pt idx="4132">
                  <c:v>37048</c:v>
                </c:pt>
                <c:pt idx="4133">
                  <c:v>37047</c:v>
                </c:pt>
                <c:pt idx="4134">
                  <c:v>37046</c:v>
                </c:pt>
                <c:pt idx="4135">
                  <c:v>37043</c:v>
                </c:pt>
                <c:pt idx="4136">
                  <c:v>37042</c:v>
                </c:pt>
                <c:pt idx="4137">
                  <c:v>37041</c:v>
                </c:pt>
                <c:pt idx="4138">
                  <c:v>37040</c:v>
                </c:pt>
                <c:pt idx="4139">
                  <c:v>37039</c:v>
                </c:pt>
                <c:pt idx="4140">
                  <c:v>37036</c:v>
                </c:pt>
                <c:pt idx="4141">
                  <c:v>37035</c:v>
                </c:pt>
                <c:pt idx="4142">
                  <c:v>37034</c:v>
                </c:pt>
                <c:pt idx="4143">
                  <c:v>37033</c:v>
                </c:pt>
                <c:pt idx="4144">
                  <c:v>37032</c:v>
                </c:pt>
                <c:pt idx="4145">
                  <c:v>37029</c:v>
                </c:pt>
                <c:pt idx="4146">
                  <c:v>37028</c:v>
                </c:pt>
                <c:pt idx="4147">
                  <c:v>37027</c:v>
                </c:pt>
                <c:pt idx="4148">
                  <c:v>37026</c:v>
                </c:pt>
                <c:pt idx="4149">
                  <c:v>37025</c:v>
                </c:pt>
                <c:pt idx="4150">
                  <c:v>37022</c:v>
                </c:pt>
                <c:pt idx="4151">
                  <c:v>37021</c:v>
                </c:pt>
                <c:pt idx="4152">
                  <c:v>37020</c:v>
                </c:pt>
                <c:pt idx="4153">
                  <c:v>37019</c:v>
                </c:pt>
                <c:pt idx="4154">
                  <c:v>37018</c:v>
                </c:pt>
                <c:pt idx="4155">
                  <c:v>37015</c:v>
                </c:pt>
                <c:pt idx="4156">
                  <c:v>37014</c:v>
                </c:pt>
                <c:pt idx="4157">
                  <c:v>37013</c:v>
                </c:pt>
                <c:pt idx="4158">
                  <c:v>37012</c:v>
                </c:pt>
                <c:pt idx="4159">
                  <c:v>37011</c:v>
                </c:pt>
                <c:pt idx="4160">
                  <c:v>37008</c:v>
                </c:pt>
                <c:pt idx="4161">
                  <c:v>37007</c:v>
                </c:pt>
                <c:pt idx="4162">
                  <c:v>37006</c:v>
                </c:pt>
                <c:pt idx="4163">
                  <c:v>37005</c:v>
                </c:pt>
                <c:pt idx="4164">
                  <c:v>37004</c:v>
                </c:pt>
                <c:pt idx="4165">
                  <c:v>37001</c:v>
                </c:pt>
                <c:pt idx="4166">
                  <c:v>37000</c:v>
                </c:pt>
                <c:pt idx="4167">
                  <c:v>36999</c:v>
                </c:pt>
                <c:pt idx="4168">
                  <c:v>36998</c:v>
                </c:pt>
                <c:pt idx="4169">
                  <c:v>36997</c:v>
                </c:pt>
                <c:pt idx="4170">
                  <c:v>36994</c:v>
                </c:pt>
                <c:pt idx="4171">
                  <c:v>36993</c:v>
                </c:pt>
                <c:pt idx="4172">
                  <c:v>36992</c:v>
                </c:pt>
                <c:pt idx="4173">
                  <c:v>36991</c:v>
                </c:pt>
                <c:pt idx="4174">
                  <c:v>36990</c:v>
                </c:pt>
                <c:pt idx="4175">
                  <c:v>36987</c:v>
                </c:pt>
                <c:pt idx="4176">
                  <c:v>36986</c:v>
                </c:pt>
                <c:pt idx="4177">
                  <c:v>36985</c:v>
                </c:pt>
                <c:pt idx="4178">
                  <c:v>36984</c:v>
                </c:pt>
                <c:pt idx="4179">
                  <c:v>36983</c:v>
                </c:pt>
                <c:pt idx="4180">
                  <c:v>36980</c:v>
                </c:pt>
                <c:pt idx="4181">
                  <c:v>36979</c:v>
                </c:pt>
                <c:pt idx="4182">
                  <c:v>36978</c:v>
                </c:pt>
                <c:pt idx="4183">
                  <c:v>36977</c:v>
                </c:pt>
                <c:pt idx="4184">
                  <c:v>36976</c:v>
                </c:pt>
                <c:pt idx="4185">
                  <c:v>36973</c:v>
                </c:pt>
                <c:pt idx="4186">
                  <c:v>36972</c:v>
                </c:pt>
                <c:pt idx="4187">
                  <c:v>36971</c:v>
                </c:pt>
                <c:pt idx="4188">
                  <c:v>36970</c:v>
                </c:pt>
                <c:pt idx="4189">
                  <c:v>36969</c:v>
                </c:pt>
                <c:pt idx="4190">
                  <c:v>36966</c:v>
                </c:pt>
                <c:pt idx="4191">
                  <c:v>36965</c:v>
                </c:pt>
                <c:pt idx="4192">
                  <c:v>36964</c:v>
                </c:pt>
                <c:pt idx="4193">
                  <c:v>36963</c:v>
                </c:pt>
                <c:pt idx="4194">
                  <c:v>36962</c:v>
                </c:pt>
                <c:pt idx="4195">
                  <c:v>36959</c:v>
                </c:pt>
                <c:pt idx="4196">
                  <c:v>36958</c:v>
                </c:pt>
                <c:pt idx="4197">
                  <c:v>36957</c:v>
                </c:pt>
                <c:pt idx="4198">
                  <c:v>36956</c:v>
                </c:pt>
                <c:pt idx="4199">
                  <c:v>36955</c:v>
                </c:pt>
                <c:pt idx="4200">
                  <c:v>36952</c:v>
                </c:pt>
                <c:pt idx="4201">
                  <c:v>36951</c:v>
                </c:pt>
                <c:pt idx="4202">
                  <c:v>36950</c:v>
                </c:pt>
                <c:pt idx="4203">
                  <c:v>36949</c:v>
                </c:pt>
                <c:pt idx="4204">
                  <c:v>36948</c:v>
                </c:pt>
                <c:pt idx="4205">
                  <c:v>36945</c:v>
                </c:pt>
                <c:pt idx="4206">
                  <c:v>36944</c:v>
                </c:pt>
                <c:pt idx="4207">
                  <c:v>36943</c:v>
                </c:pt>
                <c:pt idx="4208">
                  <c:v>36942</c:v>
                </c:pt>
                <c:pt idx="4209">
                  <c:v>36941</c:v>
                </c:pt>
                <c:pt idx="4210">
                  <c:v>36938</c:v>
                </c:pt>
                <c:pt idx="4211">
                  <c:v>36937</c:v>
                </c:pt>
                <c:pt idx="4212">
                  <c:v>36936</c:v>
                </c:pt>
                <c:pt idx="4213">
                  <c:v>36935</c:v>
                </c:pt>
                <c:pt idx="4214">
                  <c:v>36934</c:v>
                </c:pt>
                <c:pt idx="4215">
                  <c:v>36931</c:v>
                </c:pt>
                <c:pt idx="4216">
                  <c:v>36930</c:v>
                </c:pt>
                <c:pt idx="4217">
                  <c:v>36929</c:v>
                </c:pt>
                <c:pt idx="4218">
                  <c:v>36928</c:v>
                </c:pt>
                <c:pt idx="4219">
                  <c:v>36927</c:v>
                </c:pt>
                <c:pt idx="4220">
                  <c:v>36924</c:v>
                </c:pt>
                <c:pt idx="4221">
                  <c:v>36923</c:v>
                </c:pt>
                <c:pt idx="4222">
                  <c:v>36922</c:v>
                </c:pt>
                <c:pt idx="4223">
                  <c:v>36921</c:v>
                </c:pt>
                <c:pt idx="4224">
                  <c:v>36920</c:v>
                </c:pt>
                <c:pt idx="4225">
                  <c:v>36917</c:v>
                </c:pt>
                <c:pt idx="4226">
                  <c:v>36916</c:v>
                </c:pt>
                <c:pt idx="4227">
                  <c:v>36915</c:v>
                </c:pt>
                <c:pt idx="4228">
                  <c:v>36914</c:v>
                </c:pt>
                <c:pt idx="4229">
                  <c:v>36913</c:v>
                </c:pt>
                <c:pt idx="4230">
                  <c:v>36910</c:v>
                </c:pt>
                <c:pt idx="4231">
                  <c:v>36909</c:v>
                </c:pt>
                <c:pt idx="4232">
                  <c:v>36908</c:v>
                </c:pt>
                <c:pt idx="4233">
                  <c:v>36907</c:v>
                </c:pt>
                <c:pt idx="4234">
                  <c:v>36906</c:v>
                </c:pt>
                <c:pt idx="4235">
                  <c:v>36903</c:v>
                </c:pt>
                <c:pt idx="4236">
                  <c:v>36902</c:v>
                </c:pt>
                <c:pt idx="4237">
                  <c:v>36901</c:v>
                </c:pt>
                <c:pt idx="4238">
                  <c:v>36900</c:v>
                </c:pt>
                <c:pt idx="4239">
                  <c:v>36899</c:v>
                </c:pt>
                <c:pt idx="4240">
                  <c:v>36896</c:v>
                </c:pt>
                <c:pt idx="4241">
                  <c:v>36895</c:v>
                </c:pt>
                <c:pt idx="4242">
                  <c:v>36894</c:v>
                </c:pt>
                <c:pt idx="4243">
                  <c:v>36893</c:v>
                </c:pt>
                <c:pt idx="4244">
                  <c:v>36892</c:v>
                </c:pt>
                <c:pt idx="4245">
                  <c:v>36889</c:v>
                </c:pt>
                <c:pt idx="4246">
                  <c:v>36888</c:v>
                </c:pt>
                <c:pt idx="4247">
                  <c:v>36887</c:v>
                </c:pt>
                <c:pt idx="4248">
                  <c:v>36886</c:v>
                </c:pt>
                <c:pt idx="4249">
                  <c:v>36885</c:v>
                </c:pt>
                <c:pt idx="4250">
                  <c:v>36882</c:v>
                </c:pt>
                <c:pt idx="4251">
                  <c:v>36881</c:v>
                </c:pt>
                <c:pt idx="4252">
                  <c:v>36880</c:v>
                </c:pt>
                <c:pt idx="4253">
                  <c:v>36879</c:v>
                </c:pt>
                <c:pt idx="4254">
                  <c:v>36878</c:v>
                </c:pt>
                <c:pt idx="4255">
                  <c:v>36875</c:v>
                </c:pt>
                <c:pt idx="4256">
                  <c:v>36874</c:v>
                </c:pt>
                <c:pt idx="4257">
                  <c:v>36873</c:v>
                </c:pt>
                <c:pt idx="4258">
                  <c:v>36872</c:v>
                </c:pt>
                <c:pt idx="4259">
                  <c:v>36871</c:v>
                </c:pt>
                <c:pt idx="4260">
                  <c:v>36868</c:v>
                </c:pt>
                <c:pt idx="4261">
                  <c:v>36867</c:v>
                </c:pt>
                <c:pt idx="4262">
                  <c:v>36866</c:v>
                </c:pt>
                <c:pt idx="4263">
                  <c:v>36865</c:v>
                </c:pt>
                <c:pt idx="4264">
                  <c:v>36864</c:v>
                </c:pt>
                <c:pt idx="4265">
                  <c:v>36861</c:v>
                </c:pt>
                <c:pt idx="4266">
                  <c:v>36860</c:v>
                </c:pt>
                <c:pt idx="4267">
                  <c:v>36859</c:v>
                </c:pt>
                <c:pt idx="4268">
                  <c:v>36858</c:v>
                </c:pt>
                <c:pt idx="4269">
                  <c:v>36857</c:v>
                </c:pt>
                <c:pt idx="4270">
                  <c:v>36854</c:v>
                </c:pt>
                <c:pt idx="4271">
                  <c:v>36853</c:v>
                </c:pt>
                <c:pt idx="4272">
                  <c:v>36852</c:v>
                </c:pt>
                <c:pt idx="4273">
                  <c:v>36851</c:v>
                </c:pt>
                <c:pt idx="4274">
                  <c:v>36850</c:v>
                </c:pt>
                <c:pt idx="4275">
                  <c:v>36847</c:v>
                </c:pt>
                <c:pt idx="4276">
                  <c:v>36846</c:v>
                </c:pt>
                <c:pt idx="4277">
                  <c:v>36845</c:v>
                </c:pt>
                <c:pt idx="4278">
                  <c:v>36844</c:v>
                </c:pt>
                <c:pt idx="4279">
                  <c:v>36843</c:v>
                </c:pt>
                <c:pt idx="4280">
                  <c:v>36840</c:v>
                </c:pt>
                <c:pt idx="4281">
                  <c:v>36839</c:v>
                </c:pt>
                <c:pt idx="4282">
                  <c:v>36838</c:v>
                </c:pt>
                <c:pt idx="4283">
                  <c:v>36837</c:v>
                </c:pt>
                <c:pt idx="4284">
                  <c:v>36836</c:v>
                </c:pt>
                <c:pt idx="4285">
                  <c:v>36833</c:v>
                </c:pt>
                <c:pt idx="4286">
                  <c:v>36832</c:v>
                </c:pt>
                <c:pt idx="4287">
                  <c:v>36831</c:v>
                </c:pt>
                <c:pt idx="4288">
                  <c:v>36830</c:v>
                </c:pt>
                <c:pt idx="4289">
                  <c:v>36829</c:v>
                </c:pt>
                <c:pt idx="4290">
                  <c:v>36826</c:v>
                </c:pt>
                <c:pt idx="4291">
                  <c:v>36825</c:v>
                </c:pt>
                <c:pt idx="4292">
                  <c:v>36824</c:v>
                </c:pt>
                <c:pt idx="4293">
                  <c:v>36823</c:v>
                </c:pt>
                <c:pt idx="4294">
                  <c:v>36822</c:v>
                </c:pt>
                <c:pt idx="4295">
                  <c:v>36819</c:v>
                </c:pt>
                <c:pt idx="4296">
                  <c:v>36818</c:v>
                </c:pt>
                <c:pt idx="4297">
                  <c:v>36817</c:v>
                </c:pt>
                <c:pt idx="4298">
                  <c:v>36816</c:v>
                </c:pt>
                <c:pt idx="4299">
                  <c:v>36815</c:v>
                </c:pt>
                <c:pt idx="4300">
                  <c:v>36812</c:v>
                </c:pt>
                <c:pt idx="4301">
                  <c:v>36811</c:v>
                </c:pt>
                <c:pt idx="4302">
                  <c:v>36810</c:v>
                </c:pt>
                <c:pt idx="4303">
                  <c:v>36809</c:v>
                </c:pt>
                <c:pt idx="4304">
                  <c:v>36808</c:v>
                </c:pt>
                <c:pt idx="4305">
                  <c:v>36805</c:v>
                </c:pt>
                <c:pt idx="4306">
                  <c:v>36804</c:v>
                </c:pt>
                <c:pt idx="4307">
                  <c:v>36803</c:v>
                </c:pt>
                <c:pt idx="4308">
                  <c:v>36802</c:v>
                </c:pt>
                <c:pt idx="4309">
                  <c:v>36801</c:v>
                </c:pt>
                <c:pt idx="4310">
                  <c:v>36798</c:v>
                </c:pt>
                <c:pt idx="4311">
                  <c:v>36797</c:v>
                </c:pt>
                <c:pt idx="4312">
                  <c:v>36796</c:v>
                </c:pt>
                <c:pt idx="4313">
                  <c:v>36795</c:v>
                </c:pt>
                <c:pt idx="4314">
                  <c:v>36794</c:v>
                </c:pt>
                <c:pt idx="4315">
                  <c:v>36791</c:v>
                </c:pt>
                <c:pt idx="4316">
                  <c:v>36790</c:v>
                </c:pt>
                <c:pt idx="4317">
                  <c:v>36789</c:v>
                </c:pt>
                <c:pt idx="4318">
                  <c:v>36788</c:v>
                </c:pt>
                <c:pt idx="4319">
                  <c:v>36787</c:v>
                </c:pt>
                <c:pt idx="4320">
                  <c:v>36784</c:v>
                </c:pt>
                <c:pt idx="4321">
                  <c:v>36783</c:v>
                </c:pt>
                <c:pt idx="4322">
                  <c:v>36782</c:v>
                </c:pt>
                <c:pt idx="4323">
                  <c:v>36781</c:v>
                </c:pt>
                <c:pt idx="4324">
                  <c:v>36780</c:v>
                </c:pt>
                <c:pt idx="4325">
                  <c:v>36777</c:v>
                </c:pt>
                <c:pt idx="4326">
                  <c:v>36776</c:v>
                </c:pt>
                <c:pt idx="4327">
                  <c:v>36775</c:v>
                </c:pt>
                <c:pt idx="4328">
                  <c:v>36774</c:v>
                </c:pt>
                <c:pt idx="4329">
                  <c:v>36773</c:v>
                </c:pt>
                <c:pt idx="4330">
                  <c:v>36770</c:v>
                </c:pt>
                <c:pt idx="4331">
                  <c:v>36769</c:v>
                </c:pt>
                <c:pt idx="4332">
                  <c:v>36768</c:v>
                </c:pt>
                <c:pt idx="4333">
                  <c:v>36767</c:v>
                </c:pt>
                <c:pt idx="4334">
                  <c:v>36766</c:v>
                </c:pt>
                <c:pt idx="4335">
                  <c:v>36763</c:v>
                </c:pt>
                <c:pt idx="4336">
                  <c:v>36762</c:v>
                </c:pt>
                <c:pt idx="4337">
                  <c:v>36761</c:v>
                </c:pt>
                <c:pt idx="4338">
                  <c:v>36760</c:v>
                </c:pt>
                <c:pt idx="4339">
                  <c:v>36759</c:v>
                </c:pt>
                <c:pt idx="4340">
                  <c:v>36756</c:v>
                </c:pt>
                <c:pt idx="4341">
                  <c:v>36755</c:v>
                </c:pt>
                <c:pt idx="4342">
                  <c:v>36754</c:v>
                </c:pt>
                <c:pt idx="4343">
                  <c:v>36753</c:v>
                </c:pt>
                <c:pt idx="4344">
                  <c:v>36752</c:v>
                </c:pt>
                <c:pt idx="4345">
                  <c:v>36749</c:v>
                </c:pt>
                <c:pt idx="4346">
                  <c:v>36748</c:v>
                </c:pt>
                <c:pt idx="4347">
                  <c:v>36747</c:v>
                </c:pt>
                <c:pt idx="4348">
                  <c:v>36746</c:v>
                </c:pt>
                <c:pt idx="4349">
                  <c:v>36745</c:v>
                </c:pt>
                <c:pt idx="4350">
                  <c:v>36742</c:v>
                </c:pt>
                <c:pt idx="4351">
                  <c:v>36741</c:v>
                </c:pt>
                <c:pt idx="4352">
                  <c:v>36740</c:v>
                </c:pt>
                <c:pt idx="4353">
                  <c:v>36739</c:v>
                </c:pt>
                <c:pt idx="4354">
                  <c:v>36738</c:v>
                </c:pt>
                <c:pt idx="4355">
                  <c:v>36735</c:v>
                </c:pt>
                <c:pt idx="4356">
                  <c:v>36734</c:v>
                </c:pt>
                <c:pt idx="4357">
                  <c:v>36733</c:v>
                </c:pt>
                <c:pt idx="4358">
                  <c:v>36732</c:v>
                </c:pt>
                <c:pt idx="4359">
                  <c:v>36731</c:v>
                </c:pt>
                <c:pt idx="4360">
                  <c:v>36728</c:v>
                </c:pt>
                <c:pt idx="4361">
                  <c:v>36727</c:v>
                </c:pt>
                <c:pt idx="4362">
                  <c:v>36726</c:v>
                </c:pt>
                <c:pt idx="4363">
                  <c:v>36725</c:v>
                </c:pt>
                <c:pt idx="4364">
                  <c:v>36724</c:v>
                </c:pt>
                <c:pt idx="4365">
                  <c:v>36721</c:v>
                </c:pt>
                <c:pt idx="4366">
                  <c:v>36720</c:v>
                </c:pt>
                <c:pt idx="4367">
                  <c:v>36719</c:v>
                </c:pt>
                <c:pt idx="4368">
                  <c:v>36718</c:v>
                </c:pt>
                <c:pt idx="4369">
                  <c:v>36717</c:v>
                </c:pt>
                <c:pt idx="4370">
                  <c:v>36714</c:v>
                </c:pt>
                <c:pt idx="4371">
                  <c:v>36713</c:v>
                </c:pt>
                <c:pt idx="4372">
                  <c:v>36712</c:v>
                </c:pt>
                <c:pt idx="4373">
                  <c:v>36711</c:v>
                </c:pt>
                <c:pt idx="4374">
                  <c:v>36710</c:v>
                </c:pt>
                <c:pt idx="4375">
                  <c:v>36707</c:v>
                </c:pt>
                <c:pt idx="4376">
                  <c:v>36706</c:v>
                </c:pt>
                <c:pt idx="4377">
                  <c:v>36705</c:v>
                </c:pt>
                <c:pt idx="4378">
                  <c:v>36704</c:v>
                </c:pt>
                <c:pt idx="4379">
                  <c:v>36703</c:v>
                </c:pt>
                <c:pt idx="4380">
                  <c:v>36700</c:v>
                </c:pt>
                <c:pt idx="4381">
                  <c:v>36699</c:v>
                </c:pt>
                <c:pt idx="4382">
                  <c:v>36698</c:v>
                </c:pt>
                <c:pt idx="4383">
                  <c:v>36697</c:v>
                </c:pt>
                <c:pt idx="4384">
                  <c:v>36696</c:v>
                </c:pt>
                <c:pt idx="4385">
                  <c:v>36693</c:v>
                </c:pt>
                <c:pt idx="4386">
                  <c:v>36692</c:v>
                </c:pt>
                <c:pt idx="4387">
                  <c:v>36691</c:v>
                </c:pt>
                <c:pt idx="4388">
                  <c:v>36690</c:v>
                </c:pt>
                <c:pt idx="4389">
                  <c:v>36689</c:v>
                </c:pt>
                <c:pt idx="4390">
                  <c:v>36686</c:v>
                </c:pt>
                <c:pt idx="4391">
                  <c:v>36685</c:v>
                </c:pt>
                <c:pt idx="4392">
                  <c:v>36684</c:v>
                </c:pt>
                <c:pt idx="4393">
                  <c:v>36683</c:v>
                </c:pt>
                <c:pt idx="4394">
                  <c:v>36682</c:v>
                </c:pt>
                <c:pt idx="4395">
                  <c:v>36679</c:v>
                </c:pt>
                <c:pt idx="4396">
                  <c:v>36678</c:v>
                </c:pt>
                <c:pt idx="4397">
                  <c:v>36677</c:v>
                </c:pt>
                <c:pt idx="4398">
                  <c:v>36676</c:v>
                </c:pt>
                <c:pt idx="4399">
                  <c:v>36675</c:v>
                </c:pt>
                <c:pt idx="4400">
                  <c:v>36672</c:v>
                </c:pt>
                <c:pt idx="4401">
                  <c:v>36671</c:v>
                </c:pt>
                <c:pt idx="4402">
                  <c:v>36670</c:v>
                </c:pt>
                <c:pt idx="4403">
                  <c:v>36669</c:v>
                </c:pt>
                <c:pt idx="4404">
                  <c:v>36668</c:v>
                </c:pt>
                <c:pt idx="4405">
                  <c:v>36665</c:v>
                </c:pt>
                <c:pt idx="4406">
                  <c:v>36664</c:v>
                </c:pt>
                <c:pt idx="4407">
                  <c:v>36663</c:v>
                </c:pt>
                <c:pt idx="4408">
                  <c:v>36662</c:v>
                </c:pt>
                <c:pt idx="4409">
                  <c:v>36661</c:v>
                </c:pt>
                <c:pt idx="4410">
                  <c:v>36658</c:v>
                </c:pt>
                <c:pt idx="4411">
                  <c:v>36657</c:v>
                </c:pt>
                <c:pt idx="4412">
                  <c:v>36656</c:v>
                </c:pt>
                <c:pt idx="4413">
                  <c:v>36655</c:v>
                </c:pt>
                <c:pt idx="4414">
                  <c:v>36654</c:v>
                </c:pt>
                <c:pt idx="4415">
                  <c:v>36651</c:v>
                </c:pt>
                <c:pt idx="4416">
                  <c:v>36650</c:v>
                </c:pt>
                <c:pt idx="4417">
                  <c:v>36649</c:v>
                </c:pt>
                <c:pt idx="4418">
                  <c:v>36648</c:v>
                </c:pt>
                <c:pt idx="4419">
                  <c:v>36647</c:v>
                </c:pt>
                <c:pt idx="4420">
                  <c:v>36644</c:v>
                </c:pt>
                <c:pt idx="4421">
                  <c:v>36643</c:v>
                </c:pt>
                <c:pt idx="4422">
                  <c:v>36642</c:v>
                </c:pt>
                <c:pt idx="4423">
                  <c:v>36641</c:v>
                </c:pt>
                <c:pt idx="4424">
                  <c:v>36640</c:v>
                </c:pt>
                <c:pt idx="4425">
                  <c:v>36637</c:v>
                </c:pt>
                <c:pt idx="4426">
                  <c:v>36636</c:v>
                </c:pt>
                <c:pt idx="4427">
                  <c:v>36635</c:v>
                </c:pt>
                <c:pt idx="4428">
                  <c:v>36634</c:v>
                </c:pt>
                <c:pt idx="4429">
                  <c:v>36633</c:v>
                </c:pt>
                <c:pt idx="4430">
                  <c:v>36630</c:v>
                </c:pt>
                <c:pt idx="4431">
                  <c:v>36629</c:v>
                </c:pt>
                <c:pt idx="4432">
                  <c:v>36628</c:v>
                </c:pt>
                <c:pt idx="4433">
                  <c:v>36627</c:v>
                </c:pt>
                <c:pt idx="4434">
                  <c:v>36626</c:v>
                </c:pt>
                <c:pt idx="4435">
                  <c:v>36623</c:v>
                </c:pt>
                <c:pt idx="4436">
                  <c:v>36622</c:v>
                </c:pt>
                <c:pt idx="4437">
                  <c:v>36621</c:v>
                </c:pt>
                <c:pt idx="4438">
                  <c:v>36620</c:v>
                </c:pt>
                <c:pt idx="4439">
                  <c:v>36619</c:v>
                </c:pt>
                <c:pt idx="4440">
                  <c:v>36616</c:v>
                </c:pt>
                <c:pt idx="4441">
                  <c:v>36615</c:v>
                </c:pt>
                <c:pt idx="4442">
                  <c:v>36614</c:v>
                </c:pt>
                <c:pt idx="4443">
                  <c:v>36613</c:v>
                </c:pt>
                <c:pt idx="4444">
                  <c:v>36612</c:v>
                </c:pt>
                <c:pt idx="4445">
                  <c:v>36609</c:v>
                </c:pt>
                <c:pt idx="4446">
                  <c:v>36608</c:v>
                </c:pt>
                <c:pt idx="4447">
                  <c:v>36607</c:v>
                </c:pt>
                <c:pt idx="4448">
                  <c:v>36606</c:v>
                </c:pt>
                <c:pt idx="4449">
                  <c:v>36605</c:v>
                </c:pt>
                <c:pt idx="4450">
                  <c:v>36602</c:v>
                </c:pt>
                <c:pt idx="4451">
                  <c:v>36601</c:v>
                </c:pt>
                <c:pt idx="4452">
                  <c:v>36600</c:v>
                </c:pt>
                <c:pt idx="4453">
                  <c:v>36599</c:v>
                </c:pt>
                <c:pt idx="4454">
                  <c:v>36598</c:v>
                </c:pt>
                <c:pt idx="4455">
                  <c:v>36595</c:v>
                </c:pt>
                <c:pt idx="4456">
                  <c:v>36594</c:v>
                </c:pt>
                <c:pt idx="4457">
                  <c:v>36593</c:v>
                </c:pt>
                <c:pt idx="4458">
                  <c:v>36592</c:v>
                </c:pt>
                <c:pt idx="4459">
                  <c:v>36591</c:v>
                </c:pt>
                <c:pt idx="4460">
                  <c:v>36588</c:v>
                </c:pt>
                <c:pt idx="4461">
                  <c:v>36587</c:v>
                </c:pt>
                <c:pt idx="4462">
                  <c:v>36586</c:v>
                </c:pt>
                <c:pt idx="4463">
                  <c:v>36585</c:v>
                </c:pt>
                <c:pt idx="4464">
                  <c:v>36584</c:v>
                </c:pt>
                <c:pt idx="4465">
                  <c:v>36581</c:v>
                </c:pt>
                <c:pt idx="4466">
                  <c:v>36580</c:v>
                </c:pt>
                <c:pt idx="4467">
                  <c:v>36579</c:v>
                </c:pt>
                <c:pt idx="4468">
                  <c:v>36578</c:v>
                </c:pt>
                <c:pt idx="4469">
                  <c:v>36577</c:v>
                </c:pt>
                <c:pt idx="4470">
                  <c:v>36574</c:v>
                </c:pt>
                <c:pt idx="4471">
                  <c:v>36573</c:v>
                </c:pt>
                <c:pt idx="4472">
                  <c:v>36572</c:v>
                </c:pt>
                <c:pt idx="4473">
                  <c:v>36571</c:v>
                </c:pt>
                <c:pt idx="4474">
                  <c:v>36570</c:v>
                </c:pt>
                <c:pt idx="4475">
                  <c:v>36567</c:v>
                </c:pt>
                <c:pt idx="4476">
                  <c:v>36566</c:v>
                </c:pt>
                <c:pt idx="4477">
                  <c:v>36565</c:v>
                </c:pt>
                <c:pt idx="4478">
                  <c:v>36564</c:v>
                </c:pt>
                <c:pt idx="4479">
                  <c:v>36563</c:v>
                </c:pt>
                <c:pt idx="4480">
                  <c:v>36560</c:v>
                </c:pt>
                <c:pt idx="4481">
                  <c:v>36559</c:v>
                </c:pt>
                <c:pt idx="4482">
                  <c:v>36558</c:v>
                </c:pt>
                <c:pt idx="4483">
                  <c:v>36557</c:v>
                </c:pt>
                <c:pt idx="4484">
                  <c:v>36556</c:v>
                </c:pt>
                <c:pt idx="4485">
                  <c:v>36553</c:v>
                </c:pt>
                <c:pt idx="4486">
                  <c:v>36552</c:v>
                </c:pt>
                <c:pt idx="4487">
                  <c:v>36551</c:v>
                </c:pt>
                <c:pt idx="4488">
                  <c:v>36550</c:v>
                </c:pt>
                <c:pt idx="4489">
                  <c:v>36549</c:v>
                </c:pt>
                <c:pt idx="4490">
                  <c:v>36546</c:v>
                </c:pt>
                <c:pt idx="4491">
                  <c:v>36545</c:v>
                </c:pt>
                <c:pt idx="4492">
                  <c:v>36544</c:v>
                </c:pt>
                <c:pt idx="4493">
                  <c:v>36543</c:v>
                </c:pt>
                <c:pt idx="4494">
                  <c:v>36542</c:v>
                </c:pt>
                <c:pt idx="4495">
                  <c:v>36539</c:v>
                </c:pt>
                <c:pt idx="4496">
                  <c:v>36538</c:v>
                </c:pt>
                <c:pt idx="4497">
                  <c:v>36537</c:v>
                </c:pt>
                <c:pt idx="4498">
                  <c:v>36536</c:v>
                </c:pt>
                <c:pt idx="4499">
                  <c:v>36535</c:v>
                </c:pt>
                <c:pt idx="4500">
                  <c:v>36532</c:v>
                </c:pt>
                <c:pt idx="4501">
                  <c:v>36531</c:v>
                </c:pt>
                <c:pt idx="4502">
                  <c:v>36530</c:v>
                </c:pt>
                <c:pt idx="4503">
                  <c:v>36529</c:v>
                </c:pt>
                <c:pt idx="4504">
                  <c:v>36528</c:v>
                </c:pt>
                <c:pt idx="4505">
                  <c:v>36525</c:v>
                </c:pt>
                <c:pt idx="4506">
                  <c:v>36524</c:v>
                </c:pt>
                <c:pt idx="4507">
                  <c:v>36523</c:v>
                </c:pt>
                <c:pt idx="4508">
                  <c:v>36522</c:v>
                </c:pt>
                <c:pt idx="4509">
                  <c:v>36521</c:v>
                </c:pt>
                <c:pt idx="4510">
                  <c:v>36518</c:v>
                </c:pt>
                <c:pt idx="4511">
                  <c:v>36517</c:v>
                </c:pt>
                <c:pt idx="4512">
                  <c:v>36516</c:v>
                </c:pt>
                <c:pt idx="4513">
                  <c:v>36515</c:v>
                </c:pt>
                <c:pt idx="4514">
                  <c:v>36514</c:v>
                </c:pt>
                <c:pt idx="4515">
                  <c:v>36511</c:v>
                </c:pt>
                <c:pt idx="4516">
                  <c:v>36510</c:v>
                </c:pt>
                <c:pt idx="4517">
                  <c:v>36509</c:v>
                </c:pt>
                <c:pt idx="4518">
                  <c:v>36508</c:v>
                </c:pt>
                <c:pt idx="4519">
                  <c:v>36507</c:v>
                </c:pt>
                <c:pt idx="4520">
                  <c:v>36504</c:v>
                </c:pt>
                <c:pt idx="4521">
                  <c:v>36503</c:v>
                </c:pt>
                <c:pt idx="4522">
                  <c:v>36502</c:v>
                </c:pt>
                <c:pt idx="4523">
                  <c:v>36501</c:v>
                </c:pt>
                <c:pt idx="4524">
                  <c:v>36500</c:v>
                </c:pt>
                <c:pt idx="4525">
                  <c:v>36497</c:v>
                </c:pt>
                <c:pt idx="4526">
                  <c:v>36496</c:v>
                </c:pt>
                <c:pt idx="4527">
                  <c:v>36495</c:v>
                </c:pt>
                <c:pt idx="4528">
                  <c:v>36494</c:v>
                </c:pt>
                <c:pt idx="4529">
                  <c:v>36493</c:v>
                </c:pt>
                <c:pt idx="4530">
                  <c:v>36490</c:v>
                </c:pt>
                <c:pt idx="4531">
                  <c:v>36489</c:v>
                </c:pt>
                <c:pt idx="4532">
                  <c:v>36488</c:v>
                </c:pt>
                <c:pt idx="4533">
                  <c:v>36487</c:v>
                </c:pt>
                <c:pt idx="4534">
                  <c:v>36486</c:v>
                </c:pt>
                <c:pt idx="4535">
                  <c:v>36483</c:v>
                </c:pt>
                <c:pt idx="4536">
                  <c:v>36482</c:v>
                </c:pt>
                <c:pt idx="4537">
                  <c:v>36481</c:v>
                </c:pt>
                <c:pt idx="4538">
                  <c:v>36480</c:v>
                </c:pt>
                <c:pt idx="4539">
                  <c:v>36479</c:v>
                </c:pt>
                <c:pt idx="4540">
                  <c:v>36476</c:v>
                </c:pt>
                <c:pt idx="4541">
                  <c:v>36475</c:v>
                </c:pt>
                <c:pt idx="4542">
                  <c:v>36474</c:v>
                </c:pt>
                <c:pt idx="4543">
                  <c:v>36473</c:v>
                </c:pt>
                <c:pt idx="4544">
                  <c:v>36472</c:v>
                </c:pt>
                <c:pt idx="4545">
                  <c:v>36469</c:v>
                </c:pt>
                <c:pt idx="4546">
                  <c:v>36468</c:v>
                </c:pt>
                <c:pt idx="4547">
                  <c:v>36467</c:v>
                </c:pt>
                <c:pt idx="4548">
                  <c:v>36466</c:v>
                </c:pt>
                <c:pt idx="4549">
                  <c:v>36465</c:v>
                </c:pt>
                <c:pt idx="4550">
                  <c:v>36462</c:v>
                </c:pt>
                <c:pt idx="4551">
                  <c:v>36461</c:v>
                </c:pt>
                <c:pt idx="4552">
                  <c:v>36460</c:v>
                </c:pt>
                <c:pt idx="4553">
                  <c:v>36459</c:v>
                </c:pt>
                <c:pt idx="4554">
                  <c:v>36458</c:v>
                </c:pt>
                <c:pt idx="4555">
                  <c:v>36455</c:v>
                </c:pt>
                <c:pt idx="4556">
                  <c:v>36454</c:v>
                </c:pt>
                <c:pt idx="4557">
                  <c:v>36453</c:v>
                </c:pt>
                <c:pt idx="4558">
                  <c:v>36452</c:v>
                </c:pt>
                <c:pt idx="4559">
                  <c:v>36451</c:v>
                </c:pt>
                <c:pt idx="4560">
                  <c:v>36448</c:v>
                </c:pt>
                <c:pt idx="4561">
                  <c:v>36447</c:v>
                </c:pt>
                <c:pt idx="4562">
                  <c:v>36446</c:v>
                </c:pt>
                <c:pt idx="4563">
                  <c:v>36445</c:v>
                </c:pt>
                <c:pt idx="4564">
                  <c:v>36444</c:v>
                </c:pt>
                <c:pt idx="4565">
                  <c:v>36441</c:v>
                </c:pt>
                <c:pt idx="4566">
                  <c:v>36440</c:v>
                </c:pt>
                <c:pt idx="4567">
                  <c:v>36439</c:v>
                </c:pt>
                <c:pt idx="4568">
                  <c:v>36438</c:v>
                </c:pt>
                <c:pt idx="4569">
                  <c:v>36437</c:v>
                </c:pt>
                <c:pt idx="4570">
                  <c:v>36434</c:v>
                </c:pt>
                <c:pt idx="4571">
                  <c:v>36433</c:v>
                </c:pt>
                <c:pt idx="4572">
                  <c:v>36432</c:v>
                </c:pt>
                <c:pt idx="4573">
                  <c:v>36431</c:v>
                </c:pt>
                <c:pt idx="4574">
                  <c:v>36430</c:v>
                </c:pt>
                <c:pt idx="4575">
                  <c:v>36427</c:v>
                </c:pt>
                <c:pt idx="4576">
                  <c:v>36426</c:v>
                </c:pt>
                <c:pt idx="4577">
                  <c:v>36425</c:v>
                </c:pt>
                <c:pt idx="4578">
                  <c:v>36424</c:v>
                </c:pt>
                <c:pt idx="4579">
                  <c:v>36423</c:v>
                </c:pt>
                <c:pt idx="4580">
                  <c:v>36420</c:v>
                </c:pt>
                <c:pt idx="4581">
                  <c:v>36419</c:v>
                </c:pt>
                <c:pt idx="4582">
                  <c:v>36418</c:v>
                </c:pt>
                <c:pt idx="4583">
                  <c:v>36417</c:v>
                </c:pt>
                <c:pt idx="4584">
                  <c:v>36416</c:v>
                </c:pt>
                <c:pt idx="4585">
                  <c:v>36413</c:v>
                </c:pt>
                <c:pt idx="4586">
                  <c:v>36412</c:v>
                </c:pt>
                <c:pt idx="4587">
                  <c:v>36411</c:v>
                </c:pt>
                <c:pt idx="4588">
                  <c:v>36410</c:v>
                </c:pt>
                <c:pt idx="4589">
                  <c:v>36409</c:v>
                </c:pt>
                <c:pt idx="4590">
                  <c:v>36406</c:v>
                </c:pt>
                <c:pt idx="4591">
                  <c:v>36405</c:v>
                </c:pt>
                <c:pt idx="4592">
                  <c:v>36404</c:v>
                </c:pt>
                <c:pt idx="4593">
                  <c:v>36403</c:v>
                </c:pt>
                <c:pt idx="4594">
                  <c:v>36402</c:v>
                </c:pt>
                <c:pt idx="4595">
                  <c:v>36399</c:v>
                </c:pt>
                <c:pt idx="4596">
                  <c:v>36398</c:v>
                </c:pt>
                <c:pt idx="4597">
                  <c:v>36397</c:v>
                </c:pt>
                <c:pt idx="4598">
                  <c:v>36396</c:v>
                </c:pt>
                <c:pt idx="4599">
                  <c:v>36395</c:v>
                </c:pt>
                <c:pt idx="4600">
                  <c:v>36392</c:v>
                </c:pt>
                <c:pt idx="4601">
                  <c:v>36391</c:v>
                </c:pt>
                <c:pt idx="4602">
                  <c:v>36390</c:v>
                </c:pt>
                <c:pt idx="4603">
                  <c:v>36389</c:v>
                </c:pt>
                <c:pt idx="4604">
                  <c:v>36388</c:v>
                </c:pt>
                <c:pt idx="4605">
                  <c:v>36385</c:v>
                </c:pt>
                <c:pt idx="4606">
                  <c:v>36384</c:v>
                </c:pt>
                <c:pt idx="4607">
                  <c:v>36383</c:v>
                </c:pt>
                <c:pt idx="4608">
                  <c:v>36382</c:v>
                </c:pt>
                <c:pt idx="4609">
                  <c:v>36381</c:v>
                </c:pt>
                <c:pt idx="4610">
                  <c:v>36378</c:v>
                </c:pt>
                <c:pt idx="4611">
                  <c:v>36377</c:v>
                </c:pt>
                <c:pt idx="4612">
                  <c:v>36376</c:v>
                </c:pt>
                <c:pt idx="4613">
                  <c:v>36375</c:v>
                </c:pt>
                <c:pt idx="4614">
                  <c:v>36374</c:v>
                </c:pt>
                <c:pt idx="4615">
                  <c:v>36371</c:v>
                </c:pt>
                <c:pt idx="4616">
                  <c:v>36370</c:v>
                </c:pt>
                <c:pt idx="4617">
                  <c:v>36369</c:v>
                </c:pt>
                <c:pt idx="4618">
                  <c:v>36368</c:v>
                </c:pt>
                <c:pt idx="4619">
                  <c:v>36367</c:v>
                </c:pt>
                <c:pt idx="4620">
                  <c:v>36364</c:v>
                </c:pt>
                <c:pt idx="4621">
                  <c:v>36363</c:v>
                </c:pt>
                <c:pt idx="4622">
                  <c:v>36362</c:v>
                </c:pt>
                <c:pt idx="4623">
                  <c:v>36361</c:v>
                </c:pt>
                <c:pt idx="4624">
                  <c:v>36360</c:v>
                </c:pt>
                <c:pt idx="4625">
                  <c:v>36357</c:v>
                </c:pt>
                <c:pt idx="4626">
                  <c:v>36356</c:v>
                </c:pt>
                <c:pt idx="4627">
                  <c:v>36355</c:v>
                </c:pt>
                <c:pt idx="4628">
                  <c:v>36354</c:v>
                </c:pt>
                <c:pt idx="4629">
                  <c:v>36353</c:v>
                </c:pt>
                <c:pt idx="4630">
                  <c:v>36350</c:v>
                </c:pt>
                <c:pt idx="4631">
                  <c:v>36349</c:v>
                </c:pt>
                <c:pt idx="4632">
                  <c:v>36348</c:v>
                </c:pt>
                <c:pt idx="4633">
                  <c:v>36347</c:v>
                </c:pt>
                <c:pt idx="4634">
                  <c:v>36346</c:v>
                </c:pt>
                <c:pt idx="4635">
                  <c:v>36343</c:v>
                </c:pt>
                <c:pt idx="4636">
                  <c:v>36342</c:v>
                </c:pt>
                <c:pt idx="4637">
                  <c:v>36341</c:v>
                </c:pt>
                <c:pt idx="4638">
                  <c:v>36340</c:v>
                </c:pt>
                <c:pt idx="4639">
                  <c:v>36339</c:v>
                </c:pt>
                <c:pt idx="4640">
                  <c:v>36336</c:v>
                </c:pt>
                <c:pt idx="4641">
                  <c:v>36335</c:v>
                </c:pt>
                <c:pt idx="4642">
                  <c:v>36334</c:v>
                </c:pt>
                <c:pt idx="4643">
                  <c:v>36333</c:v>
                </c:pt>
                <c:pt idx="4644">
                  <c:v>36332</c:v>
                </c:pt>
                <c:pt idx="4645">
                  <c:v>36329</c:v>
                </c:pt>
                <c:pt idx="4646">
                  <c:v>36328</c:v>
                </c:pt>
                <c:pt idx="4647">
                  <c:v>36327</c:v>
                </c:pt>
                <c:pt idx="4648">
                  <c:v>36326</c:v>
                </c:pt>
                <c:pt idx="4649">
                  <c:v>36325</c:v>
                </c:pt>
                <c:pt idx="4650">
                  <c:v>36322</c:v>
                </c:pt>
                <c:pt idx="4651">
                  <c:v>36321</c:v>
                </c:pt>
                <c:pt idx="4652">
                  <c:v>36320</c:v>
                </c:pt>
                <c:pt idx="4653">
                  <c:v>36319</c:v>
                </c:pt>
                <c:pt idx="4654">
                  <c:v>36318</c:v>
                </c:pt>
                <c:pt idx="4655">
                  <c:v>36315</c:v>
                </c:pt>
                <c:pt idx="4656">
                  <c:v>36314</c:v>
                </c:pt>
                <c:pt idx="4657">
                  <c:v>36313</c:v>
                </c:pt>
                <c:pt idx="4658">
                  <c:v>36312</c:v>
                </c:pt>
                <c:pt idx="4659">
                  <c:v>36311</c:v>
                </c:pt>
                <c:pt idx="4660">
                  <c:v>36308</c:v>
                </c:pt>
                <c:pt idx="4661">
                  <c:v>36307</c:v>
                </c:pt>
                <c:pt idx="4662">
                  <c:v>36306</c:v>
                </c:pt>
                <c:pt idx="4663">
                  <c:v>36305</c:v>
                </c:pt>
                <c:pt idx="4664">
                  <c:v>36304</c:v>
                </c:pt>
                <c:pt idx="4665">
                  <c:v>36301</c:v>
                </c:pt>
                <c:pt idx="4666">
                  <c:v>36300</c:v>
                </c:pt>
                <c:pt idx="4667">
                  <c:v>36299</c:v>
                </c:pt>
                <c:pt idx="4668">
                  <c:v>36298</c:v>
                </c:pt>
                <c:pt idx="4669">
                  <c:v>36297</c:v>
                </c:pt>
                <c:pt idx="4670">
                  <c:v>36294</c:v>
                </c:pt>
                <c:pt idx="4671">
                  <c:v>36293</c:v>
                </c:pt>
                <c:pt idx="4672">
                  <c:v>36292</c:v>
                </c:pt>
                <c:pt idx="4673">
                  <c:v>36291</c:v>
                </c:pt>
                <c:pt idx="4674">
                  <c:v>36290</c:v>
                </c:pt>
                <c:pt idx="4675">
                  <c:v>36287</c:v>
                </c:pt>
                <c:pt idx="4676">
                  <c:v>36286</c:v>
                </c:pt>
                <c:pt idx="4677">
                  <c:v>36285</c:v>
                </c:pt>
                <c:pt idx="4678">
                  <c:v>36284</c:v>
                </c:pt>
                <c:pt idx="4679">
                  <c:v>36283</c:v>
                </c:pt>
                <c:pt idx="4680">
                  <c:v>36280</c:v>
                </c:pt>
                <c:pt idx="4681">
                  <c:v>36279</c:v>
                </c:pt>
                <c:pt idx="4682">
                  <c:v>36278</c:v>
                </c:pt>
                <c:pt idx="4683">
                  <c:v>36277</c:v>
                </c:pt>
                <c:pt idx="4684">
                  <c:v>36276</c:v>
                </c:pt>
                <c:pt idx="4685">
                  <c:v>36273</c:v>
                </c:pt>
                <c:pt idx="4686">
                  <c:v>36272</c:v>
                </c:pt>
                <c:pt idx="4687">
                  <c:v>36271</c:v>
                </c:pt>
                <c:pt idx="4688">
                  <c:v>36270</c:v>
                </c:pt>
                <c:pt idx="4689">
                  <c:v>36269</c:v>
                </c:pt>
                <c:pt idx="4690">
                  <c:v>36266</c:v>
                </c:pt>
                <c:pt idx="4691">
                  <c:v>36265</c:v>
                </c:pt>
                <c:pt idx="4692">
                  <c:v>36264</c:v>
                </c:pt>
                <c:pt idx="4693">
                  <c:v>36263</c:v>
                </c:pt>
                <c:pt idx="4694">
                  <c:v>36262</c:v>
                </c:pt>
                <c:pt idx="4695">
                  <c:v>36259</c:v>
                </c:pt>
                <c:pt idx="4696">
                  <c:v>36258</c:v>
                </c:pt>
                <c:pt idx="4697">
                  <c:v>36257</c:v>
                </c:pt>
                <c:pt idx="4698">
                  <c:v>36256</c:v>
                </c:pt>
                <c:pt idx="4699">
                  <c:v>36255</c:v>
                </c:pt>
                <c:pt idx="4700">
                  <c:v>36252</c:v>
                </c:pt>
                <c:pt idx="4701">
                  <c:v>36251</c:v>
                </c:pt>
                <c:pt idx="4702">
                  <c:v>36250</c:v>
                </c:pt>
                <c:pt idx="4703">
                  <c:v>36249</c:v>
                </c:pt>
                <c:pt idx="4704">
                  <c:v>36248</c:v>
                </c:pt>
                <c:pt idx="4705">
                  <c:v>36245</c:v>
                </c:pt>
                <c:pt idx="4706">
                  <c:v>36244</c:v>
                </c:pt>
                <c:pt idx="4707">
                  <c:v>36243</c:v>
                </c:pt>
                <c:pt idx="4708">
                  <c:v>36242</c:v>
                </c:pt>
                <c:pt idx="4709">
                  <c:v>36241</c:v>
                </c:pt>
                <c:pt idx="4710">
                  <c:v>36238</c:v>
                </c:pt>
                <c:pt idx="4711">
                  <c:v>36237</c:v>
                </c:pt>
                <c:pt idx="4712">
                  <c:v>36236</c:v>
                </c:pt>
                <c:pt idx="4713">
                  <c:v>36235</c:v>
                </c:pt>
                <c:pt idx="4714">
                  <c:v>36234</c:v>
                </c:pt>
                <c:pt idx="4715">
                  <c:v>36231</c:v>
                </c:pt>
                <c:pt idx="4716">
                  <c:v>36230</c:v>
                </c:pt>
                <c:pt idx="4717">
                  <c:v>36229</c:v>
                </c:pt>
                <c:pt idx="4718">
                  <c:v>36228</c:v>
                </c:pt>
                <c:pt idx="4719">
                  <c:v>36227</c:v>
                </c:pt>
                <c:pt idx="4720">
                  <c:v>36224</c:v>
                </c:pt>
                <c:pt idx="4721">
                  <c:v>36223</c:v>
                </c:pt>
                <c:pt idx="4722">
                  <c:v>36222</c:v>
                </c:pt>
                <c:pt idx="4723">
                  <c:v>36221</c:v>
                </c:pt>
                <c:pt idx="4724">
                  <c:v>36220</c:v>
                </c:pt>
                <c:pt idx="4725">
                  <c:v>36217</c:v>
                </c:pt>
                <c:pt idx="4726">
                  <c:v>36216</c:v>
                </c:pt>
                <c:pt idx="4727">
                  <c:v>36215</c:v>
                </c:pt>
                <c:pt idx="4728">
                  <c:v>36214</c:v>
                </c:pt>
                <c:pt idx="4729">
                  <c:v>36213</c:v>
                </c:pt>
                <c:pt idx="4730">
                  <c:v>36210</c:v>
                </c:pt>
                <c:pt idx="4731">
                  <c:v>36209</c:v>
                </c:pt>
                <c:pt idx="4732">
                  <c:v>36208</c:v>
                </c:pt>
                <c:pt idx="4733">
                  <c:v>36207</c:v>
                </c:pt>
                <c:pt idx="4734">
                  <c:v>36206</c:v>
                </c:pt>
                <c:pt idx="4735">
                  <c:v>36203</c:v>
                </c:pt>
                <c:pt idx="4736">
                  <c:v>36202</c:v>
                </c:pt>
                <c:pt idx="4737">
                  <c:v>36201</c:v>
                </c:pt>
                <c:pt idx="4738">
                  <c:v>36200</c:v>
                </c:pt>
                <c:pt idx="4739">
                  <c:v>36199</c:v>
                </c:pt>
                <c:pt idx="4740">
                  <c:v>36196</c:v>
                </c:pt>
                <c:pt idx="4741">
                  <c:v>36195</c:v>
                </c:pt>
                <c:pt idx="4742">
                  <c:v>36194</c:v>
                </c:pt>
                <c:pt idx="4743">
                  <c:v>36193</c:v>
                </c:pt>
                <c:pt idx="4744">
                  <c:v>36192</c:v>
                </c:pt>
                <c:pt idx="4745">
                  <c:v>36189</c:v>
                </c:pt>
                <c:pt idx="4746">
                  <c:v>36188</c:v>
                </c:pt>
                <c:pt idx="4747">
                  <c:v>36187</c:v>
                </c:pt>
                <c:pt idx="4748">
                  <c:v>36186</c:v>
                </c:pt>
                <c:pt idx="4749">
                  <c:v>36185</c:v>
                </c:pt>
                <c:pt idx="4750">
                  <c:v>36182</c:v>
                </c:pt>
                <c:pt idx="4751">
                  <c:v>36181</c:v>
                </c:pt>
                <c:pt idx="4752">
                  <c:v>36180</c:v>
                </c:pt>
                <c:pt idx="4753">
                  <c:v>36179</c:v>
                </c:pt>
                <c:pt idx="4754">
                  <c:v>36178</c:v>
                </c:pt>
                <c:pt idx="4755">
                  <c:v>36175</c:v>
                </c:pt>
                <c:pt idx="4756">
                  <c:v>36174</c:v>
                </c:pt>
                <c:pt idx="4757">
                  <c:v>36173</c:v>
                </c:pt>
                <c:pt idx="4758">
                  <c:v>36172</c:v>
                </c:pt>
                <c:pt idx="4759">
                  <c:v>36171</c:v>
                </c:pt>
                <c:pt idx="4760">
                  <c:v>36168</c:v>
                </c:pt>
                <c:pt idx="4761">
                  <c:v>36167</c:v>
                </c:pt>
                <c:pt idx="4762">
                  <c:v>36166</c:v>
                </c:pt>
                <c:pt idx="4763">
                  <c:v>36165</c:v>
                </c:pt>
                <c:pt idx="4764">
                  <c:v>36164</c:v>
                </c:pt>
                <c:pt idx="4765">
                  <c:v>36161</c:v>
                </c:pt>
                <c:pt idx="4766">
                  <c:v>36160</c:v>
                </c:pt>
                <c:pt idx="4767">
                  <c:v>36159</c:v>
                </c:pt>
                <c:pt idx="4768">
                  <c:v>36158</c:v>
                </c:pt>
                <c:pt idx="4769">
                  <c:v>36157</c:v>
                </c:pt>
                <c:pt idx="4770">
                  <c:v>36154</c:v>
                </c:pt>
                <c:pt idx="4771">
                  <c:v>36153</c:v>
                </c:pt>
                <c:pt idx="4772">
                  <c:v>36152</c:v>
                </c:pt>
                <c:pt idx="4773">
                  <c:v>36151</c:v>
                </c:pt>
                <c:pt idx="4774">
                  <c:v>36150</c:v>
                </c:pt>
                <c:pt idx="4775">
                  <c:v>36147</c:v>
                </c:pt>
                <c:pt idx="4776">
                  <c:v>36146</c:v>
                </c:pt>
                <c:pt idx="4777">
                  <c:v>36145</c:v>
                </c:pt>
                <c:pt idx="4778">
                  <c:v>36144</c:v>
                </c:pt>
                <c:pt idx="4779">
                  <c:v>36143</c:v>
                </c:pt>
                <c:pt idx="4780">
                  <c:v>36140</c:v>
                </c:pt>
                <c:pt idx="4781">
                  <c:v>36139</c:v>
                </c:pt>
                <c:pt idx="4782">
                  <c:v>36138</c:v>
                </c:pt>
                <c:pt idx="4783">
                  <c:v>36137</c:v>
                </c:pt>
                <c:pt idx="4784">
                  <c:v>36136</c:v>
                </c:pt>
                <c:pt idx="4785">
                  <c:v>36133</c:v>
                </c:pt>
                <c:pt idx="4786">
                  <c:v>36132</c:v>
                </c:pt>
                <c:pt idx="4787">
                  <c:v>36131</c:v>
                </c:pt>
                <c:pt idx="4788">
                  <c:v>36130</c:v>
                </c:pt>
                <c:pt idx="4789">
                  <c:v>36129</c:v>
                </c:pt>
                <c:pt idx="4790">
                  <c:v>36126</c:v>
                </c:pt>
                <c:pt idx="4791">
                  <c:v>36125</c:v>
                </c:pt>
                <c:pt idx="4792">
                  <c:v>36124</c:v>
                </c:pt>
                <c:pt idx="4793">
                  <c:v>36123</c:v>
                </c:pt>
                <c:pt idx="4794">
                  <c:v>36122</c:v>
                </c:pt>
                <c:pt idx="4795">
                  <c:v>36119</c:v>
                </c:pt>
                <c:pt idx="4796">
                  <c:v>36118</c:v>
                </c:pt>
                <c:pt idx="4797">
                  <c:v>36117</c:v>
                </c:pt>
                <c:pt idx="4798">
                  <c:v>36116</c:v>
                </c:pt>
                <c:pt idx="4799">
                  <c:v>36115</c:v>
                </c:pt>
                <c:pt idx="4800">
                  <c:v>36112</c:v>
                </c:pt>
                <c:pt idx="4801">
                  <c:v>36111</c:v>
                </c:pt>
                <c:pt idx="4802">
                  <c:v>36110</c:v>
                </c:pt>
                <c:pt idx="4803">
                  <c:v>36109</c:v>
                </c:pt>
                <c:pt idx="4804">
                  <c:v>36108</c:v>
                </c:pt>
                <c:pt idx="4805">
                  <c:v>36105</c:v>
                </c:pt>
                <c:pt idx="4806">
                  <c:v>36104</c:v>
                </c:pt>
                <c:pt idx="4807">
                  <c:v>36103</c:v>
                </c:pt>
                <c:pt idx="4808">
                  <c:v>36102</c:v>
                </c:pt>
                <c:pt idx="4809">
                  <c:v>36101</c:v>
                </c:pt>
                <c:pt idx="4810">
                  <c:v>36098</c:v>
                </c:pt>
                <c:pt idx="4811">
                  <c:v>36097</c:v>
                </c:pt>
                <c:pt idx="4812">
                  <c:v>36096</c:v>
                </c:pt>
                <c:pt idx="4813">
                  <c:v>36095</c:v>
                </c:pt>
                <c:pt idx="4814">
                  <c:v>36094</c:v>
                </c:pt>
                <c:pt idx="4815">
                  <c:v>36091</c:v>
                </c:pt>
                <c:pt idx="4816">
                  <c:v>36090</c:v>
                </c:pt>
                <c:pt idx="4817">
                  <c:v>36089</c:v>
                </c:pt>
                <c:pt idx="4818">
                  <c:v>36088</c:v>
                </c:pt>
                <c:pt idx="4819">
                  <c:v>36087</c:v>
                </c:pt>
                <c:pt idx="4820">
                  <c:v>36084</c:v>
                </c:pt>
                <c:pt idx="4821">
                  <c:v>36083</c:v>
                </c:pt>
                <c:pt idx="4822">
                  <c:v>36082</c:v>
                </c:pt>
                <c:pt idx="4823">
                  <c:v>36081</c:v>
                </c:pt>
                <c:pt idx="4824">
                  <c:v>36080</c:v>
                </c:pt>
                <c:pt idx="4825">
                  <c:v>36077</c:v>
                </c:pt>
                <c:pt idx="4826">
                  <c:v>36076</c:v>
                </c:pt>
                <c:pt idx="4827">
                  <c:v>36075</c:v>
                </c:pt>
                <c:pt idx="4828">
                  <c:v>36074</c:v>
                </c:pt>
                <c:pt idx="4829">
                  <c:v>36073</c:v>
                </c:pt>
                <c:pt idx="4830">
                  <c:v>36070</c:v>
                </c:pt>
                <c:pt idx="4831">
                  <c:v>36069</c:v>
                </c:pt>
                <c:pt idx="4832">
                  <c:v>36068</c:v>
                </c:pt>
                <c:pt idx="4833">
                  <c:v>36067</c:v>
                </c:pt>
                <c:pt idx="4834">
                  <c:v>36066</c:v>
                </c:pt>
                <c:pt idx="4835">
                  <c:v>36063</c:v>
                </c:pt>
                <c:pt idx="4836">
                  <c:v>36062</c:v>
                </c:pt>
                <c:pt idx="4837">
                  <c:v>36061</c:v>
                </c:pt>
                <c:pt idx="4838">
                  <c:v>36060</c:v>
                </c:pt>
                <c:pt idx="4839">
                  <c:v>36059</c:v>
                </c:pt>
                <c:pt idx="4840">
                  <c:v>36056</c:v>
                </c:pt>
                <c:pt idx="4841">
                  <c:v>36055</c:v>
                </c:pt>
                <c:pt idx="4842">
                  <c:v>36054</c:v>
                </c:pt>
                <c:pt idx="4843">
                  <c:v>36053</c:v>
                </c:pt>
                <c:pt idx="4844">
                  <c:v>36052</c:v>
                </c:pt>
                <c:pt idx="4845">
                  <c:v>36049</c:v>
                </c:pt>
                <c:pt idx="4846">
                  <c:v>36048</c:v>
                </c:pt>
                <c:pt idx="4847">
                  <c:v>36047</c:v>
                </c:pt>
                <c:pt idx="4848">
                  <c:v>36046</c:v>
                </c:pt>
                <c:pt idx="4849">
                  <c:v>36045</c:v>
                </c:pt>
                <c:pt idx="4850">
                  <c:v>36042</c:v>
                </c:pt>
                <c:pt idx="4851">
                  <c:v>36041</c:v>
                </c:pt>
                <c:pt idx="4852">
                  <c:v>36040</c:v>
                </c:pt>
                <c:pt idx="4853">
                  <c:v>36039</c:v>
                </c:pt>
                <c:pt idx="4854">
                  <c:v>36038</c:v>
                </c:pt>
                <c:pt idx="4855">
                  <c:v>36035</c:v>
                </c:pt>
                <c:pt idx="4856">
                  <c:v>36034</c:v>
                </c:pt>
                <c:pt idx="4857">
                  <c:v>36033</c:v>
                </c:pt>
                <c:pt idx="4858">
                  <c:v>36032</c:v>
                </c:pt>
                <c:pt idx="4859">
                  <c:v>36031</c:v>
                </c:pt>
                <c:pt idx="4860">
                  <c:v>36028</c:v>
                </c:pt>
                <c:pt idx="4861">
                  <c:v>36027</c:v>
                </c:pt>
                <c:pt idx="4862">
                  <c:v>36026</c:v>
                </c:pt>
                <c:pt idx="4863">
                  <c:v>36025</c:v>
                </c:pt>
                <c:pt idx="4864">
                  <c:v>36024</c:v>
                </c:pt>
                <c:pt idx="4865">
                  <c:v>36021</c:v>
                </c:pt>
                <c:pt idx="4866">
                  <c:v>36020</c:v>
                </c:pt>
                <c:pt idx="4867">
                  <c:v>36019</c:v>
                </c:pt>
                <c:pt idx="4868">
                  <c:v>36018</c:v>
                </c:pt>
                <c:pt idx="4869">
                  <c:v>36017</c:v>
                </c:pt>
                <c:pt idx="4870">
                  <c:v>36014</c:v>
                </c:pt>
                <c:pt idx="4871">
                  <c:v>36013</c:v>
                </c:pt>
                <c:pt idx="4872">
                  <c:v>36012</c:v>
                </c:pt>
                <c:pt idx="4873">
                  <c:v>36011</c:v>
                </c:pt>
                <c:pt idx="4874">
                  <c:v>36010</c:v>
                </c:pt>
                <c:pt idx="4875">
                  <c:v>36007</c:v>
                </c:pt>
                <c:pt idx="4876">
                  <c:v>36006</c:v>
                </c:pt>
                <c:pt idx="4877">
                  <c:v>36005</c:v>
                </c:pt>
                <c:pt idx="4878">
                  <c:v>36004</c:v>
                </c:pt>
                <c:pt idx="4879">
                  <c:v>36003</c:v>
                </c:pt>
                <c:pt idx="4880">
                  <c:v>36000</c:v>
                </c:pt>
                <c:pt idx="4881">
                  <c:v>35999</c:v>
                </c:pt>
                <c:pt idx="4882">
                  <c:v>35998</c:v>
                </c:pt>
                <c:pt idx="4883">
                  <c:v>35997</c:v>
                </c:pt>
                <c:pt idx="4884">
                  <c:v>35996</c:v>
                </c:pt>
                <c:pt idx="4885">
                  <c:v>35993</c:v>
                </c:pt>
                <c:pt idx="4886">
                  <c:v>35992</c:v>
                </c:pt>
                <c:pt idx="4887">
                  <c:v>35991</c:v>
                </c:pt>
                <c:pt idx="4888">
                  <c:v>35990</c:v>
                </c:pt>
                <c:pt idx="4889">
                  <c:v>35989</c:v>
                </c:pt>
                <c:pt idx="4890">
                  <c:v>35986</c:v>
                </c:pt>
                <c:pt idx="4891">
                  <c:v>35985</c:v>
                </c:pt>
                <c:pt idx="4892">
                  <c:v>35984</c:v>
                </c:pt>
                <c:pt idx="4893">
                  <c:v>35983</c:v>
                </c:pt>
                <c:pt idx="4894">
                  <c:v>35982</c:v>
                </c:pt>
                <c:pt idx="4895">
                  <c:v>35979</c:v>
                </c:pt>
                <c:pt idx="4896">
                  <c:v>35978</c:v>
                </c:pt>
                <c:pt idx="4897">
                  <c:v>35977</c:v>
                </c:pt>
                <c:pt idx="4898">
                  <c:v>35976</c:v>
                </c:pt>
                <c:pt idx="4899">
                  <c:v>35975</c:v>
                </c:pt>
                <c:pt idx="4900">
                  <c:v>35972</c:v>
                </c:pt>
                <c:pt idx="4901">
                  <c:v>35971</c:v>
                </c:pt>
                <c:pt idx="4902">
                  <c:v>35970</c:v>
                </c:pt>
                <c:pt idx="4903">
                  <c:v>35969</c:v>
                </c:pt>
                <c:pt idx="4904">
                  <c:v>35968</c:v>
                </c:pt>
                <c:pt idx="4905">
                  <c:v>35965</c:v>
                </c:pt>
                <c:pt idx="4906">
                  <c:v>35964</c:v>
                </c:pt>
                <c:pt idx="4907">
                  <c:v>35963</c:v>
                </c:pt>
                <c:pt idx="4908">
                  <c:v>35962</c:v>
                </c:pt>
                <c:pt idx="4909">
                  <c:v>35961</c:v>
                </c:pt>
                <c:pt idx="4910">
                  <c:v>35958</c:v>
                </c:pt>
                <c:pt idx="4911">
                  <c:v>35957</c:v>
                </c:pt>
                <c:pt idx="4912">
                  <c:v>35956</c:v>
                </c:pt>
                <c:pt idx="4913">
                  <c:v>35955</c:v>
                </c:pt>
                <c:pt idx="4914">
                  <c:v>35954</c:v>
                </c:pt>
                <c:pt idx="4915">
                  <c:v>35951</c:v>
                </c:pt>
                <c:pt idx="4916">
                  <c:v>35950</c:v>
                </c:pt>
                <c:pt idx="4917">
                  <c:v>35949</c:v>
                </c:pt>
                <c:pt idx="4918">
                  <c:v>35948</c:v>
                </c:pt>
                <c:pt idx="4919">
                  <c:v>35947</c:v>
                </c:pt>
                <c:pt idx="4920">
                  <c:v>35944</c:v>
                </c:pt>
                <c:pt idx="4921">
                  <c:v>35943</c:v>
                </c:pt>
                <c:pt idx="4922">
                  <c:v>35942</c:v>
                </c:pt>
                <c:pt idx="4923">
                  <c:v>35941</c:v>
                </c:pt>
                <c:pt idx="4924">
                  <c:v>35940</c:v>
                </c:pt>
                <c:pt idx="4925">
                  <c:v>35937</c:v>
                </c:pt>
                <c:pt idx="4926">
                  <c:v>35936</c:v>
                </c:pt>
                <c:pt idx="4927">
                  <c:v>35935</c:v>
                </c:pt>
                <c:pt idx="4928">
                  <c:v>35934</c:v>
                </c:pt>
                <c:pt idx="4929">
                  <c:v>35933</c:v>
                </c:pt>
                <c:pt idx="4930">
                  <c:v>35930</c:v>
                </c:pt>
                <c:pt idx="4931">
                  <c:v>35929</c:v>
                </c:pt>
                <c:pt idx="4932">
                  <c:v>35928</c:v>
                </c:pt>
                <c:pt idx="4933">
                  <c:v>35927</c:v>
                </c:pt>
                <c:pt idx="4934">
                  <c:v>35926</c:v>
                </c:pt>
                <c:pt idx="4935">
                  <c:v>35923</c:v>
                </c:pt>
                <c:pt idx="4936">
                  <c:v>35922</c:v>
                </c:pt>
                <c:pt idx="4937">
                  <c:v>35921</c:v>
                </c:pt>
                <c:pt idx="4938">
                  <c:v>35920</c:v>
                </c:pt>
                <c:pt idx="4939">
                  <c:v>35919</c:v>
                </c:pt>
                <c:pt idx="4940">
                  <c:v>35916</c:v>
                </c:pt>
                <c:pt idx="4941">
                  <c:v>35915</c:v>
                </c:pt>
                <c:pt idx="4942">
                  <c:v>35914</c:v>
                </c:pt>
                <c:pt idx="4943">
                  <c:v>35913</c:v>
                </c:pt>
                <c:pt idx="4944">
                  <c:v>35912</c:v>
                </c:pt>
                <c:pt idx="4945">
                  <c:v>35909</c:v>
                </c:pt>
                <c:pt idx="4946">
                  <c:v>35908</c:v>
                </c:pt>
                <c:pt idx="4947">
                  <c:v>35907</c:v>
                </c:pt>
                <c:pt idx="4948">
                  <c:v>35906</c:v>
                </c:pt>
                <c:pt idx="4949">
                  <c:v>35905</c:v>
                </c:pt>
                <c:pt idx="4950">
                  <c:v>35902</c:v>
                </c:pt>
                <c:pt idx="4951">
                  <c:v>35901</c:v>
                </c:pt>
                <c:pt idx="4952">
                  <c:v>35900</c:v>
                </c:pt>
                <c:pt idx="4953">
                  <c:v>35899</c:v>
                </c:pt>
                <c:pt idx="4954">
                  <c:v>35898</c:v>
                </c:pt>
                <c:pt idx="4955">
                  <c:v>35895</c:v>
                </c:pt>
                <c:pt idx="4956">
                  <c:v>35894</c:v>
                </c:pt>
                <c:pt idx="4957">
                  <c:v>35893</c:v>
                </c:pt>
                <c:pt idx="4958">
                  <c:v>35892</c:v>
                </c:pt>
                <c:pt idx="4959">
                  <c:v>35891</c:v>
                </c:pt>
                <c:pt idx="4960">
                  <c:v>35888</c:v>
                </c:pt>
                <c:pt idx="4961">
                  <c:v>35887</c:v>
                </c:pt>
                <c:pt idx="4962">
                  <c:v>35886</c:v>
                </c:pt>
                <c:pt idx="4963">
                  <c:v>35885</c:v>
                </c:pt>
                <c:pt idx="4964">
                  <c:v>35884</c:v>
                </c:pt>
                <c:pt idx="4965">
                  <c:v>35881</c:v>
                </c:pt>
                <c:pt idx="4966">
                  <c:v>35880</c:v>
                </c:pt>
                <c:pt idx="4967">
                  <c:v>35879</c:v>
                </c:pt>
                <c:pt idx="4968">
                  <c:v>35878</c:v>
                </c:pt>
                <c:pt idx="4969">
                  <c:v>35877</c:v>
                </c:pt>
                <c:pt idx="4970">
                  <c:v>35874</c:v>
                </c:pt>
                <c:pt idx="4971">
                  <c:v>35873</c:v>
                </c:pt>
                <c:pt idx="4972">
                  <c:v>35872</c:v>
                </c:pt>
                <c:pt idx="4973">
                  <c:v>35871</c:v>
                </c:pt>
                <c:pt idx="4974">
                  <c:v>35870</c:v>
                </c:pt>
                <c:pt idx="4975">
                  <c:v>35867</c:v>
                </c:pt>
                <c:pt idx="4976">
                  <c:v>35866</c:v>
                </c:pt>
                <c:pt idx="4977">
                  <c:v>35865</c:v>
                </c:pt>
                <c:pt idx="4978">
                  <c:v>35864</c:v>
                </c:pt>
                <c:pt idx="4979">
                  <c:v>35863</c:v>
                </c:pt>
                <c:pt idx="4980">
                  <c:v>35860</c:v>
                </c:pt>
                <c:pt idx="4981">
                  <c:v>35859</c:v>
                </c:pt>
                <c:pt idx="4982">
                  <c:v>35858</c:v>
                </c:pt>
                <c:pt idx="4983">
                  <c:v>35857</c:v>
                </c:pt>
                <c:pt idx="4984">
                  <c:v>35856</c:v>
                </c:pt>
                <c:pt idx="4985">
                  <c:v>35853</c:v>
                </c:pt>
                <c:pt idx="4986">
                  <c:v>35852</c:v>
                </c:pt>
                <c:pt idx="4987">
                  <c:v>35851</c:v>
                </c:pt>
                <c:pt idx="4988">
                  <c:v>35850</c:v>
                </c:pt>
                <c:pt idx="4989">
                  <c:v>35849</c:v>
                </c:pt>
                <c:pt idx="4990">
                  <c:v>35846</c:v>
                </c:pt>
                <c:pt idx="4991">
                  <c:v>35845</c:v>
                </c:pt>
                <c:pt idx="4992">
                  <c:v>35844</c:v>
                </c:pt>
                <c:pt idx="4993">
                  <c:v>35843</c:v>
                </c:pt>
                <c:pt idx="4994">
                  <c:v>35842</c:v>
                </c:pt>
                <c:pt idx="4995">
                  <c:v>35839</c:v>
                </c:pt>
                <c:pt idx="4996">
                  <c:v>35838</c:v>
                </c:pt>
                <c:pt idx="4997">
                  <c:v>35837</c:v>
                </c:pt>
                <c:pt idx="4998">
                  <c:v>35836</c:v>
                </c:pt>
                <c:pt idx="4999">
                  <c:v>35835</c:v>
                </c:pt>
                <c:pt idx="5000">
                  <c:v>35832</c:v>
                </c:pt>
                <c:pt idx="5001">
                  <c:v>35831</c:v>
                </c:pt>
                <c:pt idx="5002">
                  <c:v>35830</c:v>
                </c:pt>
                <c:pt idx="5003">
                  <c:v>35829</c:v>
                </c:pt>
                <c:pt idx="5004">
                  <c:v>35828</c:v>
                </c:pt>
                <c:pt idx="5005">
                  <c:v>35825</c:v>
                </c:pt>
                <c:pt idx="5006">
                  <c:v>35824</c:v>
                </c:pt>
                <c:pt idx="5007">
                  <c:v>35823</c:v>
                </c:pt>
                <c:pt idx="5008">
                  <c:v>35822</c:v>
                </c:pt>
                <c:pt idx="5009">
                  <c:v>35821</c:v>
                </c:pt>
                <c:pt idx="5010">
                  <c:v>35818</c:v>
                </c:pt>
                <c:pt idx="5011">
                  <c:v>35817</c:v>
                </c:pt>
                <c:pt idx="5012">
                  <c:v>35816</c:v>
                </c:pt>
                <c:pt idx="5013">
                  <c:v>35815</c:v>
                </c:pt>
                <c:pt idx="5014">
                  <c:v>35814</c:v>
                </c:pt>
                <c:pt idx="5015">
                  <c:v>35811</c:v>
                </c:pt>
                <c:pt idx="5016">
                  <c:v>35810</c:v>
                </c:pt>
                <c:pt idx="5017">
                  <c:v>35809</c:v>
                </c:pt>
                <c:pt idx="5018">
                  <c:v>35808</c:v>
                </c:pt>
                <c:pt idx="5019">
                  <c:v>35807</c:v>
                </c:pt>
                <c:pt idx="5020">
                  <c:v>35804</c:v>
                </c:pt>
                <c:pt idx="5021">
                  <c:v>35803</c:v>
                </c:pt>
                <c:pt idx="5022">
                  <c:v>35802</c:v>
                </c:pt>
                <c:pt idx="5023">
                  <c:v>35801</c:v>
                </c:pt>
                <c:pt idx="5024">
                  <c:v>35800</c:v>
                </c:pt>
                <c:pt idx="5025">
                  <c:v>35797</c:v>
                </c:pt>
                <c:pt idx="5026">
                  <c:v>35796</c:v>
                </c:pt>
                <c:pt idx="5027">
                  <c:v>35795</c:v>
                </c:pt>
                <c:pt idx="5028">
                  <c:v>35794</c:v>
                </c:pt>
                <c:pt idx="5029">
                  <c:v>35793</c:v>
                </c:pt>
                <c:pt idx="5030">
                  <c:v>35790</c:v>
                </c:pt>
                <c:pt idx="5031">
                  <c:v>35789</c:v>
                </c:pt>
                <c:pt idx="5032">
                  <c:v>35788</c:v>
                </c:pt>
                <c:pt idx="5033">
                  <c:v>35787</c:v>
                </c:pt>
                <c:pt idx="5034">
                  <c:v>35786</c:v>
                </c:pt>
                <c:pt idx="5035">
                  <c:v>35783</c:v>
                </c:pt>
                <c:pt idx="5036">
                  <c:v>35782</c:v>
                </c:pt>
                <c:pt idx="5037">
                  <c:v>35781</c:v>
                </c:pt>
                <c:pt idx="5038">
                  <c:v>35780</c:v>
                </c:pt>
                <c:pt idx="5039">
                  <c:v>35779</c:v>
                </c:pt>
                <c:pt idx="5040">
                  <c:v>35776</c:v>
                </c:pt>
                <c:pt idx="5041">
                  <c:v>35775</c:v>
                </c:pt>
                <c:pt idx="5042">
                  <c:v>35774</c:v>
                </c:pt>
                <c:pt idx="5043">
                  <c:v>35773</c:v>
                </c:pt>
                <c:pt idx="5044">
                  <c:v>35772</c:v>
                </c:pt>
                <c:pt idx="5045">
                  <c:v>35769</c:v>
                </c:pt>
                <c:pt idx="5046">
                  <c:v>35768</c:v>
                </c:pt>
                <c:pt idx="5047">
                  <c:v>35767</c:v>
                </c:pt>
                <c:pt idx="5048">
                  <c:v>35766</c:v>
                </c:pt>
                <c:pt idx="5049">
                  <c:v>35765</c:v>
                </c:pt>
                <c:pt idx="5050">
                  <c:v>35762</c:v>
                </c:pt>
                <c:pt idx="5051">
                  <c:v>35761</c:v>
                </c:pt>
                <c:pt idx="5052">
                  <c:v>35760</c:v>
                </c:pt>
                <c:pt idx="5053">
                  <c:v>35759</c:v>
                </c:pt>
                <c:pt idx="5054">
                  <c:v>35758</c:v>
                </c:pt>
                <c:pt idx="5055">
                  <c:v>35755</c:v>
                </c:pt>
                <c:pt idx="5056">
                  <c:v>35754</c:v>
                </c:pt>
                <c:pt idx="5057">
                  <c:v>35753</c:v>
                </c:pt>
                <c:pt idx="5058">
                  <c:v>35752</c:v>
                </c:pt>
                <c:pt idx="5059">
                  <c:v>35751</c:v>
                </c:pt>
                <c:pt idx="5060">
                  <c:v>35748</c:v>
                </c:pt>
                <c:pt idx="5061">
                  <c:v>35747</c:v>
                </c:pt>
                <c:pt idx="5062">
                  <c:v>35746</c:v>
                </c:pt>
                <c:pt idx="5063">
                  <c:v>35745</c:v>
                </c:pt>
                <c:pt idx="5064">
                  <c:v>35744</c:v>
                </c:pt>
                <c:pt idx="5065">
                  <c:v>35741</c:v>
                </c:pt>
                <c:pt idx="5066">
                  <c:v>35740</c:v>
                </c:pt>
                <c:pt idx="5067">
                  <c:v>35739</c:v>
                </c:pt>
                <c:pt idx="5068">
                  <c:v>35738</c:v>
                </c:pt>
                <c:pt idx="5069">
                  <c:v>35737</c:v>
                </c:pt>
                <c:pt idx="5070">
                  <c:v>35734</c:v>
                </c:pt>
                <c:pt idx="5071">
                  <c:v>35733</c:v>
                </c:pt>
                <c:pt idx="5072">
                  <c:v>35732</c:v>
                </c:pt>
                <c:pt idx="5073">
                  <c:v>35731</c:v>
                </c:pt>
                <c:pt idx="5074">
                  <c:v>35730</c:v>
                </c:pt>
                <c:pt idx="5075">
                  <c:v>35727</c:v>
                </c:pt>
                <c:pt idx="5076">
                  <c:v>35726</c:v>
                </c:pt>
                <c:pt idx="5077">
                  <c:v>35725</c:v>
                </c:pt>
                <c:pt idx="5078">
                  <c:v>35724</c:v>
                </c:pt>
                <c:pt idx="5079">
                  <c:v>35723</c:v>
                </c:pt>
                <c:pt idx="5080">
                  <c:v>35720</c:v>
                </c:pt>
                <c:pt idx="5081">
                  <c:v>35719</c:v>
                </c:pt>
                <c:pt idx="5082">
                  <c:v>35718</c:v>
                </c:pt>
                <c:pt idx="5083">
                  <c:v>35717</c:v>
                </c:pt>
                <c:pt idx="5084">
                  <c:v>35716</c:v>
                </c:pt>
                <c:pt idx="5085">
                  <c:v>35713</c:v>
                </c:pt>
                <c:pt idx="5086">
                  <c:v>35712</c:v>
                </c:pt>
                <c:pt idx="5087">
                  <c:v>35711</c:v>
                </c:pt>
                <c:pt idx="5088">
                  <c:v>35710</c:v>
                </c:pt>
                <c:pt idx="5089">
                  <c:v>35709</c:v>
                </c:pt>
                <c:pt idx="5090">
                  <c:v>35706</c:v>
                </c:pt>
                <c:pt idx="5091">
                  <c:v>35705</c:v>
                </c:pt>
                <c:pt idx="5092">
                  <c:v>35704</c:v>
                </c:pt>
                <c:pt idx="5093">
                  <c:v>35703</c:v>
                </c:pt>
                <c:pt idx="5094">
                  <c:v>35702</c:v>
                </c:pt>
                <c:pt idx="5095">
                  <c:v>35699</c:v>
                </c:pt>
                <c:pt idx="5096">
                  <c:v>35698</c:v>
                </c:pt>
                <c:pt idx="5097">
                  <c:v>35697</c:v>
                </c:pt>
                <c:pt idx="5098">
                  <c:v>35696</c:v>
                </c:pt>
                <c:pt idx="5099">
                  <c:v>35695</c:v>
                </c:pt>
                <c:pt idx="5100">
                  <c:v>35692</c:v>
                </c:pt>
                <c:pt idx="5101">
                  <c:v>35691</c:v>
                </c:pt>
                <c:pt idx="5102">
                  <c:v>35690</c:v>
                </c:pt>
                <c:pt idx="5103">
                  <c:v>35689</c:v>
                </c:pt>
                <c:pt idx="5104">
                  <c:v>35688</c:v>
                </c:pt>
                <c:pt idx="5105">
                  <c:v>35685</c:v>
                </c:pt>
                <c:pt idx="5106">
                  <c:v>35684</c:v>
                </c:pt>
                <c:pt idx="5107">
                  <c:v>35683</c:v>
                </c:pt>
                <c:pt idx="5108">
                  <c:v>35682</c:v>
                </c:pt>
                <c:pt idx="5109">
                  <c:v>35681</c:v>
                </c:pt>
                <c:pt idx="5110">
                  <c:v>35678</c:v>
                </c:pt>
                <c:pt idx="5111">
                  <c:v>35677</c:v>
                </c:pt>
                <c:pt idx="5112">
                  <c:v>35676</c:v>
                </c:pt>
                <c:pt idx="5113">
                  <c:v>35675</c:v>
                </c:pt>
                <c:pt idx="5114">
                  <c:v>35674</c:v>
                </c:pt>
                <c:pt idx="5115">
                  <c:v>35671</c:v>
                </c:pt>
                <c:pt idx="5116">
                  <c:v>35670</c:v>
                </c:pt>
                <c:pt idx="5117">
                  <c:v>35669</c:v>
                </c:pt>
                <c:pt idx="5118">
                  <c:v>35668</c:v>
                </c:pt>
                <c:pt idx="5119">
                  <c:v>35667</c:v>
                </c:pt>
                <c:pt idx="5120">
                  <c:v>35664</c:v>
                </c:pt>
                <c:pt idx="5121">
                  <c:v>35663</c:v>
                </c:pt>
                <c:pt idx="5122">
                  <c:v>35662</c:v>
                </c:pt>
                <c:pt idx="5123">
                  <c:v>35661</c:v>
                </c:pt>
                <c:pt idx="5124">
                  <c:v>35660</c:v>
                </c:pt>
                <c:pt idx="5125">
                  <c:v>35657</c:v>
                </c:pt>
                <c:pt idx="5126">
                  <c:v>35656</c:v>
                </c:pt>
                <c:pt idx="5127">
                  <c:v>35655</c:v>
                </c:pt>
                <c:pt idx="5128">
                  <c:v>35654</c:v>
                </c:pt>
                <c:pt idx="5129">
                  <c:v>35653</c:v>
                </c:pt>
                <c:pt idx="5130">
                  <c:v>35650</c:v>
                </c:pt>
                <c:pt idx="5131">
                  <c:v>35649</c:v>
                </c:pt>
                <c:pt idx="5132">
                  <c:v>35648</c:v>
                </c:pt>
                <c:pt idx="5133">
                  <c:v>35647</c:v>
                </c:pt>
                <c:pt idx="5134">
                  <c:v>35646</c:v>
                </c:pt>
                <c:pt idx="5135">
                  <c:v>35643</c:v>
                </c:pt>
                <c:pt idx="5136">
                  <c:v>35642</c:v>
                </c:pt>
                <c:pt idx="5137">
                  <c:v>35641</c:v>
                </c:pt>
                <c:pt idx="5138">
                  <c:v>35640</c:v>
                </c:pt>
                <c:pt idx="5139">
                  <c:v>35639</c:v>
                </c:pt>
                <c:pt idx="5140">
                  <c:v>35636</c:v>
                </c:pt>
                <c:pt idx="5141">
                  <c:v>35635</c:v>
                </c:pt>
                <c:pt idx="5142">
                  <c:v>35634</c:v>
                </c:pt>
                <c:pt idx="5143">
                  <c:v>35633</c:v>
                </c:pt>
                <c:pt idx="5144">
                  <c:v>35632</c:v>
                </c:pt>
                <c:pt idx="5145">
                  <c:v>35629</c:v>
                </c:pt>
                <c:pt idx="5146">
                  <c:v>35628</c:v>
                </c:pt>
                <c:pt idx="5147">
                  <c:v>35627</c:v>
                </c:pt>
                <c:pt idx="5148">
                  <c:v>35626</c:v>
                </c:pt>
                <c:pt idx="5149">
                  <c:v>35625</c:v>
                </c:pt>
                <c:pt idx="5150">
                  <c:v>35622</c:v>
                </c:pt>
                <c:pt idx="5151">
                  <c:v>35621</c:v>
                </c:pt>
                <c:pt idx="5152">
                  <c:v>35620</c:v>
                </c:pt>
                <c:pt idx="5153">
                  <c:v>35619</c:v>
                </c:pt>
                <c:pt idx="5154">
                  <c:v>35618</c:v>
                </c:pt>
                <c:pt idx="5155">
                  <c:v>35615</c:v>
                </c:pt>
                <c:pt idx="5156">
                  <c:v>35614</c:v>
                </c:pt>
                <c:pt idx="5157">
                  <c:v>35613</c:v>
                </c:pt>
                <c:pt idx="5158">
                  <c:v>35612</c:v>
                </c:pt>
                <c:pt idx="5159">
                  <c:v>35611</c:v>
                </c:pt>
                <c:pt idx="5160">
                  <c:v>35608</c:v>
                </c:pt>
                <c:pt idx="5161">
                  <c:v>35607</c:v>
                </c:pt>
                <c:pt idx="5162">
                  <c:v>35606</c:v>
                </c:pt>
                <c:pt idx="5163">
                  <c:v>35605</c:v>
                </c:pt>
                <c:pt idx="5164">
                  <c:v>35604</c:v>
                </c:pt>
                <c:pt idx="5165">
                  <c:v>35601</c:v>
                </c:pt>
                <c:pt idx="5166">
                  <c:v>35600</c:v>
                </c:pt>
                <c:pt idx="5167">
                  <c:v>35599</c:v>
                </c:pt>
                <c:pt idx="5168">
                  <c:v>35598</c:v>
                </c:pt>
                <c:pt idx="5169">
                  <c:v>35597</c:v>
                </c:pt>
                <c:pt idx="5170">
                  <c:v>35594</c:v>
                </c:pt>
                <c:pt idx="5171">
                  <c:v>35593</c:v>
                </c:pt>
                <c:pt idx="5172">
                  <c:v>35592</c:v>
                </c:pt>
                <c:pt idx="5173">
                  <c:v>35591</c:v>
                </c:pt>
                <c:pt idx="5174">
                  <c:v>35590</c:v>
                </c:pt>
                <c:pt idx="5175">
                  <c:v>35587</c:v>
                </c:pt>
                <c:pt idx="5176">
                  <c:v>35586</c:v>
                </c:pt>
                <c:pt idx="5177">
                  <c:v>35585</c:v>
                </c:pt>
                <c:pt idx="5178">
                  <c:v>35584</c:v>
                </c:pt>
                <c:pt idx="5179">
                  <c:v>35583</c:v>
                </c:pt>
                <c:pt idx="5180">
                  <c:v>35580</c:v>
                </c:pt>
                <c:pt idx="5181">
                  <c:v>35579</c:v>
                </c:pt>
                <c:pt idx="5182">
                  <c:v>35578</c:v>
                </c:pt>
                <c:pt idx="5183">
                  <c:v>35577</c:v>
                </c:pt>
                <c:pt idx="5184">
                  <c:v>35576</c:v>
                </c:pt>
                <c:pt idx="5185">
                  <c:v>35573</c:v>
                </c:pt>
                <c:pt idx="5186">
                  <c:v>35572</c:v>
                </c:pt>
                <c:pt idx="5187">
                  <c:v>35571</c:v>
                </c:pt>
                <c:pt idx="5188">
                  <c:v>35570</c:v>
                </c:pt>
                <c:pt idx="5189">
                  <c:v>35569</c:v>
                </c:pt>
                <c:pt idx="5190">
                  <c:v>35566</c:v>
                </c:pt>
                <c:pt idx="5191">
                  <c:v>35565</c:v>
                </c:pt>
                <c:pt idx="5192">
                  <c:v>35564</c:v>
                </c:pt>
                <c:pt idx="5193">
                  <c:v>35563</c:v>
                </c:pt>
                <c:pt idx="5194">
                  <c:v>35562</c:v>
                </c:pt>
                <c:pt idx="5195">
                  <c:v>35559</c:v>
                </c:pt>
                <c:pt idx="5196">
                  <c:v>35558</c:v>
                </c:pt>
                <c:pt idx="5197">
                  <c:v>35557</c:v>
                </c:pt>
                <c:pt idx="5198">
                  <c:v>35556</c:v>
                </c:pt>
                <c:pt idx="5199">
                  <c:v>35555</c:v>
                </c:pt>
                <c:pt idx="5200">
                  <c:v>35552</c:v>
                </c:pt>
                <c:pt idx="5201">
                  <c:v>35551</c:v>
                </c:pt>
                <c:pt idx="5202">
                  <c:v>35550</c:v>
                </c:pt>
                <c:pt idx="5203">
                  <c:v>35549</c:v>
                </c:pt>
                <c:pt idx="5204">
                  <c:v>35548</c:v>
                </c:pt>
                <c:pt idx="5205">
                  <c:v>35545</c:v>
                </c:pt>
                <c:pt idx="5206">
                  <c:v>35544</c:v>
                </c:pt>
                <c:pt idx="5207">
                  <c:v>35543</c:v>
                </c:pt>
                <c:pt idx="5208">
                  <c:v>35542</c:v>
                </c:pt>
                <c:pt idx="5209">
                  <c:v>35541</c:v>
                </c:pt>
                <c:pt idx="5210">
                  <c:v>35538</c:v>
                </c:pt>
                <c:pt idx="5211">
                  <c:v>35537</c:v>
                </c:pt>
                <c:pt idx="5212">
                  <c:v>35536</c:v>
                </c:pt>
                <c:pt idx="5213">
                  <c:v>35535</c:v>
                </c:pt>
                <c:pt idx="5214">
                  <c:v>35534</c:v>
                </c:pt>
                <c:pt idx="5215">
                  <c:v>35531</c:v>
                </c:pt>
                <c:pt idx="5216">
                  <c:v>35530</c:v>
                </c:pt>
                <c:pt idx="5217">
                  <c:v>35529</c:v>
                </c:pt>
                <c:pt idx="5218">
                  <c:v>35528</c:v>
                </c:pt>
                <c:pt idx="5219">
                  <c:v>35527</c:v>
                </c:pt>
                <c:pt idx="5220">
                  <c:v>35524</c:v>
                </c:pt>
                <c:pt idx="5221">
                  <c:v>35523</c:v>
                </c:pt>
                <c:pt idx="5222">
                  <c:v>35522</c:v>
                </c:pt>
                <c:pt idx="5223">
                  <c:v>35521</c:v>
                </c:pt>
                <c:pt idx="5224">
                  <c:v>35520</c:v>
                </c:pt>
                <c:pt idx="5225">
                  <c:v>35517</c:v>
                </c:pt>
                <c:pt idx="5226">
                  <c:v>35516</c:v>
                </c:pt>
                <c:pt idx="5227">
                  <c:v>35515</c:v>
                </c:pt>
                <c:pt idx="5228">
                  <c:v>35514</c:v>
                </c:pt>
                <c:pt idx="5229">
                  <c:v>35513</c:v>
                </c:pt>
                <c:pt idx="5230">
                  <c:v>35510</c:v>
                </c:pt>
                <c:pt idx="5231">
                  <c:v>35509</c:v>
                </c:pt>
                <c:pt idx="5232">
                  <c:v>35508</c:v>
                </c:pt>
                <c:pt idx="5233">
                  <c:v>35507</c:v>
                </c:pt>
                <c:pt idx="5234">
                  <c:v>35506</c:v>
                </c:pt>
                <c:pt idx="5235">
                  <c:v>35503</c:v>
                </c:pt>
                <c:pt idx="5236">
                  <c:v>35502</c:v>
                </c:pt>
                <c:pt idx="5237">
                  <c:v>35501</c:v>
                </c:pt>
                <c:pt idx="5238">
                  <c:v>35500</c:v>
                </c:pt>
                <c:pt idx="5239">
                  <c:v>35499</c:v>
                </c:pt>
                <c:pt idx="5240">
                  <c:v>35496</c:v>
                </c:pt>
                <c:pt idx="5241">
                  <c:v>35495</c:v>
                </c:pt>
                <c:pt idx="5242">
                  <c:v>35494</c:v>
                </c:pt>
                <c:pt idx="5243">
                  <c:v>35493</c:v>
                </c:pt>
                <c:pt idx="5244">
                  <c:v>35492</c:v>
                </c:pt>
                <c:pt idx="5245">
                  <c:v>35489</c:v>
                </c:pt>
                <c:pt idx="5246">
                  <c:v>35488</c:v>
                </c:pt>
                <c:pt idx="5247">
                  <c:v>35487</c:v>
                </c:pt>
                <c:pt idx="5248">
                  <c:v>35486</c:v>
                </c:pt>
                <c:pt idx="5249">
                  <c:v>35485</c:v>
                </c:pt>
                <c:pt idx="5250">
                  <c:v>35482</c:v>
                </c:pt>
                <c:pt idx="5251">
                  <c:v>35481</c:v>
                </c:pt>
                <c:pt idx="5252">
                  <c:v>35480</c:v>
                </c:pt>
                <c:pt idx="5253">
                  <c:v>35479</c:v>
                </c:pt>
                <c:pt idx="5254">
                  <c:v>35478</c:v>
                </c:pt>
                <c:pt idx="5255">
                  <c:v>35475</c:v>
                </c:pt>
                <c:pt idx="5256">
                  <c:v>35474</c:v>
                </c:pt>
                <c:pt idx="5257">
                  <c:v>35473</c:v>
                </c:pt>
                <c:pt idx="5258">
                  <c:v>35472</c:v>
                </c:pt>
                <c:pt idx="5259">
                  <c:v>35471</c:v>
                </c:pt>
                <c:pt idx="5260">
                  <c:v>35468</c:v>
                </c:pt>
                <c:pt idx="5261">
                  <c:v>35467</c:v>
                </c:pt>
                <c:pt idx="5262">
                  <c:v>35466</c:v>
                </c:pt>
                <c:pt idx="5263">
                  <c:v>35465</c:v>
                </c:pt>
                <c:pt idx="5264">
                  <c:v>35464</c:v>
                </c:pt>
                <c:pt idx="5265">
                  <c:v>35461</c:v>
                </c:pt>
                <c:pt idx="5266">
                  <c:v>35460</c:v>
                </c:pt>
                <c:pt idx="5267">
                  <c:v>35459</c:v>
                </c:pt>
                <c:pt idx="5268">
                  <c:v>35458</c:v>
                </c:pt>
                <c:pt idx="5269">
                  <c:v>35457</c:v>
                </c:pt>
                <c:pt idx="5270">
                  <c:v>35454</c:v>
                </c:pt>
                <c:pt idx="5271">
                  <c:v>35453</c:v>
                </c:pt>
                <c:pt idx="5272">
                  <c:v>35452</c:v>
                </c:pt>
                <c:pt idx="5273">
                  <c:v>35451</c:v>
                </c:pt>
                <c:pt idx="5274">
                  <c:v>35450</c:v>
                </c:pt>
                <c:pt idx="5275">
                  <c:v>35447</c:v>
                </c:pt>
                <c:pt idx="5276">
                  <c:v>35446</c:v>
                </c:pt>
                <c:pt idx="5277">
                  <c:v>35445</c:v>
                </c:pt>
                <c:pt idx="5278">
                  <c:v>35444</c:v>
                </c:pt>
                <c:pt idx="5279">
                  <c:v>35443</c:v>
                </c:pt>
                <c:pt idx="5280">
                  <c:v>35440</c:v>
                </c:pt>
                <c:pt idx="5281">
                  <c:v>35439</c:v>
                </c:pt>
                <c:pt idx="5282">
                  <c:v>35438</c:v>
                </c:pt>
                <c:pt idx="5283">
                  <c:v>35437</c:v>
                </c:pt>
                <c:pt idx="5284">
                  <c:v>35436</c:v>
                </c:pt>
                <c:pt idx="5285">
                  <c:v>35433</c:v>
                </c:pt>
                <c:pt idx="5286">
                  <c:v>35432</c:v>
                </c:pt>
                <c:pt idx="5287">
                  <c:v>35431</c:v>
                </c:pt>
                <c:pt idx="5288">
                  <c:v>35430</c:v>
                </c:pt>
                <c:pt idx="5289">
                  <c:v>35429</c:v>
                </c:pt>
                <c:pt idx="5290">
                  <c:v>35426</c:v>
                </c:pt>
                <c:pt idx="5291">
                  <c:v>35425</c:v>
                </c:pt>
                <c:pt idx="5292">
                  <c:v>35424</c:v>
                </c:pt>
                <c:pt idx="5293">
                  <c:v>35423</c:v>
                </c:pt>
                <c:pt idx="5294">
                  <c:v>35422</c:v>
                </c:pt>
                <c:pt idx="5295">
                  <c:v>35419</c:v>
                </c:pt>
                <c:pt idx="5296">
                  <c:v>35418</c:v>
                </c:pt>
                <c:pt idx="5297">
                  <c:v>35417</c:v>
                </c:pt>
                <c:pt idx="5298">
                  <c:v>35416</c:v>
                </c:pt>
                <c:pt idx="5299">
                  <c:v>35415</c:v>
                </c:pt>
                <c:pt idx="5300">
                  <c:v>35412</c:v>
                </c:pt>
                <c:pt idx="5301">
                  <c:v>35411</c:v>
                </c:pt>
                <c:pt idx="5302">
                  <c:v>35410</c:v>
                </c:pt>
                <c:pt idx="5303">
                  <c:v>35409</c:v>
                </c:pt>
                <c:pt idx="5304">
                  <c:v>35408</c:v>
                </c:pt>
                <c:pt idx="5305">
                  <c:v>35405</c:v>
                </c:pt>
                <c:pt idx="5306">
                  <c:v>35404</c:v>
                </c:pt>
                <c:pt idx="5307">
                  <c:v>35403</c:v>
                </c:pt>
                <c:pt idx="5308">
                  <c:v>35402</c:v>
                </c:pt>
                <c:pt idx="5309">
                  <c:v>35401</c:v>
                </c:pt>
                <c:pt idx="5310">
                  <c:v>35398</c:v>
                </c:pt>
                <c:pt idx="5311">
                  <c:v>35397</c:v>
                </c:pt>
                <c:pt idx="5312">
                  <c:v>35396</c:v>
                </c:pt>
                <c:pt idx="5313">
                  <c:v>35395</c:v>
                </c:pt>
                <c:pt idx="5314">
                  <c:v>35394</c:v>
                </c:pt>
                <c:pt idx="5315">
                  <c:v>35391</c:v>
                </c:pt>
                <c:pt idx="5316">
                  <c:v>35390</c:v>
                </c:pt>
                <c:pt idx="5317">
                  <c:v>35389</c:v>
                </c:pt>
                <c:pt idx="5318">
                  <c:v>35388</c:v>
                </c:pt>
                <c:pt idx="5319">
                  <c:v>35387</c:v>
                </c:pt>
                <c:pt idx="5320">
                  <c:v>35384</c:v>
                </c:pt>
                <c:pt idx="5321">
                  <c:v>35383</c:v>
                </c:pt>
                <c:pt idx="5322">
                  <c:v>35382</c:v>
                </c:pt>
                <c:pt idx="5323">
                  <c:v>35381</c:v>
                </c:pt>
                <c:pt idx="5324">
                  <c:v>35380</c:v>
                </c:pt>
                <c:pt idx="5325">
                  <c:v>35377</c:v>
                </c:pt>
                <c:pt idx="5326">
                  <c:v>35376</c:v>
                </c:pt>
                <c:pt idx="5327">
                  <c:v>35375</c:v>
                </c:pt>
                <c:pt idx="5328">
                  <c:v>35374</c:v>
                </c:pt>
                <c:pt idx="5329">
                  <c:v>35373</c:v>
                </c:pt>
                <c:pt idx="5330">
                  <c:v>35370</c:v>
                </c:pt>
                <c:pt idx="5331">
                  <c:v>35369</c:v>
                </c:pt>
                <c:pt idx="5332">
                  <c:v>35368</c:v>
                </c:pt>
                <c:pt idx="5333">
                  <c:v>35367</c:v>
                </c:pt>
                <c:pt idx="5334">
                  <c:v>35366</c:v>
                </c:pt>
                <c:pt idx="5335">
                  <c:v>35363</c:v>
                </c:pt>
                <c:pt idx="5336">
                  <c:v>35362</c:v>
                </c:pt>
                <c:pt idx="5337">
                  <c:v>35361</c:v>
                </c:pt>
                <c:pt idx="5338">
                  <c:v>35360</c:v>
                </c:pt>
                <c:pt idx="5339">
                  <c:v>35359</c:v>
                </c:pt>
                <c:pt idx="5340">
                  <c:v>35356</c:v>
                </c:pt>
                <c:pt idx="5341">
                  <c:v>35355</c:v>
                </c:pt>
                <c:pt idx="5342">
                  <c:v>35354</c:v>
                </c:pt>
                <c:pt idx="5343">
                  <c:v>35353</c:v>
                </c:pt>
                <c:pt idx="5344">
                  <c:v>35352</c:v>
                </c:pt>
                <c:pt idx="5345">
                  <c:v>35349</c:v>
                </c:pt>
                <c:pt idx="5346">
                  <c:v>35348</c:v>
                </c:pt>
                <c:pt idx="5347">
                  <c:v>35347</c:v>
                </c:pt>
                <c:pt idx="5348">
                  <c:v>35346</c:v>
                </c:pt>
                <c:pt idx="5349">
                  <c:v>35345</c:v>
                </c:pt>
                <c:pt idx="5350">
                  <c:v>35342</c:v>
                </c:pt>
                <c:pt idx="5351">
                  <c:v>35341</c:v>
                </c:pt>
                <c:pt idx="5352">
                  <c:v>35340</c:v>
                </c:pt>
                <c:pt idx="5353">
                  <c:v>35339</c:v>
                </c:pt>
                <c:pt idx="5354">
                  <c:v>35338</c:v>
                </c:pt>
                <c:pt idx="5355">
                  <c:v>35335</c:v>
                </c:pt>
                <c:pt idx="5356">
                  <c:v>35334</c:v>
                </c:pt>
                <c:pt idx="5357">
                  <c:v>35333</c:v>
                </c:pt>
                <c:pt idx="5358">
                  <c:v>35332</c:v>
                </c:pt>
                <c:pt idx="5359">
                  <c:v>35331</c:v>
                </c:pt>
                <c:pt idx="5360">
                  <c:v>35328</c:v>
                </c:pt>
                <c:pt idx="5361">
                  <c:v>35327</c:v>
                </c:pt>
                <c:pt idx="5362">
                  <c:v>35326</c:v>
                </c:pt>
                <c:pt idx="5363">
                  <c:v>35325</c:v>
                </c:pt>
                <c:pt idx="5364">
                  <c:v>35324</c:v>
                </c:pt>
                <c:pt idx="5365">
                  <c:v>35321</c:v>
                </c:pt>
                <c:pt idx="5366">
                  <c:v>35320</c:v>
                </c:pt>
                <c:pt idx="5367">
                  <c:v>35319</c:v>
                </c:pt>
                <c:pt idx="5368">
                  <c:v>35318</c:v>
                </c:pt>
                <c:pt idx="5369">
                  <c:v>35317</c:v>
                </c:pt>
                <c:pt idx="5370">
                  <c:v>35314</c:v>
                </c:pt>
                <c:pt idx="5371">
                  <c:v>35313</c:v>
                </c:pt>
                <c:pt idx="5372">
                  <c:v>35312</c:v>
                </c:pt>
                <c:pt idx="5373">
                  <c:v>35311</c:v>
                </c:pt>
                <c:pt idx="5374">
                  <c:v>35310</c:v>
                </c:pt>
                <c:pt idx="5375">
                  <c:v>35307</c:v>
                </c:pt>
                <c:pt idx="5376">
                  <c:v>35306</c:v>
                </c:pt>
                <c:pt idx="5377">
                  <c:v>35305</c:v>
                </c:pt>
                <c:pt idx="5378">
                  <c:v>35304</c:v>
                </c:pt>
                <c:pt idx="5379">
                  <c:v>35303</c:v>
                </c:pt>
                <c:pt idx="5380">
                  <c:v>35300</c:v>
                </c:pt>
                <c:pt idx="5381">
                  <c:v>35299</c:v>
                </c:pt>
                <c:pt idx="5382">
                  <c:v>35298</c:v>
                </c:pt>
                <c:pt idx="5383">
                  <c:v>35297</c:v>
                </c:pt>
                <c:pt idx="5384">
                  <c:v>35296</c:v>
                </c:pt>
                <c:pt idx="5385">
                  <c:v>35293</c:v>
                </c:pt>
                <c:pt idx="5386">
                  <c:v>35292</c:v>
                </c:pt>
                <c:pt idx="5387">
                  <c:v>35291</c:v>
                </c:pt>
                <c:pt idx="5388">
                  <c:v>35290</c:v>
                </c:pt>
                <c:pt idx="5389">
                  <c:v>35289</c:v>
                </c:pt>
                <c:pt idx="5390">
                  <c:v>35286</c:v>
                </c:pt>
                <c:pt idx="5391">
                  <c:v>35285</c:v>
                </c:pt>
                <c:pt idx="5392">
                  <c:v>35284</c:v>
                </c:pt>
                <c:pt idx="5393">
                  <c:v>35283</c:v>
                </c:pt>
                <c:pt idx="5394">
                  <c:v>35282</c:v>
                </c:pt>
                <c:pt idx="5395">
                  <c:v>35279</c:v>
                </c:pt>
                <c:pt idx="5396">
                  <c:v>35278</c:v>
                </c:pt>
                <c:pt idx="5397">
                  <c:v>35277</c:v>
                </c:pt>
                <c:pt idx="5398">
                  <c:v>35276</c:v>
                </c:pt>
                <c:pt idx="5399">
                  <c:v>35275</c:v>
                </c:pt>
                <c:pt idx="5400">
                  <c:v>35272</c:v>
                </c:pt>
                <c:pt idx="5401">
                  <c:v>35271</c:v>
                </c:pt>
                <c:pt idx="5402">
                  <c:v>35270</c:v>
                </c:pt>
                <c:pt idx="5403">
                  <c:v>35269</c:v>
                </c:pt>
                <c:pt idx="5404">
                  <c:v>35268</c:v>
                </c:pt>
                <c:pt idx="5405">
                  <c:v>35265</c:v>
                </c:pt>
                <c:pt idx="5406">
                  <c:v>35264</c:v>
                </c:pt>
                <c:pt idx="5407">
                  <c:v>35263</c:v>
                </c:pt>
                <c:pt idx="5408">
                  <c:v>35262</c:v>
                </c:pt>
                <c:pt idx="5409">
                  <c:v>35261</c:v>
                </c:pt>
                <c:pt idx="5410">
                  <c:v>35258</c:v>
                </c:pt>
                <c:pt idx="5411">
                  <c:v>35257</c:v>
                </c:pt>
                <c:pt idx="5412">
                  <c:v>35256</c:v>
                </c:pt>
                <c:pt idx="5413">
                  <c:v>35255</c:v>
                </c:pt>
                <c:pt idx="5414">
                  <c:v>35254</c:v>
                </c:pt>
                <c:pt idx="5415">
                  <c:v>35251</c:v>
                </c:pt>
                <c:pt idx="5416">
                  <c:v>35250</c:v>
                </c:pt>
                <c:pt idx="5417">
                  <c:v>35249</c:v>
                </c:pt>
                <c:pt idx="5418">
                  <c:v>35248</c:v>
                </c:pt>
                <c:pt idx="5419">
                  <c:v>35247</c:v>
                </c:pt>
                <c:pt idx="5420">
                  <c:v>35244</c:v>
                </c:pt>
                <c:pt idx="5421">
                  <c:v>35243</c:v>
                </c:pt>
                <c:pt idx="5422">
                  <c:v>35242</c:v>
                </c:pt>
                <c:pt idx="5423">
                  <c:v>35241</c:v>
                </c:pt>
                <c:pt idx="5424">
                  <c:v>35240</c:v>
                </c:pt>
                <c:pt idx="5425">
                  <c:v>35237</c:v>
                </c:pt>
                <c:pt idx="5426">
                  <c:v>35236</c:v>
                </c:pt>
                <c:pt idx="5427">
                  <c:v>35235</c:v>
                </c:pt>
                <c:pt idx="5428">
                  <c:v>35234</c:v>
                </c:pt>
                <c:pt idx="5429">
                  <c:v>35233</c:v>
                </c:pt>
                <c:pt idx="5430">
                  <c:v>35230</c:v>
                </c:pt>
                <c:pt idx="5431">
                  <c:v>35229</c:v>
                </c:pt>
                <c:pt idx="5432">
                  <c:v>35228</c:v>
                </c:pt>
                <c:pt idx="5433">
                  <c:v>35227</c:v>
                </c:pt>
                <c:pt idx="5434">
                  <c:v>35226</c:v>
                </c:pt>
                <c:pt idx="5435">
                  <c:v>35223</c:v>
                </c:pt>
                <c:pt idx="5436">
                  <c:v>35222</c:v>
                </c:pt>
                <c:pt idx="5437">
                  <c:v>35221</c:v>
                </c:pt>
                <c:pt idx="5438">
                  <c:v>35220</c:v>
                </c:pt>
                <c:pt idx="5439">
                  <c:v>35219</c:v>
                </c:pt>
                <c:pt idx="5440">
                  <c:v>35216</c:v>
                </c:pt>
                <c:pt idx="5441">
                  <c:v>35215</c:v>
                </c:pt>
                <c:pt idx="5442">
                  <c:v>35214</c:v>
                </c:pt>
                <c:pt idx="5443">
                  <c:v>35213</c:v>
                </c:pt>
                <c:pt idx="5444">
                  <c:v>35212</c:v>
                </c:pt>
                <c:pt idx="5445">
                  <c:v>35209</c:v>
                </c:pt>
                <c:pt idx="5446">
                  <c:v>35208</c:v>
                </c:pt>
                <c:pt idx="5447">
                  <c:v>35207</c:v>
                </c:pt>
                <c:pt idx="5448">
                  <c:v>35206</c:v>
                </c:pt>
                <c:pt idx="5449">
                  <c:v>35205</c:v>
                </c:pt>
                <c:pt idx="5450">
                  <c:v>35202</c:v>
                </c:pt>
                <c:pt idx="5451">
                  <c:v>35201</c:v>
                </c:pt>
                <c:pt idx="5452">
                  <c:v>35200</c:v>
                </c:pt>
                <c:pt idx="5453">
                  <c:v>35199</c:v>
                </c:pt>
                <c:pt idx="5454">
                  <c:v>35198</c:v>
                </c:pt>
                <c:pt idx="5455">
                  <c:v>35195</c:v>
                </c:pt>
                <c:pt idx="5456">
                  <c:v>35194</c:v>
                </c:pt>
                <c:pt idx="5457">
                  <c:v>35193</c:v>
                </c:pt>
                <c:pt idx="5458">
                  <c:v>35192</c:v>
                </c:pt>
                <c:pt idx="5459">
                  <c:v>35191</c:v>
                </c:pt>
                <c:pt idx="5460">
                  <c:v>35188</c:v>
                </c:pt>
                <c:pt idx="5461">
                  <c:v>35187</c:v>
                </c:pt>
                <c:pt idx="5462">
                  <c:v>35186</c:v>
                </c:pt>
                <c:pt idx="5463">
                  <c:v>35185</c:v>
                </c:pt>
                <c:pt idx="5464">
                  <c:v>35184</c:v>
                </c:pt>
                <c:pt idx="5465">
                  <c:v>35181</c:v>
                </c:pt>
                <c:pt idx="5466">
                  <c:v>35180</c:v>
                </c:pt>
                <c:pt idx="5467">
                  <c:v>35179</c:v>
                </c:pt>
                <c:pt idx="5468">
                  <c:v>35178</c:v>
                </c:pt>
                <c:pt idx="5469">
                  <c:v>35177</c:v>
                </c:pt>
                <c:pt idx="5470">
                  <c:v>35174</c:v>
                </c:pt>
                <c:pt idx="5471">
                  <c:v>35173</c:v>
                </c:pt>
                <c:pt idx="5472">
                  <c:v>35172</c:v>
                </c:pt>
                <c:pt idx="5473">
                  <c:v>35171</c:v>
                </c:pt>
                <c:pt idx="5474">
                  <c:v>35170</c:v>
                </c:pt>
                <c:pt idx="5475">
                  <c:v>35167</c:v>
                </c:pt>
                <c:pt idx="5476">
                  <c:v>35166</c:v>
                </c:pt>
                <c:pt idx="5477">
                  <c:v>35165</c:v>
                </c:pt>
                <c:pt idx="5478">
                  <c:v>35164</c:v>
                </c:pt>
                <c:pt idx="5479">
                  <c:v>35163</c:v>
                </c:pt>
                <c:pt idx="5480">
                  <c:v>35160</c:v>
                </c:pt>
                <c:pt idx="5481">
                  <c:v>35159</c:v>
                </c:pt>
                <c:pt idx="5482">
                  <c:v>35158</c:v>
                </c:pt>
                <c:pt idx="5483">
                  <c:v>35157</c:v>
                </c:pt>
                <c:pt idx="5484">
                  <c:v>35156</c:v>
                </c:pt>
                <c:pt idx="5485">
                  <c:v>35153</c:v>
                </c:pt>
                <c:pt idx="5486">
                  <c:v>35152</c:v>
                </c:pt>
                <c:pt idx="5487">
                  <c:v>35151</c:v>
                </c:pt>
                <c:pt idx="5488">
                  <c:v>35150</c:v>
                </c:pt>
                <c:pt idx="5489">
                  <c:v>35149</c:v>
                </c:pt>
                <c:pt idx="5490">
                  <c:v>35146</c:v>
                </c:pt>
                <c:pt idx="5491">
                  <c:v>35145</c:v>
                </c:pt>
                <c:pt idx="5492">
                  <c:v>35144</c:v>
                </c:pt>
                <c:pt idx="5493">
                  <c:v>35143</c:v>
                </c:pt>
                <c:pt idx="5494">
                  <c:v>35142</c:v>
                </c:pt>
                <c:pt idx="5495">
                  <c:v>35139</c:v>
                </c:pt>
                <c:pt idx="5496">
                  <c:v>35138</c:v>
                </c:pt>
                <c:pt idx="5497">
                  <c:v>35137</c:v>
                </c:pt>
                <c:pt idx="5498">
                  <c:v>35136</c:v>
                </c:pt>
                <c:pt idx="5499">
                  <c:v>35135</c:v>
                </c:pt>
                <c:pt idx="5500">
                  <c:v>35132</c:v>
                </c:pt>
                <c:pt idx="5501">
                  <c:v>35131</c:v>
                </c:pt>
                <c:pt idx="5502">
                  <c:v>35130</c:v>
                </c:pt>
                <c:pt idx="5503">
                  <c:v>35129</c:v>
                </c:pt>
                <c:pt idx="5504">
                  <c:v>35128</c:v>
                </c:pt>
                <c:pt idx="5505">
                  <c:v>35125</c:v>
                </c:pt>
                <c:pt idx="5506">
                  <c:v>35124</c:v>
                </c:pt>
                <c:pt idx="5507">
                  <c:v>35123</c:v>
                </c:pt>
                <c:pt idx="5508">
                  <c:v>35122</c:v>
                </c:pt>
                <c:pt idx="5509">
                  <c:v>35121</c:v>
                </c:pt>
                <c:pt idx="5510">
                  <c:v>35118</c:v>
                </c:pt>
                <c:pt idx="5511">
                  <c:v>35117</c:v>
                </c:pt>
                <c:pt idx="5512">
                  <c:v>35116</c:v>
                </c:pt>
                <c:pt idx="5513">
                  <c:v>35115</c:v>
                </c:pt>
                <c:pt idx="5514">
                  <c:v>35114</c:v>
                </c:pt>
                <c:pt idx="5515">
                  <c:v>35111</c:v>
                </c:pt>
                <c:pt idx="5516">
                  <c:v>35110</c:v>
                </c:pt>
                <c:pt idx="5517">
                  <c:v>35109</c:v>
                </c:pt>
                <c:pt idx="5518">
                  <c:v>35108</c:v>
                </c:pt>
                <c:pt idx="5519">
                  <c:v>35107</c:v>
                </c:pt>
                <c:pt idx="5520">
                  <c:v>35104</c:v>
                </c:pt>
                <c:pt idx="5521">
                  <c:v>35103</c:v>
                </c:pt>
                <c:pt idx="5522">
                  <c:v>35102</c:v>
                </c:pt>
                <c:pt idx="5523">
                  <c:v>35101</c:v>
                </c:pt>
                <c:pt idx="5524">
                  <c:v>35100</c:v>
                </c:pt>
                <c:pt idx="5525">
                  <c:v>35097</c:v>
                </c:pt>
                <c:pt idx="5526">
                  <c:v>35096</c:v>
                </c:pt>
                <c:pt idx="5527">
                  <c:v>35095</c:v>
                </c:pt>
                <c:pt idx="5528">
                  <c:v>35094</c:v>
                </c:pt>
                <c:pt idx="5529">
                  <c:v>35093</c:v>
                </c:pt>
                <c:pt idx="5530">
                  <c:v>35090</c:v>
                </c:pt>
                <c:pt idx="5531">
                  <c:v>35089</c:v>
                </c:pt>
                <c:pt idx="5532">
                  <c:v>35088</c:v>
                </c:pt>
                <c:pt idx="5533">
                  <c:v>35087</c:v>
                </c:pt>
                <c:pt idx="5534">
                  <c:v>35086</c:v>
                </c:pt>
                <c:pt idx="5535">
                  <c:v>35083</c:v>
                </c:pt>
                <c:pt idx="5536">
                  <c:v>35082</c:v>
                </c:pt>
                <c:pt idx="5537">
                  <c:v>35081</c:v>
                </c:pt>
                <c:pt idx="5538">
                  <c:v>35080</c:v>
                </c:pt>
                <c:pt idx="5539">
                  <c:v>35079</c:v>
                </c:pt>
                <c:pt idx="5540">
                  <c:v>35076</c:v>
                </c:pt>
                <c:pt idx="5541">
                  <c:v>35075</c:v>
                </c:pt>
                <c:pt idx="5542">
                  <c:v>35074</c:v>
                </c:pt>
                <c:pt idx="5543">
                  <c:v>35073</c:v>
                </c:pt>
                <c:pt idx="5544">
                  <c:v>35072</c:v>
                </c:pt>
                <c:pt idx="5545">
                  <c:v>35069</c:v>
                </c:pt>
                <c:pt idx="5546">
                  <c:v>35068</c:v>
                </c:pt>
                <c:pt idx="5547">
                  <c:v>35067</c:v>
                </c:pt>
                <c:pt idx="5548">
                  <c:v>35066</c:v>
                </c:pt>
                <c:pt idx="5549">
                  <c:v>35065</c:v>
                </c:pt>
                <c:pt idx="5550">
                  <c:v>35062</c:v>
                </c:pt>
                <c:pt idx="5551">
                  <c:v>35061</c:v>
                </c:pt>
                <c:pt idx="5552">
                  <c:v>35060</c:v>
                </c:pt>
                <c:pt idx="5553">
                  <c:v>35059</c:v>
                </c:pt>
                <c:pt idx="5554">
                  <c:v>35058</c:v>
                </c:pt>
                <c:pt idx="5555">
                  <c:v>35055</c:v>
                </c:pt>
                <c:pt idx="5556">
                  <c:v>35054</c:v>
                </c:pt>
                <c:pt idx="5557">
                  <c:v>35053</c:v>
                </c:pt>
                <c:pt idx="5558">
                  <c:v>35052</c:v>
                </c:pt>
                <c:pt idx="5559">
                  <c:v>35051</c:v>
                </c:pt>
                <c:pt idx="5560">
                  <c:v>35048</c:v>
                </c:pt>
                <c:pt idx="5561">
                  <c:v>35047</c:v>
                </c:pt>
                <c:pt idx="5562">
                  <c:v>35046</c:v>
                </c:pt>
                <c:pt idx="5563">
                  <c:v>35045</c:v>
                </c:pt>
                <c:pt idx="5564">
                  <c:v>35044</c:v>
                </c:pt>
                <c:pt idx="5565">
                  <c:v>35041</c:v>
                </c:pt>
                <c:pt idx="5566">
                  <c:v>35040</c:v>
                </c:pt>
                <c:pt idx="5567">
                  <c:v>35039</c:v>
                </c:pt>
                <c:pt idx="5568">
                  <c:v>35038</c:v>
                </c:pt>
                <c:pt idx="5569">
                  <c:v>35037</c:v>
                </c:pt>
                <c:pt idx="5570">
                  <c:v>35034</c:v>
                </c:pt>
                <c:pt idx="5571">
                  <c:v>35033</c:v>
                </c:pt>
                <c:pt idx="5572">
                  <c:v>35032</c:v>
                </c:pt>
                <c:pt idx="5573">
                  <c:v>35031</c:v>
                </c:pt>
                <c:pt idx="5574">
                  <c:v>35030</c:v>
                </c:pt>
                <c:pt idx="5575">
                  <c:v>35027</c:v>
                </c:pt>
                <c:pt idx="5576">
                  <c:v>35026</c:v>
                </c:pt>
                <c:pt idx="5577">
                  <c:v>35025</c:v>
                </c:pt>
                <c:pt idx="5578">
                  <c:v>35024</c:v>
                </c:pt>
                <c:pt idx="5579">
                  <c:v>35023</c:v>
                </c:pt>
                <c:pt idx="5580">
                  <c:v>35020</c:v>
                </c:pt>
                <c:pt idx="5581">
                  <c:v>35019</c:v>
                </c:pt>
                <c:pt idx="5582">
                  <c:v>35018</c:v>
                </c:pt>
                <c:pt idx="5583">
                  <c:v>35017</c:v>
                </c:pt>
                <c:pt idx="5584">
                  <c:v>35016</c:v>
                </c:pt>
                <c:pt idx="5585">
                  <c:v>35013</c:v>
                </c:pt>
                <c:pt idx="5586">
                  <c:v>35012</c:v>
                </c:pt>
                <c:pt idx="5587">
                  <c:v>35011</c:v>
                </c:pt>
                <c:pt idx="5588">
                  <c:v>35010</c:v>
                </c:pt>
                <c:pt idx="5589">
                  <c:v>35009</c:v>
                </c:pt>
                <c:pt idx="5590">
                  <c:v>35006</c:v>
                </c:pt>
                <c:pt idx="5591">
                  <c:v>35005</c:v>
                </c:pt>
                <c:pt idx="5592">
                  <c:v>35004</c:v>
                </c:pt>
                <c:pt idx="5593">
                  <c:v>35003</c:v>
                </c:pt>
                <c:pt idx="5594">
                  <c:v>35002</c:v>
                </c:pt>
                <c:pt idx="5595">
                  <c:v>34999</c:v>
                </c:pt>
                <c:pt idx="5596">
                  <c:v>34998</c:v>
                </c:pt>
                <c:pt idx="5597">
                  <c:v>34997</c:v>
                </c:pt>
                <c:pt idx="5598">
                  <c:v>34996</c:v>
                </c:pt>
                <c:pt idx="5599">
                  <c:v>34995</c:v>
                </c:pt>
                <c:pt idx="5600">
                  <c:v>34992</c:v>
                </c:pt>
                <c:pt idx="5601">
                  <c:v>34991</c:v>
                </c:pt>
                <c:pt idx="5602">
                  <c:v>34990</c:v>
                </c:pt>
                <c:pt idx="5603">
                  <c:v>34989</c:v>
                </c:pt>
                <c:pt idx="5604">
                  <c:v>34988</c:v>
                </c:pt>
                <c:pt idx="5605">
                  <c:v>34985</c:v>
                </c:pt>
                <c:pt idx="5606">
                  <c:v>34984</c:v>
                </c:pt>
                <c:pt idx="5607">
                  <c:v>34983</c:v>
                </c:pt>
                <c:pt idx="5608">
                  <c:v>34982</c:v>
                </c:pt>
                <c:pt idx="5609">
                  <c:v>34981</c:v>
                </c:pt>
                <c:pt idx="5610">
                  <c:v>34978</c:v>
                </c:pt>
                <c:pt idx="5611">
                  <c:v>34977</c:v>
                </c:pt>
                <c:pt idx="5612">
                  <c:v>34976</c:v>
                </c:pt>
                <c:pt idx="5613">
                  <c:v>34975</c:v>
                </c:pt>
                <c:pt idx="5614">
                  <c:v>34974</c:v>
                </c:pt>
                <c:pt idx="5615">
                  <c:v>34971</c:v>
                </c:pt>
                <c:pt idx="5616">
                  <c:v>34970</c:v>
                </c:pt>
                <c:pt idx="5617">
                  <c:v>34969</c:v>
                </c:pt>
                <c:pt idx="5618">
                  <c:v>34968</c:v>
                </c:pt>
                <c:pt idx="5619">
                  <c:v>34967</c:v>
                </c:pt>
                <c:pt idx="5620">
                  <c:v>34964</c:v>
                </c:pt>
                <c:pt idx="5621">
                  <c:v>34963</c:v>
                </c:pt>
                <c:pt idx="5622">
                  <c:v>34962</c:v>
                </c:pt>
                <c:pt idx="5623">
                  <c:v>34961</c:v>
                </c:pt>
                <c:pt idx="5624">
                  <c:v>34960</c:v>
                </c:pt>
                <c:pt idx="5625">
                  <c:v>34957</c:v>
                </c:pt>
                <c:pt idx="5626">
                  <c:v>34956</c:v>
                </c:pt>
                <c:pt idx="5627">
                  <c:v>34955</c:v>
                </c:pt>
                <c:pt idx="5628">
                  <c:v>34954</c:v>
                </c:pt>
                <c:pt idx="5629">
                  <c:v>34953</c:v>
                </c:pt>
                <c:pt idx="5630">
                  <c:v>34950</c:v>
                </c:pt>
                <c:pt idx="5631">
                  <c:v>34949</c:v>
                </c:pt>
                <c:pt idx="5632">
                  <c:v>34948</c:v>
                </c:pt>
                <c:pt idx="5633">
                  <c:v>34947</c:v>
                </c:pt>
                <c:pt idx="5634">
                  <c:v>34946</c:v>
                </c:pt>
                <c:pt idx="5635">
                  <c:v>34943</c:v>
                </c:pt>
                <c:pt idx="5636">
                  <c:v>34942</c:v>
                </c:pt>
                <c:pt idx="5637">
                  <c:v>34941</c:v>
                </c:pt>
                <c:pt idx="5638">
                  <c:v>34940</c:v>
                </c:pt>
                <c:pt idx="5639">
                  <c:v>34939</c:v>
                </c:pt>
                <c:pt idx="5640">
                  <c:v>34936</c:v>
                </c:pt>
                <c:pt idx="5641">
                  <c:v>34935</c:v>
                </c:pt>
                <c:pt idx="5642">
                  <c:v>34934</c:v>
                </c:pt>
                <c:pt idx="5643">
                  <c:v>34933</c:v>
                </c:pt>
                <c:pt idx="5644">
                  <c:v>34932</c:v>
                </c:pt>
                <c:pt idx="5645">
                  <c:v>34929</c:v>
                </c:pt>
                <c:pt idx="5646">
                  <c:v>34928</c:v>
                </c:pt>
                <c:pt idx="5647">
                  <c:v>34927</c:v>
                </c:pt>
                <c:pt idx="5648">
                  <c:v>34926</c:v>
                </c:pt>
                <c:pt idx="5649">
                  <c:v>34925</c:v>
                </c:pt>
                <c:pt idx="5650">
                  <c:v>34922</c:v>
                </c:pt>
                <c:pt idx="5651">
                  <c:v>34921</c:v>
                </c:pt>
                <c:pt idx="5652">
                  <c:v>34920</c:v>
                </c:pt>
                <c:pt idx="5653">
                  <c:v>34919</c:v>
                </c:pt>
                <c:pt idx="5654">
                  <c:v>34918</c:v>
                </c:pt>
                <c:pt idx="5655">
                  <c:v>34915</c:v>
                </c:pt>
                <c:pt idx="5656">
                  <c:v>34914</c:v>
                </c:pt>
                <c:pt idx="5657">
                  <c:v>34913</c:v>
                </c:pt>
                <c:pt idx="5658">
                  <c:v>34912</c:v>
                </c:pt>
                <c:pt idx="5659">
                  <c:v>34911</c:v>
                </c:pt>
                <c:pt idx="5660">
                  <c:v>34908</c:v>
                </c:pt>
                <c:pt idx="5661">
                  <c:v>34907</c:v>
                </c:pt>
                <c:pt idx="5662">
                  <c:v>34906</c:v>
                </c:pt>
                <c:pt idx="5663">
                  <c:v>34905</c:v>
                </c:pt>
                <c:pt idx="5664">
                  <c:v>34904</c:v>
                </c:pt>
              </c:numCache>
            </c:numRef>
          </c:cat>
          <c:val>
            <c:numRef>
              <c:f>'Stock Returns'!$B$2:$B$5666</c:f>
              <c:numCache>
                <c:formatCode>General</c:formatCode>
                <c:ptCount val="5665"/>
                <c:pt idx="0">
                  <c:v>0.76039999999999996</c:v>
                </c:pt>
                <c:pt idx="1">
                  <c:v>0.76119999999999999</c:v>
                </c:pt>
                <c:pt idx="2">
                  <c:v>0.76559999999999995</c:v>
                </c:pt>
                <c:pt idx="3">
                  <c:v>0.7732</c:v>
                </c:pt>
                <c:pt idx="4">
                  <c:v>0.77229999999999999</c:v>
                </c:pt>
                <c:pt idx="5">
                  <c:v>0.77229999999999999</c:v>
                </c:pt>
                <c:pt idx="6">
                  <c:v>0.78310000000000002</c:v>
                </c:pt>
                <c:pt idx="7">
                  <c:v>0.7823</c:v>
                </c:pt>
                <c:pt idx="8">
                  <c:v>0.78590000000000004</c:v>
                </c:pt>
                <c:pt idx="9">
                  <c:v>0.7873</c:v>
                </c:pt>
                <c:pt idx="10">
                  <c:v>0.77810000000000001</c:v>
                </c:pt>
                <c:pt idx="11">
                  <c:v>0.77759999999999996</c:v>
                </c:pt>
                <c:pt idx="12">
                  <c:v>0.77759999999999996</c:v>
                </c:pt>
                <c:pt idx="13">
                  <c:v>0.76559999999999995</c:v>
                </c:pt>
                <c:pt idx="14">
                  <c:v>0.77769999999999995</c:v>
                </c:pt>
                <c:pt idx="15">
                  <c:v>0.76249999999999996</c:v>
                </c:pt>
                <c:pt idx="16">
                  <c:v>0.76449999999999996</c:v>
                </c:pt>
                <c:pt idx="17">
                  <c:v>0.76129999999999998</c:v>
                </c:pt>
                <c:pt idx="18">
                  <c:v>0.76319999999999999</c:v>
                </c:pt>
                <c:pt idx="19">
                  <c:v>0.76319999999999999</c:v>
                </c:pt>
                <c:pt idx="20">
                  <c:v>0.77039999999999997</c:v>
                </c:pt>
                <c:pt idx="21">
                  <c:v>0.76019999999999999</c:v>
                </c:pt>
                <c:pt idx="22">
                  <c:v>0.7641</c:v>
                </c:pt>
                <c:pt idx="23">
                  <c:v>0.76800000000000002</c:v>
                </c:pt>
                <c:pt idx="24">
                  <c:v>0.77210000000000001</c:v>
                </c:pt>
                <c:pt idx="25">
                  <c:v>0.77139999999999997</c:v>
                </c:pt>
                <c:pt idx="26">
                  <c:v>0.77139999999999997</c:v>
                </c:pt>
                <c:pt idx="27">
                  <c:v>0.77839999999999998</c:v>
                </c:pt>
                <c:pt idx="28">
                  <c:v>0.78220000000000001</c:v>
                </c:pt>
                <c:pt idx="29">
                  <c:v>0.78220000000000001</c:v>
                </c:pt>
                <c:pt idx="30">
                  <c:v>0.7752</c:v>
                </c:pt>
                <c:pt idx="31">
                  <c:v>0.77810000000000001</c:v>
                </c:pt>
                <c:pt idx="32">
                  <c:v>0.78069999999999995</c:v>
                </c:pt>
                <c:pt idx="33">
                  <c:v>0.78069999999999995</c:v>
                </c:pt>
                <c:pt idx="34">
                  <c:v>0.78059999999999996</c:v>
                </c:pt>
                <c:pt idx="35">
                  <c:v>0.78800000000000003</c:v>
                </c:pt>
                <c:pt idx="36">
                  <c:v>0.78339999999999999</c:v>
                </c:pt>
                <c:pt idx="37">
                  <c:v>0.77980000000000005</c:v>
                </c:pt>
                <c:pt idx="38">
                  <c:v>0.78439999999999999</c:v>
                </c:pt>
                <c:pt idx="39">
                  <c:v>0.78400000000000003</c:v>
                </c:pt>
                <c:pt idx="40">
                  <c:v>0.78420000000000001</c:v>
                </c:pt>
                <c:pt idx="41">
                  <c:v>0.77910000000000001</c:v>
                </c:pt>
                <c:pt idx="42">
                  <c:v>0.78069999999999995</c:v>
                </c:pt>
                <c:pt idx="43">
                  <c:v>0.78100000000000003</c:v>
                </c:pt>
                <c:pt idx="44">
                  <c:v>0.77549999999999997</c:v>
                </c:pt>
                <c:pt idx="45">
                  <c:v>0.77629999999999999</c:v>
                </c:pt>
                <c:pt idx="46">
                  <c:v>0.77490000000000003</c:v>
                </c:pt>
                <c:pt idx="47">
                  <c:v>0.77669999999999995</c:v>
                </c:pt>
                <c:pt idx="48">
                  <c:v>0.77659999999999996</c:v>
                </c:pt>
                <c:pt idx="49">
                  <c:v>0.77129999999999999</c:v>
                </c:pt>
                <c:pt idx="50">
                  <c:v>0.77790000000000004</c:v>
                </c:pt>
                <c:pt idx="51">
                  <c:v>0.77959999999999996</c:v>
                </c:pt>
                <c:pt idx="52">
                  <c:v>0.77680000000000005</c:v>
                </c:pt>
                <c:pt idx="53">
                  <c:v>0.7792</c:v>
                </c:pt>
                <c:pt idx="54">
                  <c:v>0.77969999999999995</c:v>
                </c:pt>
                <c:pt idx="55">
                  <c:v>0.77939999999999998</c:v>
                </c:pt>
                <c:pt idx="56">
                  <c:v>0.77569999999999995</c:v>
                </c:pt>
                <c:pt idx="57">
                  <c:v>0.77590000000000003</c:v>
                </c:pt>
                <c:pt idx="58">
                  <c:v>0.78029999999999999</c:v>
                </c:pt>
                <c:pt idx="59">
                  <c:v>0.77810000000000001</c:v>
                </c:pt>
                <c:pt idx="60">
                  <c:v>0.77600000000000002</c:v>
                </c:pt>
                <c:pt idx="61">
                  <c:v>0.77659999999999996</c:v>
                </c:pt>
                <c:pt idx="62">
                  <c:v>0.77900000000000003</c:v>
                </c:pt>
                <c:pt idx="63">
                  <c:v>0.78969999999999996</c:v>
                </c:pt>
                <c:pt idx="64">
                  <c:v>0.79179999999999995</c:v>
                </c:pt>
                <c:pt idx="65">
                  <c:v>0.79200000000000004</c:v>
                </c:pt>
                <c:pt idx="66">
                  <c:v>0.78569999999999995</c:v>
                </c:pt>
                <c:pt idx="67">
                  <c:v>0.79069999999999996</c:v>
                </c:pt>
                <c:pt idx="68">
                  <c:v>0.79079999999999995</c:v>
                </c:pt>
                <c:pt idx="69">
                  <c:v>0.80210000000000004</c:v>
                </c:pt>
                <c:pt idx="70">
                  <c:v>0.80969999999999998</c:v>
                </c:pt>
                <c:pt idx="71">
                  <c:v>0.81630000000000003</c:v>
                </c:pt>
                <c:pt idx="72">
                  <c:v>0.81940000000000002</c:v>
                </c:pt>
                <c:pt idx="73">
                  <c:v>0.82269999999999999</c:v>
                </c:pt>
                <c:pt idx="74">
                  <c:v>0.82230000000000003</c:v>
                </c:pt>
                <c:pt idx="75">
                  <c:v>0.82210000000000005</c:v>
                </c:pt>
                <c:pt idx="76">
                  <c:v>0.82210000000000005</c:v>
                </c:pt>
                <c:pt idx="77">
                  <c:v>0.81399999999999995</c:v>
                </c:pt>
                <c:pt idx="78">
                  <c:v>0.81699999999999995</c:v>
                </c:pt>
                <c:pt idx="79">
                  <c:v>0.81459999999999999</c:v>
                </c:pt>
                <c:pt idx="80">
                  <c:v>0.82199999999999995</c:v>
                </c:pt>
                <c:pt idx="81">
                  <c:v>0.82020000000000004</c:v>
                </c:pt>
                <c:pt idx="82">
                  <c:v>0.8196</c:v>
                </c:pt>
                <c:pt idx="83">
                  <c:v>0.81089999999999995</c:v>
                </c:pt>
                <c:pt idx="84">
                  <c:v>0.80769999999999997</c:v>
                </c:pt>
                <c:pt idx="85">
                  <c:v>0.8075</c:v>
                </c:pt>
                <c:pt idx="86">
                  <c:v>0.80969999999999998</c:v>
                </c:pt>
                <c:pt idx="87">
                  <c:v>0.80659999999999998</c:v>
                </c:pt>
                <c:pt idx="88">
                  <c:v>0.80879999999999996</c:v>
                </c:pt>
                <c:pt idx="89">
                  <c:v>0.80930000000000002</c:v>
                </c:pt>
                <c:pt idx="90">
                  <c:v>0.81759999999999999</c:v>
                </c:pt>
                <c:pt idx="91">
                  <c:v>0.81610000000000005</c:v>
                </c:pt>
                <c:pt idx="92">
                  <c:v>0.81820000000000004</c:v>
                </c:pt>
                <c:pt idx="93">
                  <c:v>0.81279999999999997</c:v>
                </c:pt>
                <c:pt idx="94">
                  <c:v>0.81140000000000001</c:v>
                </c:pt>
                <c:pt idx="95">
                  <c:v>0.81069999999999998</c:v>
                </c:pt>
                <c:pt idx="96">
                  <c:v>0.8115</c:v>
                </c:pt>
                <c:pt idx="97">
                  <c:v>0.81069999999999998</c:v>
                </c:pt>
                <c:pt idx="98">
                  <c:v>0.81059999999999999</c:v>
                </c:pt>
                <c:pt idx="99">
                  <c:v>0.8115</c:v>
                </c:pt>
                <c:pt idx="100">
                  <c:v>0.81200000000000006</c:v>
                </c:pt>
                <c:pt idx="101">
                  <c:v>0.81479999999999997</c:v>
                </c:pt>
                <c:pt idx="102">
                  <c:v>0.81399999999999995</c:v>
                </c:pt>
                <c:pt idx="103">
                  <c:v>0.81389999999999996</c:v>
                </c:pt>
                <c:pt idx="104">
                  <c:v>0.81689999999999996</c:v>
                </c:pt>
                <c:pt idx="105">
                  <c:v>0.81220000000000003</c:v>
                </c:pt>
                <c:pt idx="106">
                  <c:v>0.82230000000000003</c:v>
                </c:pt>
                <c:pt idx="107">
                  <c:v>0.82120000000000004</c:v>
                </c:pt>
                <c:pt idx="108">
                  <c:v>0.82079999999999997</c:v>
                </c:pt>
                <c:pt idx="109">
                  <c:v>0.82410000000000005</c:v>
                </c:pt>
                <c:pt idx="110">
                  <c:v>0.82499999999999996</c:v>
                </c:pt>
                <c:pt idx="111">
                  <c:v>0.82440000000000002</c:v>
                </c:pt>
                <c:pt idx="112">
                  <c:v>0.83350000000000002</c:v>
                </c:pt>
                <c:pt idx="113">
                  <c:v>0.83</c:v>
                </c:pt>
                <c:pt idx="114">
                  <c:v>0.83</c:v>
                </c:pt>
                <c:pt idx="115">
                  <c:v>0.83089999999999997</c:v>
                </c:pt>
                <c:pt idx="116">
                  <c:v>0.83179999999999998</c:v>
                </c:pt>
                <c:pt idx="117">
                  <c:v>0.8327</c:v>
                </c:pt>
                <c:pt idx="118">
                  <c:v>0.83840000000000003</c:v>
                </c:pt>
                <c:pt idx="119">
                  <c:v>0.83940000000000003</c:v>
                </c:pt>
                <c:pt idx="120">
                  <c:v>0.84599999999999997</c:v>
                </c:pt>
                <c:pt idx="121">
                  <c:v>0.84750000000000003</c:v>
                </c:pt>
                <c:pt idx="122">
                  <c:v>0.8427</c:v>
                </c:pt>
                <c:pt idx="123">
                  <c:v>0.85029999999999994</c:v>
                </c:pt>
                <c:pt idx="124">
                  <c:v>0.85109999999999997</c:v>
                </c:pt>
                <c:pt idx="125">
                  <c:v>0.85170000000000001</c:v>
                </c:pt>
                <c:pt idx="126">
                  <c:v>0.85289999999999999</c:v>
                </c:pt>
                <c:pt idx="127">
                  <c:v>0.85619999999999996</c:v>
                </c:pt>
                <c:pt idx="128">
                  <c:v>0.85899999999999999</c:v>
                </c:pt>
                <c:pt idx="129">
                  <c:v>0.86799999999999999</c:v>
                </c:pt>
                <c:pt idx="130">
                  <c:v>0.86660000000000004</c:v>
                </c:pt>
                <c:pt idx="131">
                  <c:v>0.86660000000000004</c:v>
                </c:pt>
                <c:pt idx="132">
                  <c:v>0.86170000000000002</c:v>
                </c:pt>
                <c:pt idx="133">
                  <c:v>0.85929999999999995</c:v>
                </c:pt>
                <c:pt idx="134">
                  <c:v>0.87060000000000004</c:v>
                </c:pt>
                <c:pt idx="135">
                  <c:v>0.87060000000000004</c:v>
                </c:pt>
                <c:pt idx="136">
                  <c:v>0.87460000000000004</c:v>
                </c:pt>
                <c:pt idx="137">
                  <c:v>0.87450000000000006</c:v>
                </c:pt>
                <c:pt idx="138">
                  <c:v>0.87480000000000002</c:v>
                </c:pt>
                <c:pt idx="139">
                  <c:v>0.87029999999999996</c:v>
                </c:pt>
                <c:pt idx="140">
                  <c:v>0.87060000000000004</c:v>
                </c:pt>
                <c:pt idx="141">
                  <c:v>0.87060000000000004</c:v>
                </c:pt>
                <c:pt idx="142">
                  <c:v>0.86329999999999996</c:v>
                </c:pt>
                <c:pt idx="143">
                  <c:v>0.86439999999999995</c:v>
                </c:pt>
                <c:pt idx="144">
                  <c:v>0.86299999999999999</c:v>
                </c:pt>
                <c:pt idx="145">
                  <c:v>0.86299999999999999</c:v>
                </c:pt>
                <c:pt idx="146">
                  <c:v>0.85609999999999997</c:v>
                </c:pt>
                <c:pt idx="147">
                  <c:v>0.85780000000000001</c:v>
                </c:pt>
                <c:pt idx="148">
                  <c:v>0.87490000000000001</c:v>
                </c:pt>
                <c:pt idx="149">
                  <c:v>0.86880000000000002</c:v>
                </c:pt>
                <c:pt idx="150">
                  <c:v>0.87480000000000002</c:v>
                </c:pt>
                <c:pt idx="151">
                  <c:v>0.87960000000000005</c:v>
                </c:pt>
                <c:pt idx="152">
                  <c:v>0.87960000000000005</c:v>
                </c:pt>
                <c:pt idx="153">
                  <c:v>0.8821</c:v>
                </c:pt>
                <c:pt idx="154">
                  <c:v>0.87629999999999997</c:v>
                </c:pt>
                <c:pt idx="155">
                  <c:v>0.88590000000000002</c:v>
                </c:pt>
                <c:pt idx="156">
                  <c:v>0.88049999999999995</c:v>
                </c:pt>
                <c:pt idx="157">
                  <c:v>0.87970000000000004</c:v>
                </c:pt>
                <c:pt idx="158">
                  <c:v>0.87939999999999996</c:v>
                </c:pt>
                <c:pt idx="159">
                  <c:v>0.87939999999999996</c:v>
                </c:pt>
                <c:pt idx="160">
                  <c:v>0.87549999999999994</c:v>
                </c:pt>
                <c:pt idx="161">
                  <c:v>0.87639999999999996</c:v>
                </c:pt>
                <c:pt idx="162">
                  <c:v>0.87709999999999999</c:v>
                </c:pt>
                <c:pt idx="163">
                  <c:v>0.87739999999999996</c:v>
                </c:pt>
                <c:pt idx="164">
                  <c:v>0.87529999999999997</c:v>
                </c:pt>
                <c:pt idx="165">
                  <c:v>0.87439999999999996</c:v>
                </c:pt>
                <c:pt idx="166">
                  <c:v>0.87439999999999996</c:v>
                </c:pt>
                <c:pt idx="167">
                  <c:v>0.87690000000000001</c:v>
                </c:pt>
                <c:pt idx="168">
                  <c:v>0.87909999999999999</c:v>
                </c:pt>
                <c:pt idx="169">
                  <c:v>0.87080000000000002</c:v>
                </c:pt>
                <c:pt idx="170">
                  <c:v>0.875</c:v>
                </c:pt>
                <c:pt idx="171">
                  <c:v>0.86699999999999999</c:v>
                </c:pt>
                <c:pt idx="172">
                  <c:v>0.86799999999999999</c:v>
                </c:pt>
                <c:pt idx="173">
                  <c:v>0.86799999999999999</c:v>
                </c:pt>
                <c:pt idx="174">
                  <c:v>0.876</c:v>
                </c:pt>
                <c:pt idx="175">
                  <c:v>0.88360000000000005</c:v>
                </c:pt>
                <c:pt idx="176">
                  <c:v>0.88090000000000002</c:v>
                </c:pt>
                <c:pt idx="177">
                  <c:v>0.87660000000000005</c:v>
                </c:pt>
                <c:pt idx="178">
                  <c:v>0.86650000000000005</c:v>
                </c:pt>
                <c:pt idx="179">
                  <c:v>0.86739999999999995</c:v>
                </c:pt>
                <c:pt idx="180">
                  <c:v>0.86739999999999995</c:v>
                </c:pt>
                <c:pt idx="181">
                  <c:v>0.87960000000000005</c:v>
                </c:pt>
                <c:pt idx="182">
                  <c:v>0.87370000000000003</c:v>
                </c:pt>
                <c:pt idx="183">
                  <c:v>0.87350000000000005</c:v>
                </c:pt>
                <c:pt idx="184">
                  <c:v>0.87129999999999996</c:v>
                </c:pt>
                <c:pt idx="185">
                  <c:v>0.87360000000000004</c:v>
                </c:pt>
                <c:pt idx="186">
                  <c:v>0.87629999999999997</c:v>
                </c:pt>
                <c:pt idx="187">
                  <c:v>0.87629999999999997</c:v>
                </c:pt>
                <c:pt idx="188">
                  <c:v>0.88029999999999997</c:v>
                </c:pt>
                <c:pt idx="189">
                  <c:v>0.88549999999999995</c:v>
                </c:pt>
                <c:pt idx="190">
                  <c:v>0.88570000000000004</c:v>
                </c:pt>
                <c:pt idx="191">
                  <c:v>0.88759999999999994</c:v>
                </c:pt>
                <c:pt idx="192">
                  <c:v>0.89400000000000002</c:v>
                </c:pt>
                <c:pt idx="193">
                  <c:v>0.89200000000000002</c:v>
                </c:pt>
                <c:pt idx="194">
                  <c:v>0.89200000000000002</c:v>
                </c:pt>
                <c:pt idx="195">
                  <c:v>0.89829999999999999</c:v>
                </c:pt>
                <c:pt idx="196">
                  <c:v>0.89580000000000004</c:v>
                </c:pt>
                <c:pt idx="197">
                  <c:v>0.90800000000000003</c:v>
                </c:pt>
                <c:pt idx="198">
                  <c:v>0.90349999999999997</c:v>
                </c:pt>
                <c:pt idx="199">
                  <c:v>0.90149999999999997</c:v>
                </c:pt>
                <c:pt idx="200">
                  <c:v>0.90349999999999997</c:v>
                </c:pt>
                <c:pt idx="201">
                  <c:v>0.90349999999999997</c:v>
                </c:pt>
                <c:pt idx="202">
                  <c:v>0.90939999999999999</c:v>
                </c:pt>
                <c:pt idx="203">
                  <c:v>0.91579999999999995</c:v>
                </c:pt>
                <c:pt idx="204">
                  <c:v>0.92069999999999996</c:v>
                </c:pt>
                <c:pt idx="205">
                  <c:v>0.9274</c:v>
                </c:pt>
                <c:pt idx="206">
                  <c:v>0.9365</c:v>
                </c:pt>
                <c:pt idx="207">
                  <c:v>0.93759999999999999</c:v>
                </c:pt>
                <c:pt idx="208">
                  <c:v>0.93759999999999999</c:v>
                </c:pt>
                <c:pt idx="209">
                  <c:v>0.93320000000000003</c:v>
                </c:pt>
                <c:pt idx="210">
                  <c:v>0.93400000000000005</c:v>
                </c:pt>
                <c:pt idx="211">
                  <c:v>0.92730000000000001</c:v>
                </c:pt>
                <c:pt idx="212">
                  <c:v>0.93310000000000004</c:v>
                </c:pt>
                <c:pt idx="213">
                  <c:v>0.9325</c:v>
                </c:pt>
                <c:pt idx="214">
                  <c:v>0.93330000000000002</c:v>
                </c:pt>
                <c:pt idx="215">
                  <c:v>0.93330000000000002</c:v>
                </c:pt>
                <c:pt idx="216">
                  <c:v>0.93479999999999996</c:v>
                </c:pt>
                <c:pt idx="217">
                  <c:v>0.9335</c:v>
                </c:pt>
                <c:pt idx="218">
                  <c:v>0.93159999999999998</c:v>
                </c:pt>
                <c:pt idx="219">
                  <c:v>0.92759999999999998</c:v>
                </c:pt>
                <c:pt idx="220">
                  <c:v>0.93110000000000004</c:v>
                </c:pt>
                <c:pt idx="221">
                  <c:v>0.93110000000000004</c:v>
                </c:pt>
                <c:pt idx="222">
                  <c:v>0.93020000000000003</c:v>
                </c:pt>
                <c:pt idx="223">
                  <c:v>0.92910000000000004</c:v>
                </c:pt>
                <c:pt idx="224">
                  <c:v>0.92869999999999997</c:v>
                </c:pt>
                <c:pt idx="225">
                  <c:v>0.93189999999999995</c:v>
                </c:pt>
                <c:pt idx="226">
                  <c:v>0.93149999999999999</c:v>
                </c:pt>
                <c:pt idx="227">
                  <c:v>0.93189999999999995</c:v>
                </c:pt>
                <c:pt idx="228">
                  <c:v>0.93189999999999995</c:v>
                </c:pt>
                <c:pt idx="229">
                  <c:v>0.93189999999999995</c:v>
                </c:pt>
                <c:pt idx="230">
                  <c:v>0.93030000000000002</c:v>
                </c:pt>
                <c:pt idx="231">
                  <c:v>0.92669999999999997</c:v>
                </c:pt>
                <c:pt idx="232">
                  <c:v>0.92630000000000001</c:v>
                </c:pt>
                <c:pt idx="233">
                  <c:v>0.92779999999999996</c:v>
                </c:pt>
                <c:pt idx="234">
                  <c:v>0.9274</c:v>
                </c:pt>
                <c:pt idx="235">
                  <c:v>0.9274</c:v>
                </c:pt>
                <c:pt idx="236">
                  <c:v>0.92679999999999996</c:v>
                </c:pt>
                <c:pt idx="237">
                  <c:v>0.93430000000000002</c:v>
                </c:pt>
                <c:pt idx="238">
                  <c:v>0.93010000000000004</c:v>
                </c:pt>
                <c:pt idx="239">
                  <c:v>0.93300000000000005</c:v>
                </c:pt>
                <c:pt idx="240">
                  <c:v>0.93089999999999995</c:v>
                </c:pt>
                <c:pt idx="241">
                  <c:v>0.93100000000000005</c:v>
                </c:pt>
                <c:pt idx="242">
                  <c:v>0.93100000000000005</c:v>
                </c:pt>
                <c:pt idx="243">
                  <c:v>0.93010000000000004</c:v>
                </c:pt>
                <c:pt idx="244">
                  <c:v>0.9325</c:v>
                </c:pt>
                <c:pt idx="245">
                  <c:v>0.9385</c:v>
                </c:pt>
                <c:pt idx="246">
                  <c:v>0.94120000000000004</c:v>
                </c:pt>
                <c:pt idx="247">
                  <c:v>0.94</c:v>
                </c:pt>
                <c:pt idx="248">
                  <c:v>0.93940000000000001</c:v>
                </c:pt>
                <c:pt idx="249">
                  <c:v>0.93940000000000001</c:v>
                </c:pt>
                <c:pt idx="250">
                  <c:v>0.94179999999999997</c:v>
                </c:pt>
                <c:pt idx="251">
                  <c:v>0.94379999999999997</c:v>
                </c:pt>
                <c:pt idx="252">
                  <c:v>0.93869999999999998</c:v>
                </c:pt>
                <c:pt idx="253">
                  <c:v>0.93679999999999997</c:v>
                </c:pt>
                <c:pt idx="254">
                  <c:v>0.93940000000000001</c:v>
                </c:pt>
                <c:pt idx="255">
                  <c:v>0.93879999999999997</c:v>
                </c:pt>
                <c:pt idx="256">
                  <c:v>0.93879999999999997</c:v>
                </c:pt>
                <c:pt idx="257">
                  <c:v>0.93379999999999996</c:v>
                </c:pt>
                <c:pt idx="258">
                  <c:v>0.93700000000000006</c:v>
                </c:pt>
                <c:pt idx="259">
                  <c:v>0.93600000000000005</c:v>
                </c:pt>
                <c:pt idx="260">
                  <c:v>0.93920000000000003</c:v>
                </c:pt>
                <c:pt idx="261">
                  <c:v>0.9385</c:v>
                </c:pt>
                <c:pt idx="262">
                  <c:v>0.93889999999999996</c:v>
                </c:pt>
                <c:pt idx="263">
                  <c:v>0.93889999999999996</c:v>
                </c:pt>
                <c:pt idx="264">
                  <c:v>0.9385</c:v>
                </c:pt>
                <c:pt idx="265">
                  <c:v>0.94230000000000003</c:v>
                </c:pt>
                <c:pt idx="266">
                  <c:v>0.94089999999999996</c:v>
                </c:pt>
                <c:pt idx="267">
                  <c:v>0.93720000000000003</c:v>
                </c:pt>
                <c:pt idx="268">
                  <c:v>0.93559999999999999</c:v>
                </c:pt>
                <c:pt idx="269">
                  <c:v>0.93620000000000003</c:v>
                </c:pt>
                <c:pt idx="270">
                  <c:v>0.93620000000000003</c:v>
                </c:pt>
                <c:pt idx="271">
                  <c:v>0.93500000000000005</c:v>
                </c:pt>
                <c:pt idx="272">
                  <c:v>0.94310000000000005</c:v>
                </c:pt>
                <c:pt idx="273">
                  <c:v>0.9496</c:v>
                </c:pt>
                <c:pt idx="274">
                  <c:v>0.94310000000000005</c:v>
                </c:pt>
                <c:pt idx="275">
                  <c:v>0.94130000000000003</c:v>
                </c:pt>
                <c:pt idx="276">
                  <c:v>0.94220000000000004</c:v>
                </c:pt>
                <c:pt idx="277">
                  <c:v>0.94220000000000004</c:v>
                </c:pt>
                <c:pt idx="278">
                  <c:v>0.9405</c:v>
                </c:pt>
                <c:pt idx="279">
                  <c:v>0.94040000000000001</c:v>
                </c:pt>
                <c:pt idx="280">
                  <c:v>0.93600000000000005</c:v>
                </c:pt>
                <c:pt idx="281">
                  <c:v>0.94220000000000004</c:v>
                </c:pt>
                <c:pt idx="282">
                  <c:v>0.93859999999999999</c:v>
                </c:pt>
                <c:pt idx="283">
                  <c:v>0.93840000000000001</c:v>
                </c:pt>
                <c:pt idx="284">
                  <c:v>0.93840000000000001</c:v>
                </c:pt>
                <c:pt idx="285">
                  <c:v>0.93979999999999997</c:v>
                </c:pt>
                <c:pt idx="286">
                  <c:v>0.93989999999999996</c:v>
                </c:pt>
                <c:pt idx="287">
                  <c:v>0.9335</c:v>
                </c:pt>
                <c:pt idx="288">
                  <c:v>0.93910000000000005</c:v>
                </c:pt>
                <c:pt idx="289">
                  <c:v>0.93889999999999996</c:v>
                </c:pt>
                <c:pt idx="290">
                  <c:v>0.94</c:v>
                </c:pt>
                <c:pt idx="291">
                  <c:v>0.94</c:v>
                </c:pt>
                <c:pt idx="292">
                  <c:v>0.94259999999999999</c:v>
                </c:pt>
                <c:pt idx="293">
                  <c:v>0.93820000000000003</c:v>
                </c:pt>
                <c:pt idx="294">
                  <c:v>0.93679999999999997</c:v>
                </c:pt>
                <c:pt idx="295">
                  <c:v>0.9345</c:v>
                </c:pt>
                <c:pt idx="296">
                  <c:v>0.93369999999999997</c:v>
                </c:pt>
                <c:pt idx="297">
                  <c:v>0.93300000000000005</c:v>
                </c:pt>
                <c:pt idx="298">
                  <c:v>0.93300000000000005</c:v>
                </c:pt>
                <c:pt idx="299">
                  <c:v>0.93269999999999997</c:v>
                </c:pt>
                <c:pt idx="300">
                  <c:v>0.92720000000000002</c:v>
                </c:pt>
                <c:pt idx="301">
                  <c:v>0.92569999999999997</c:v>
                </c:pt>
                <c:pt idx="302">
                  <c:v>0.92330000000000001</c:v>
                </c:pt>
                <c:pt idx="303">
                  <c:v>0.92989999999999995</c:v>
                </c:pt>
                <c:pt idx="304">
                  <c:v>0.9304</c:v>
                </c:pt>
                <c:pt idx="305">
                  <c:v>0.9304</c:v>
                </c:pt>
                <c:pt idx="306">
                  <c:v>0.93130000000000002</c:v>
                </c:pt>
                <c:pt idx="307">
                  <c:v>0.92220000000000002</c:v>
                </c:pt>
                <c:pt idx="308">
                  <c:v>0.9264</c:v>
                </c:pt>
                <c:pt idx="309">
                  <c:v>0.92559999999999998</c:v>
                </c:pt>
                <c:pt idx="310">
                  <c:v>0.92400000000000004</c:v>
                </c:pt>
                <c:pt idx="311">
                  <c:v>0.92269999999999996</c:v>
                </c:pt>
                <c:pt idx="312">
                  <c:v>0.92269999999999996</c:v>
                </c:pt>
                <c:pt idx="313">
                  <c:v>0.92259999999999998</c:v>
                </c:pt>
                <c:pt idx="314">
                  <c:v>0.92330000000000001</c:v>
                </c:pt>
                <c:pt idx="315">
                  <c:v>0.92310000000000003</c:v>
                </c:pt>
                <c:pt idx="316">
                  <c:v>0.93340000000000001</c:v>
                </c:pt>
                <c:pt idx="317">
                  <c:v>0.93589999999999995</c:v>
                </c:pt>
                <c:pt idx="318">
                  <c:v>0.93589999999999995</c:v>
                </c:pt>
                <c:pt idx="319">
                  <c:v>0.93569999999999998</c:v>
                </c:pt>
                <c:pt idx="320">
                  <c:v>0.93689999999999996</c:v>
                </c:pt>
                <c:pt idx="321">
                  <c:v>0.93640000000000001</c:v>
                </c:pt>
                <c:pt idx="322">
                  <c:v>0.93579999999999997</c:v>
                </c:pt>
                <c:pt idx="323">
                  <c:v>0.93620000000000003</c:v>
                </c:pt>
                <c:pt idx="324">
                  <c:v>0.93579999999999997</c:v>
                </c:pt>
                <c:pt idx="325">
                  <c:v>0.93579999999999997</c:v>
                </c:pt>
                <c:pt idx="326">
                  <c:v>0.93679999999999997</c:v>
                </c:pt>
                <c:pt idx="327">
                  <c:v>0.9325</c:v>
                </c:pt>
                <c:pt idx="328">
                  <c:v>0.93510000000000004</c:v>
                </c:pt>
                <c:pt idx="329">
                  <c:v>0.9284</c:v>
                </c:pt>
                <c:pt idx="330">
                  <c:v>0.92730000000000001</c:v>
                </c:pt>
                <c:pt idx="331">
                  <c:v>0.92749999999999999</c:v>
                </c:pt>
                <c:pt idx="332">
                  <c:v>0.92700000000000005</c:v>
                </c:pt>
                <c:pt idx="333">
                  <c:v>0.92730000000000001</c:v>
                </c:pt>
                <c:pt idx="334">
                  <c:v>0.92849999999999999</c:v>
                </c:pt>
                <c:pt idx="335">
                  <c:v>0.92749999999999999</c:v>
                </c:pt>
                <c:pt idx="336">
                  <c:v>0.92500000000000004</c:v>
                </c:pt>
                <c:pt idx="337">
                  <c:v>0.92710000000000004</c:v>
                </c:pt>
                <c:pt idx="338">
                  <c:v>0.92700000000000005</c:v>
                </c:pt>
                <c:pt idx="339">
                  <c:v>0.92700000000000005</c:v>
                </c:pt>
                <c:pt idx="340">
                  <c:v>0.92710000000000004</c:v>
                </c:pt>
                <c:pt idx="341">
                  <c:v>0.92910000000000004</c:v>
                </c:pt>
                <c:pt idx="342">
                  <c:v>0.93720000000000003</c:v>
                </c:pt>
                <c:pt idx="343">
                  <c:v>0.93359999999999999</c:v>
                </c:pt>
                <c:pt idx="344">
                  <c:v>0.93310000000000004</c:v>
                </c:pt>
                <c:pt idx="345">
                  <c:v>0.93240000000000001</c:v>
                </c:pt>
                <c:pt idx="346">
                  <c:v>0.93240000000000001</c:v>
                </c:pt>
                <c:pt idx="347">
                  <c:v>0.93279999999999996</c:v>
                </c:pt>
                <c:pt idx="348">
                  <c:v>0.93740000000000001</c:v>
                </c:pt>
                <c:pt idx="349">
                  <c:v>0.93400000000000005</c:v>
                </c:pt>
                <c:pt idx="350">
                  <c:v>0.94099999999999995</c:v>
                </c:pt>
                <c:pt idx="351">
                  <c:v>0.93789999999999996</c:v>
                </c:pt>
                <c:pt idx="352">
                  <c:v>0.93920000000000003</c:v>
                </c:pt>
                <c:pt idx="353">
                  <c:v>0.93920000000000003</c:v>
                </c:pt>
                <c:pt idx="354">
                  <c:v>0.94120000000000004</c:v>
                </c:pt>
                <c:pt idx="355">
                  <c:v>0.93759999999999999</c:v>
                </c:pt>
                <c:pt idx="356">
                  <c:v>0.93489999999999995</c:v>
                </c:pt>
                <c:pt idx="357">
                  <c:v>0.9264</c:v>
                </c:pt>
                <c:pt idx="358">
                  <c:v>0.92869999999999997</c:v>
                </c:pt>
                <c:pt idx="359">
                  <c:v>0.92849999999999999</c:v>
                </c:pt>
                <c:pt idx="360">
                  <c:v>0.92849999999999999</c:v>
                </c:pt>
                <c:pt idx="361">
                  <c:v>0.9234</c:v>
                </c:pt>
                <c:pt idx="362">
                  <c:v>0.92459999999999998</c:v>
                </c:pt>
                <c:pt idx="363">
                  <c:v>0.92459999999999998</c:v>
                </c:pt>
                <c:pt idx="364">
                  <c:v>0.92630000000000001</c:v>
                </c:pt>
                <c:pt idx="365">
                  <c:v>0.92579999999999996</c:v>
                </c:pt>
                <c:pt idx="366">
                  <c:v>0.9244</c:v>
                </c:pt>
                <c:pt idx="367">
                  <c:v>0.9244</c:v>
                </c:pt>
                <c:pt idx="368">
                  <c:v>0.92669999999999997</c:v>
                </c:pt>
                <c:pt idx="369">
                  <c:v>0.92159999999999997</c:v>
                </c:pt>
                <c:pt idx="370">
                  <c:v>0.91590000000000005</c:v>
                </c:pt>
                <c:pt idx="371">
                  <c:v>0.91300000000000003</c:v>
                </c:pt>
                <c:pt idx="372">
                  <c:v>0.90920000000000001</c:v>
                </c:pt>
                <c:pt idx="373">
                  <c:v>0.90800000000000003</c:v>
                </c:pt>
                <c:pt idx="374">
                  <c:v>0.90800000000000003</c:v>
                </c:pt>
                <c:pt idx="375">
                  <c:v>0.90359999999999996</c:v>
                </c:pt>
                <c:pt idx="376">
                  <c:v>0.90269999999999995</c:v>
                </c:pt>
                <c:pt idx="377">
                  <c:v>0.91290000000000004</c:v>
                </c:pt>
                <c:pt idx="378">
                  <c:v>0.9083</c:v>
                </c:pt>
                <c:pt idx="379">
                  <c:v>0.90280000000000005</c:v>
                </c:pt>
                <c:pt idx="380">
                  <c:v>0.90280000000000005</c:v>
                </c:pt>
                <c:pt idx="381">
                  <c:v>0.90280000000000005</c:v>
                </c:pt>
                <c:pt idx="382">
                  <c:v>0.90280000000000005</c:v>
                </c:pt>
                <c:pt idx="383">
                  <c:v>0.89939999999999998</c:v>
                </c:pt>
                <c:pt idx="384">
                  <c:v>0.89570000000000005</c:v>
                </c:pt>
                <c:pt idx="385">
                  <c:v>0.90269999999999995</c:v>
                </c:pt>
                <c:pt idx="386">
                  <c:v>0.90559999999999996</c:v>
                </c:pt>
                <c:pt idx="387">
                  <c:v>0.90610000000000002</c:v>
                </c:pt>
                <c:pt idx="388">
                  <c:v>0.90659999999999996</c:v>
                </c:pt>
                <c:pt idx="389">
                  <c:v>0.91049999999999998</c:v>
                </c:pt>
                <c:pt idx="390">
                  <c:v>0.89759999999999995</c:v>
                </c:pt>
                <c:pt idx="391">
                  <c:v>0.89490000000000003</c:v>
                </c:pt>
                <c:pt idx="392">
                  <c:v>0.89249999999999996</c:v>
                </c:pt>
                <c:pt idx="393">
                  <c:v>0.89059999999999995</c:v>
                </c:pt>
                <c:pt idx="394">
                  <c:v>0.89219999999999999</c:v>
                </c:pt>
                <c:pt idx="395">
                  <c:v>0.8921</c:v>
                </c:pt>
                <c:pt idx="396">
                  <c:v>0.89539999999999997</c:v>
                </c:pt>
                <c:pt idx="397">
                  <c:v>0.8962</c:v>
                </c:pt>
                <c:pt idx="398">
                  <c:v>0.90069999999999995</c:v>
                </c:pt>
                <c:pt idx="399">
                  <c:v>0.90369999999999995</c:v>
                </c:pt>
                <c:pt idx="400">
                  <c:v>0.89749999999999996</c:v>
                </c:pt>
                <c:pt idx="401">
                  <c:v>0.89739999999999998</c:v>
                </c:pt>
                <c:pt idx="402">
                  <c:v>0.89659999999999995</c:v>
                </c:pt>
                <c:pt idx="403">
                  <c:v>0.90059999999999996</c:v>
                </c:pt>
                <c:pt idx="404">
                  <c:v>0.89939999999999998</c:v>
                </c:pt>
                <c:pt idx="405">
                  <c:v>0.90180000000000005</c:v>
                </c:pt>
                <c:pt idx="406">
                  <c:v>0.90349999999999997</c:v>
                </c:pt>
                <c:pt idx="407">
                  <c:v>0.90529999999999999</c:v>
                </c:pt>
                <c:pt idx="408">
                  <c:v>0.90280000000000005</c:v>
                </c:pt>
                <c:pt idx="409">
                  <c:v>0.90290000000000004</c:v>
                </c:pt>
                <c:pt idx="410">
                  <c:v>0.89849999999999997</c:v>
                </c:pt>
                <c:pt idx="411">
                  <c:v>0.90210000000000001</c:v>
                </c:pt>
                <c:pt idx="412">
                  <c:v>0.90390000000000004</c:v>
                </c:pt>
                <c:pt idx="413">
                  <c:v>0.89439999999999997</c:v>
                </c:pt>
                <c:pt idx="414">
                  <c:v>0.89429999999999998</c:v>
                </c:pt>
                <c:pt idx="415">
                  <c:v>0.89559999999999995</c:v>
                </c:pt>
                <c:pt idx="416">
                  <c:v>0.89580000000000004</c:v>
                </c:pt>
                <c:pt idx="417">
                  <c:v>0.89459999999999995</c:v>
                </c:pt>
                <c:pt idx="418">
                  <c:v>0.8931</c:v>
                </c:pt>
                <c:pt idx="419">
                  <c:v>0.8911</c:v>
                </c:pt>
                <c:pt idx="420">
                  <c:v>0.87419999999999998</c:v>
                </c:pt>
                <c:pt idx="421">
                  <c:v>0.87480000000000002</c:v>
                </c:pt>
                <c:pt idx="422">
                  <c:v>0.87539999999999996</c:v>
                </c:pt>
                <c:pt idx="423">
                  <c:v>0.87539999999999996</c:v>
                </c:pt>
                <c:pt idx="424">
                  <c:v>0.88019999999999998</c:v>
                </c:pt>
                <c:pt idx="425">
                  <c:v>0.87380000000000002</c:v>
                </c:pt>
                <c:pt idx="426">
                  <c:v>0.87770000000000004</c:v>
                </c:pt>
                <c:pt idx="427">
                  <c:v>0.87260000000000004</c:v>
                </c:pt>
                <c:pt idx="428">
                  <c:v>0.86960000000000004</c:v>
                </c:pt>
                <c:pt idx="429">
                  <c:v>0.86819999999999997</c:v>
                </c:pt>
                <c:pt idx="430">
                  <c:v>0.86819999999999997</c:v>
                </c:pt>
                <c:pt idx="431">
                  <c:v>0.87590000000000001</c:v>
                </c:pt>
                <c:pt idx="432">
                  <c:v>0.88429999999999997</c:v>
                </c:pt>
                <c:pt idx="433">
                  <c:v>0.88070000000000004</c:v>
                </c:pt>
                <c:pt idx="434">
                  <c:v>0.88019999999999998</c:v>
                </c:pt>
                <c:pt idx="435">
                  <c:v>0.87719999999999998</c:v>
                </c:pt>
                <c:pt idx="436">
                  <c:v>0.87780000000000002</c:v>
                </c:pt>
                <c:pt idx="437">
                  <c:v>0.878</c:v>
                </c:pt>
                <c:pt idx="438">
                  <c:v>0.88190000000000002</c:v>
                </c:pt>
                <c:pt idx="439">
                  <c:v>0.89019999999999999</c:v>
                </c:pt>
                <c:pt idx="440">
                  <c:v>0.89590000000000003</c:v>
                </c:pt>
                <c:pt idx="441">
                  <c:v>0.90459999999999996</c:v>
                </c:pt>
                <c:pt idx="442">
                  <c:v>0.90139999999999998</c:v>
                </c:pt>
                <c:pt idx="443">
                  <c:v>0.89939999999999998</c:v>
                </c:pt>
                <c:pt idx="444">
                  <c:v>0.89939999999999998</c:v>
                </c:pt>
                <c:pt idx="445">
                  <c:v>0.88939999999999997</c:v>
                </c:pt>
                <c:pt idx="446">
                  <c:v>0.88880000000000003</c:v>
                </c:pt>
                <c:pt idx="447">
                  <c:v>0.89170000000000005</c:v>
                </c:pt>
                <c:pt idx="448">
                  <c:v>0.89659999999999995</c:v>
                </c:pt>
                <c:pt idx="449">
                  <c:v>0.89649999999999996</c:v>
                </c:pt>
                <c:pt idx="450">
                  <c:v>0.89449999999999996</c:v>
                </c:pt>
                <c:pt idx="451">
                  <c:v>0.89429999999999998</c:v>
                </c:pt>
                <c:pt idx="452">
                  <c:v>0.89090000000000003</c:v>
                </c:pt>
                <c:pt idx="453">
                  <c:v>0.88900000000000001</c:v>
                </c:pt>
                <c:pt idx="454">
                  <c:v>0.89100000000000001</c:v>
                </c:pt>
                <c:pt idx="455">
                  <c:v>0.8921</c:v>
                </c:pt>
                <c:pt idx="456">
                  <c:v>0.88539999999999996</c:v>
                </c:pt>
                <c:pt idx="457">
                  <c:v>0.88670000000000004</c:v>
                </c:pt>
                <c:pt idx="458">
                  <c:v>0.88670000000000004</c:v>
                </c:pt>
                <c:pt idx="459">
                  <c:v>0.88849999999999996</c:v>
                </c:pt>
                <c:pt idx="460">
                  <c:v>0.89100000000000001</c:v>
                </c:pt>
                <c:pt idx="461">
                  <c:v>0.89190000000000003</c:v>
                </c:pt>
                <c:pt idx="462">
                  <c:v>0.89300000000000002</c:v>
                </c:pt>
                <c:pt idx="463">
                  <c:v>0.89219999999999999</c:v>
                </c:pt>
                <c:pt idx="464">
                  <c:v>0.89190000000000003</c:v>
                </c:pt>
                <c:pt idx="465">
                  <c:v>0.89190000000000003</c:v>
                </c:pt>
                <c:pt idx="466">
                  <c:v>0.88600000000000001</c:v>
                </c:pt>
                <c:pt idx="467">
                  <c:v>0.88419999999999999</c:v>
                </c:pt>
                <c:pt idx="468">
                  <c:v>0.89180000000000004</c:v>
                </c:pt>
                <c:pt idx="469">
                  <c:v>0.89380000000000004</c:v>
                </c:pt>
                <c:pt idx="470">
                  <c:v>0.8952</c:v>
                </c:pt>
                <c:pt idx="471">
                  <c:v>0.89570000000000005</c:v>
                </c:pt>
                <c:pt idx="472">
                  <c:v>0.89559999999999995</c:v>
                </c:pt>
                <c:pt idx="473">
                  <c:v>0.89259999999999995</c:v>
                </c:pt>
                <c:pt idx="474">
                  <c:v>0.90449999999999997</c:v>
                </c:pt>
                <c:pt idx="475">
                  <c:v>0.91439999999999999</c:v>
                </c:pt>
                <c:pt idx="476">
                  <c:v>0.90910000000000002</c:v>
                </c:pt>
                <c:pt idx="477">
                  <c:v>0.91020000000000001</c:v>
                </c:pt>
                <c:pt idx="478">
                  <c:v>0.91010000000000002</c:v>
                </c:pt>
                <c:pt idx="479">
                  <c:v>0.91020000000000001</c:v>
                </c:pt>
                <c:pt idx="480">
                  <c:v>0.90620000000000001</c:v>
                </c:pt>
                <c:pt idx="481">
                  <c:v>0.90349999999999997</c:v>
                </c:pt>
                <c:pt idx="482">
                  <c:v>0.91290000000000004</c:v>
                </c:pt>
                <c:pt idx="483">
                  <c:v>0.91139999999999999</c:v>
                </c:pt>
                <c:pt idx="484">
                  <c:v>0.91200000000000003</c:v>
                </c:pt>
                <c:pt idx="485">
                  <c:v>0.91069999999999995</c:v>
                </c:pt>
                <c:pt idx="486">
                  <c:v>0.91080000000000005</c:v>
                </c:pt>
                <c:pt idx="487">
                  <c:v>0.9083</c:v>
                </c:pt>
                <c:pt idx="488">
                  <c:v>0.9083</c:v>
                </c:pt>
                <c:pt idx="489">
                  <c:v>0.91190000000000004</c:v>
                </c:pt>
                <c:pt idx="490">
                  <c:v>0.91949999999999998</c:v>
                </c:pt>
                <c:pt idx="491">
                  <c:v>0.91659999999999997</c:v>
                </c:pt>
                <c:pt idx="492">
                  <c:v>0.91669999999999996</c:v>
                </c:pt>
                <c:pt idx="493">
                  <c:v>0.91639999999999999</c:v>
                </c:pt>
                <c:pt idx="494">
                  <c:v>0.92290000000000005</c:v>
                </c:pt>
                <c:pt idx="495">
                  <c:v>0.93289999999999995</c:v>
                </c:pt>
                <c:pt idx="496">
                  <c:v>0.94430000000000003</c:v>
                </c:pt>
                <c:pt idx="497">
                  <c:v>0.93669999999999998</c:v>
                </c:pt>
                <c:pt idx="498">
                  <c:v>0.93689999999999996</c:v>
                </c:pt>
                <c:pt idx="499">
                  <c:v>0.93679999999999997</c:v>
                </c:pt>
                <c:pt idx="500">
                  <c:v>0.93689999999999996</c:v>
                </c:pt>
                <c:pt idx="501">
                  <c:v>0.93079999999999996</c:v>
                </c:pt>
                <c:pt idx="502">
                  <c:v>0.93659999999999999</c:v>
                </c:pt>
                <c:pt idx="503">
                  <c:v>0.93030000000000002</c:v>
                </c:pt>
                <c:pt idx="504">
                  <c:v>0.9365</c:v>
                </c:pt>
                <c:pt idx="505">
                  <c:v>0.93679999999999997</c:v>
                </c:pt>
                <c:pt idx="506">
                  <c:v>0.93830000000000002</c:v>
                </c:pt>
                <c:pt idx="507">
                  <c:v>0.93779999999999997</c:v>
                </c:pt>
                <c:pt idx="508">
                  <c:v>0.94550000000000001</c:v>
                </c:pt>
                <c:pt idx="509">
                  <c:v>0.95240000000000002</c:v>
                </c:pt>
                <c:pt idx="510">
                  <c:v>0.94979999999999998</c:v>
                </c:pt>
                <c:pt idx="511">
                  <c:v>0.95150000000000001</c:v>
                </c:pt>
                <c:pt idx="512">
                  <c:v>0.94669999999999999</c:v>
                </c:pt>
                <c:pt idx="513">
                  <c:v>0.94359999999999999</c:v>
                </c:pt>
                <c:pt idx="514">
                  <c:v>0.94379999999999997</c:v>
                </c:pt>
                <c:pt idx="515">
                  <c:v>0.94550000000000001</c:v>
                </c:pt>
                <c:pt idx="516">
                  <c:v>0.9466</c:v>
                </c:pt>
                <c:pt idx="517">
                  <c:v>0.94740000000000002</c:v>
                </c:pt>
                <c:pt idx="518">
                  <c:v>0.95409999999999995</c:v>
                </c:pt>
                <c:pt idx="519">
                  <c:v>0.95979999999999999</c:v>
                </c:pt>
                <c:pt idx="520">
                  <c:v>0.95830000000000004</c:v>
                </c:pt>
                <c:pt idx="521">
                  <c:v>0.95830000000000004</c:v>
                </c:pt>
                <c:pt idx="522">
                  <c:v>0.96189999999999998</c:v>
                </c:pt>
                <c:pt idx="523">
                  <c:v>0.96440000000000003</c:v>
                </c:pt>
                <c:pt idx="524">
                  <c:v>0.97</c:v>
                </c:pt>
                <c:pt idx="525">
                  <c:v>0.96530000000000005</c:v>
                </c:pt>
                <c:pt idx="526">
                  <c:v>0.96589999999999998</c:v>
                </c:pt>
                <c:pt idx="527">
                  <c:v>0.9677</c:v>
                </c:pt>
                <c:pt idx="528">
                  <c:v>0.9677</c:v>
                </c:pt>
                <c:pt idx="529">
                  <c:v>0.96130000000000004</c:v>
                </c:pt>
                <c:pt idx="530">
                  <c:v>0.95440000000000003</c:v>
                </c:pt>
                <c:pt idx="531">
                  <c:v>0.95399999999999996</c:v>
                </c:pt>
                <c:pt idx="532">
                  <c:v>0.95130000000000003</c:v>
                </c:pt>
                <c:pt idx="533">
                  <c:v>0.9446</c:v>
                </c:pt>
                <c:pt idx="534">
                  <c:v>0.94669999999999999</c:v>
                </c:pt>
                <c:pt idx="535">
                  <c:v>0.94669999999999999</c:v>
                </c:pt>
                <c:pt idx="536">
                  <c:v>0.94550000000000001</c:v>
                </c:pt>
                <c:pt idx="537">
                  <c:v>0.94430000000000003</c:v>
                </c:pt>
                <c:pt idx="538">
                  <c:v>0.94220000000000004</c:v>
                </c:pt>
                <c:pt idx="539">
                  <c:v>0.94350000000000001</c:v>
                </c:pt>
                <c:pt idx="540">
                  <c:v>0.94410000000000005</c:v>
                </c:pt>
                <c:pt idx="541">
                  <c:v>0.94330000000000003</c:v>
                </c:pt>
                <c:pt idx="542">
                  <c:v>0.94330000000000003</c:v>
                </c:pt>
                <c:pt idx="543">
                  <c:v>0.93979999999999997</c:v>
                </c:pt>
                <c:pt idx="544">
                  <c:v>0.93810000000000004</c:v>
                </c:pt>
                <c:pt idx="545">
                  <c:v>0.93959999999999999</c:v>
                </c:pt>
                <c:pt idx="546">
                  <c:v>0.93159999999999998</c:v>
                </c:pt>
                <c:pt idx="547">
                  <c:v>0.93</c:v>
                </c:pt>
                <c:pt idx="548">
                  <c:v>0.93140000000000001</c:v>
                </c:pt>
                <c:pt idx="549">
                  <c:v>0.93140000000000001</c:v>
                </c:pt>
                <c:pt idx="550">
                  <c:v>0.93559999999999999</c:v>
                </c:pt>
                <c:pt idx="551">
                  <c:v>0.93630000000000002</c:v>
                </c:pt>
                <c:pt idx="552">
                  <c:v>0.93820000000000003</c:v>
                </c:pt>
                <c:pt idx="553">
                  <c:v>0.94189999999999996</c:v>
                </c:pt>
                <c:pt idx="554">
                  <c:v>0.94010000000000005</c:v>
                </c:pt>
                <c:pt idx="555">
                  <c:v>0.93969999999999998</c:v>
                </c:pt>
                <c:pt idx="556">
                  <c:v>0.93969999999999998</c:v>
                </c:pt>
                <c:pt idx="557">
                  <c:v>0.94440000000000002</c:v>
                </c:pt>
                <c:pt idx="558">
                  <c:v>0.94950000000000001</c:v>
                </c:pt>
                <c:pt idx="559">
                  <c:v>0.93540000000000001</c:v>
                </c:pt>
                <c:pt idx="560">
                  <c:v>0.93169999999999997</c:v>
                </c:pt>
                <c:pt idx="561">
                  <c:v>0.93259999999999998</c:v>
                </c:pt>
                <c:pt idx="562">
                  <c:v>0.92420000000000002</c:v>
                </c:pt>
                <c:pt idx="563">
                  <c:v>0.92420000000000002</c:v>
                </c:pt>
                <c:pt idx="564">
                  <c:v>0.92669999999999997</c:v>
                </c:pt>
                <c:pt idx="565">
                  <c:v>0.93379999999999996</c:v>
                </c:pt>
                <c:pt idx="566">
                  <c:v>0.92979999999999996</c:v>
                </c:pt>
                <c:pt idx="567">
                  <c:v>0.92279999999999995</c:v>
                </c:pt>
                <c:pt idx="568">
                  <c:v>0.91869999999999996</c:v>
                </c:pt>
                <c:pt idx="569">
                  <c:v>0.91810000000000003</c:v>
                </c:pt>
                <c:pt idx="570">
                  <c:v>0.91810000000000003</c:v>
                </c:pt>
                <c:pt idx="571">
                  <c:v>0.91249999999999998</c:v>
                </c:pt>
                <c:pt idx="572">
                  <c:v>0.91669999999999996</c:v>
                </c:pt>
                <c:pt idx="573">
                  <c:v>0.90500000000000003</c:v>
                </c:pt>
                <c:pt idx="574">
                  <c:v>0.9</c:v>
                </c:pt>
                <c:pt idx="575">
                  <c:v>0.89339999999999997</c:v>
                </c:pt>
                <c:pt idx="576">
                  <c:v>0.88980000000000004</c:v>
                </c:pt>
                <c:pt idx="577">
                  <c:v>0.88980000000000004</c:v>
                </c:pt>
                <c:pt idx="578">
                  <c:v>0.89200000000000002</c:v>
                </c:pt>
                <c:pt idx="579">
                  <c:v>0.8952</c:v>
                </c:pt>
                <c:pt idx="580">
                  <c:v>0.89249999999999996</c:v>
                </c:pt>
                <c:pt idx="581">
                  <c:v>0.90090000000000003</c:v>
                </c:pt>
                <c:pt idx="582">
                  <c:v>0.90259999999999996</c:v>
                </c:pt>
                <c:pt idx="583">
                  <c:v>0.9022</c:v>
                </c:pt>
                <c:pt idx="584">
                  <c:v>0.9022</c:v>
                </c:pt>
                <c:pt idx="585">
                  <c:v>0.90239999999999998</c:v>
                </c:pt>
                <c:pt idx="586">
                  <c:v>0.89670000000000005</c:v>
                </c:pt>
                <c:pt idx="587">
                  <c:v>0.90639999999999998</c:v>
                </c:pt>
                <c:pt idx="588">
                  <c:v>0.91159999999999997</c:v>
                </c:pt>
                <c:pt idx="589">
                  <c:v>0.92010000000000003</c:v>
                </c:pt>
                <c:pt idx="590">
                  <c:v>0.91820000000000002</c:v>
                </c:pt>
                <c:pt idx="591">
                  <c:v>0.91820000000000002</c:v>
                </c:pt>
                <c:pt idx="592">
                  <c:v>0.91249999999999998</c:v>
                </c:pt>
                <c:pt idx="593">
                  <c:v>0.91449999999999998</c:v>
                </c:pt>
                <c:pt idx="594">
                  <c:v>0.90959999999999996</c:v>
                </c:pt>
                <c:pt idx="595">
                  <c:v>0.91110000000000002</c:v>
                </c:pt>
                <c:pt idx="596">
                  <c:v>0.91849999999999998</c:v>
                </c:pt>
                <c:pt idx="597">
                  <c:v>0.91990000000000005</c:v>
                </c:pt>
                <c:pt idx="598">
                  <c:v>0.91990000000000005</c:v>
                </c:pt>
                <c:pt idx="599">
                  <c:v>0.91020000000000001</c:v>
                </c:pt>
                <c:pt idx="600">
                  <c:v>0.90010000000000001</c:v>
                </c:pt>
                <c:pt idx="601">
                  <c:v>0.89880000000000004</c:v>
                </c:pt>
                <c:pt idx="602">
                  <c:v>0.89100000000000001</c:v>
                </c:pt>
                <c:pt idx="603">
                  <c:v>0.89</c:v>
                </c:pt>
                <c:pt idx="604">
                  <c:v>0.8901</c:v>
                </c:pt>
                <c:pt idx="605">
                  <c:v>0.8901</c:v>
                </c:pt>
                <c:pt idx="606">
                  <c:v>0.89239999999999997</c:v>
                </c:pt>
                <c:pt idx="607">
                  <c:v>0.89810000000000001</c:v>
                </c:pt>
                <c:pt idx="608">
                  <c:v>0.90690000000000004</c:v>
                </c:pt>
                <c:pt idx="609">
                  <c:v>0.91859999999999997</c:v>
                </c:pt>
                <c:pt idx="610">
                  <c:v>0.92630000000000001</c:v>
                </c:pt>
                <c:pt idx="611">
                  <c:v>0.92600000000000005</c:v>
                </c:pt>
                <c:pt idx="612">
                  <c:v>0.92600000000000005</c:v>
                </c:pt>
                <c:pt idx="613">
                  <c:v>0.92320000000000002</c:v>
                </c:pt>
                <c:pt idx="614">
                  <c:v>0.91279999999999994</c:v>
                </c:pt>
                <c:pt idx="615">
                  <c:v>0.92930000000000001</c:v>
                </c:pt>
                <c:pt idx="616">
                  <c:v>0.92620000000000002</c:v>
                </c:pt>
                <c:pt idx="617">
                  <c:v>0.92200000000000004</c:v>
                </c:pt>
                <c:pt idx="618">
                  <c:v>0.91710000000000003</c:v>
                </c:pt>
                <c:pt idx="619">
                  <c:v>0.91710000000000003</c:v>
                </c:pt>
                <c:pt idx="620">
                  <c:v>0.91810000000000003</c:v>
                </c:pt>
                <c:pt idx="621">
                  <c:v>0.92279999999999995</c:v>
                </c:pt>
                <c:pt idx="622">
                  <c:v>0.92479999999999996</c:v>
                </c:pt>
                <c:pt idx="623">
                  <c:v>0.90880000000000005</c:v>
                </c:pt>
                <c:pt idx="624">
                  <c:v>0.9093</c:v>
                </c:pt>
                <c:pt idx="625">
                  <c:v>0.90449999999999997</c:v>
                </c:pt>
                <c:pt idx="626">
                  <c:v>0.90449999999999997</c:v>
                </c:pt>
                <c:pt idx="627">
                  <c:v>0.91710000000000003</c:v>
                </c:pt>
                <c:pt idx="628">
                  <c:v>0.92789999999999995</c:v>
                </c:pt>
                <c:pt idx="629">
                  <c:v>0.91439999999999999</c:v>
                </c:pt>
                <c:pt idx="630">
                  <c:v>0.91159999999999997</c:v>
                </c:pt>
                <c:pt idx="631">
                  <c:v>0.90349999999999997</c:v>
                </c:pt>
                <c:pt idx="632">
                  <c:v>0.90669999999999995</c:v>
                </c:pt>
                <c:pt idx="633">
                  <c:v>0.90669999999999995</c:v>
                </c:pt>
                <c:pt idx="634">
                  <c:v>0.91410000000000002</c:v>
                </c:pt>
                <c:pt idx="635">
                  <c:v>0.91180000000000005</c:v>
                </c:pt>
                <c:pt idx="636">
                  <c:v>0.91400000000000003</c:v>
                </c:pt>
                <c:pt idx="637">
                  <c:v>0.92379999999999995</c:v>
                </c:pt>
                <c:pt idx="638">
                  <c:v>0.9143</c:v>
                </c:pt>
                <c:pt idx="639">
                  <c:v>0.91400000000000003</c:v>
                </c:pt>
                <c:pt idx="640">
                  <c:v>0.91459999999999997</c:v>
                </c:pt>
                <c:pt idx="641">
                  <c:v>0.92600000000000005</c:v>
                </c:pt>
                <c:pt idx="642">
                  <c:v>0.92900000000000005</c:v>
                </c:pt>
                <c:pt idx="643">
                  <c:v>0.92420000000000002</c:v>
                </c:pt>
                <c:pt idx="644">
                  <c:v>0.92730000000000001</c:v>
                </c:pt>
                <c:pt idx="645">
                  <c:v>0.92510000000000003</c:v>
                </c:pt>
                <c:pt idx="646">
                  <c:v>0.92169999999999996</c:v>
                </c:pt>
                <c:pt idx="647">
                  <c:v>0.92169999999999996</c:v>
                </c:pt>
                <c:pt idx="648">
                  <c:v>0.91920000000000002</c:v>
                </c:pt>
                <c:pt idx="649">
                  <c:v>0.92869999999999997</c:v>
                </c:pt>
                <c:pt idx="650">
                  <c:v>0.94650000000000001</c:v>
                </c:pt>
                <c:pt idx="651">
                  <c:v>0.95540000000000003</c:v>
                </c:pt>
                <c:pt idx="652">
                  <c:v>0.95709999999999995</c:v>
                </c:pt>
                <c:pt idx="653">
                  <c:v>0.95669999999999999</c:v>
                </c:pt>
                <c:pt idx="654">
                  <c:v>0.95669999999999999</c:v>
                </c:pt>
                <c:pt idx="655">
                  <c:v>0.96079999999999999</c:v>
                </c:pt>
                <c:pt idx="656">
                  <c:v>0.94720000000000004</c:v>
                </c:pt>
                <c:pt idx="657">
                  <c:v>0.94510000000000005</c:v>
                </c:pt>
                <c:pt idx="658">
                  <c:v>0.94599999999999995</c:v>
                </c:pt>
                <c:pt idx="659">
                  <c:v>0.94259999999999999</c:v>
                </c:pt>
                <c:pt idx="660">
                  <c:v>0.94940000000000002</c:v>
                </c:pt>
                <c:pt idx="661">
                  <c:v>0.94940000000000002</c:v>
                </c:pt>
                <c:pt idx="662">
                  <c:v>0.95630000000000004</c:v>
                </c:pt>
                <c:pt idx="663">
                  <c:v>0.95209999999999995</c:v>
                </c:pt>
                <c:pt idx="664">
                  <c:v>0.96499999999999997</c:v>
                </c:pt>
                <c:pt idx="665">
                  <c:v>0.97509999999999997</c:v>
                </c:pt>
                <c:pt idx="666">
                  <c:v>0.9627</c:v>
                </c:pt>
                <c:pt idx="667">
                  <c:v>0.95689999999999997</c:v>
                </c:pt>
                <c:pt idx="668">
                  <c:v>0.95689999999999997</c:v>
                </c:pt>
                <c:pt idx="669">
                  <c:v>0.96660000000000001</c:v>
                </c:pt>
                <c:pt idx="670">
                  <c:v>0.96340000000000003</c:v>
                </c:pt>
                <c:pt idx="671">
                  <c:v>0.95660000000000001</c:v>
                </c:pt>
                <c:pt idx="672">
                  <c:v>0.96299999999999997</c:v>
                </c:pt>
                <c:pt idx="673">
                  <c:v>0.96350000000000002</c:v>
                </c:pt>
                <c:pt idx="674">
                  <c:v>0.9647</c:v>
                </c:pt>
                <c:pt idx="675">
                  <c:v>0.9647</c:v>
                </c:pt>
                <c:pt idx="676">
                  <c:v>0.97440000000000004</c:v>
                </c:pt>
                <c:pt idx="677">
                  <c:v>0.96699999999999997</c:v>
                </c:pt>
                <c:pt idx="678">
                  <c:v>0.9819</c:v>
                </c:pt>
                <c:pt idx="679">
                  <c:v>0.98129999999999995</c:v>
                </c:pt>
                <c:pt idx="680">
                  <c:v>0.97650000000000003</c:v>
                </c:pt>
                <c:pt idx="681">
                  <c:v>0.97289999999999999</c:v>
                </c:pt>
                <c:pt idx="682">
                  <c:v>0.97289999999999999</c:v>
                </c:pt>
                <c:pt idx="683">
                  <c:v>0.98240000000000005</c:v>
                </c:pt>
                <c:pt idx="684">
                  <c:v>0.98980000000000001</c:v>
                </c:pt>
                <c:pt idx="685">
                  <c:v>0.99129999999999996</c:v>
                </c:pt>
                <c:pt idx="686">
                  <c:v>0.997</c:v>
                </c:pt>
                <c:pt idx="687">
                  <c:v>0.99819999999999998</c:v>
                </c:pt>
                <c:pt idx="688">
                  <c:v>1.002</c:v>
                </c:pt>
                <c:pt idx="689">
                  <c:v>1.002</c:v>
                </c:pt>
                <c:pt idx="690">
                  <c:v>1.0075000000000001</c:v>
                </c:pt>
                <c:pt idx="691">
                  <c:v>1.0187999999999999</c:v>
                </c:pt>
                <c:pt idx="692">
                  <c:v>1.0173000000000001</c:v>
                </c:pt>
                <c:pt idx="693">
                  <c:v>1.024</c:v>
                </c:pt>
                <c:pt idx="694">
                  <c:v>1.0298</c:v>
                </c:pt>
                <c:pt idx="695">
                  <c:v>1.0316000000000001</c:v>
                </c:pt>
                <c:pt idx="696">
                  <c:v>1.0316000000000001</c:v>
                </c:pt>
                <c:pt idx="697">
                  <c:v>1.0256000000000001</c:v>
                </c:pt>
                <c:pt idx="698">
                  <c:v>1.0277000000000001</c:v>
                </c:pt>
                <c:pt idx="699">
                  <c:v>1.0367999999999999</c:v>
                </c:pt>
                <c:pt idx="700">
                  <c:v>1.034</c:v>
                </c:pt>
                <c:pt idx="701">
                  <c:v>1.0285</c:v>
                </c:pt>
                <c:pt idx="702">
                  <c:v>1.0278</c:v>
                </c:pt>
                <c:pt idx="703">
                  <c:v>1.0278</c:v>
                </c:pt>
                <c:pt idx="704">
                  <c:v>1.0290999999999999</c:v>
                </c:pt>
                <c:pt idx="705">
                  <c:v>1.0275000000000001</c:v>
                </c:pt>
                <c:pt idx="706">
                  <c:v>1.0268999999999999</c:v>
                </c:pt>
                <c:pt idx="707">
                  <c:v>1.0259</c:v>
                </c:pt>
                <c:pt idx="708">
                  <c:v>1.0268999999999999</c:v>
                </c:pt>
                <c:pt idx="709">
                  <c:v>1.0275000000000001</c:v>
                </c:pt>
                <c:pt idx="710">
                  <c:v>1.0275000000000001</c:v>
                </c:pt>
                <c:pt idx="711">
                  <c:v>1.0293000000000001</c:v>
                </c:pt>
                <c:pt idx="712">
                  <c:v>1.0301</c:v>
                </c:pt>
                <c:pt idx="713">
                  <c:v>1.0381</c:v>
                </c:pt>
                <c:pt idx="714">
                  <c:v>1.0336000000000001</c:v>
                </c:pt>
                <c:pt idx="715">
                  <c:v>1.0510999999999999</c:v>
                </c:pt>
                <c:pt idx="716">
                  <c:v>1.0502</c:v>
                </c:pt>
                <c:pt idx="717">
                  <c:v>1.0502</c:v>
                </c:pt>
                <c:pt idx="718">
                  <c:v>1.0543</c:v>
                </c:pt>
                <c:pt idx="719">
                  <c:v>1.054</c:v>
                </c:pt>
                <c:pt idx="720">
                  <c:v>1.0488999999999999</c:v>
                </c:pt>
                <c:pt idx="721">
                  <c:v>1.0419</c:v>
                </c:pt>
                <c:pt idx="722">
                  <c:v>1.0347999999999999</c:v>
                </c:pt>
                <c:pt idx="723">
                  <c:v>1.0418000000000001</c:v>
                </c:pt>
                <c:pt idx="724">
                  <c:v>1.038</c:v>
                </c:pt>
                <c:pt idx="725">
                  <c:v>1.0425</c:v>
                </c:pt>
                <c:pt idx="726">
                  <c:v>1.0451999999999999</c:v>
                </c:pt>
                <c:pt idx="727">
                  <c:v>1.0456000000000001</c:v>
                </c:pt>
                <c:pt idx="728">
                  <c:v>1.0436000000000001</c:v>
                </c:pt>
                <c:pt idx="729">
                  <c:v>1.0408999999999999</c:v>
                </c:pt>
                <c:pt idx="730">
                  <c:v>1.0409999999999999</c:v>
                </c:pt>
                <c:pt idx="731">
                  <c:v>1.0409999999999999</c:v>
                </c:pt>
                <c:pt idx="732">
                  <c:v>1.0418000000000001</c:v>
                </c:pt>
                <c:pt idx="733">
                  <c:v>1.0448</c:v>
                </c:pt>
                <c:pt idx="734">
                  <c:v>1.0471999999999999</c:v>
                </c:pt>
                <c:pt idx="735">
                  <c:v>1.0461</c:v>
                </c:pt>
                <c:pt idx="736">
                  <c:v>1.046</c:v>
                </c:pt>
                <c:pt idx="737">
                  <c:v>1.0442</c:v>
                </c:pt>
                <c:pt idx="738">
                  <c:v>1.0442</c:v>
                </c:pt>
                <c:pt idx="739">
                  <c:v>1.0438000000000001</c:v>
                </c:pt>
                <c:pt idx="740">
                  <c:v>1.0375000000000001</c:v>
                </c:pt>
                <c:pt idx="741">
                  <c:v>1.0358000000000001</c:v>
                </c:pt>
                <c:pt idx="742">
                  <c:v>1.0394000000000001</c:v>
                </c:pt>
                <c:pt idx="743">
                  <c:v>1.0355000000000001</c:v>
                </c:pt>
                <c:pt idx="744">
                  <c:v>1.0406</c:v>
                </c:pt>
                <c:pt idx="745">
                  <c:v>1.0406</c:v>
                </c:pt>
                <c:pt idx="746">
                  <c:v>1.0382</c:v>
                </c:pt>
                <c:pt idx="747">
                  <c:v>1.0293000000000001</c:v>
                </c:pt>
                <c:pt idx="748">
                  <c:v>1.0327</c:v>
                </c:pt>
                <c:pt idx="749">
                  <c:v>1.0271999999999999</c:v>
                </c:pt>
                <c:pt idx="750">
                  <c:v>1.0217000000000001</c:v>
                </c:pt>
                <c:pt idx="751">
                  <c:v>1.0232000000000001</c:v>
                </c:pt>
                <c:pt idx="752">
                  <c:v>1.0255000000000001</c:v>
                </c:pt>
                <c:pt idx="753">
                  <c:v>1.0266999999999999</c:v>
                </c:pt>
                <c:pt idx="754">
                  <c:v>1.0230999999999999</c:v>
                </c:pt>
                <c:pt idx="755">
                  <c:v>1.0264</c:v>
                </c:pt>
                <c:pt idx="756">
                  <c:v>1.0198</c:v>
                </c:pt>
                <c:pt idx="757">
                  <c:v>1.0194000000000001</c:v>
                </c:pt>
                <c:pt idx="758">
                  <c:v>1.0203</c:v>
                </c:pt>
                <c:pt idx="759">
                  <c:v>1.0203</c:v>
                </c:pt>
                <c:pt idx="760">
                  <c:v>1.0213000000000001</c:v>
                </c:pt>
                <c:pt idx="761">
                  <c:v>1.0232000000000001</c:v>
                </c:pt>
                <c:pt idx="762">
                  <c:v>1.0226</c:v>
                </c:pt>
                <c:pt idx="763">
                  <c:v>1.0264</c:v>
                </c:pt>
                <c:pt idx="764">
                  <c:v>1.0293000000000001</c:v>
                </c:pt>
                <c:pt idx="765">
                  <c:v>1.0319</c:v>
                </c:pt>
                <c:pt idx="766">
                  <c:v>1.0313000000000001</c:v>
                </c:pt>
                <c:pt idx="767">
                  <c:v>1.0288999999999999</c:v>
                </c:pt>
                <c:pt idx="768">
                  <c:v>1.0245</c:v>
                </c:pt>
                <c:pt idx="769">
                  <c:v>1.0353000000000001</c:v>
                </c:pt>
                <c:pt idx="770">
                  <c:v>1.0319</c:v>
                </c:pt>
                <c:pt idx="771">
                  <c:v>1.0297000000000001</c:v>
                </c:pt>
                <c:pt idx="772">
                  <c:v>1.0302</c:v>
                </c:pt>
                <c:pt idx="773">
                  <c:v>1.0302</c:v>
                </c:pt>
                <c:pt idx="774">
                  <c:v>1.0345</c:v>
                </c:pt>
                <c:pt idx="775">
                  <c:v>1.0354000000000001</c:v>
                </c:pt>
                <c:pt idx="776">
                  <c:v>1.0314000000000001</c:v>
                </c:pt>
                <c:pt idx="777">
                  <c:v>1.0259</c:v>
                </c:pt>
                <c:pt idx="778">
                  <c:v>1.0321</c:v>
                </c:pt>
                <c:pt idx="779">
                  <c:v>1.0317000000000001</c:v>
                </c:pt>
                <c:pt idx="780">
                  <c:v>1.0317000000000001</c:v>
                </c:pt>
                <c:pt idx="781">
                  <c:v>1.0290999999999999</c:v>
                </c:pt>
                <c:pt idx="782">
                  <c:v>1.0318000000000001</c:v>
                </c:pt>
                <c:pt idx="783">
                  <c:v>1.0389999999999999</c:v>
                </c:pt>
                <c:pt idx="784">
                  <c:v>1.0441</c:v>
                </c:pt>
                <c:pt idx="785">
                  <c:v>1.0421</c:v>
                </c:pt>
                <c:pt idx="786">
                  <c:v>1.0405</c:v>
                </c:pt>
                <c:pt idx="787">
                  <c:v>1.0405</c:v>
                </c:pt>
                <c:pt idx="788">
                  <c:v>1.0434000000000001</c:v>
                </c:pt>
                <c:pt idx="789">
                  <c:v>1.0416000000000001</c:v>
                </c:pt>
                <c:pt idx="790">
                  <c:v>1.0461</c:v>
                </c:pt>
                <c:pt idx="791">
                  <c:v>1.0407</c:v>
                </c:pt>
                <c:pt idx="792">
                  <c:v>1.0409999999999999</c:v>
                </c:pt>
                <c:pt idx="793">
                  <c:v>1.0423</c:v>
                </c:pt>
                <c:pt idx="794">
                  <c:v>1.0423</c:v>
                </c:pt>
                <c:pt idx="795">
                  <c:v>1.0443</c:v>
                </c:pt>
                <c:pt idx="796">
                  <c:v>1.0536000000000001</c:v>
                </c:pt>
                <c:pt idx="797">
                  <c:v>1.0559000000000001</c:v>
                </c:pt>
                <c:pt idx="798">
                  <c:v>1.0513999999999999</c:v>
                </c:pt>
                <c:pt idx="799">
                  <c:v>1.0502</c:v>
                </c:pt>
                <c:pt idx="800">
                  <c:v>1.0503</c:v>
                </c:pt>
                <c:pt idx="801">
                  <c:v>1.0503</c:v>
                </c:pt>
                <c:pt idx="802">
                  <c:v>1.0544</c:v>
                </c:pt>
                <c:pt idx="803">
                  <c:v>1.0566</c:v>
                </c:pt>
                <c:pt idx="804">
                  <c:v>1.0570999999999999</c:v>
                </c:pt>
                <c:pt idx="805">
                  <c:v>1.0563</c:v>
                </c:pt>
                <c:pt idx="806">
                  <c:v>1.0533999999999999</c:v>
                </c:pt>
                <c:pt idx="807">
                  <c:v>1.0533999999999999</c:v>
                </c:pt>
                <c:pt idx="808">
                  <c:v>1.0533999999999999</c:v>
                </c:pt>
                <c:pt idx="809">
                  <c:v>1.0597000000000001</c:v>
                </c:pt>
                <c:pt idx="810">
                  <c:v>1.05</c:v>
                </c:pt>
                <c:pt idx="811">
                  <c:v>1.0502</c:v>
                </c:pt>
                <c:pt idx="812">
                  <c:v>1.0503</c:v>
                </c:pt>
                <c:pt idx="813">
                  <c:v>1.0495000000000001</c:v>
                </c:pt>
                <c:pt idx="814">
                  <c:v>1.0478000000000001</c:v>
                </c:pt>
                <c:pt idx="815">
                  <c:v>1.0478000000000001</c:v>
                </c:pt>
                <c:pt idx="816">
                  <c:v>1.0465</c:v>
                </c:pt>
                <c:pt idx="817">
                  <c:v>1.0503</c:v>
                </c:pt>
                <c:pt idx="818">
                  <c:v>1.0391999999999999</c:v>
                </c:pt>
                <c:pt idx="819">
                  <c:v>1.0390999999999999</c:v>
                </c:pt>
                <c:pt idx="820">
                  <c:v>1.0391999999999999</c:v>
                </c:pt>
                <c:pt idx="821">
                  <c:v>1.0370999999999999</c:v>
                </c:pt>
                <c:pt idx="822">
                  <c:v>1.0370999999999999</c:v>
                </c:pt>
                <c:pt idx="823">
                  <c:v>1.0376000000000001</c:v>
                </c:pt>
                <c:pt idx="824">
                  <c:v>1.0375000000000001</c:v>
                </c:pt>
                <c:pt idx="825">
                  <c:v>1.0371999999999999</c:v>
                </c:pt>
                <c:pt idx="826">
                  <c:v>1.0361</c:v>
                </c:pt>
                <c:pt idx="827">
                  <c:v>1.0401</c:v>
                </c:pt>
                <c:pt idx="828">
                  <c:v>1.0397000000000001</c:v>
                </c:pt>
                <c:pt idx="829">
                  <c:v>1.0403</c:v>
                </c:pt>
                <c:pt idx="830">
                  <c:v>1.0481</c:v>
                </c:pt>
                <c:pt idx="831">
                  <c:v>1.0475000000000001</c:v>
                </c:pt>
                <c:pt idx="832">
                  <c:v>1.0523</c:v>
                </c:pt>
                <c:pt idx="833">
                  <c:v>1.0545</c:v>
                </c:pt>
                <c:pt idx="834">
                  <c:v>1.0555000000000001</c:v>
                </c:pt>
                <c:pt idx="835">
                  <c:v>1.0565</c:v>
                </c:pt>
                <c:pt idx="836">
                  <c:v>1.0565</c:v>
                </c:pt>
                <c:pt idx="837">
                  <c:v>1.0529999999999999</c:v>
                </c:pt>
                <c:pt idx="838">
                  <c:v>1.0542</c:v>
                </c:pt>
                <c:pt idx="839">
                  <c:v>1.0537000000000001</c:v>
                </c:pt>
                <c:pt idx="840">
                  <c:v>1.0485</c:v>
                </c:pt>
                <c:pt idx="841">
                  <c:v>1.0479000000000001</c:v>
                </c:pt>
                <c:pt idx="842">
                  <c:v>1.0485</c:v>
                </c:pt>
                <c:pt idx="843">
                  <c:v>1.0492999999999999</c:v>
                </c:pt>
                <c:pt idx="844">
                  <c:v>1.0470999999999999</c:v>
                </c:pt>
                <c:pt idx="845">
                  <c:v>1.0443</c:v>
                </c:pt>
                <c:pt idx="846">
                  <c:v>1.0468</c:v>
                </c:pt>
                <c:pt idx="847">
                  <c:v>1.0432999999999999</c:v>
                </c:pt>
                <c:pt idx="848">
                  <c:v>1.0423</c:v>
                </c:pt>
                <c:pt idx="849">
                  <c:v>1.0426</c:v>
                </c:pt>
                <c:pt idx="850">
                  <c:v>1.0429999999999999</c:v>
                </c:pt>
                <c:pt idx="851">
                  <c:v>1.0427999999999999</c:v>
                </c:pt>
                <c:pt idx="852">
                  <c:v>1.0468999999999999</c:v>
                </c:pt>
                <c:pt idx="853">
                  <c:v>1.0442</c:v>
                </c:pt>
                <c:pt idx="854">
                  <c:v>1.0469999999999999</c:v>
                </c:pt>
                <c:pt idx="855">
                  <c:v>1.0455000000000001</c:v>
                </c:pt>
                <c:pt idx="856">
                  <c:v>1.0458000000000001</c:v>
                </c:pt>
                <c:pt idx="857">
                  <c:v>1.0458000000000001</c:v>
                </c:pt>
                <c:pt idx="858">
                  <c:v>1.0377000000000001</c:v>
                </c:pt>
                <c:pt idx="859">
                  <c:v>1.0371999999999999</c:v>
                </c:pt>
                <c:pt idx="860">
                  <c:v>1.0387999999999999</c:v>
                </c:pt>
                <c:pt idx="861">
                  <c:v>1.0402</c:v>
                </c:pt>
                <c:pt idx="862">
                  <c:v>1.036</c:v>
                </c:pt>
                <c:pt idx="863">
                  <c:v>1.0338000000000001</c:v>
                </c:pt>
                <c:pt idx="864">
                  <c:v>1.0338000000000001</c:v>
                </c:pt>
                <c:pt idx="865">
                  <c:v>1.0338000000000001</c:v>
                </c:pt>
                <c:pt idx="866">
                  <c:v>1.0364</c:v>
                </c:pt>
                <c:pt idx="867">
                  <c:v>1.0444</c:v>
                </c:pt>
                <c:pt idx="868">
                  <c:v>1.0423</c:v>
                </c:pt>
                <c:pt idx="869">
                  <c:v>1.0390999999999999</c:v>
                </c:pt>
                <c:pt idx="870">
                  <c:v>1.0386</c:v>
                </c:pt>
                <c:pt idx="871">
                  <c:v>1.0386</c:v>
                </c:pt>
                <c:pt idx="872">
                  <c:v>1.04</c:v>
                </c:pt>
                <c:pt idx="873">
                  <c:v>1.0402</c:v>
                </c:pt>
                <c:pt idx="874">
                  <c:v>1.0426</c:v>
                </c:pt>
                <c:pt idx="875">
                  <c:v>1.0375000000000001</c:v>
                </c:pt>
                <c:pt idx="876">
                  <c:v>1.0344</c:v>
                </c:pt>
                <c:pt idx="877">
                  <c:v>1.0336000000000001</c:v>
                </c:pt>
                <c:pt idx="878">
                  <c:v>1.0336000000000001</c:v>
                </c:pt>
                <c:pt idx="879">
                  <c:v>1.0399</c:v>
                </c:pt>
                <c:pt idx="880">
                  <c:v>1.0375000000000001</c:v>
                </c:pt>
                <c:pt idx="881">
                  <c:v>1.0365</c:v>
                </c:pt>
                <c:pt idx="882">
                  <c:v>1.0338000000000001</c:v>
                </c:pt>
                <c:pt idx="883">
                  <c:v>1.0348999999999999</c:v>
                </c:pt>
                <c:pt idx="884">
                  <c:v>1.0371999999999999</c:v>
                </c:pt>
                <c:pt idx="885">
                  <c:v>1.0371999999999999</c:v>
                </c:pt>
                <c:pt idx="886">
                  <c:v>1.0348999999999999</c:v>
                </c:pt>
                <c:pt idx="887">
                  <c:v>1.0344</c:v>
                </c:pt>
                <c:pt idx="888">
                  <c:v>1.0266</c:v>
                </c:pt>
                <c:pt idx="889">
                  <c:v>1.0335000000000001</c:v>
                </c:pt>
                <c:pt idx="890">
                  <c:v>1.0301</c:v>
                </c:pt>
                <c:pt idx="891">
                  <c:v>1.0325</c:v>
                </c:pt>
                <c:pt idx="892">
                  <c:v>1.0325</c:v>
                </c:pt>
                <c:pt idx="893">
                  <c:v>1.0373000000000001</c:v>
                </c:pt>
                <c:pt idx="894">
                  <c:v>1.0376000000000001</c:v>
                </c:pt>
                <c:pt idx="895">
                  <c:v>1.0310999999999999</c:v>
                </c:pt>
                <c:pt idx="896">
                  <c:v>1.0262</c:v>
                </c:pt>
                <c:pt idx="897">
                  <c:v>1.0219</c:v>
                </c:pt>
                <c:pt idx="898">
                  <c:v>1.0229999999999999</c:v>
                </c:pt>
                <c:pt idx="899">
                  <c:v>1.0229999999999999</c:v>
                </c:pt>
                <c:pt idx="900">
                  <c:v>1.0248999999999999</c:v>
                </c:pt>
                <c:pt idx="901">
                  <c:v>1.0218</c:v>
                </c:pt>
                <c:pt idx="902">
                  <c:v>1.0185</c:v>
                </c:pt>
                <c:pt idx="903">
                  <c:v>1.0206999999999999</c:v>
                </c:pt>
                <c:pt idx="904">
                  <c:v>1.0166999999999999</c:v>
                </c:pt>
                <c:pt idx="905">
                  <c:v>1.0183</c:v>
                </c:pt>
                <c:pt idx="906">
                  <c:v>1.0183</c:v>
                </c:pt>
                <c:pt idx="907">
                  <c:v>1.0239</c:v>
                </c:pt>
                <c:pt idx="908">
                  <c:v>1.0227999999999999</c:v>
                </c:pt>
                <c:pt idx="909">
                  <c:v>1.0251999999999999</c:v>
                </c:pt>
                <c:pt idx="910">
                  <c:v>1.0356000000000001</c:v>
                </c:pt>
                <c:pt idx="911">
                  <c:v>1.0353000000000001</c:v>
                </c:pt>
                <c:pt idx="912">
                  <c:v>1.038</c:v>
                </c:pt>
                <c:pt idx="913">
                  <c:v>1.038</c:v>
                </c:pt>
                <c:pt idx="914">
                  <c:v>1.0438000000000001</c:v>
                </c:pt>
                <c:pt idx="915">
                  <c:v>1.0371999999999999</c:v>
                </c:pt>
                <c:pt idx="916">
                  <c:v>1.0364</c:v>
                </c:pt>
                <c:pt idx="917">
                  <c:v>1.0425</c:v>
                </c:pt>
                <c:pt idx="918">
                  <c:v>1.0432999999999999</c:v>
                </c:pt>
                <c:pt idx="919">
                  <c:v>1.046</c:v>
                </c:pt>
                <c:pt idx="920">
                  <c:v>1.0461</c:v>
                </c:pt>
                <c:pt idx="921">
                  <c:v>1.0437000000000001</c:v>
                </c:pt>
                <c:pt idx="922">
                  <c:v>1.0467</c:v>
                </c:pt>
                <c:pt idx="923">
                  <c:v>1.0451999999999999</c:v>
                </c:pt>
                <c:pt idx="924">
                  <c:v>1.0474000000000001</c:v>
                </c:pt>
                <c:pt idx="925">
                  <c:v>1.0537000000000001</c:v>
                </c:pt>
                <c:pt idx="926">
                  <c:v>1.0568</c:v>
                </c:pt>
                <c:pt idx="927">
                  <c:v>1.0568</c:v>
                </c:pt>
                <c:pt idx="928">
                  <c:v>1.0535000000000001</c:v>
                </c:pt>
                <c:pt idx="929">
                  <c:v>1.0466</c:v>
                </c:pt>
                <c:pt idx="930">
                  <c:v>1.0430999999999999</c:v>
                </c:pt>
                <c:pt idx="931">
                  <c:v>1.0334000000000001</c:v>
                </c:pt>
                <c:pt idx="932">
                  <c:v>1.0366</c:v>
                </c:pt>
                <c:pt idx="933">
                  <c:v>1.0384</c:v>
                </c:pt>
                <c:pt idx="934">
                  <c:v>1.0384</c:v>
                </c:pt>
                <c:pt idx="935">
                  <c:v>1.0282</c:v>
                </c:pt>
                <c:pt idx="936">
                  <c:v>1.0192000000000001</c:v>
                </c:pt>
                <c:pt idx="937">
                  <c:v>1.0223</c:v>
                </c:pt>
                <c:pt idx="938">
                  <c:v>1.0246</c:v>
                </c:pt>
                <c:pt idx="939">
                  <c:v>1.0278</c:v>
                </c:pt>
                <c:pt idx="940">
                  <c:v>1.0319</c:v>
                </c:pt>
                <c:pt idx="941">
                  <c:v>1.0319</c:v>
                </c:pt>
                <c:pt idx="942">
                  <c:v>1.0287999999999999</c:v>
                </c:pt>
                <c:pt idx="943">
                  <c:v>1.0347999999999999</c:v>
                </c:pt>
                <c:pt idx="944">
                  <c:v>1.0376000000000001</c:v>
                </c:pt>
                <c:pt idx="945">
                  <c:v>1.0367999999999999</c:v>
                </c:pt>
                <c:pt idx="946">
                  <c:v>1.0416000000000001</c:v>
                </c:pt>
                <c:pt idx="947">
                  <c:v>1.0402</c:v>
                </c:pt>
                <c:pt idx="948">
                  <c:v>1.0402</c:v>
                </c:pt>
                <c:pt idx="949">
                  <c:v>1.044</c:v>
                </c:pt>
                <c:pt idx="950">
                  <c:v>1.0503</c:v>
                </c:pt>
                <c:pt idx="951">
                  <c:v>1.0483</c:v>
                </c:pt>
                <c:pt idx="952">
                  <c:v>1.0443</c:v>
                </c:pt>
                <c:pt idx="953">
                  <c:v>1.0435000000000001</c:v>
                </c:pt>
                <c:pt idx="954">
                  <c:v>1.0418000000000001</c:v>
                </c:pt>
                <c:pt idx="955">
                  <c:v>1.0418000000000001</c:v>
                </c:pt>
                <c:pt idx="956">
                  <c:v>1.0508999999999999</c:v>
                </c:pt>
                <c:pt idx="957">
                  <c:v>1.0503</c:v>
                </c:pt>
                <c:pt idx="958">
                  <c:v>1.0488</c:v>
                </c:pt>
                <c:pt idx="959">
                  <c:v>1.0516000000000001</c:v>
                </c:pt>
                <c:pt idx="960">
                  <c:v>1.0556000000000001</c:v>
                </c:pt>
                <c:pt idx="961">
                  <c:v>1.0576000000000001</c:v>
                </c:pt>
                <c:pt idx="962">
                  <c:v>1.0576000000000001</c:v>
                </c:pt>
                <c:pt idx="963">
                  <c:v>1.0579000000000001</c:v>
                </c:pt>
                <c:pt idx="964">
                  <c:v>1.0571999999999999</c:v>
                </c:pt>
                <c:pt idx="965">
                  <c:v>1.0552999999999999</c:v>
                </c:pt>
                <c:pt idx="966">
                  <c:v>1.0567</c:v>
                </c:pt>
                <c:pt idx="967">
                  <c:v>1.0555000000000001</c:v>
                </c:pt>
                <c:pt idx="968">
                  <c:v>1.0566</c:v>
                </c:pt>
                <c:pt idx="969">
                  <c:v>1.0566</c:v>
                </c:pt>
                <c:pt idx="970">
                  <c:v>1.0462</c:v>
                </c:pt>
                <c:pt idx="971">
                  <c:v>1.0459000000000001</c:v>
                </c:pt>
                <c:pt idx="972">
                  <c:v>1.0502</c:v>
                </c:pt>
                <c:pt idx="973">
                  <c:v>1.0498000000000001</c:v>
                </c:pt>
                <c:pt idx="974">
                  <c:v>1.0467</c:v>
                </c:pt>
                <c:pt idx="975">
                  <c:v>1.0481</c:v>
                </c:pt>
                <c:pt idx="976">
                  <c:v>1.0481</c:v>
                </c:pt>
                <c:pt idx="977">
                  <c:v>1.0392999999999999</c:v>
                </c:pt>
                <c:pt idx="978">
                  <c:v>1.0296000000000001</c:v>
                </c:pt>
                <c:pt idx="979">
                  <c:v>1.0213000000000001</c:v>
                </c:pt>
                <c:pt idx="980">
                  <c:v>1.0268999999999999</c:v>
                </c:pt>
                <c:pt idx="981">
                  <c:v>1.0334000000000001</c:v>
                </c:pt>
                <c:pt idx="982">
                  <c:v>1.0376000000000001</c:v>
                </c:pt>
                <c:pt idx="983">
                  <c:v>1.0376000000000001</c:v>
                </c:pt>
                <c:pt idx="984">
                  <c:v>1.0424</c:v>
                </c:pt>
                <c:pt idx="985">
                  <c:v>1.0357000000000001</c:v>
                </c:pt>
                <c:pt idx="986">
                  <c:v>1.0314000000000001</c:v>
                </c:pt>
                <c:pt idx="987">
                  <c:v>1.0242</c:v>
                </c:pt>
                <c:pt idx="988">
                  <c:v>1.0230999999999999</c:v>
                </c:pt>
                <c:pt idx="989">
                  <c:v>1.0225</c:v>
                </c:pt>
                <c:pt idx="990">
                  <c:v>1.0225</c:v>
                </c:pt>
                <c:pt idx="991">
                  <c:v>1.0134000000000001</c:v>
                </c:pt>
                <c:pt idx="992">
                  <c:v>1.0246</c:v>
                </c:pt>
                <c:pt idx="993">
                  <c:v>1.0185999999999999</c:v>
                </c:pt>
                <c:pt idx="994">
                  <c:v>1.0206</c:v>
                </c:pt>
                <c:pt idx="995">
                  <c:v>1.0193000000000001</c:v>
                </c:pt>
                <c:pt idx="996">
                  <c:v>1.0209999999999999</c:v>
                </c:pt>
                <c:pt idx="997">
                  <c:v>1.0209999999999999</c:v>
                </c:pt>
                <c:pt idx="998">
                  <c:v>1.0278</c:v>
                </c:pt>
                <c:pt idx="999">
                  <c:v>1.0263</c:v>
                </c:pt>
                <c:pt idx="1000">
                  <c:v>1.0285</c:v>
                </c:pt>
                <c:pt idx="1001">
                  <c:v>1.0237000000000001</c:v>
                </c:pt>
                <c:pt idx="1002">
                  <c:v>1.0237000000000001</c:v>
                </c:pt>
                <c:pt idx="1003">
                  <c:v>1.0237000000000001</c:v>
                </c:pt>
                <c:pt idx="1004">
                  <c:v>1.0237000000000001</c:v>
                </c:pt>
                <c:pt idx="1005">
                  <c:v>1.0031000000000001</c:v>
                </c:pt>
                <c:pt idx="1006">
                  <c:v>1.0072000000000001</c:v>
                </c:pt>
                <c:pt idx="1007">
                  <c:v>1.0045999999999999</c:v>
                </c:pt>
                <c:pt idx="1008">
                  <c:v>1.0008999999999999</c:v>
                </c:pt>
                <c:pt idx="1009">
                  <c:v>1.0029999999999999</c:v>
                </c:pt>
                <c:pt idx="1010">
                  <c:v>1.0061</c:v>
                </c:pt>
                <c:pt idx="1011">
                  <c:v>1.0061</c:v>
                </c:pt>
                <c:pt idx="1012">
                  <c:v>1.0042</c:v>
                </c:pt>
                <c:pt idx="1013">
                  <c:v>1.0194000000000001</c:v>
                </c:pt>
                <c:pt idx="1014">
                  <c:v>1.0182</c:v>
                </c:pt>
                <c:pt idx="1015">
                  <c:v>1.0108999999999999</c:v>
                </c:pt>
                <c:pt idx="1016">
                  <c:v>1.0109999999999999</c:v>
                </c:pt>
                <c:pt idx="1017">
                  <c:v>1.0078</c:v>
                </c:pt>
                <c:pt idx="1018">
                  <c:v>1.0078</c:v>
                </c:pt>
                <c:pt idx="1019">
                  <c:v>1.0012000000000001</c:v>
                </c:pt>
                <c:pt idx="1020">
                  <c:v>0.99450000000000005</c:v>
                </c:pt>
                <c:pt idx="1021">
                  <c:v>0.99439999999999995</c:v>
                </c:pt>
                <c:pt idx="1022">
                  <c:v>0.98780000000000001</c:v>
                </c:pt>
                <c:pt idx="1023">
                  <c:v>0.99709999999999999</c:v>
                </c:pt>
                <c:pt idx="1024">
                  <c:v>0.99150000000000005</c:v>
                </c:pt>
                <c:pt idx="1025">
                  <c:v>0.99150000000000005</c:v>
                </c:pt>
                <c:pt idx="1026">
                  <c:v>0.99170000000000003</c:v>
                </c:pt>
                <c:pt idx="1027">
                  <c:v>0.99050000000000005</c:v>
                </c:pt>
                <c:pt idx="1028">
                  <c:v>0.97760000000000002</c:v>
                </c:pt>
                <c:pt idx="1029">
                  <c:v>0.97509999999999997</c:v>
                </c:pt>
                <c:pt idx="1030">
                  <c:v>0.96409999999999996</c:v>
                </c:pt>
                <c:pt idx="1031">
                  <c:v>0.96950000000000003</c:v>
                </c:pt>
                <c:pt idx="1032">
                  <c:v>0.96950000000000003</c:v>
                </c:pt>
                <c:pt idx="1033">
                  <c:v>0.97319999999999995</c:v>
                </c:pt>
                <c:pt idx="1034">
                  <c:v>0.97040000000000004</c:v>
                </c:pt>
                <c:pt idx="1035">
                  <c:v>0.98240000000000005</c:v>
                </c:pt>
                <c:pt idx="1036">
                  <c:v>0.98170000000000002</c:v>
                </c:pt>
                <c:pt idx="1037">
                  <c:v>0.98199999999999998</c:v>
                </c:pt>
                <c:pt idx="1038">
                  <c:v>0.97570000000000001</c:v>
                </c:pt>
                <c:pt idx="1039">
                  <c:v>0.97570000000000001</c:v>
                </c:pt>
                <c:pt idx="1040">
                  <c:v>0.97589999999999999</c:v>
                </c:pt>
                <c:pt idx="1041">
                  <c:v>0.97289999999999999</c:v>
                </c:pt>
                <c:pt idx="1042">
                  <c:v>0.97719999999999996</c:v>
                </c:pt>
                <c:pt idx="1043">
                  <c:v>0.99160000000000004</c:v>
                </c:pt>
                <c:pt idx="1044">
                  <c:v>0.98370000000000002</c:v>
                </c:pt>
                <c:pt idx="1045">
                  <c:v>0.98419999999999996</c:v>
                </c:pt>
                <c:pt idx="1046">
                  <c:v>0.98419999999999996</c:v>
                </c:pt>
                <c:pt idx="1047">
                  <c:v>0.98960000000000004</c:v>
                </c:pt>
                <c:pt idx="1048">
                  <c:v>0.99299999999999999</c:v>
                </c:pt>
                <c:pt idx="1049">
                  <c:v>0.99419999999999997</c:v>
                </c:pt>
                <c:pt idx="1050">
                  <c:v>0.99680000000000002</c:v>
                </c:pt>
                <c:pt idx="1051">
                  <c:v>1.0014000000000001</c:v>
                </c:pt>
                <c:pt idx="1052">
                  <c:v>1.0018</c:v>
                </c:pt>
                <c:pt idx="1053">
                  <c:v>1.0018</c:v>
                </c:pt>
                <c:pt idx="1054">
                  <c:v>1.0059</c:v>
                </c:pt>
                <c:pt idx="1055">
                  <c:v>1.0052000000000001</c:v>
                </c:pt>
                <c:pt idx="1056">
                  <c:v>1.01</c:v>
                </c:pt>
                <c:pt idx="1057">
                  <c:v>1.0214000000000001</c:v>
                </c:pt>
                <c:pt idx="1058">
                  <c:v>1.0153000000000001</c:v>
                </c:pt>
                <c:pt idx="1059">
                  <c:v>1.0153000000000001</c:v>
                </c:pt>
                <c:pt idx="1060">
                  <c:v>1.0266999999999999</c:v>
                </c:pt>
                <c:pt idx="1061">
                  <c:v>1.0302</c:v>
                </c:pt>
                <c:pt idx="1062">
                  <c:v>1.0333000000000001</c:v>
                </c:pt>
                <c:pt idx="1063">
                  <c:v>1.0427999999999999</c:v>
                </c:pt>
                <c:pt idx="1064">
                  <c:v>1.0455000000000001</c:v>
                </c:pt>
                <c:pt idx="1065">
                  <c:v>1.0466</c:v>
                </c:pt>
                <c:pt idx="1066">
                  <c:v>1.0466</c:v>
                </c:pt>
                <c:pt idx="1067">
                  <c:v>1.0366</c:v>
                </c:pt>
                <c:pt idx="1068">
                  <c:v>1.0361</c:v>
                </c:pt>
                <c:pt idx="1069">
                  <c:v>1.0333000000000001</c:v>
                </c:pt>
                <c:pt idx="1070">
                  <c:v>1.0305</c:v>
                </c:pt>
                <c:pt idx="1071">
                  <c:v>1.0383</c:v>
                </c:pt>
                <c:pt idx="1072">
                  <c:v>1.0378000000000001</c:v>
                </c:pt>
                <c:pt idx="1073">
                  <c:v>1.0378000000000001</c:v>
                </c:pt>
                <c:pt idx="1074">
                  <c:v>1.0344</c:v>
                </c:pt>
                <c:pt idx="1075">
                  <c:v>1.0371999999999999</c:v>
                </c:pt>
                <c:pt idx="1076">
                  <c:v>1.0407</c:v>
                </c:pt>
                <c:pt idx="1077">
                  <c:v>1.0349999999999999</c:v>
                </c:pt>
                <c:pt idx="1078">
                  <c:v>1.0337000000000001</c:v>
                </c:pt>
                <c:pt idx="1079">
                  <c:v>1.0368999999999999</c:v>
                </c:pt>
                <c:pt idx="1080">
                  <c:v>1.0368999999999999</c:v>
                </c:pt>
                <c:pt idx="1081">
                  <c:v>1.0438000000000001</c:v>
                </c:pt>
                <c:pt idx="1082">
                  <c:v>1.0322</c:v>
                </c:pt>
                <c:pt idx="1083">
                  <c:v>1.0230999999999999</c:v>
                </c:pt>
                <c:pt idx="1084">
                  <c:v>1.0310999999999999</c:v>
                </c:pt>
                <c:pt idx="1085">
                  <c:v>1.0287999999999999</c:v>
                </c:pt>
                <c:pt idx="1086">
                  <c:v>1.0304</c:v>
                </c:pt>
                <c:pt idx="1087">
                  <c:v>1.0304</c:v>
                </c:pt>
                <c:pt idx="1088">
                  <c:v>1.0291999999999999</c:v>
                </c:pt>
                <c:pt idx="1089">
                  <c:v>1.0283</c:v>
                </c:pt>
                <c:pt idx="1090">
                  <c:v>1.0304</c:v>
                </c:pt>
                <c:pt idx="1091">
                  <c:v>1.0429999999999999</c:v>
                </c:pt>
                <c:pt idx="1092">
                  <c:v>1.0427</c:v>
                </c:pt>
                <c:pt idx="1093">
                  <c:v>1.0346</c:v>
                </c:pt>
                <c:pt idx="1094">
                  <c:v>1.0346</c:v>
                </c:pt>
                <c:pt idx="1095">
                  <c:v>1.0374000000000001</c:v>
                </c:pt>
                <c:pt idx="1096">
                  <c:v>1.0386</c:v>
                </c:pt>
                <c:pt idx="1097">
                  <c:v>1.044</c:v>
                </c:pt>
                <c:pt idx="1098">
                  <c:v>1.0527</c:v>
                </c:pt>
                <c:pt idx="1099">
                  <c:v>1.0459000000000001</c:v>
                </c:pt>
                <c:pt idx="1100">
                  <c:v>1.0459000000000001</c:v>
                </c:pt>
                <c:pt idx="1101">
                  <c:v>1.0405</c:v>
                </c:pt>
                <c:pt idx="1102">
                  <c:v>1.0450999999999999</c:v>
                </c:pt>
                <c:pt idx="1103">
                  <c:v>1.0482</c:v>
                </c:pt>
                <c:pt idx="1104">
                  <c:v>1.0596000000000001</c:v>
                </c:pt>
                <c:pt idx="1105">
                  <c:v>1.0602</c:v>
                </c:pt>
                <c:pt idx="1106">
                  <c:v>1.0586</c:v>
                </c:pt>
                <c:pt idx="1107">
                  <c:v>1.0586</c:v>
                </c:pt>
                <c:pt idx="1108">
                  <c:v>1.052</c:v>
                </c:pt>
                <c:pt idx="1109">
                  <c:v>1.0438000000000001</c:v>
                </c:pt>
                <c:pt idx="1110">
                  <c:v>1.0539000000000001</c:v>
                </c:pt>
                <c:pt idx="1111">
                  <c:v>1.0533999999999999</c:v>
                </c:pt>
                <c:pt idx="1112">
                  <c:v>1.0564</c:v>
                </c:pt>
                <c:pt idx="1113">
                  <c:v>1.0573999999999999</c:v>
                </c:pt>
                <c:pt idx="1114">
                  <c:v>1.0573999999999999</c:v>
                </c:pt>
                <c:pt idx="1115">
                  <c:v>1.0642</c:v>
                </c:pt>
                <c:pt idx="1116">
                  <c:v>1.0581</c:v>
                </c:pt>
                <c:pt idx="1117">
                  <c:v>1.0550999999999999</c:v>
                </c:pt>
                <c:pt idx="1118">
                  <c:v>1.0673999999999999</c:v>
                </c:pt>
                <c:pt idx="1119">
                  <c:v>1.0719000000000001</c:v>
                </c:pt>
                <c:pt idx="1120">
                  <c:v>1.0712999999999999</c:v>
                </c:pt>
                <c:pt idx="1121">
                  <c:v>1.0723</c:v>
                </c:pt>
                <c:pt idx="1122">
                  <c:v>1.0808</c:v>
                </c:pt>
                <c:pt idx="1123">
                  <c:v>1.0730999999999999</c:v>
                </c:pt>
                <c:pt idx="1124">
                  <c:v>1.0765</c:v>
                </c:pt>
                <c:pt idx="1125">
                  <c:v>1.0755999999999999</c:v>
                </c:pt>
                <c:pt idx="1126">
                  <c:v>1.0688</c:v>
                </c:pt>
                <c:pt idx="1127">
                  <c:v>1.0692999999999999</c:v>
                </c:pt>
                <c:pt idx="1128">
                  <c:v>1.0692999999999999</c:v>
                </c:pt>
                <c:pt idx="1129">
                  <c:v>1.0726</c:v>
                </c:pt>
                <c:pt idx="1130">
                  <c:v>1.0622</c:v>
                </c:pt>
                <c:pt idx="1131">
                  <c:v>1.0671999999999999</c:v>
                </c:pt>
                <c:pt idx="1132">
                  <c:v>1.0723</c:v>
                </c:pt>
                <c:pt idx="1133">
                  <c:v>1.0803</c:v>
                </c:pt>
                <c:pt idx="1134">
                  <c:v>1.0704</c:v>
                </c:pt>
                <c:pt idx="1135">
                  <c:v>1.0704</c:v>
                </c:pt>
                <c:pt idx="1136">
                  <c:v>1.0753999999999999</c:v>
                </c:pt>
                <c:pt idx="1137">
                  <c:v>1.0685</c:v>
                </c:pt>
                <c:pt idx="1138">
                  <c:v>1.0703</c:v>
                </c:pt>
                <c:pt idx="1139">
                  <c:v>1.0703</c:v>
                </c:pt>
                <c:pt idx="1140">
                  <c:v>1.0703</c:v>
                </c:pt>
                <c:pt idx="1141">
                  <c:v>1.0667</c:v>
                </c:pt>
                <c:pt idx="1142">
                  <c:v>1.0667</c:v>
                </c:pt>
                <c:pt idx="1143">
                  <c:v>1.0767</c:v>
                </c:pt>
                <c:pt idx="1144">
                  <c:v>1.0787</c:v>
                </c:pt>
                <c:pt idx="1145">
                  <c:v>1.079</c:v>
                </c:pt>
                <c:pt idx="1146">
                  <c:v>1.0717000000000001</c:v>
                </c:pt>
                <c:pt idx="1147">
                  <c:v>1.0745</c:v>
                </c:pt>
                <c:pt idx="1148">
                  <c:v>1.0760000000000001</c:v>
                </c:pt>
                <c:pt idx="1149">
                  <c:v>1.0761000000000001</c:v>
                </c:pt>
                <c:pt idx="1150">
                  <c:v>1.0698000000000001</c:v>
                </c:pt>
                <c:pt idx="1151">
                  <c:v>1.0703</c:v>
                </c:pt>
                <c:pt idx="1152">
                  <c:v>1.0625</c:v>
                </c:pt>
                <c:pt idx="1153">
                  <c:v>1.0580000000000001</c:v>
                </c:pt>
                <c:pt idx="1154">
                  <c:v>1.0638000000000001</c:v>
                </c:pt>
                <c:pt idx="1155">
                  <c:v>1.0656000000000001</c:v>
                </c:pt>
                <c:pt idx="1156">
                  <c:v>1.0656000000000001</c:v>
                </c:pt>
                <c:pt idx="1157">
                  <c:v>1.0609999999999999</c:v>
                </c:pt>
                <c:pt idx="1158">
                  <c:v>1.0590999999999999</c:v>
                </c:pt>
                <c:pt idx="1159">
                  <c:v>1.0475000000000001</c:v>
                </c:pt>
                <c:pt idx="1160">
                  <c:v>1.0525</c:v>
                </c:pt>
                <c:pt idx="1161">
                  <c:v>1.0465</c:v>
                </c:pt>
                <c:pt idx="1162">
                  <c:v>1.0483</c:v>
                </c:pt>
                <c:pt idx="1163">
                  <c:v>1.0483</c:v>
                </c:pt>
                <c:pt idx="1164">
                  <c:v>1.0411999999999999</c:v>
                </c:pt>
                <c:pt idx="1165">
                  <c:v>1.0417000000000001</c:v>
                </c:pt>
                <c:pt idx="1166">
                  <c:v>1.0374000000000001</c:v>
                </c:pt>
                <c:pt idx="1167">
                  <c:v>1.0306999999999999</c:v>
                </c:pt>
                <c:pt idx="1168">
                  <c:v>1.0275000000000001</c:v>
                </c:pt>
                <c:pt idx="1169">
                  <c:v>1.0321</c:v>
                </c:pt>
                <c:pt idx="1170">
                  <c:v>1.0321</c:v>
                </c:pt>
                <c:pt idx="1171">
                  <c:v>1.0330999999999999</c:v>
                </c:pt>
                <c:pt idx="1172">
                  <c:v>1.0315000000000001</c:v>
                </c:pt>
                <c:pt idx="1173">
                  <c:v>1.0293000000000001</c:v>
                </c:pt>
                <c:pt idx="1174">
                  <c:v>1.0249999999999999</c:v>
                </c:pt>
                <c:pt idx="1175">
                  <c:v>1.0193000000000001</c:v>
                </c:pt>
                <c:pt idx="1176">
                  <c:v>1.0226</c:v>
                </c:pt>
                <c:pt idx="1177">
                  <c:v>1.0226</c:v>
                </c:pt>
                <c:pt idx="1178">
                  <c:v>1.0246999999999999</c:v>
                </c:pt>
                <c:pt idx="1179">
                  <c:v>1.0338000000000001</c:v>
                </c:pt>
                <c:pt idx="1180">
                  <c:v>1.0366</c:v>
                </c:pt>
                <c:pt idx="1181">
                  <c:v>1.0246999999999999</c:v>
                </c:pt>
                <c:pt idx="1182">
                  <c:v>1.0210999999999999</c:v>
                </c:pt>
                <c:pt idx="1183">
                  <c:v>1.0195000000000001</c:v>
                </c:pt>
                <c:pt idx="1184">
                  <c:v>1.0195000000000001</c:v>
                </c:pt>
                <c:pt idx="1185">
                  <c:v>1.0141</c:v>
                </c:pt>
                <c:pt idx="1186">
                  <c:v>1.0093000000000001</c:v>
                </c:pt>
                <c:pt idx="1187">
                  <c:v>1.0146999999999999</c:v>
                </c:pt>
                <c:pt idx="1188">
                  <c:v>1.0157</c:v>
                </c:pt>
                <c:pt idx="1189">
                  <c:v>1.0149999999999999</c:v>
                </c:pt>
                <c:pt idx="1190">
                  <c:v>1.0145</c:v>
                </c:pt>
                <c:pt idx="1191">
                  <c:v>1.0145</c:v>
                </c:pt>
                <c:pt idx="1192">
                  <c:v>1.0129999999999999</c:v>
                </c:pt>
                <c:pt idx="1193">
                  <c:v>1.0066999999999999</c:v>
                </c:pt>
                <c:pt idx="1194">
                  <c:v>1.0077</c:v>
                </c:pt>
                <c:pt idx="1195">
                  <c:v>0.99160000000000004</c:v>
                </c:pt>
                <c:pt idx="1196">
                  <c:v>0.99550000000000005</c:v>
                </c:pt>
                <c:pt idx="1197">
                  <c:v>0.997</c:v>
                </c:pt>
                <c:pt idx="1198">
                  <c:v>0.99629999999999996</c:v>
                </c:pt>
                <c:pt idx="1199">
                  <c:v>0.99380000000000002</c:v>
                </c:pt>
                <c:pt idx="1200">
                  <c:v>0.99039999999999995</c:v>
                </c:pt>
                <c:pt idx="1201">
                  <c:v>0.99870000000000003</c:v>
                </c:pt>
                <c:pt idx="1202">
                  <c:v>1.0035000000000001</c:v>
                </c:pt>
                <c:pt idx="1203">
                  <c:v>1.0202</c:v>
                </c:pt>
                <c:pt idx="1204">
                  <c:v>1.0213000000000001</c:v>
                </c:pt>
                <c:pt idx="1205">
                  <c:v>1.0219</c:v>
                </c:pt>
                <c:pt idx="1206">
                  <c:v>1.0169999999999999</c:v>
                </c:pt>
                <c:pt idx="1207">
                  <c:v>1.0274000000000001</c:v>
                </c:pt>
                <c:pt idx="1208">
                  <c:v>1.0245</c:v>
                </c:pt>
                <c:pt idx="1209">
                  <c:v>1.0251999999999999</c:v>
                </c:pt>
                <c:pt idx="1210">
                  <c:v>1.0243</c:v>
                </c:pt>
                <c:pt idx="1211">
                  <c:v>1.0213000000000001</c:v>
                </c:pt>
                <c:pt idx="1212">
                  <c:v>1.0213000000000001</c:v>
                </c:pt>
                <c:pt idx="1213">
                  <c:v>1.0242</c:v>
                </c:pt>
                <c:pt idx="1214">
                  <c:v>1.0281</c:v>
                </c:pt>
                <c:pt idx="1215">
                  <c:v>1.0042</c:v>
                </c:pt>
                <c:pt idx="1216">
                  <c:v>0.99060000000000004</c:v>
                </c:pt>
                <c:pt idx="1217">
                  <c:v>0.98250000000000004</c:v>
                </c:pt>
                <c:pt idx="1218">
                  <c:v>0.97089999999999999</c:v>
                </c:pt>
                <c:pt idx="1219">
                  <c:v>0.97089999999999999</c:v>
                </c:pt>
                <c:pt idx="1220">
                  <c:v>0.9698</c:v>
                </c:pt>
                <c:pt idx="1221">
                  <c:v>0.96960000000000002</c:v>
                </c:pt>
                <c:pt idx="1222">
                  <c:v>0.98350000000000004</c:v>
                </c:pt>
                <c:pt idx="1223">
                  <c:v>0.9839</c:v>
                </c:pt>
                <c:pt idx="1224">
                  <c:v>0.99890000000000001</c:v>
                </c:pt>
                <c:pt idx="1225">
                  <c:v>1.0004999999999999</c:v>
                </c:pt>
                <c:pt idx="1226">
                  <c:v>1.0004999999999999</c:v>
                </c:pt>
                <c:pt idx="1227">
                  <c:v>0.99809999999999999</c:v>
                </c:pt>
                <c:pt idx="1228">
                  <c:v>1.0041</c:v>
                </c:pt>
                <c:pt idx="1229">
                  <c:v>1.0139</c:v>
                </c:pt>
                <c:pt idx="1230">
                  <c:v>1.0197000000000001</c:v>
                </c:pt>
                <c:pt idx="1231">
                  <c:v>1.0329999999999999</c:v>
                </c:pt>
                <c:pt idx="1232">
                  <c:v>1.0274000000000001</c:v>
                </c:pt>
                <c:pt idx="1233">
                  <c:v>1.0279</c:v>
                </c:pt>
                <c:pt idx="1234">
                  <c:v>1.0147999999999999</c:v>
                </c:pt>
                <c:pt idx="1235">
                  <c:v>1.0135000000000001</c:v>
                </c:pt>
                <c:pt idx="1236">
                  <c:v>1.0382</c:v>
                </c:pt>
                <c:pt idx="1237">
                  <c:v>1.0347999999999999</c:v>
                </c:pt>
                <c:pt idx="1238">
                  <c:v>1.0407</c:v>
                </c:pt>
                <c:pt idx="1239">
                  <c:v>1.0373000000000001</c:v>
                </c:pt>
                <c:pt idx="1240">
                  <c:v>1.0373000000000001</c:v>
                </c:pt>
                <c:pt idx="1241">
                  <c:v>1.0415000000000001</c:v>
                </c:pt>
                <c:pt idx="1242">
                  <c:v>1.0345</c:v>
                </c:pt>
                <c:pt idx="1243">
                  <c:v>1.0327999999999999</c:v>
                </c:pt>
                <c:pt idx="1244">
                  <c:v>1.0529999999999999</c:v>
                </c:pt>
                <c:pt idx="1245">
                  <c:v>1.0664</c:v>
                </c:pt>
                <c:pt idx="1246">
                  <c:v>1.0699000000000001</c:v>
                </c:pt>
                <c:pt idx="1247">
                  <c:v>1.0699000000000001</c:v>
                </c:pt>
                <c:pt idx="1248">
                  <c:v>1.0718000000000001</c:v>
                </c:pt>
                <c:pt idx="1249">
                  <c:v>1.0394000000000001</c:v>
                </c:pt>
                <c:pt idx="1250">
                  <c:v>1.042</c:v>
                </c:pt>
                <c:pt idx="1251">
                  <c:v>1.0448</c:v>
                </c:pt>
                <c:pt idx="1252">
                  <c:v>1.0327</c:v>
                </c:pt>
                <c:pt idx="1253">
                  <c:v>1.0375000000000001</c:v>
                </c:pt>
                <c:pt idx="1254">
                  <c:v>1.0375000000000001</c:v>
                </c:pt>
                <c:pt idx="1255">
                  <c:v>1.0242</c:v>
                </c:pt>
                <c:pt idx="1256">
                  <c:v>1.0247999999999999</c:v>
                </c:pt>
                <c:pt idx="1257">
                  <c:v>1.0242</c:v>
                </c:pt>
                <c:pt idx="1258">
                  <c:v>1.0179</c:v>
                </c:pt>
                <c:pt idx="1259">
                  <c:v>1.0311999999999999</c:v>
                </c:pt>
                <c:pt idx="1260">
                  <c:v>1.0338000000000001</c:v>
                </c:pt>
                <c:pt idx="1261">
                  <c:v>1.0338000000000001</c:v>
                </c:pt>
                <c:pt idx="1262">
                  <c:v>1.0167999999999999</c:v>
                </c:pt>
                <c:pt idx="1263">
                  <c:v>1.0144</c:v>
                </c:pt>
                <c:pt idx="1264">
                  <c:v>0.99360000000000004</c:v>
                </c:pt>
                <c:pt idx="1265">
                  <c:v>0.99660000000000004</c:v>
                </c:pt>
                <c:pt idx="1266">
                  <c:v>0.97840000000000005</c:v>
                </c:pt>
                <c:pt idx="1267">
                  <c:v>0.97670000000000001</c:v>
                </c:pt>
                <c:pt idx="1268">
                  <c:v>0.97670000000000001</c:v>
                </c:pt>
                <c:pt idx="1269">
                  <c:v>0.97489999999999999</c:v>
                </c:pt>
                <c:pt idx="1270">
                  <c:v>0.96409999999999996</c:v>
                </c:pt>
                <c:pt idx="1271">
                  <c:v>0.95440000000000003</c:v>
                </c:pt>
                <c:pt idx="1272">
                  <c:v>0.95179999999999998</c:v>
                </c:pt>
                <c:pt idx="1273">
                  <c:v>0.96699999999999997</c:v>
                </c:pt>
                <c:pt idx="1274">
                  <c:v>0.96589999999999998</c:v>
                </c:pt>
                <c:pt idx="1275">
                  <c:v>0.96589999999999998</c:v>
                </c:pt>
                <c:pt idx="1276">
                  <c:v>0.97719999999999996</c:v>
                </c:pt>
                <c:pt idx="1277">
                  <c:v>0.97099999999999997</c:v>
                </c:pt>
                <c:pt idx="1278">
                  <c:v>0.99099999999999999</c:v>
                </c:pt>
                <c:pt idx="1279">
                  <c:v>0.98350000000000004</c:v>
                </c:pt>
                <c:pt idx="1280">
                  <c:v>0.98160000000000003</c:v>
                </c:pt>
                <c:pt idx="1281">
                  <c:v>0.97829999999999995</c:v>
                </c:pt>
                <c:pt idx="1282">
                  <c:v>0.97870000000000001</c:v>
                </c:pt>
                <c:pt idx="1283">
                  <c:v>0.98140000000000005</c:v>
                </c:pt>
                <c:pt idx="1284">
                  <c:v>1.0034000000000001</c:v>
                </c:pt>
                <c:pt idx="1285">
                  <c:v>1.0255000000000001</c:v>
                </c:pt>
                <c:pt idx="1286">
                  <c:v>1.0185</c:v>
                </c:pt>
                <c:pt idx="1287">
                  <c:v>1.0301</c:v>
                </c:pt>
                <c:pt idx="1288">
                  <c:v>1.0359</c:v>
                </c:pt>
                <c:pt idx="1289">
                  <c:v>1.0359</c:v>
                </c:pt>
                <c:pt idx="1290">
                  <c:v>1.0333000000000001</c:v>
                </c:pt>
                <c:pt idx="1291">
                  <c:v>1.0286</c:v>
                </c:pt>
                <c:pt idx="1292">
                  <c:v>1.0315000000000001</c:v>
                </c:pt>
                <c:pt idx="1293">
                  <c:v>1.0327999999999999</c:v>
                </c:pt>
                <c:pt idx="1294">
                  <c:v>1.0396000000000001</c:v>
                </c:pt>
                <c:pt idx="1295">
                  <c:v>1.0468999999999999</c:v>
                </c:pt>
                <c:pt idx="1296">
                  <c:v>1.0468999999999999</c:v>
                </c:pt>
                <c:pt idx="1297">
                  <c:v>1.0583</c:v>
                </c:pt>
                <c:pt idx="1298">
                  <c:v>1.0637000000000001</c:v>
                </c:pt>
                <c:pt idx="1299">
                  <c:v>1.0525</c:v>
                </c:pt>
                <c:pt idx="1300">
                  <c:v>1.0517000000000001</c:v>
                </c:pt>
                <c:pt idx="1301">
                  <c:v>1.0593999999999999</c:v>
                </c:pt>
                <c:pt idx="1302">
                  <c:v>1.0630999999999999</c:v>
                </c:pt>
                <c:pt idx="1303">
                  <c:v>1.0630999999999999</c:v>
                </c:pt>
                <c:pt idx="1304">
                  <c:v>1.0720000000000001</c:v>
                </c:pt>
                <c:pt idx="1305">
                  <c:v>1.0704</c:v>
                </c:pt>
                <c:pt idx="1306">
                  <c:v>1.0677000000000001</c:v>
                </c:pt>
                <c:pt idx="1307">
                  <c:v>1.0670999999999999</c:v>
                </c:pt>
                <c:pt idx="1308">
                  <c:v>1.0571999999999999</c:v>
                </c:pt>
                <c:pt idx="1309">
                  <c:v>1.0547</c:v>
                </c:pt>
                <c:pt idx="1310">
                  <c:v>1.0547</c:v>
                </c:pt>
                <c:pt idx="1311">
                  <c:v>1.0468</c:v>
                </c:pt>
                <c:pt idx="1312">
                  <c:v>1.0465</c:v>
                </c:pt>
                <c:pt idx="1313">
                  <c:v>1.0519000000000001</c:v>
                </c:pt>
                <c:pt idx="1314">
                  <c:v>1.0396000000000001</c:v>
                </c:pt>
                <c:pt idx="1315">
                  <c:v>1.0375000000000001</c:v>
                </c:pt>
                <c:pt idx="1316">
                  <c:v>1.0406</c:v>
                </c:pt>
                <c:pt idx="1317">
                  <c:v>1.0406</c:v>
                </c:pt>
                <c:pt idx="1318">
                  <c:v>1.0388999999999999</c:v>
                </c:pt>
                <c:pt idx="1319">
                  <c:v>1.0548999999999999</c:v>
                </c:pt>
                <c:pt idx="1320">
                  <c:v>1.0483</c:v>
                </c:pt>
                <c:pt idx="1321">
                  <c:v>1.0505</c:v>
                </c:pt>
                <c:pt idx="1322">
                  <c:v>1.0407999999999999</c:v>
                </c:pt>
                <c:pt idx="1323">
                  <c:v>1.0350999999999999</c:v>
                </c:pt>
                <c:pt idx="1324">
                  <c:v>1.0350999999999999</c:v>
                </c:pt>
                <c:pt idx="1325">
                  <c:v>1.0349999999999999</c:v>
                </c:pt>
                <c:pt idx="1326">
                  <c:v>1.0145</c:v>
                </c:pt>
                <c:pt idx="1327">
                  <c:v>1.0335000000000001</c:v>
                </c:pt>
                <c:pt idx="1328">
                  <c:v>1.0146999999999999</c:v>
                </c:pt>
                <c:pt idx="1329">
                  <c:v>1.0410999999999999</c:v>
                </c:pt>
                <c:pt idx="1330">
                  <c:v>1.044</c:v>
                </c:pt>
                <c:pt idx="1331">
                  <c:v>1.044</c:v>
                </c:pt>
                <c:pt idx="1332">
                  <c:v>1.0447</c:v>
                </c:pt>
                <c:pt idx="1333">
                  <c:v>1.0751999999999999</c:v>
                </c:pt>
                <c:pt idx="1334">
                  <c:v>1.0733999999999999</c:v>
                </c:pt>
                <c:pt idx="1335">
                  <c:v>1.0994999999999999</c:v>
                </c:pt>
                <c:pt idx="1336">
                  <c:v>1.1013999999999999</c:v>
                </c:pt>
                <c:pt idx="1337">
                  <c:v>1.0992</c:v>
                </c:pt>
                <c:pt idx="1338">
                  <c:v>1.0992</c:v>
                </c:pt>
                <c:pt idx="1339">
                  <c:v>1.1002000000000001</c:v>
                </c:pt>
                <c:pt idx="1340">
                  <c:v>1.1017999999999999</c:v>
                </c:pt>
                <c:pt idx="1341">
                  <c:v>1.0954999999999999</c:v>
                </c:pt>
                <c:pt idx="1342">
                  <c:v>1.0838000000000001</c:v>
                </c:pt>
                <c:pt idx="1343">
                  <c:v>1.0821000000000001</c:v>
                </c:pt>
                <c:pt idx="1344">
                  <c:v>1.0848</c:v>
                </c:pt>
                <c:pt idx="1345">
                  <c:v>1.0848</c:v>
                </c:pt>
                <c:pt idx="1346">
                  <c:v>1.0838000000000001</c:v>
                </c:pt>
                <c:pt idx="1347">
                  <c:v>1.0764</c:v>
                </c:pt>
                <c:pt idx="1348">
                  <c:v>1.0734999999999999</c:v>
                </c:pt>
                <c:pt idx="1349">
                  <c:v>1.0637000000000001</c:v>
                </c:pt>
                <c:pt idx="1350">
                  <c:v>1.0645</c:v>
                </c:pt>
                <c:pt idx="1351">
                  <c:v>1.0637000000000001</c:v>
                </c:pt>
                <c:pt idx="1352">
                  <c:v>1.0637000000000001</c:v>
                </c:pt>
                <c:pt idx="1353">
                  <c:v>1.0740000000000001</c:v>
                </c:pt>
                <c:pt idx="1354">
                  <c:v>1.0779000000000001</c:v>
                </c:pt>
                <c:pt idx="1355">
                  <c:v>1.0617000000000001</c:v>
                </c:pt>
                <c:pt idx="1356">
                  <c:v>1.0640000000000001</c:v>
                </c:pt>
                <c:pt idx="1357">
                  <c:v>1.0713999999999999</c:v>
                </c:pt>
                <c:pt idx="1358">
                  <c:v>1.0752999999999999</c:v>
                </c:pt>
                <c:pt idx="1359">
                  <c:v>1.0752999999999999</c:v>
                </c:pt>
                <c:pt idx="1360">
                  <c:v>1.0771999999999999</c:v>
                </c:pt>
                <c:pt idx="1361">
                  <c:v>1.0708</c:v>
                </c:pt>
                <c:pt idx="1362">
                  <c:v>1.0690999999999999</c:v>
                </c:pt>
                <c:pt idx="1363">
                  <c:v>1.0741000000000001</c:v>
                </c:pt>
                <c:pt idx="1364">
                  <c:v>1.0779000000000001</c:v>
                </c:pt>
                <c:pt idx="1365">
                  <c:v>1.0767</c:v>
                </c:pt>
                <c:pt idx="1366">
                  <c:v>1.0767</c:v>
                </c:pt>
                <c:pt idx="1367">
                  <c:v>1.0720000000000001</c:v>
                </c:pt>
                <c:pt idx="1368">
                  <c:v>1.0680000000000001</c:v>
                </c:pt>
                <c:pt idx="1369">
                  <c:v>1.0539000000000001</c:v>
                </c:pt>
                <c:pt idx="1370">
                  <c:v>1.0442</c:v>
                </c:pt>
                <c:pt idx="1371">
                  <c:v>1.0465</c:v>
                </c:pt>
                <c:pt idx="1372">
                  <c:v>1.0488</c:v>
                </c:pt>
                <c:pt idx="1373">
                  <c:v>1.0488</c:v>
                </c:pt>
                <c:pt idx="1374">
                  <c:v>1.0538000000000001</c:v>
                </c:pt>
                <c:pt idx="1375">
                  <c:v>1.0557000000000001</c:v>
                </c:pt>
                <c:pt idx="1376">
                  <c:v>1.0589999999999999</c:v>
                </c:pt>
                <c:pt idx="1377">
                  <c:v>1.0609</c:v>
                </c:pt>
                <c:pt idx="1378">
                  <c:v>1.0586</c:v>
                </c:pt>
                <c:pt idx="1379">
                  <c:v>1.0621</c:v>
                </c:pt>
                <c:pt idx="1380">
                  <c:v>1.0621</c:v>
                </c:pt>
                <c:pt idx="1381">
                  <c:v>1.0563</c:v>
                </c:pt>
                <c:pt idx="1382">
                  <c:v>1.0589</c:v>
                </c:pt>
                <c:pt idx="1383">
                  <c:v>1.0681</c:v>
                </c:pt>
                <c:pt idx="1384">
                  <c:v>1.0602</c:v>
                </c:pt>
                <c:pt idx="1385">
                  <c:v>1.0536000000000001</c:v>
                </c:pt>
                <c:pt idx="1386">
                  <c:v>1.0533999999999999</c:v>
                </c:pt>
                <c:pt idx="1387">
                  <c:v>1.0533999999999999</c:v>
                </c:pt>
                <c:pt idx="1388">
                  <c:v>1.0637000000000001</c:v>
                </c:pt>
                <c:pt idx="1389">
                  <c:v>1.0645</c:v>
                </c:pt>
                <c:pt idx="1390">
                  <c:v>1.0701000000000001</c:v>
                </c:pt>
                <c:pt idx="1391">
                  <c:v>1.0728</c:v>
                </c:pt>
                <c:pt idx="1392">
                  <c:v>1.0750999999999999</c:v>
                </c:pt>
                <c:pt idx="1393">
                  <c:v>1.0713999999999999</c:v>
                </c:pt>
                <c:pt idx="1394">
                  <c:v>1.0713999999999999</c:v>
                </c:pt>
                <c:pt idx="1395">
                  <c:v>1.0669</c:v>
                </c:pt>
                <c:pt idx="1396">
                  <c:v>1.0612999999999999</c:v>
                </c:pt>
                <c:pt idx="1397">
                  <c:v>1.0669999999999999</c:v>
                </c:pt>
                <c:pt idx="1398">
                  <c:v>1.0721000000000001</c:v>
                </c:pt>
                <c:pt idx="1399">
                  <c:v>1.069</c:v>
                </c:pt>
                <c:pt idx="1400">
                  <c:v>1.0686</c:v>
                </c:pt>
                <c:pt idx="1401">
                  <c:v>1.0686</c:v>
                </c:pt>
                <c:pt idx="1402">
                  <c:v>1.0629</c:v>
                </c:pt>
                <c:pt idx="1403">
                  <c:v>1.0508999999999999</c:v>
                </c:pt>
                <c:pt idx="1404">
                  <c:v>1.0555000000000001</c:v>
                </c:pt>
                <c:pt idx="1405">
                  <c:v>1.0490999999999999</c:v>
                </c:pt>
                <c:pt idx="1406">
                  <c:v>1.0627</c:v>
                </c:pt>
                <c:pt idx="1407">
                  <c:v>1.0657000000000001</c:v>
                </c:pt>
                <c:pt idx="1408">
                  <c:v>1.0657000000000001</c:v>
                </c:pt>
                <c:pt idx="1409">
                  <c:v>1.0676000000000001</c:v>
                </c:pt>
                <c:pt idx="1410">
                  <c:v>1.0633999999999999</c:v>
                </c:pt>
                <c:pt idx="1411">
                  <c:v>1.0625</c:v>
                </c:pt>
                <c:pt idx="1412">
                  <c:v>1.0557000000000001</c:v>
                </c:pt>
                <c:pt idx="1413">
                  <c:v>1.0548</c:v>
                </c:pt>
                <c:pt idx="1414">
                  <c:v>1.0570999999999999</c:v>
                </c:pt>
                <c:pt idx="1415">
                  <c:v>1.0570999999999999</c:v>
                </c:pt>
                <c:pt idx="1416">
                  <c:v>1.0657000000000001</c:v>
                </c:pt>
                <c:pt idx="1417">
                  <c:v>1.0686</c:v>
                </c:pt>
                <c:pt idx="1418">
                  <c:v>1.0838000000000001</c:v>
                </c:pt>
                <c:pt idx="1419">
                  <c:v>1.0786</c:v>
                </c:pt>
                <c:pt idx="1420">
                  <c:v>1.0748</c:v>
                </c:pt>
                <c:pt idx="1421">
                  <c:v>1.0698000000000001</c:v>
                </c:pt>
                <c:pt idx="1422">
                  <c:v>1.0698000000000001</c:v>
                </c:pt>
                <c:pt idx="1423">
                  <c:v>1.0621</c:v>
                </c:pt>
                <c:pt idx="1424">
                  <c:v>1.0742</c:v>
                </c:pt>
                <c:pt idx="1425">
                  <c:v>1.0863</c:v>
                </c:pt>
                <c:pt idx="1426">
                  <c:v>1.0931</c:v>
                </c:pt>
                <c:pt idx="1427">
                  <c:v>1.0959000000000001</c:v>
                </c:pt>
                <c:pt idx="1428">
                  <c:v>1.097</c:v>
                </c:pt>
                <c:pt idx="1429">
                  <c:v>1.097</c:v>
                </c:pt>
                <c:pt idx="1430">
                  <c:v>1.0932999999999999</c:v>
                </c:pt>
                <c:pt idx="1431">
                  <c:v>1.0867</c:v>
                </c:pt>
                <c:pt idx="1432">
                  <c:v>1.0821000000000001</c:v>
                </c:pt>
                <c:pt idx="1433">
                  <c:v>1.0713999999999999</c:v>
                </c:pt>
                <c:pt idx="1434">
                  <c:v>1.0766</c:v>
                </c:pt>
                <c:pt idx="1435">
                  <c:v>1.0732999999999999</c:v>
                </c:pt>
                <c:pt idx="1436">
                  <c:v>1.0732999999999999</c:v>
                </c:pt>
                <c:pt idx="1437">
                  <c:v>1.0743</c:v>
                </c:pt>
                <c:pt idx="1438">
                  <c:v>1.0683</c:v>
                </c:pt>
                <c:pt idx="1439">
                  <c:v>1.0551999999999999</c:v>
                </c:pt>
                <c:pt idx="1440">
                  <c:v>1.0491999999999999</c:v>
                </c:pt>
                <c:pt idx="1441">
                  <c:v>1.0557000000000001</c:v>
                </c:pt>
                <c:pt idx="1442">
                  <c:v>1.0566</c:v>
                </c:pt>
                <c:pt idx="1443">
                  <c:v>1.0566</c:v>
                </c:pt>
                <c:pt idx="1444">
                  <c:v>1.0548</c:v>
                </c:pt>
                <c:pt idx="1445">
                  <c:v>1.0492999999999999</c:v>
                </c:pt>
                <c:pt idx="1446">
                  <c:v>1.0470999999999999</c:v>
                </c:pt>
                <c:pt idx="1447">
                  <c:v>1.0478000000000001</c:v>
                </c:pt>
                <c:pt idx="1448">
                  <c:v>1.0573999999999999</c:v>
                </c:pt>
                <c:pt idx="1449">
                  <c:v>1.0566</c:v>
                </c:pt>
                <c:pt idx="1450">
                  <c:v>1.0566</c:v>
                </c:pt>
                <c:pt idx="1451">
                  <c:v>1.0469999999999999</c:v>
                </c:pt>
                <c:pt idx="1452">
                  <c:v>1.0432999999999999</c:v>
                </c:pt>
                <c:pt idx="1453">
                  <c:v>1.0324</c:v>
                </c:pt>
                <c:pt idx="1454">
                  <c:v>1.0345</c:v>
                </c:pt>
                <c:pt idx="1455">
                  <c:v>1.0394000000000001</c:v>
                </c:pt>
                <c:pt idx="1456">
                  <c:v>1.0385</c:v>
                </c:pt>
                <c:pt idx="1457">
                  <c:v>1.0385</c:v>
                </c:pt>
                <c:pt idx="1458">
                  <c:v>1.0311999999999999</c:v>
                </c:pt>
                <c:pt idx="1459">
                  <c:v>1.0316000000000001</c:v>
                </c:pt>
                <c:pt idx="1460">
                  <c:v>1.0304</c:v>
                </c:pt>
                <c:pt idx="1461">
                  <c:v>1.0233000000000001</c:v>
                </c:pt>
                <c:pt idx="1462">
                  <c:v>1.0248999999999999</c:v>
                </c:pt>
                <c:pt idx="1463">
                  <c:v>1.0259</c:v>
                </c:pt>
                <c:pt idx="1464">
                  <c:v>1.0259</c:v>
                </c:pt>
                <c:pt idx="1465">
                  <c:v>1.0202</c:v>
                </c:pt>
                <c:pt idx="1466">
                  <c:v>1.0142</c:v>
                </c:pt>
                <c:pt idx="1467">
                  <c:v>1.0085999999999999</c:v>
                </c:pt>
                <c:pt idx="1468">
                  <c:v>1.0053000000000001</c:v>
                </c:pt>
                <c:pt idx="1469">
                  <c:v>0.99729999999999996</c:v>
                </c:pt>
                <c:pt idx="1470">
                  <c:v>0.99639999999999995</c:v>
                </c:pt>
                <c:pt idx="1471">
                  <c:v>0.99639999999999995</c:v>
                </c:pt>
                <c:pt idx="1472">
                  <c:v>0.98470000000000002</c:v>
                </c:pt>
                <c:pt idx="1473">
                  <c:v>0.97819999999999996</c:v>
                </c:pt>
                <c:pt idx="1474">
                  <c:v>0.99390000000000001</c:v>
                </c:pt>
                <c:pt idx="1475">
                  <c:v>1.0085</c:v>
                </c:pt>
                <c:pt idx="1476">
                  <c:v>1.0105</c:v>
                </c:pt>
                <c:pt idx="1477">
                  <c:v>1.0148999999999999</c:v>
                </c:pt>
                <c:pt idx="1478">
                  <c:v>1.0148999999999999</c:v>
                </c:pt>
                <c:pt idx="1479">
                  <c:v>1.002</c:v>
                </c:pt>
                <c:pt idx="1480">
                  <c:v>1.01</c:v>
                </c:pt>
                <c:pt idx="1481">
                  <c:v>1.0085999999999999</c:v>
                </c:pt>
                <c:pt idx="1482">
                  <c:v>1.0121</c:v>
                </c:pt>
                <c:pt idx="1483">
                  <c:v>1.0147999999999999</c:v>
                </c:pt>
                <c:pt idx="1484">
                  <c:v>1.0139</c:v>
                </c:pt>
                <c:pt idx="1485">
                  <c:v>1.0136000000000001</c:v>
                </c:pt>
                <c:pt idx="1486">
                  <c:v>1.0132000000000001</c:v>
                </c:pt>
                <c:pt idx="1487">
                  <c:v>1.016</c:v>
                </c:pt>
                <c:pt idx="1488">
                  <c:v>1.0132000000000001</c:v>
                </c:pt>
                <c:pt idx="1489">
                  <c:v>1.0184</c:v>
                </c:pt>
                <c:pt idx="1490">
                  <c:v>1.0143</c:v>
                </c:pt>
                <c:pt idx="1491">
                  <c:v>1.0175000000000001</c:v>
                </c:pt>
                <c:pt idx="1492">
                  <c:v>1.0175000000000001</c:v>
                </c:pt>
                <c:pt idx="1493">
                  <c:v>1.0109999999999999</c:v>
                </c:pt>
                <c:pt idx="1494">
                  <c:v>1.0029999999999999</c:v>
                </c:pt>
                <c:pt idx="1495">
                  <c:v>1.0004999999999999</c:v>
                </c:pt>
                <c:pt idx="1496">
                  <c:v>1.0083</c:v>
                </c:pt>
                <c:pt idx="1497">
                  <c:v>1.0143</c:v>
                </c:pt>
                <c:pt idx="1498">
                  <c:v>1.0144</c:v>
                </c:pt>
                <c:pt idx="1499">
                  <c:v>1.0144</c:v>
                </c:pt>
                <c:pt idx="1500">
                  <c:v>1.0117</c:v>
                </c:pt>
                <c:pt idx="1501">
                  <c:v>1.0032000000000001</c:v>
                </c:pt>
                <c:pt idx="1502">
                  <c:v>0.99629999999999996</c:v>
                </c:pt>
                <c:pt idx="1503">
                  <c:v>1.0026999999999999</c:v>
                </c:pt>
                <c:pt idx="1504">
                  <c:v>1.0014000000000001</c:v>
                </c:pt>
                <c:pt idx="1505">
                  <c:v>1.0018</c:v>
                </c:pt>
                <c:pt idx="1506">
                  <c:v>1.0042</c:v>
                </c:pt>
                <c:pt idx="1507">
                  <c:v>1.0123</c:v>
                </c:pt>
                <c:pt idx="1508">
                  <c:v>1.0144</c:v>
                </c:pt>
                <c:pt idx="1509">
                  <c:v>1.0133000000000001</c:v>
                </c:pt>
                <c:pt idx="1510">
                  <c:v>1.0141</c:v>
                </c:pt>
                <c:pt idx="1511">
                  <c:v>1.0141</c:v>
                </c:pt>
                <c:pt idx="1512">
                  <c:v>1.0145</c:v>
                </c:pt>
                <c:pt idx="1513">
                  <c:v>1.0109999999999999</c:v>
                </c:pt>
                <c:pt idx="1514">
                  <c:v>1.0106999999999999</c:v>
                </c:pt>
                <c:pt idx="1515">
                  <c:v>0.99739999999999995</c:v>
                </c:pt>
                <c:pt idx="1516">
                  <c:v>0.98750000000000004</c:v>
                </c:pt>
                <c:pt idx="1517">
                  <c:v>0.99270000000000003</c:v>
                </c:pt>
                <c:pt idx="1518">
                  <c:v>0.99270000000000003</c:v>
                </c:pt>
                <c:pt idx="1519">
                  <c:v>0.98960000000000004</c:v>
                </c:pt>
                <c:pt idx="1520">
                  <c:v>0.99929999999999997</c:v>
                </c:pt>
                <c:pt idx="1521">
                  <c:v>0.99480000000000002</c:v>
                </c:pt>
                <c:pt idx="1522">
                  <c:v>0.99729999999999996</c:v>
                </c:pt>
                <c:pt idx="1523">
                  <c:v>0.98970000000000002</c:v>
                </c:pt>
                <c:pt idx="1524">
                  <c:v>0.98970000000000002</c:v>
                </c:pt>
                <c:pt idx="1525">
                  <c:v>0.98529999999999995</c:v>
                </c:pt>
                <c:pt idx="1526">
                  <c:v>0.99650000000000005</c:v>
                </c:pt>
                <c:pt idx="1527">
                  <c:v>0.99670000000000003</c:v>
                </c:pt>
                <c:pt idx="1528">
                  <c:v>0.99329999999999996</c:v>
                </c:pt>
                <c:pt idx="1529">
                  <c:v>0.99029999999999996</c:v>
                </c:pt>
                <c:pt idx="1530">
                  <c:v>0.98939999999999995</c:v>
                </c:pt>
                <c:pt idx="1531">
                  <c:v>0.98939999999999995</c:v>
                </c:pt>
                <c:pt idx="1532">
                  <c:v>0.99790000000000001</c:v>
                </c:pt>
                <c:pt idx="1533">
                  <c:v>0.99539999999999995</c:v>
                </c:pt>
                <c:pt idx="1534">
                  <c:v>0.9819</c:v>
                </c:pt>
                <c:pt idx="1535">
                  <c:v>0.99360000000000004</c:v>
                </c:pt>
                <c:pt idx="1536">
                  <c:v>0.995</c:v>
                </c:pt>
                <c:pt idx="1537">
                  <c:v>0.99560000000000004</c:v>
                </c:pt>
                <c:pt idx="1538">
                  <c:v>0.99639999999999995</c:v>
                </c:pt>
                <c:pt idx="1539">
                  <c:v>0.99409999999999998</c:v>
                </c:pt>
                <c:pt idx="1540">
                  <c:v>0.99970000000000003</c:v>
                </c:pt>
                <c:pt idx="1541">
                  <c:v>1.0065999999999999</c:v>
                </c:pt>
                <c:pt idx="1542">
                  <c:v>1.0166999999999999</c:v>
                </c:pt>
                <c:pt idx="1543">
                  <c:v>1.0214000000000001</c:v>
                </c:pt>
                <c:pt idx="1544">
                  <c:v>1.0226</c:v>
                </c:pt>
                <c:pt idx="1545">
                  <c:v>1.0226999999999999</c:v>
                </c:pt>
                <c:pt idx="1546">
                  <c:v>1.016</c:v>
                </c:pt>
                <c:pt idx="1547">
                  <c:v>1.0170999999999999</c:v>
                </c:pt>
                <c:pt idx="1548">
                  <c:v>1.0091000000000001</c:v>
                </c:pt>
                <c:pt idx="1549">
                  <c:v>1.0042</c:v>
                </c:pt>
                <c:pt idx="1550">
                  <c:v>1.0001</c:v>
                </c:pt>
                <c:pt idx="1551">
                  <c:v>1.0041</c:v>
                </c:pt>
                <c:pt idx="1552">
                  <c:v>1.0052000000000001</c:v>
                </c:pt>
                <c:pt idx="1553">
                  <c:v>1.0029999999999999</c:v>
                </c:pt>
                <c:pt idx="1554">
                  <c:v>0.99880000000000002</c:v>
                </c:pt>
                <c:pt idx="1555">
                  <c:v>0.99650000000000005</c:v>
                </c:pt>
                <c:pt idx="1556">
                  <c:v>0.99299999999999999</c:v>
                </c:pt>
                <c:pt idx="1557">
                  <c:v>0.98780000000000001</c:v>
                </c:pt>
                <c:pt idx="1558">
                  <c:v>0.98809999999999998</c:v>
                </c:pt>
                <c:pt idx="1559">
                  <c:v>0.98809999999999998</c:v>
                </c:pt>
                <c:pt idx="1560">
                  <c:v>0.98899999999999999</c:v>
                </c:pt>
                <c:pt idx="1561">
                  <c:v>0.98740000000000006</c:v>
                </c:pt>
                <c:pt idx="1562">
                  <c:v>0.99709999999999999</c:v>
                </c:pt>
                <c:pt idx="1563">
                  <c:v>0.99509999999999998</c:v>
                </c:pt>
                <c:pt idx="1564">
                  <c:v>0.98499999999999999</c:v>
                </c:pt>
                <c:pt idx="1565">
                  <c:v>0.98499999999999999</c:v>
                </c:pt>
                <c:pt idx="1566">
                  <c:v>0.98480000000000001</c:v>
                </c:pt>
                <c:pt idx="1567">
                  <c:v>0.97909999999999997</c:v>
                </c:pt>
                <c:pt idx="1568">
                  <c:v>0.98270000000000002</c:v>
                </c:pt>
                <c:pt idx="1569">
                  <c:v>0.98740000000000006</c:v>
                </c:pt>
                <c:pt idx="1570">
                  <c:v>0.99209999999999998</c:v>
                </c:pt>
                <c:pt idx="1571">
                  <c:v>0.99329999999999996</c:v>
                </c:pt>
                <c:pt idx="1572">
                  <c:v>0.97599999999999998</c:v>
                </c:pt>
                <c:pt idx="1573">
                  <c:v>0.9667</c:v>
                </c:pt>
                <c:pt idx="1574">
                  <c:v>0.95850000000000002</c:v>
                </c:pt>
                <c:pt idx="1575">
                  <c:v>0.96220000000000006</c:v>
                </c:pt>
                <c:pt idx="1576">
                  <c:v>0.96689999999999998</c:v>
                </c:pt>
                <c:pt idx="1577">
                  <c:v>0.96450000000000002</c:v>
                </c:pt>
                <c:pt idx="1578">
                  <c:v>0.98070000000000002</c:v>
                </c:pt>
                <c:pt idx="1579">
                  <c:v>0.98129999999999995</c:v>
                </c:pt>
                <c:pt idx="1580">
                  <c:v>0.97499999999999998</c:v>
                </c:pt>
                <c:pt idx="1581">
                  <c:v>0.98809999999999998</c:v>
                </c:pt>
                <c:pt idx="1582">
                  <c:v>0.98560000000000003</c:v>
                </c:pt>
                <c:pt idx="1583">
                  <c:v>0.98640000000000005</c:v>
                </c:pt>
                <c:pt idx="1584">
                  <c:v>0.98960000000000004</c:v>
                </c:pt>
                <c:pt idx="1585">
                  <c:v>0.98129999999999995</c:v>
                </c:pt>
                <c:pt idx="1586">
                  <c:v>0.97750000000000004</c:v>
                </c:pt>
                <c:pt idx="1587">
                  <c:v>0.98540000000000005</c:v>
                </c:pt>
                <c:pt idx="1588">
                  <c:v>0.98640000000000005</c:v>
                </c:pt>
                <c:pt idx="1589">
                  <c:v>0.98640000000000005</c:v>
                </c:pt>
                <c:pt idx="1590">
                  <c:v>0.99570000000000003</c:v>
                </c:pt>
                <c:pt idx="1591">
                  <c:v>1.0038</c:v>
                </c:pt>
                <c:pt idx="1592">
                  <c:v>1.0044999999999999</c:v>
                </c:pt>
                <c:pt idx="1593">
                  <c:v>1.012</c:v>
                </c:pt>
                <c:pt idx="1594">
                  <c:v>1.0161</c:v>
                </c:pt>
                <c:pt idx="1595">
                  <c:v>1.0158</c:v>
                </c:pt>
                <c:pt idx="1596">
                  <c:v>1.0158</c:v>
                </c:pt>
                <c:pt idx="1597">
                  <c:v>1.0157</c:v>
                </c:pt>
                <c:pt idx="1598">
                  <c:v>1.0045999999999999</c:v>
                </c:pt>
                <c:pt idx="1599">
                  <c:v>0.99890000000000001</c:v>
                </c:pt>
                <c:pt idx="1600">
                  <c:v>0.98839999999999995</c:v>
                </c:pt>
                <c:pt idx="1601">
                  <c:v>0.98580000000000001</c:v>
                </c:pt>
                <c:pt idx="1602">
                  <c:v>0.98050000000000004</c:v>
                </c:pt>
                <c:pt idx="1603">
                  <c:v>0.98050000000000004</c:v>
                </c:pt>
                <c:pt idx="1604">
                  <c:v>0.97899999999999998</c:v>
                </c:pt>
                <c:pt idx="1605">
                  <c:v>0.97409999999999997</c:v>
                </c:pt>
                <c:pt idx="1606">
                  <c:v>0.98499999999999999</c:v>
                </c:pt>
                <c:pt idx="1607">
                  <c:v>0.98939999999999995</c:v>
                </c:pt>
                <c:pt idx="1608">
                  <c:v>0.98440000000000005</c:v>
                </c:pt>
                <c:pt idx="1609">
                  <c:v>0.98270000000000002</c:v>
                </c:pt>
                <c:pt idx="1610">
                  <c:v>0.97819999999999996</c:v>
                </c:pt>
                <c:pt idx="1611">
                  <c:v>0.98650000000000004</c:v>
                </c:pt>
                <c:pt idx="1612">
                  <c:v>0.96809999999999996</c:v>
                </c:pt>
                <c:pt idx="1613">
                  <c:v>0.99139999999999995</c:v>
                </c:pt>
                <c:pt idx="1614">
                  <c:v>0.9889</c:v>
                </c:pt>
                <c:pt idx="1615">
                  <c:v>0.98919999999999997</c:v>
                </c:pt>
                <c:pt idx="1616">
                  <c:v>0.99319999999999997</c:v>
                </c:pt>
                <c:pt idx="1617">
                  <c:v>0.99009999999999998</c:v>
                </c:pt>
                <c:pt idx="1618">
                  <c:v>0.98609999999999998</c:v>
                </c:pt>
                <c:pt idx="1619">
                  <c:v>0.98299999999999998</c:v>
                </c:pt>
                <c:pt idx="1620">
                  <c:v>0.98929999999999996</c:v>
                </c:pt>
                <c:pt idx="1621">
                  <c:v>0.98570000000000002</c:v>
                </c:pt>
                <c:pt idx="1622">
                  <c:v>0.98499999999999999</c:v>
                </c:pt>
                <c:pt idx="1623">
                  <c:v>0.98229999999999995</c:v>
                </c:pt>
                <c:pt idx="1624">
                  <c:v>0.97640000000000005</c:v>
                </c:pt>
                <c:pt idx="1625">
                  <c:v>0.97119999999999995</c:v>
                </c:pt>
                <c:pt idx="1626">
                  <c:v>0.96750000000000003</c:v>
                </c:pt>
                <c:pt idx="1627">
                  <c:v>0.97150000000000003</c:v>
                </c:pt>
                <c:pt idx="1628">
                  <c:v>0.97250000000000003</c:v>
                </c:pt>
                <c:pt idx="1629">
                  <c:v>0.96699999999999997</c:v>
                </c:pt>
                <c:pt idx="1630">
                  <c:v>0.96950000000000003</c:v>
                </c:pt>
                <c:pt idx="1631">
                  <c:v>0.96750000000000003</c:v>
                </c:pt>
                <c:pt idx="1632">
                  <c:v>0.96340000000000003</c:v>
                </c:pt>
                <c:pt idx="1633">
                  <c:v>0.95989999999999998</c:v>
                </c:pt>
                <c:pt idx="1634">
                  <c:v>0.95930000000000004</c:v>
                </c:pt>
                <c:pt idx="1635">
                  <c:v>0.95930000000000004</c:v>
                </c:pt>
                <c:pt idx="1636">
                  <c:v>0.94879999999999998</c:v>
                </c:pt>
                <c:pt idx="1637">
                  <c:v>0.95669999999999999</c:v>
                </c:pt>
                <c:pt idx="1638">
                  <c:v>0.95520000000000005</c:v>
                </c:pt>
                <c:pt idx="1639">
                  <c:v>0.94720000000000004</c:v>
                </c:pt>
                <c:pt idx="1640">
                  <c:v>0.93669999999999998</c:v>
                </c:pt>
                <c:pt idx="1641">
                  <c:v>0.9365</c:v>
                </c:pt>
                <c:pt idx="1642">
                  <c:v>0.93810000000000004</c:v>
                </c:pt>
                <c:pt idx="1643">
                  <c:v>0.9395</c:v>
                </c:pt>
                <c:pt idx="1644">
                  <c:v>0.93500000000000005</c:v>
                </c:pt>
                <c:pt idx="1645">
                  <c:v>0.92630000000000001</c:v>
                </c:pt>
                <c:pt idx="1646">
                  <c:v>0.92290000000000005</c:v>
                </c:pt>
                <c:pt idx="1647">
                  <c:v>0.91810000000000003</c:v>
                </c:pt>
                <c:pt idx="1648">
                  <c:v>0.91049999999999998</c:v>
                </c:pt>
                <c:pt idx="1649">
                  <c:v>0.91700000000000004</c:v>
                </c:pt>
                <c:pt idx="1650">
                  <c:v>0.91690000000000005</c:v>
                </c:pt>
                <c:pt idx="1651">
                  <c:v>0.91120000000000001</c:v>
                </c:pt>
                <c:pt idx="1652">
                  <c:v>0.91120000000000001</c:v>
                </c:pt>
                <c:pt idx="1653">
                  <c:v>0.89270000000000005</c:v>
                </c:pt>
                <c:pt idx="1654">
                  <c:v>0.89170000000000005</c:v>
                </c:pt>
                <c:pt idx="1655">
                  <c:v>0.89900000000000002</c:v>
                </c:pt>
                <c:pt idx="1656">
                  <c:v>0.88590000000000002</c:v>
                </c:pt>
                <c:pt idx="1657">
                  <c:v>0.88480000000000003</c:v>
                </c:pt>
                <c:pt idx="1658">
                  <c:v>0.88249999999999995</c:v>
                </c:pt>
                <c:pt idx="1659">
                  <c:v>0.89100000000000001</c:v>
                </c:pt>
                <c:pt idx="1660">
                  <c:v>0.89380000000000004</c:v>
                </c:pt>
                <c:pt idx="1661">
                  <c:v>0.89180000000000004</c:v>
                </c:pt>
                <c:pt idx="1662">
                  <c:v>0.89859999999999995</c:v>
                </c:pt>
                <c:pt idx="1663">
                  <c:v>0.90529999999999999</c:v>
                </c:pt>
                <c:pt idx="1664">
                  <c:v>0.89710000000000001</c:v>
                </c:pt>
                <c:pt idx="1665">
                  <c:v>0.89259999999999995</c:v>
                </c:pt>
                <c:pt idx="1666">
                  <c:v>0.89629999999999999</c:v>
                </c:pt>
                <c:pt idx="1667">
                  <c:v>0.89480000000000004</c:v>
                </c:pt>
                <c:pt idx="1668">
                  <c:v>0.91300000000000003</c:v>
                </c:pt>
                <c:pt idx="1669">
                  <c:v>0.91649999999999998</c:v>
                </c:pt>
                <c:pt idx="1670">
                  <c:v>0.91849999999999998</c:v>
                </c:pt>
                <c:pt idx="1671">
                  <c:v>0.91649999999999998</c:v>
                </c:pt>
                <c:pt idx="1672">
                  <c:v>0.91679999999999995</c:v>
                </c:pt>
                <c:pt idx="1673">
                  <c:v>0.91290000000000004</c:v>
                </c:pt>
                <c:pt idx="1674">
                  <c:v>0.91390000000000005</c:v>
                </c:pt>
                <c:pt idx="1675">
                  <c:v>0.9042</c:v>
                </c:pt>
                <c:pt idx="1676">
                  <c:v>0.9002</c:v>
                </c:pt>
                <c:pt idx="1677">
                  <c:v>0.89349999999999996</c:v>
                </c:pt>
                <c:pt idx="1678">
                  <c:v>0.90249999999999997</c:v>
                </c:pt>
                <c:pt idx="1679">
                  <c:v>0.9022</c:v>
                </c:pt>
                <c:pt idx="1680">
                  <c:v>0.89549999999999996</c:v>
                </c:pt>
                <c:pt idx="1681">
                  <c:v>0.89339999999999997</c:v>
                </c:pt>
                <c:pt idx="1682">
                  <c:v>0.87809999999999999</c:v>
                </c:pt>
                <c:pt idx="1683">
                  <c:v>0.88360000000000005</c:v>
                </c:pt>
                <c:pt idx="1684">
                  <c:v>0.86839999999999995</c:v>
                </c:pt>
                <c:pt idx="1685">
                  <c:v>0.86880000000000002</c:v>
                </c:pt>
                <c:pt idx="1686">
                  <c:v>0.88349999999999995</c:v>
                </c:pt>
                <c:pt idx="1687">
                  <c:v>0.88400000000000001</c:v>
                </c:pt>
                <c:pt idx="1688">
                  <c:v>0.88360000000000005</c:v>
                </c:pt>
                <c:pt idx="1689">
                  <c:v>0.87590000000000001</c:v>
                </c:pt>
                <c:pt idx="1690">
                  <c:v>0.87770000000000004</c:v>
                </c:pt>
                <c:pt idx="1691">
                  <c:v>0.877</c:v>
                </c:pt>
                <c:pt idx="1692">
                  <c:v>0.86329999999999996</c:v>
                </c:pt>
                <c:pt idx="1693">
                  <c:v>0.85209999999999997</c:v>
                </c:pt>
                <c:pt idx="1694">
                  <c:v>0.83940000000000003</c:v>
                </c:pt>
                <c:pt idx="1695">
                  <c:v>0.84350000000000003</c:v>
                </c:pt>
                <c:pt idx="1696">
                  <c:v>0.84160000000000001</c:v>
                </c:pt>
                <c:pt idx="1697">
                  <c:v>0.84179999999999999</c:v>
                </c:pt>
                <c:pt idx="1698">
                  <c:v>0.84330000000000005</c:v>
                </c:pt>
                <c:pt idx="1699">
                  <c:v>0.84060000000000001</c:v>
                </c:pt>
                <c:pt idx="1700">
                  <c:v>0.84870000000000001</c:v>
                </c:pt>
                <c:pt idx="1701">
                  <c:v>0.87209999999999999</c:v>
                </c:pt>
                <c:pt idx="1702">
                  <c:v>0.87609999999999999</c:v>
                </c:pt>
                <c:pt idx="1703">
                  <c:v>0.87380000000000002</c:v>
                </c:pt>
                <c:pt idx="1704">
                  <c:v>0.87439999999999996</c:v>
                </c:pt>
                <c:pt idx="1705">
                  <c:v>0.86660000000000004</c:v>
                </c:pt>
                <c:pt idx="1706">
                  <c:v>0.87390000000000001</c:v>
                </c:pt>
                <c:pt idx="1707">
                  <c:v>0.87170000000000003</c:v>
                </c:pt>
                <c:pt idx="1708">
                  <c:v>0.87649999999999995</c:v>
                </c:pt>
                <c:pt idx="1709">
                  <c:v>0.88080000000000003</c:v>
                </c:pt>
                <c:pt idx="1710">
                  <c:v>0.87160000000000004</c:v>
                </c:pt>
                <c:pt idx="1711">
                  <c:v>0.87180000000000002</c:v>
                </c:pt>
                <c:pt idx="1712">
                  <c:v>0.86860000000000004</c:v>
                </c:pt>
                <c:pt idx="1713">
                  <c:v>0.8639</c:v>
                </c:pt>
                <c:pt idx="1714">
                  <c:v>0.86560000000000004</c:v>
                </c:pt>
                <c:pt idx="1715">
                  <c:v>0.85870000000000002</c:v>
                </c:pt>
                <c:pt idx="1716">
                  <c:v>0.85650000000000004</c:v>
                </c:pt>
                <c:pt idx="1717">
                  <c:v>0.85019999999999996</c:v>
                </c:pt>
                <c:pt idx="1718">
                  <c:v>0.85029999999999994</c:v>
                </c:pt>
                <c:pt idx="1719">
                  <c:v>0.85019999999999996</c:v>
                </c:pt>
                <c:pt idx="1720">
                  <c:v>0.82799999999999996</c:v>
                </c:pt>
                <c:pt idx="1721">
                  <c:v>0.82779999999999998</c:v>
                </c:pt>
                <c:pt idx="1722">
                  <c:v>0.81040000000000001</c:v>
                </c:pt>
                <c:pt idx="1723">
                  <c:v>0.81479999999999997</c:v>
                </c:pt>
                <c:pt idx="1724">
                  <c:v>0.82369999999999999</c:v>
                </c:pt>
                <c:pt idx="1725">
                  <c:v>0.82350000000000001</c:v>
                </c:pt>
                <c:pt idx="1726">
                  <c:v>0.8448</c:v>
                </c:pt>
                <c:pt idx="1727">
                  <c:v>0.84209999999999996</c:v>
                </c:pt>
                <c:pt idx="1728">
                  <c:v>0.83109999999999995</c:v>
                </c:pt>
                <c:pt idx="1729">
                  <c:v>0.84599999999999997</c:v>
                </c:pt>
                <c:pt idx="1730">
                  <c:v>0.84830000000000005</c:v>
                </c:pt>
                <c:pt idx="1731">
                  <c:v>0.84689999999999999</c:v>
                </c:pt>
                <c:pt idx="1732">
                  <c:v>0.84750000000000003</c:v>
                </c:pt>
                <c:pt idx="1733">
                  <c:v>0.85140000000000005</c:v>
                </c:pt>
                <c:pt idx="1734">
                  <c:v>0.8216</c:v>
                </c:pt>
                <c:pt idx="1735">
                  <c:v>0.82769999999999999</c:v>
                </c:pt>
                <c:pt idx="1736">
                  <c:v>0.82650000000000001</c:v>
                </c:pt>
                <c:pt idx="1737">
                  <c:v>0.82899999999999996</c:v>
                </c:pt>
                <c:pt idx="1738">
                  <c:v>0.83199999999999996</c:v>
                </c:pt>
                <c:pt idx="1739">
                  <c:v>0.83230000000000004</c:v>
                </c:pt>
                <c:pt idx="1740">
                  <c:v>0.81720000000000004</c:v>
                </c:pt>
                <c:pt idx="1741">
                  <c:v>0.84699999999999998</c:v>
                </c:pt>
                <c:pt idx="1742">
                  <c:v>0.86450000000000005</c:v>
                </c:pt>
                <c:pt idx="1743">
                  <c:v>0.87749999999999995</c:v>
                </c:pt>
                <c:pt idx="1744">
                  <c:v>0.87660000000000005</c:v>
                </c:pt>
                <c:pt idx="1745">
                  <c:v>0.88560000000000005</c:v>
                </c:pt>
                <c:pt idx="1746">
                  <c:v>0.88600000000000001</c:v>
                </c:pt>
                <c:pt idx="1747">
                  <c:v>0.89629999999999999</c:v>
                </c:pt>
                <c:pt idx="1748">
                  <c:v>0.89349999999999996</c:v>
                </c:pt>
                <c:pt idx="1749">
                  <c:v>0.89510000000000001</c:v>
                </c:pt>
                <c:pt idx="1750">
                  <c:v>0.90290000000000004</c:v>
                </c:pt>
                <c:pt idx="1751">
                  <c:v>0.88829999999999998</c:v>
                </c:pt>
                <c:pt idx="1752">
                  <c:v>0.88519999999999999</c:v>
                </c:pt>
                <c:pt idx="1753">
                  <c:v>0.90610000000000002</c:v>
                </c:pt>
                <c:pt idx="1754">
                  <c:v>0.90880000000000005</c:v>
                </c:pt>
                <c:pt idx="1755">
                  <c:v>0.92610000000000003</c:v>
                </c:pt>
                <c:pt idx="1756">
                  <c:v>0.92379999999999995</c:v>
                </c:pt>
                <c:pt idx="1757">
                  <c:v>0.92430000000000001</c:v>
                </c:pt>
                <c:pt idx="1758">
                  <c:v>0.92449999999999999</c:v>
                </c:pt>
                <c:pt idx="1759">
                  <c:v>0.92769999999999997</c:v>
                </c:pt>
                <c:pt idx="1760">
                  <c:v>0.9254</c:v>
                </c:pt>
                <c:pt idx="1761">
                  <c:v>0.91539999999999999</c:v>
                </c:pt>
                <c:pt idx="1762">
                  <c:v>0.92679999999999996</c:v>
                </c:pt>
                <c:pt idx="1763">
                  <c:v>0.92800000000000005</c:v>
                </c:pt>
                <c:pt idx="1764">
                  <c:v>0.9274</c:v>
                </c:pt>
                <c:pt idx="1765">
                  <c:v>0.92769999999999997</c:v>
                </c:pt>
                <c:pt idx="1766">
                  <c:v>0.9274</c:v>
                </c:pt>
                <c:pt idx="1767">
                  <c:v>0.92679999999999996</c:v>
                </c:pt>
                <c:pt idx="1768">
                  <c:v>0.93169999999999997</c:v>
                </c:pt>
                <c:pt idx="1769">
                  <c:v>0.92390000000000005</c:v>
                </c:pt>
                <c:pt idx="1770">
                  <c:v>0.91949999999999998</c:v>
                </c:pt>
                <c:pt idx="1771">
                  <c:v>0.92459999999999998</c:v>
                </c:pt>
                <c:pt idx="1772">
                  <c:v>0.93459999999999999</c:v>
                </c:pt>
                <c:pt idx="1773">
                  <c:v>0.93520000000000003</c:v>
                </c:pt>
                <c:pt idx="1774">
                  <c:v>0.92920000000000003</c:v>
                </c:pt>
                <c:pt idx="1775">
                  <c:v>0.92759999999999998</c:v>
                </c:pt>
                <c:pt idx="1776">
                  <c:v>0.93440000000000001</c:v>
                </c:pt>
                <c:pt idx="1777">
                  <c:v>0.93300000000000005</c:v>
                </c:pt>
                <c:pt idx="1778">
                  <c:v>0.93340000000000001</c:v>
                </c:pt>
                <c:pt idx="1779">
                  <c:v>0.92859999999999998</c:v>
                </c:pt>
                <c:pt idx="1780">
                  <c:v>0.92669999999999997</c:v>
                </c:pt>
                <c:pt idx="1781">
                  <c:v>0.92830000000000001</c:v>
                </c:pt>
                <c:pt idx="1782">
                  <c:v>0.9214</c:v>
                </c:pt>
                <c:pt idx="1783">
                  <c:v>0.92079999999999995</c:v>
                </c:pt>
                <c:pt idx="1784">
                  <c:v>0.91910000000000003</c:v>
                </c:pt>
                <c:pt idx="1785">
                  <c:v>0.91930000000000001</c:v>
                </c:pt>
                <c:pt idx="1786">
                  <c:v>0.92100000000000004</c:v>
                </c:pt>
                <c:pt idx="1787">
                  <c:v>0.91720000000000002</c:v>
                </c:pt>
                <c:pt idx="1788">
                  <c:v>0.91959999999999997</c:v>
                </c:pt>
                <c:pt idx="1789">
                  <c:v>0.91759999999999997</c:v>
                </c:pt>
                <c:pt idx="1790">
                  <c:v>0.9083</c:v>
                </c:pt>
                <c:pt idx="1791">
                  <c:v>0.90400000000000003</c:v>
                </c:pt>
                <c:pt idx="1792">
                  <c:v>0.90410000000000001</c:v>
                </c:pt>
                <c:pt idx="1793">
                  <c:v>0.90749999999999997</c:v>
                </c:pt>
                <c:pt idx="1794">
                  <c:v>0.90739999999999998</c:v>
                </c:pt>
                <c:pt idx="1795">
                  <c:v>0.91879999999999995</c:v>
                </c:pt>
                <c:pt idx="1796">
                  <c:v>0.91820000000000002</c:v>
                </c:pt>
                <c:pt idx="1797">
                  <c:v>0.91459999999999997</c:v>
                </c:pt>
                <c:pt idx="1798">
                  <c:v>0.91610000000000003</c:v>
                </c:pt>
                <c:pt idx="1799">
                  <c:v>0.91559999999999997</c:v>
                </c:pt>
                <c:pt idx="1800">
                  <c:v>0.92079999999999995</c:v>
                </c:pt>
                <c:pt idx="1801">
                  <c:v>0.92359999999999998</c:v>
                </c:pt>
                <c:pt idx="1802">
                  <c:v>0.91859999999999997</c:v>
                </c:pt>
                <c:pt idx="1803">
                  <c:v>0.91459999999999997</c:v>
                </c:pt>
                <c:pt idx="1804">
                  <c:v>0.91410000000000002</c:v>
                </c:pt>
                <c:pt idx="1805">
                  <c:v>0.91439999999999999</c:v>
                </c:pt>
                <c:pt idx="1806">
                  <c:v>0.91520000000000001</c:v>
                </c:pt>
                <c:pt idx="1807">
                  <c:v>0.9153</c:v>
                </c:pt>
                <c:pt idx="1808">
                  <c:v>0.91539999999999999</c:v>
                </c:pt>
                <c:pt idx="1809">
                  <c:v>0.91390000000000005</c:v>
                </c:pt>
                <c:pt idx="1810">
                  <c:v>0.9093</c:v>
                </c:pt>
                <c:pt idx="1811">
                  <c:v>0.91100000000000003</c:v>
                </c:pt>
                <c:pt idx="1812">
                  <c:v>0.90739999999999998</c:v>
                </c:pt>
                <c:pt idx="1813">
                  <c:v>0.90769999999999995</c:v>
                </c:pt>
                <c:pt idx="1814">
                  <c:v>0.90010000000000001</c:v>
                </c:pt>
                <c:pt idx="1815">
                  <c:v>0.90569999999999995</c:v>
                </c:pt>
                <c:pt idx="1816">
                  <c:v>0.90349999999999997</c:v>
                </c:pt>
                <c:pt idx="1817">
                  <c:v>0.90100000000000002</c:v>
                </c:pt>
                <c:pt idx="1818">
                  <c:v>0.89590000000000003</c:v>
                </c:pt>
                <c:pt idx="1819">
                  <c:v>0.89590000000000003</c:v>
                </c:pt>
                <c:pt idx="1820">
                  <c:v>0.89570000000000005</c:v>
                </c:pt>
                <c:pt idx="1821">
                  <c:v>0.88839999999999997</c:v>
                </c:pt>
                <c:pt idx="1822">
                  <c:v>0.89349999999999996</c:v>
                </c:pt>
                <c:pt idx="1823">
                  <c:v>0.89129999999999998</c:v>
                </c:pt>
                <c:pt idx="1824">
                  <c:v>0.90049999999999997</c:v>
                </c:pt>
                <c:pt idx="1825">
                  <c:v>0.90129999999999999</c:v>
                </c:pt>
                <c:pt idx="1826">
                  <c:v>0.89880000000000004</c:v>
                </c:pt>
                <c:pt idx="1827">
                  <c:v>0.89429999999999998</c:v>
                </c:pt>
                <c:pt idx="1828">
                  <c:v>0.89939999999999998</c:v>
                </c:pt>
                <c:pt idx="1829">
                  <c:v>0.90200000000000002</c:v>
                </c:pt>
                <c:pt idx="1830">
                  <c:v>0.88849999999999996</c:v>
                </c:pt>
                <c:pt idx="1831">
                  <c:v>0.88749999999999996</c:v>
                </c:pt>
                <c:pt idx="1832">
                  <c:v>0.88849999999999996</c:v>
                </c:pt>
                <c:pt idx="1833">
                  <c:v>0.88800000000000001</c:v>
                </c:pt>
                <c:pt idx="1834">
                  <c:v>0.89039999999999997</c:v>
                </c:pt>
                <c:pt idx="1835">
                  <c:v>0.87539999999999996</c:v>
                </c:pt>
                <c:pt idx="1836">
                  <c:v>0.87880000000000003</c:v>
                </c:pt>
                <c:pt idx="1837">
                  <c:v>0.86470000000000002</c:v>
                </c:pt>
                <c:pt idx="1838">
                  <c:v>0.86560000000000004</c:v>
                </c:pt>
                <c:pt idx="1839">
                  <c:v>0.86809999999999998</c:v>
                </c:pt>
                <c:pt idx="1840">
                  <c:v>0.86819999999999997</c:v>
                </c:pt>
                <c:pt idx="1841">
                  <c:v>0.86450000000000005</c:v>
                </c:pt>
                <c:pt idx="1842">
                  <c:v>0.88290000000000002</c:v>
                </c:pt>
                <c:pt idx="1843">
                  <c:v>0.88629999999999998</c:v>
                </c:pt>
                <c:pt idx="1844">
                  <c:v>0.89129999999999998</c:v>
                </c:pt>
                <c:pt idx="1845">
                  <c:v>0.8831</c:v>
                </c:pt>
                <c:pt idx="1846">
                  <c:v>0.88319999999999999</c:v>
                </c:pt>
                <c:pt idx="1847">
                  <c:v>0.88380000000000003</c:v>
                </c:pt>
                <c:pt idx="1848">
                  <c:v>0.89449999999999996</c:v>
                </c:pt>
                <c:pt idx="1849">
                  <c:v>0.89529999999999998</c:v>
                </c:pt>
                <c:pt idx="1850">
                  <c:v>0.89849999999999997</c:v>
                </c:pt>
                <c:pt idx="1851">
                  <c:v>0.9042</c:v>
                </c:pt>
                <c:pt idx="1852">
                  <c:v>0.90600000000000003</c:v>
                </c:pt>
                <c:pt idx="1853">
                  <c:v>0.90029999999999999</c:v>
                </c:pt>
                <c:pt idx="1854">
                  <c:v>0.90039999999999998</c:v>
                </c:pt>
                <c:pt idx="1855">
                  <c:v>0.9</c:v>
                </c:pt>
                <c:pt idx="1856">
                  <c:v>0.91</c:v>
                </c:pt>
                <c:pt idx="1857">
                  <c:v>0.92320000000000002</c:v>
                </c:pt>
                <c:pt idx="1858">
                  <c:v>0.9264</c:v>
                </c:pt>
                <c:pt idx="1859">
                  <c:v>0.92149999999999999</c:v>
                </c:pt>
                <c:pt idx="1860">
                  <c:v>0.92310000000000003</c:v>
                </c:pt>
                <c:pt idx="1861">
                  <c:v>0.93179999999999996</c:v>
                </c:pt>
                <c:pt idx="1862">
                  <c:v>0.92420000000000002</c:v>
                </c:pt>
                <c:pt idx="1863">
                  <c:v>0.91990000000000005</c:v>
                </c:pt>
                <c:pt idx="1864">
                  <c:v>0.92979999999999996</c:v>
                </c:pt>
                <c:pt idx="1865">
                  <c:v>0.93079999999999996</c:v>
                </c:pt>
                <c:pt idx="1866">
                  <c:v>0.92490000000000006</c:v>
                </c:pt>
                <c:pt idx="1867">
                  <c:v>0.92459999999999998</c:v>
                </c:pt>
                <c:pt idx="1868">
                  <c:v>0.91749999999999998</c:v>
                </c:pt>
                <c:pt idx="1869">
                  <c:v>0.91979999999999995</c:v>
                </c:pt>
                <c:pt idx="1870">
                  <c:v>0.91190000000000004</c:v>
                </c:pt>
                <c:pt idx="1871">
                  <c:v>0.91259999999999997</c:v>
                </c:pt>
                <c:pt idx="1872">
                  <c:v>0.89829999999999999</c:v>
                </c:pt>
                <c:pt idx="1873">
                  <c:v>0.8972</c:v>
                </c:pt>
                <c:pt idx="1874">
                  <c:v>0.89739999999999998</c:v>
                </c:pt>
                <c:pt idx="1875">
                  <c:v>0.89429999999999998</c:v>
                </c:pt>
                <c:pt idx="1876">
                  <c:v>0.89480000000000004</c:v>
                </c:pt>
                <c:pt idx="1877">
                  <c:v>0.88700000000000001</c:v>
                </c:pt>
                <c:pt idx="1878">
                  <c:v>0.88839999999999997</c:v>
                </c:pt>
                <c:pt idx="1879">
                  <c:v>0.88370000000000004</c:v>
                </c:pt>
                <c:pt idx="1880">
                  <c:v>0.88280000000000003</c:v>
                </c:pt>
                <c:pt idx="1881">
                  <c:v>0.87990000000000002</c:v>
                </c:pt>
                <c:pt idx="1882">
                  <c:v>0.87609999999999999</c:v>
                </c:pt>
                <c:pt idx="1883">
                  <c:v>0.88149999999999995</c:v>
                </c:pt>
                <c:pt idx="1884">
                  <c:v>0.8861</c:v>
                </c:pt>
                <c:pt idx="1885">
                  <c:v>0.89029999999999998</c:v>
                </c:pt>
                <c:pt idx="1886">
                  <c:v>0.89019999999999999</c:v>
                </c:pt>
                <c:pt idx="1887">
                  <c:v>0.88670000000000004</c:v>
                </c:pt>
                <c:pt idx="1888">
                  <c:v>0.90080000000000005</c:v>
                </c:pt>
                <c:pt idx="1889">
                  <c:v>0.90620000000000001</c:v>
                </c:pt>
                <c:pt idx="1890">
                  <c:v>0.91679999999999995</c:v>
                </c:pt>
                <c:pt idx="1891">
                  <c:v>0.91059999999999997</c:v>
                </c:pt>
                <c:pt idx="1892">
                  <c:v>0.91300000000000003</c:v>
                </c:pt>
                <c:pt idx="1893">
                  <c:v>0.91269999999999996</c:v>
                </c:pt>
                <c:pt idx="1894">
                  <c:v>0.91679999999999995</c:v>
                </c:pt>
                <c:pt idx="1895">
                  <c:v>0.90859999999999996</c:v>
                </c:pt>
                <c:pt idx="1896">
                  <c:v>0.90369999999999995</c:v>
                </c:pt>
                <c:pt idx="1897">
                  <c:v>0.91269999999999996</c:v>
                </c:pt>
                <c:pt idx="1898">
                  <c:v>0.91600000000000004</c:v>
                </c:pt>
                <c:pt idx="1899">
                  <c:v>0.9153</c:v>
                </c:pt>
                <c:pt idx="1900">
                  <c:v>0.91479999999999995</c:v>
                </c:pt>
                <c:pt idx="1901">
                  <c:v>0.92390000000000005</c:v>
                </c:pt>
                <c:pt idx="1902">
                  <c:v>0.92459999999999998</c:v>
                </c:pt>
                <c:pt idx="1903">
                  <c:v>0.92510000000000003</c:v>
                </c:pt>
                <c:pt idx="1904">
                  <c:v>0.91600000000000004</c:v>
                </c:pt>
                <c:pt idx="1905">
                  <c:v>0.91590000000000005</c:v>
                </c:pt>
                <c:pt idx="1906">
                  <c:v>0.90690000000000004</c:v>
                </c:pt>
                <c:pt idx="1907">
                  <c:v>0.90629999999999999</c:v>
                </c:pt>
                <c:pt idx="1908">
                  <c:v>0.91359999999999997</c:v>
                </c:pt>
                <c:pt idx="1909">
                  <c:v>0.93200000000000005</c:v>
                </c:pt>
                <c:pt idx="1910">
                  <c:v>0.91920000000000002</c:v>
                </c:pt>
                <c:pt idx="1911">
                  <c:v>0.92369999999999997</c:v>
                </c:pt>
                <c:pt idx="1912">
                  <c:v>0.91910000000000003</c:v>
                </c:pt>
                <c:pt idx="1913">
                  <c:v>0.91510000000000002</c:v>
                </c:pt>
                <c:pt idx="1914">
                  <c:v>0.91459999999999997</c:v>
                </c:pt>
                <c:pt idx="1915">
                  <c:v>0.91859999999999997</c:v>
                </c:pt>
                <c:pt idx="1916">
                  <c:v>0.92959999999999998</c:v>
                </c:pt>
                <c:pt idx="1917">
                  <c:v>0.93059999999999998</c:v>
                </c:pt>
                <c:pt idx="1918">
                  <c:v>0.93689999999999996</c:v>
                </c:pt>
                <c:pt idx="1919">
                  <c:v>0.93459999999999999</c:v>
                </c:pt>
                <c:pt idx="1920">
                  <c:v>0.93340000000000001</c:v>
                </c:pt>
                <c:pt idx="1921">
                  <c:v>0.93310000000000004</c:v>
                </c:pt>
                <c:pt idx="1922">
                  <c:v>0.9234</c:v>
                </c:pt>
                <c:pt idx="1923">
                  <c:v>0.92979999999999996</c:v>
                </c:pt>
                <c:pt idx="1924">
                  <c:v>0.93059999999999998</c:v>
                </c:pt>
                <c:pt idx="1925">
                  <c:v>0.92969999999999997</c:v>
                </c:pt>
                <c:pt idx="1926">
                  <c:v>0.92490000000000006</c:v>
                </c:pt>
                <c:pt idx="1927">
                  <c:v>0.91849999999999998</c:v>
                </c:pt>
                <c:pt idx="1928">
                  <c:v>0.91869999999999996</c:v>
                </c:pt>
                <c:pt idx="1929">
                  <c:v>0.91</c:v>
                </c:pt>
                <c:pt idx="1930">
                  <c:v>0.91</c:v>
                </c:pt>
                <c:pt idx="1931">
                  <c:v>0.90239999999999998</c:v>
                </c:pt>
                <c:pt idx="1932">
                  <c:v>0.90390000000000004</c:v>
                </c:pt>
                <c:pt idx="1933">
                  <c:v>0.90400000000000003</c:v>
                </c:pt>
                <c:pt idx="1934">
                  <c:v>0.90010000000000001</c:v>
                </c:pt>
                <c:pt idx="1935">
                  <c:v>0.91490000000000005</c:v>
                </c:pt>
                <c:pt idx="1936">
                  <c:v>0.89700000000000002</c:v>
                </c:pt>
                <c:pt idx="1937">
                  <c:v>0.91659999999999997</c:v>
                </c:pt>
                <c:pt idx="1938">
                  <c:v>0.91600000000000004</c:v>
                </c:pt>
                <c:pt idx="1939">
                  <c:v>0.92069999999999996</c:v>
                </c:pt>
                <c:pt idx="1940">
                  <c:v>0.92249999999999999</c:v>
                </c:pt>
                <c:pt idx="1941">
                  <c:v>0.92679999999999996</c:v>
                </c:pt>
                <c:pt idx="1942">
                  <c:v>0.92930000000000001</c:v>
                </c:pt>
                <c:pt idx="1943">
                  <c:v>0.92390000000000005</c:v>
                </c:pt>
                <c:pt idx="1944">
                  <c:v>0.92910000000000004</c:v>
                </c:pt>
                <c:pt idx="1945">
                  <c:v>0.91549999999999998</c:v>
                </c:pt>
                <c:pt idx="1946">
                  <c:v>0.91639999999999999</c:v>
                </c:pt>
                <c:pt idx="1947">
                  <c:v>0.9204</c:v>
                </c:pt>
                <c:pt idx="1948">
                  <c:v>0.91490000000000005</c:v>
                </c:pt>
                <c:pt idx="1949">
                  <c:v>0.90900000000000003</c:v>
                </c:pt>
                <c:pt idx="1950">
                  <c:v>0.90720000000000001</c:v>
                </c:pt>
                <c:pt idx="1951">
                  <c:v>0.90500000000000003</c:v>
                </c:pt>
                <c:pt idx="1952">
                  <c:v>0.90380000000000005</c:v>
                </c:pt>
                <c:pt idx="1953">
                  <c:v>0.90610000000000002</c:v>
                </c:pt>
                <c:pt idx="1954">
                  <c:v>0.89100000000000001</c:v>
                </c:pt>
                <c:pt idx="1955">
                  <c:v>0.89039999999999997</c:v>
                </c:pt>
                <c:pt idx="1956">
                  <c:v>0.87770000000000004</c:v>
                </c:pt>
                <c:pt idx="1957">
                  <c:v>0.86750000000000005</c:v>
                </c:pt>
                <c:pt idx="1958">
                  <c:v>0.86550000000000005</c:v>
                </c:pt>
                <c:pt idx="1959">
                  <c:v>0.86960000000000004</c:v>
                </c:pt>
                <c:pt idx="1960">
                  <c:v>0.88290000000000002</c:v>
                </c:pt>
                <c:pt idx="1961">
                  <c:v>0.87039999999999995</c:v>
                </c:pt>
                <c:pt idx="1962">
                  <c:v>0.87239999999999995</c:v>
                </c:pt>
                <c:pt idx="1963">
                  <c:v>0.86780000000000002</c:v>
                </c:pt>
                <c:pt idx="1964">
                  <c:v>0.86799999999999999</c:v>
                </c:pt>
                <c:pt idx="1965">
                  <c:v>0.86480000000000001</c:v>
                </c:pt>
                <c:pt idx="1966">
                  <c:v>0.86960000000000004</c:v>
                </c:pt>
                <c:pt idx="1967">
                  <c:v>0.87339999999999995</c:v>
                </c:pt>
                <c:pt idx="1968">
                  <c:v>0.86280000000000001</c:v>
                </c:pt>
                <c:pt idx="1969">
                  <c:v>0.86739999999999995</c:v>
                </c:pt>
                <c:pt idx="1970">
                  <c:v>0.87270000000000003</c:v>
                </c:pt>
                <c:pt idx="1971">
                  <c:v>0.87360000000000004</c:v>
                </c:pt>
                <c:pt idx="1972">
                  <c:v>0.86329999999999996</c:v>
                </c:pt>
                <c:pt idx="1973">
                  <c:v>0.86209999999999998</c:v>
                </c:pt>
                <c:pt idx="1974">
                  <c:v>0.86180000000000001</c:v>
                </c:pt>
                <c:pt idx="1975">
                  <c:v>0.86329999999999996</c:v>
                </c:pt>
                <c:pt idx="1976">
                  <c:v>0.86409999999999998</c:v>
                </c:pt>
                <c:pt idx="1977">
                  <c:v>0.86250000000000004</c:v>
                </c:pt>
                <c:pt idx="1978">
                  <c:v>0.86160000000000003</c:v>
                </c:pt>
                <c:pt idx="1979">
                  <c:v>0.85580000000000001</c:v>
                </c:pt>
                <c:pt idx="1980">
                  <c:v>0.85060000000000002</c:v>
                </c:pt>
                <c:pt idx="1981">
                  <c:v>0.84030000000000005</c:v>
                </c:pt>
                <c:pt idx="1982">
                  <c:v>0.83389999999999997</c:v>
                </c:pt>
                <c:pt idx="1983">
                  <c:v>0.82609999999999995</c:v>
                </c:pt>
                <c:pt idx="1984">
                  <c:v>0.84379999999999999</c:v>
                </c:pt>
                <c:pt idx="1985">
                  <c:v>0.84119999999999995</c:v>
                </c:pt>
                <c:pt idx="1986">
                  <c:v>0.83940000000000003</c:v>
                </c:pt>
                <c:pt idx="1987">
                  <c:v>0.82830000000000004</c:v>
                </c:pt>
                <c:pt idx="1988">
                  <c:v>0.83550000000000002</c:v>
                </c:pt>
                <c:pt idx="1989">
                  <c:v>0.83889999999999998</c:v>
                </c:pt>
                <c:pt idx="1990">
                  <c:v>0.83479999999999999</c:v>
                </c:pt>
                <c:pt idx="1991">
                  <c:v>0.83120000000000005</c:v>
                </c:pt>
                <c:pt idx="1992">
                  <c:v>0.82869999999999999</c:v>
                </c:pt>
                <c:pt idx="1993">
                  <c:v>0.82679999999999998</c:v>
                </c:pt>
                <c:pt idx="1994">
                  <c:v>0.82050000000000001</c:v>
                </c:pt>
                <c:pt idx="1995">
                  <c:v>0.83260000000000001</c:v>
                </c:pt>
                <c:pt idx="1996">
                  <c:v>0.84319999999999995</c:v>
                </c:pt>
                <c:pt idx="1997">
                  <c:v>0.8337</c:v>
                </c:pt>
                <c:pt idx="1998">
                  <c:v>0.82920000000000005</c:v>
                </c:pt>
                <c:pt idx="1999">
                  <c:v>0.83720000000000006</c:v>
                </c:pt>
                <c:pt idx="2000">
                  <c:v>0.83740000000000003</c:v>
                </c:pt>
                <c:pt idx="2001">
                  <c:v>0.83960000000000001</c:v>
                </c:pt>
                <c:pt idx="2002">
                  <c:v>0.84060000000000001</c:v>
                </c:pt>
                <c:pt idx="2003">
                  <c:v>0.84460000000000002</c:v>
                </c:pt>
                <c:pt idx="2004">
                  <c:v>0.84209999999999996</c:v>
                </c:pt>
                <c:pt idx="2005">
                  <c:v>0.83579999999999999</c:v>
                </c:pt>
                <c:pt idx="2006">
                  <c:v>0.8256</c:v>
                </c:pt>
                <c:pt idx="2007">
                  <c:v>0.81779999999999997</c:v>
                </c:pt>
                <c:pt idx="2008">
                  <c:v>0.82679999999999998</c:v>
                </c:pt>
                <c:pt idx="2009">
                  <c:v>0.8226</c:v>
                </c:pt>
                <c:pt idx="2010">
                  <c:v>0.81730000000000003</c:v>
                </c:pt>
                <c:pt idx="2011">
                  <c:v>0.81220000000000003</c:v>
                </c:pt>
                <c:pt idx="2012">
                  <c:v>0.81569999999999998</c:v>
                </c:pt>
                <c:pt idx="2013">
                  <c:v>0.81820000000000004</c:v>
                </c:pt>
                <c:pt idx="2014">
                  <c:v>0.81659999999999999</c:v>
                </c:pt>
                <c:pt idx="2015">
                  <c:v>0.80200000000000005</c:v>
                </c:pt>
                <c:pt idx="2016">
                  <c:v>0.80630000000000002</c:v>
                </c:pt>
                <c:pt idx="2017">
                  <c:v>0.80320000000000003</c:v>
                </c:pt>
                <c:pt idx="2018">
                  <c:v>0.79300000000000004</c:v>
                </c:pt>
                <c:pt idx="2019">
                  <c:v>0.78300000000000003</c:v>
                </c:pt>
                <c:pt idx="2020">
                  <c:v>0.77859999999999996</c:v>
                </c:pt>
                <c:pt idx="2021">
                  <c:v>0.78290000000000004</c:v>
                </c:pt>
                <c:pt idx="2022">
                  <c:v>0.77849999999999997</c:v>
                </c:pt>
                <c:pt idx="2023">
                  <c:v>0.78900000000000003</c:v>
                </c:pt>
                <c:pt idx="2024">
                  <c:v>0.79759999999999998</c:v>
                </c:pt>
                <c:pt idx="2025">
                  <c:v>0.79720000000000002</c:v>
                </c:pt>
                <c:pt idx="2026">
                  <c:v>0.79379999999999995</c:v>
                </c:pt>
                <c:pt idx="2027">
                  <c:v>0.80840000000000001</c:v>
                </c:pt>
                <c:pt idx="2028">
                  <c:v>0.80649999999999999</c:v>
                </c:pt>
                <c:pt idx="2029">
                  <c:v>0.80820000000000003</c:v>
                </c:pt>
                <c:pt idx="2030">
                  <c:v>0.80759999999999998</c:v>
                </c:pt>
                <c:pt idx="2031">
                  <c:v>0.8024</c:v>
                </c:pt>
                <c:pt idx="2032">
                  <c:v>0.79679999999999995</c:v>
                </c:pt>
                <c:pt idx="2033">
                  <c:v>0.79400000000000004</c:v>
                </c:pt>
                <c:pt idx="2034">
                  <c:v>0.78569999999999995</c:v>
                </c:pt>
                <c:pt idx="2035">
                  <c:v>0.80600000000000005</c:v>
                </c:pt>
                <c:pt idx="2036">
                  <c:v>0.79900000000000004</c:v>
                </c:pt>
                <c:pt idx="2037">
                  <c:v>0.79449999999999998</c:v>
                </c:pt>
                <c:pt idx="2038">
                  <c:v>0.79330000000000001</c:v>
                </c:pt>
                <c:pt idx="2039">
                  <c:v>0.79500000000000004</c:v>
                </c:pt>
                <c:pt idx="2040">
                  <c:v>0.81259999999999999</c:v>
                </c:pt>
                <c:pt idx="2041">
                  <c:v>0.81950000000000001</c:v>
                </c:pt>
                <c:pt idx="2042">
                  <c:v>0.80279999999999996</c:v>
                </c:pt>
                <c:pt idx="2043">
                  <c:v>0.80149999999999999</c:v>
                </c:pt>
                <c:pt idx="2044">
                  <c:v>0.78900000000000003</c:v>
                </c:pt>
                <c:pt idx="2045">
                  <c:v>0.79330000000000001</c:v>
                </c:pt>
                <c:pt idx="2046">
                  <c:v>0.80179999999999996</c:v>
                </c:pt>
                <c:pt idx="2047">
                  <c:v>0.80059999999999998</c:v>
                </c:pt>
                <c:pt idx="2048">
                  <c:v>0.82079999999999997</c:v>
                </c:pt>
                <c:pt idx="2049">
                  <c:v>0.81</c:v>
                </c:pt>
                <c:pt idx="2050">
                  <c:v>0.80130000000000001</c:v>
                </c:pt>
                <c:pt idx="2051">
                  <c:v>0.7843</c:v>
                </c:pt>
                <c:pt idx="2052">
                  <c:v>0.77600000000000002</c:v>
                </c:pt>
                <c:pt idx="2053">
                  <c:v>0.7863</c:v>
                </c:pt>
                <c:pt idx="2054">
                  <c:v>0.78220000000000001</c:v>
                </c:pt>
                <c:pt idx="2055">
                  <c:v>0.78290000000000004</c:v>
                </c:pt>
                <c:pt idx="2056">
                  <c:v>0.77839999999999998</c:v>
                </c:pt>
                <c:pt idx="2057">
                  <c:v>0.77529999999999999</c:v>
                </c:pt>
                <c:pt idx="2058">
                  <c:v>0.77490000000000003</c:v>
                </c:pt>
                <c:pt idx="2059">
                  <c:v>0.76570000000000005</c:v>
                </c:pt>
                <c:pt idx="2060">
                  <c:v>0.74929999999999997</c:v>
                </c:pt>
                <c:pt idx="2061">
                  <c:v>0.7601</c:v>
                </c:pt>
                <c:pt idx="2062">
                  <c:v>0.75319999999999998</c:v>
                </c:pt>
                <c:pt idx="2063">
                  <c:v>0.76500000000000001</c:v>
                </c:pt>
                <c:pt idx="2064">
                  <c:v>0.75890000000000002</c:v>
                </c:pt>
                <c:pt idx="2065">
                  <c:v>0.76859999999999995</c:v>
                </c:pt>
                <c:pt idx="2066">
                  <c:v>0.75429999999999997</c:v>
                </c:pt>
                <c:pt idx="2067">
                  <c:v>0.74839999999999995</c:v>
                </c:pt>
                <c:pt idx="2068">
                  <c:v>0.74270000000000003</c:v>
                </c:pt>
                <c:pt idx="2069">
                  <c:v>0.74029999999999996</c:v>
                </c:pt>
                <c:pt idx="2070">
                  <c:v>0.73040000000000005</c:v>
                </c:pt>
                <c:pt idx="2071">
                  <c:v>0.72619999999999996</c:v>
                </c:pt>
                <c:pt idx="2072">
                  <c:v>0.72699999999999998</c:v>
                </c:pt>
                <c:pt idx="2073">
                  <c:v>0.70640000000000003</c:v>
                </c:pt>
                <c:pt idx="2074">
                  <c:v>0.71020000000000005</c:v>
                </c:pt>
                <c:pt idx="2075">
                  <c:v>0.72309999999999997</c:v>
                </c:pt>
                <c:pt idx="2076">
                  <c:v>0.7147</c:v>
                </c:pt>
                <c:pt idx="2077">
                  <c:v>0.70540000000000003</c:v>
                </c:pt>
                <c:pt idx="2078">
                  <c:v>0.71160000000000001</c:v>
                </c:pt>
                <c:pt idx="2079">
                  <c:v>0.6966</c:v>
                </c:pt>
                <c:pt idx="2080">
                  <c:v>0.72209999999999996</c:v>
                </c:pt>
                <c:pt idx="2081">
                  <c:v>0.72060000000000002</c:v>
                </c:pt>
                <c:pt idx="2082">
                  <c:v>0.72840000000000005</c:v>
                </c:pt>
                <c:pt idx="2083">
                  <c:v>0.7238</c:v>
                </c:pt>
                <c:pt idx="2084">
                  <c:v>0.73170000000000002</c:v>
                </c:pt>
                <c:pt idx="2085">
                  <c:v>0.71899999999999997</c:v>
                </c:pt>
                <c:pt idx="2086">
                  <c:v>0.71940000000000004</c:v>
                </c:pt>
                <c:pt idx="2087">
                  <c:v>0.71020000000000005</c:v>
                </c:pt>
                <c:pt idx="2088">
                  <c:v>0.71079999999999999</c:v>
                </c:pt>
                <c:pt idx="2089">
                  <c:v>0.71399999999999997</c:v>
                </c:pt>
                <c:pt idx="2090">
                  <c:v>0.71499999999999997</c:v>
                </c:pt>
                <c:pt idx="2091">
                  <c:v>0.71530000000000005</c:v>
                </c:pt>
                <c:pt idx="2092">
                  <c:v>0.69899999999999995</c:v>
                </c:pt>
                <c:pt idx="2093">
                  <c:v>0.69120000000000004</c:v>
                </c:pt>
                <c:pt idx="2094">
                  <c:v>0.68130000000000002</c:v>
                </c:pt>
                <c:pt idx="2095">
                  <c:v>0.69399999999999995</c:v>
                </c:pt>
                <c:pt idx="2096">
                  <c:v>0.7016</c:v>
                </c:pt>
                <c:pt idx="2097">
                  <c:v>0.69769999999999999</c:v>
                </c:pt>
                <c:pt idx="2098">
                  <c:v>0.69540000000000002</c:v>
                </c:pt>
                <c:pt idx="2099">
                  <c:v>0.70530000000000004</c:v>
                </c:pt>
                <c:pt idx="2100">
                  <c:v>0.68689999999999996</c:v>
                </c:pt>
                <c:pt idx="2101">
                  <c:v>0.68530000000000002</c:v>
                </c:pt>
                <c:pt idx="2102">
                  <c:v>0.67659999999999998</c:v>
                </c:pt>
                <c:pt idx="2103">
                  <c:v>0.66200000000000003</c:v>
                </c:pt>
                <c:pt idx="2104">
                  <c:v>0.65939999999999999</c:v>
                </c:pt>
                <c:pt idx="2105">
                  <c:v>0.65790000000000004</c:v>
                </c:pt>
                <c:pt idx="2106">
                  <c:v>0.65469999999999995</c:v>
                </c:pt>
                <c:pt idx="2107">
                  <c:v>0.65210000000000001</c:v>
                </c:pt>
                <c:pt idx="2108">
                  <c:v>0.64590000000000003</c:v>
                </c:pt>
                <c:pt idx="2109">
                  <c:v>0.63180000000000003</c:v>
                </c:pt>
                <c:pt idx="2110">
                  <c:v>0.64059999999999995</c:v>
                </c:pt>
                <c:pt idx="2111">
                  <c:v>0.63849999999999996</c:v>
                </c:pt>
                <c:pt idx="2112">
                  <c:v>0.64939999999999998</c:v>
                </c:pt>
                <c:pt idx="2113">
                  <c:v>0.63780000000000003</c:v>
                </c:pt>
                <c:pt idx="2114">
                  <c:v>0.62980000000000003</c:v>
                </c:pt>
                <c:pt idx="2115">
                  <c:v>0.63859999999999995</c:v>
                </c:pt>
                <c:pt idx="2116">
                  <c:v>0.64770000000000005</c:v>
                </c:pt>
                <c:pt idx="2117">
                  <c:v>0.64690000000000003</c:v>
                </c:pt>
                <c:pt idx="2118">
                  <c:v>0.65110000000000001</c:v>
                </c:pt>
                <c:pt idx="2119">
                  <c:v>0.64149999999999996</c:v>
                </c:pt>
                <c:pt idx="2120">
                  <c:v>0.64549999999999996</c:v>
                </c:pt>
                <c:pt idx="2121">
                  <c:v>0.64370000000000005</c:v>
                </c:pt>
                <c:pt idx="2122">
                  <c:v>0.63719999999999999</c:v>
                </c:pt>
                <c:pt idx="2123">
                  <c:v>0.63500000000000001</c:v>
                </c:pt>
                <c:pt idx="2124">
                  <c:v>0.6502</c:v>
                </c:pt>
                <c:pt idx="2125">
                  <c:v>0.65559999999999996</c:v>
                </c:pt>
                <c:pt idx="2126">
                  <c:v>0.65239999999999998</c:v>
                </c:pt>
                <c:pt idx="2127">
                  <c:v>0.65590000000000004</c:v>
                </c:pt>
                <c:pt idx="2128">
                  <c:v>0.65490000000000004</c:v>
                </c:pt>
                <c:pt idx="2129">
                  <c:v>0.6784</c:v>
                </c:pt>
                <c:pt idx="2130">
                  <c:v>0.67549999999999999</c:v>
                </c:pt>
                <c:pt idx="2131">
                  <c:v>0.65229999999999999</c:v>
                </c:pt>
                <c:pt idx="2132">
                  <c:v>0.64410000000000001</c:v>
                </c:pt>
                <c:pt idx="2133">
                  <c:v>0.6512</c:v>
                </c:pt>
                <c:pt idx="2134">
                  <c:v>0.63149999999999995</c:v>
                </c:pt>
                <c:pt idx="2135">
                  <c:v>0.63759999999999994</c:v>
                </c:pt>
                <c:pt idx="2136">
                  <c:v>0.6522</c:v>
                </c:pt>
                <c:pt idx="2137">
                  <c:v>0.66600000000000004</c:v>
                </c:pt>
                <c:pt idx="2138">
                  <c:v>0.66149999999999998</c:v>
                </c:pt>
                <c:pt idx="2139">
                  <c:v>0.65990000000000004</c:v>
                </c:pt>
                <c:pt idx="2140">
                  <c:v>0.65380000000000005</c:v>
                </c:pt>
                <c:pt idx="2141">
                  <c:v>0.65539999999999998</c:v>
                </c:pt>
                <c:pt idx="2142">
                  <c:v>0.66200000000000003</c:v>
                </c:pt>
                <c:pt idx="2143">
                  <c:v>0.65069999999999995</c:v>
                </c:pt>
                <c:pt idx="2144">
                  <c:v>0.66690000000000005</c:v>
                </c:pt>
                <c:pt idx="2145">
                  <c:v>0.67330000000000001</c:v>
                </c:pt>
                <c:pt idx="2146">
                  <c:v>0.66300000000000003</c:v>
                </c:pt>
                <c:pt idx="2147">
                  <c:v>0.6613</c:v>
                </c:pt>
                <c:pt idx="2148">
                  <c:v>0.66490000000000005</c:v>
                </c:pt>
                <c:pt idx="2149">
                  <c:v>0.68179999999999996</c:v>
                </c:pt>
                <c:pt idx="2150">
                  <c:v>0.70369999999999999</c:v>
                </c:pt>
                <c:pt idx="2151">
                  <c:v>0.71199999999999997</c:v>
                </c:pt>
                <c:pt idx="2152">
                  <c:v>0.71279999999999999</c:v>
                </c:pt>
                <c:pt idx="2153">
                  <c:v>0.72319999999999995</c:v>
                </c:pt>
                <c:pt idx="2154">
                  <c:v>0.71719999999999995</c:v>
                </c:pt>
                <c:pt idx="2155">
                  <c:v>0.71140000000000003</c:v>
                </c:pt>
                <c:pt idx="2156">
                  <c:v>0.70540000000000003</c:v>
                </c:pt>
                <c:pt idx="2157">
                  <c:v>0.7026</c:v>
                </c:pt>
                <c:pt idx="2158">
                  <c:v>0.69169999999999998</c:v>
                </c:pt>
                <c:pt idx="2159">
                  <c:v>0.68530000000000002</c:v>
                </c:pt>
                <c:pt idx="2160">
                  <c:v>0.6845</c:v>
                </c:pt>
                <c:pt idx="2161">
                  <c:v>0.68300000000000005</c:v>
                </c:pt>
                <c:pt idx="2162">
                  <c:v>0.68300000000000005</c:v>
                </c:pt>
                <c:pt idx="2163">
                  <c:v>0.68059999999999998</c:v>
                </c:pt>
                <c:pt idx="2164">
                  <c:v>0.68400000000000005</c:v>
                </c:pt>
                <c:pt idx="2165">
                  <c:v>0.6804</c:v>
                </c:pt>
                <c:pt idx="2166">
                  <c:v>0.6865</c:v>
                </c:pt>
                <c:pt idx="2167">
                  <c:v>0.70379999999999998</c:v>
                </c:pt>
                <c:pt idx="2168">
                  <c:v>0.69440000000000002</c:v>
                </c:pt>
                <c:pt idx="2169">
                  <c:v>0.66869999999999996</c:v>
                </c:pt>
                <c:pt idx="2170">
                  <c:v>0.66420000000000001</c:v>
                </c:pt>
                <c:pt idx="2171">
                  <c:v>0.67210000000000003</c:v>
                </c:pt>
                <c:pt idx="2172">
                  <c:v>0.65580000000000005</c:v>
                </c:pt>
                <c:pt idx="2173">
                  <c:v>0.65869999999999995</c:v>
                </c:pt>
                <c:pt idx="2174">
                  <c:v>0.66459999999999997</c:v>
                </c:pt>
                <c:pt idx="2175">
                  <c:v>0.64549999999999996</c:v>
                </c:pt>
                <c:pt idx="2176">
                  <c:v>0.64449999999999996</c:v>
                </c:pt>
                <c:pt idx="2177">
                  <c:v>0.64870000000000005</c:v>
                </c:pt>
                <c:pt idx="2178">
                  <c:v>0.64290000000000003</c:v>
                </c:pt>
                <c:pt idx="2179">
                  <c:v>0.64029999999999998</c:v>
                </c:pt>
                <c:pt idx="2180">
                  <c:v>0.65510000000000002</c:v>
                </c:pt>
                <c:pt idx="2181">
                  <c:v>0.65710000000000002</c:v>
                </c:pt>
                <c:pt idx="2182">
                  <c:v>0.65229999999999999</c:v>
                </c:pt>
                <c:pt idx="2183">
                  <c:v>0.64929999999999999</c:v>
                </c:pt>
                <c:pt idx="2184">
                  <c:v>0.65369999999999995</c:v>
                </c:pt>
                <c:pt idx="2185">
                  <c:v>0.63200000000000001</c:v>
                </c:pt>
                <c:pt idx="2186">
                  <c:v>0.61040000000000005</c:v>
                </c:pt>
                <c:pt idx="2187">
                  <c:v>0.63660000000000005</c:v>
                </c:pt>
                <c:pt idx="2188">
                  <c:v>0.65249999999999997</c:v>
                </c:pt>
                <c:pt idx="2189">
                  <c:v>0.64890000000000003</c:v>
                </c:pt>
                <c:pt idx="2190">
                  <c:v>0.64839999999999998</c:v>
                </c:pt>
                <c:pt idx="2191">
                  <c:v>0.66620000000000001</c:v>
                </c:pt>
                <c:pt idx="2192">
                  <c:v>0.64070000000000005</c:v>
                </c:pt>
                <c:pt idx="2193">
                  <c:v>0.65710000000000002</c:v>
                </c:pt>
                <c:pt idx="2194">
                  <c:v>0.66969999999999996</c:v>
                </c:pt>
                <c:pt idx="2195">
                  <c:v>0.67420000000000002</c:v>
                </c:pt>
                <c:pt idx="2196">
                  <c:v>0.66539999999999999</c:v>
                </c:pt>
                <c:pt idx="2197">
                  <c:v>0.68169999999999997</c:v>
                </c:pt>
                <c:pt idx="2198">
                  <c:v>0.69789999999999996</c:v>
                </c:pt>
                <c:pt idx="2199">
                  <c:v>0.67659999999999998</c:v>
                </c:pt>
                <c:pt idx="2200">
                  <c:v>0.66769999999999996</c:v>
                </c:pt>
                <c:pt idx="2201">
                  <c:v>0.68240000000000001</c:v>
                </c:pt>
                <c:pt idx="2202">
                  <c:v>0.66800000000000004</c:v>
                </c:pt>
                <c:pt idx="2203">
                  <c:v>0.64180000000000004</c:v>
                </c:pt>
                <c:pt idx="2204">
                  <c:v>0.60129999999999995</c:v>
                </c:pt>
                <c:pt idx="2205">
                  <c:v>0.62209999999999999</c:v>
                </c:pt>
                <c:pt idx="2206">
                  <c:v>0.66930000000000001</c:v>
                </c:pt>
                <c:pt idx="2207">
                  <c:v>0.67320000000000002</c:v>
                </c:pt>
                <c:pt idx="2208">
                  <c:v>0.67110000000000003</c:v>
                </c:pt>
                <c:pt idx="2209">
                  <c:v>0.70399999999999996</c:v>
                </c:pt>
                <c:pt idx="2210">
                  <c:v>0.68869999999999998</c:v>
                </c:pt>
                <c:pt idx="2211">
                  <c:v>0.69020000000000004</c:v>
                </c:pt>
                <c:pt idx="2212">
                  <c:v>0.66149999999999998</c:v>
                </c:pt>
                <c:pt idx="2213">
                  <c:v>0.69620000000000004</c:v>
                </c:pt>
                <c:pt idx="2214">
                  <c:v>0.69840000000000002</c:v>
                </c:pt>
                <c:pt idx="2215">
                  <c:v>0.64349999999999996</c:v>
                </c:pt>
                <c:pt idx="2216">
                  <c:v>0.68420000000000003</c:v>
                </c:pt>
                <c:pt idx="2217">
                  <c:v>0.6643</c:v>
                </c:pt>
                <c:pt idx="2218">
                  <c:v>0.70599999999999996</c:v>
                </c:pt>
                <c:pt idx="2219">
                  <c:v>0.72230000000000005</c:v>
                </c:pt>
                <c:pt idx="2220">
                  <c:v>0.77400000000000002</c:v>
                </c:pt>
                <c:pt idx="2221">
                  <c:v>0.77270000000000005</c:v>
                </c:pt>
                <c:pt idx="2222">
                  <c:v>0.78739999999999999</c:v>
                </c:pt>
                <c:pt idx="2223">
                  <c:v>0.79239999999999999</c:v>
                </c:pt>
                <c:pt idx="2224">
                  <c:v>0.80449999999999999</c:v>
                </c:pt>
                <c:pt idx="2225">
                  <c:v>0.83099999999999996</c:v>
                </c:pt>
                <c:pt idx="2226">
                  <c:v>0.83530000000000004</c:v>
                </c:pt>
                <c:pt idx="2227">
                  <c:v>0.83399999999999996</c:v>
                </c:pt>
                <c:pt idx="2228">
                  <c:v>0.83289999999999997</c:v>
                </c:pt>
                <c:pt idx="2229">
                  <c:v>0.84419999999999995</c:v>
                </c:pt>
                <c:pt idx="2230">
                  <c:v>0.83450000000000002</c:v>
                </c:pt>
                <c:pt idx="2231">
                  <c:v>0.80479999999999996</c:v>
                </c:pt>
                <c:pt idx="2232">
                  <c:v>0.79049999999999998</c:v>
                </c:pt>
                <c:pt idx="2233">
                  <c:v>0.80069999999999997</c:v>
                </c:pt>
                <c:pt idx="2234">
                  <c:v>0.80640000000000001</c:v>
                </c:pt>
                <c:pt idx="2235">
                  <c:v>0.82369999999999999</c:v>
                </c:pt>
                <c:pt idx="2236">
                  <c:v>0.80700000000000005</c:v>
                </c:pt>
                <c:pt idx="2237">
                  <c:v>0.80169999999999997</c:v>
                </c:pt>
                <c:pt idx="2238">
                  <c:v>0.80220000000000002</c:v>
                </c:pt>
                <c:pt idx="2239">
                  <c:v>0.8165</c:v>
                </c:pt>
                <c:pt idx="2240">
                  <c:v>0.81579999999999997</c:v>
                </c:pt>
                <c:pt idx="2241">
                  <c:v>0.82299999999999995</c:v>
                </c:pt>
                <c:pt idx="2242">
                  <c:v>0.83589999999999998</c:v>
                </c:pt>
                <c:pt idx="2243">
                  <c:v>0.83779999999999999</c:v>
                </c:pt>
                <c:pt idx="2244">
                  <c:v>0.85350000000000004</c:v>
                </c:pt>
                <c:pt idx="2245">
                  <c:v>0.85860000000000003</c:v>
                </c:pt>
                <c:pt idx="2246">
                  <c:v>0.86250000000000004</c:v>
                </c:pt>
                <c:pt idx="2247">
                  <c:v>0.8589</c:v>
                </c:pt>
                <c:pt idx="2248">
                  <c:v>0.85540000000000005</c:v>
                </c:pt>
                <c:pt idx="2249">
                  <c:v>0.86270000000000002</c:v>
                </c:pt>
                <c:pt idx="2250">
                  <c:v>0.86650000000000005</c:v>
                </c:pt>
                <c:pt idx="2251">
                  <c:v>0.88070000000000004</c:v>
                </c:pt>
                <c:pt idx="2252">
                  <c:v>0.87360000000000004</c:v>
                </c:pt>
                <c:pt idx="2253">
                  <c:v>0.87139999999999995</c:v>
                </c:pt>
                <c:pt idx="2254">
                  <c:v>0.86819999999999997</c:v>
                </c:pt>
                <c:pt idx="2255">
                  <c:v>0.86639999999999995</c:v>
                </c:pt>
                <c:pt idx="2256">
                  <c:v>0.87190000000000001</c:v>
                </c:pt>
                <c:pt idx="2257">
                  <c:v>0.87450000000000006</c:v>
                </c:pt>
                <c:pt idx="2258">
                  <c:v>0.87339999999999995</c:v>
                </c:pt>
                <c:pt idx="2259">
                  <c:v>0.88380000000000003</c:v>
                </c:pt>
                <c:pt idx="2260">
                  <c:v>0.88939999999999997</c:v>
                </c:pt>
                <c:pt idx="2261">
                  <c:v>0.90649999999999997</c:v>
                </c:pt>
                <c:pt idx="2262">
                  <c:v>0.9083</c:v>
                </c:pt>
                <c:pt idx="2263">
                  <c:v>0.91610000000000003</c:v>
                </c:pt>
                <c:pt idx="2264">
                  <c:v>0.92930000000000001</c:v>
                </c:pt>
                <c:pt idx="2265">
                  <c:v>0.92910000000000004</c:v>
                </c:pt>
                <c:pt idx="2266">
                  <c:v>0.94220000000000004</c:v>
                </c:pt>
                <c:pt idx="2267">
                  <c:v>0.94430000000000003</c:v>
                </c:pt>
                <c:pt idx="2268">
                  <c:v>0.95279999999999998</c:v>
                </c:pt>
                <c:pt idx="2269">
                  <c:v>0.95669999999999999</c:v>
                </c:pt>
                <c:pt idx="2270">
                  <c:v>0.95630000000000004</c:v>
                </c:pt>
                <c:pt idx="2271">
                  <c:v>0.95850000000000002</c:v>
                </c:pt>
                <c:pt idx="2272">
                  <c:v>0.96189999999999998</c:v>
                </c:pt>
                <c:pt idx="2273">
                  <c:v>0.97130000000000005</c:v>
                </c:pt>
                <c:pt idx="2274">
                  <c:v>0.97709999999999997</c:v>
                </c:pt>
                <c:pt idx="2275">
                  <c:v>0.97040000000000004</c:v>
                </c:pt>
                <c:pt idx="2276">
                  <c:v>0.97619999999999996</c:v>
                </c:pt>
                <c:pt idx="2277">
                  <c:v>0.9748</c:v>
                </c:pt>
                <c:pt idx="2278">
                  <c:v>0.97940000000000005</c:v>
                </c:pt>
                <c:pt idx="2279">
                  <c:v>0.9718</c:v>
                </c:pt>
                <c:pt idx="2280">
                  <c:v>0.96619999999999995</c:v>
                </c:pt>
                <c:pt idx="2281">
                  <c:v>0.96189999999999998</c:v>
                </c:pt>
                <c:pt idx="2282">
                  <c:v>0.95709999999999995</c:v>
                </c:pt>
                <c:pt idx="2283">
                  <c:v>0.95350000000000001</c:v>
                </c:pt>
                <c:pt idx="2284">
                  <c:v>0.95640000000000003</c:v>
                </c:pt>
                <c:pt idx="2285">
                  <c:v>0.96319999999999995</c:v>
                </c:pt>
                <c:pt idx="2286">
                  <c:v>0.96020000000000005</c:v>
                </c:pt>
                <c:pt idx="2287">
                  <c:v>0.96189999999999998</c:v>
                </c:pt>
                <c:pt idx="2288">
                  <c:v>0.95509999999999995</c:v>
                </c:pt>
                <c:pt idx="2289">
                  <c:v>0.95840000000000003</c:v>
                </c:pt>
                <c:pt idx="2290">
                  <c:v>0.96079999999999999</c:v>
                </c:pt>
                <c:pt idx="2291">
                  <c:v>0.95569999999999999</c:v>
                </c:pt>
                <c:pt idx="2292">
                  <c:v>0.9597</c:v>
                </c:pt>
                <c:pt idx="2293">
                  <c:v>0.95509999999999995</c:v>
                </c:pt>
                <c:pt idx="2294">
                  <c:v>0.95199999999999996</c:v>
                </c:pt>
                <c:pt idx="2295">
                  <c:v>0.95330000000000004</c:v>
                </c:pt>
                <c:pt idx="2296">
                  <c:v>0.95099999999999996</c:v>
                </c:pt>
                <c:pt idx="2297">
                  <c:v>0.94710000000000005</c:v>
                </c:pt>
                <c:pt idx="2298">
                  <c:v>0.94369999999999998</c:v>
                </c:pt>
                <c:pt idx="2299">
                  <c:v>0.94069999999999998</c:v>
                </c:pt>
                <c:pt idx="2300">
                  <c:v>0.93910000000000005</c:v>
                </c:pt>
                <c:pt idx="2301">
                  <c:v>0.93430000000000002</c:v>
                </c:pt>
                <c:pt idx="2302">
                  <c:v>0.94689999999999996</c:v>
                </c:pt>
                <c:pt idx="2303">
                  <c:v>0.94599999999999995</c:v>
                </c:pt>
                <c:pt idx="2304">
                  <c:v>0.95040000000000002</c:v>
                </c:pt>
                <c:pt idx="2305">
                  <c:v>0.96279999999999999</c:v>
                </c:pt>
                <c:pt idx="2306">
                  <c:v>0.95899999999999996</c:v>
                </c:pt>
                <c:pt idx="2307">
                  <c:v>0.95740000000000003</c:v>
                </c:pt>
                <c:pt idx="2308">
                  <c:v>0.95240000000000002</c:v>
                </c:pt>
                <c:pt idx="2309">
                  <c:v>0.95530000000000004</c:v>
                </c:pt>
                <c:pt idx="2310">
                  <c:v>0.95589999999999997</c:v>
                </c:pt>
                <c:pt idx="2311">
                  <c:v>0.95550000000000002</c:v>
                </c:pt>
                <c:pt idx="2312">
                  <c:v>0.9627</c:v>
                </c:pt>
                <c:pt idx="2313">
                  <c:v>0.95879999999999999</c:v>
                </c:pt>
                <c:pt idx="2314">
                  <c:v>0.96079999999999999</c:v>
                </c:pt>
                <c:pt idx="2315">
                  <c:v>0.95940000000000003</c:v>
                </c:pt>
                <c:pt idx="2316">
                  <c:v>0.95550000000000002</c:v>
                </c:pt>
                <c:pt idx="2317">
                  <c:v>0.96230000000000004</c:v>
                </c:pt>
                <c:pt idx="2318">
                  <c:v>0.95860000000000001</c:v>
                </c:pt>
                <c:pt idx="2319">
                  <c:v>0.95340000000000003</c:v>
                </c:pt>
                <c:pt idx="2320">
                  <c:v>0.9556</c:v>
                </c:pt>
                <c:pt idx="2321">
                  <c:v>0.94040000000000001</c:v>
                </c:pt>
                <c:pt idx="2322">
                  <c:v>0.93410000000000004</c:v>
                </c:pt>
                <c:pt idx="2323">
                  <c:v>0.94020000000000004</c:v>
                </c:pt>
                <c:pt idx="2324">
                  <c:v>0.94769999999999999</c:v>
                </c:pt>
                <c:pt idx="2325">
                  <c:v>0.94330000000000003</c:v>
                </c:pt>
                <c:pt idx="2326">
                  <c:v>0.94350000000000001</c:v>
                </c:pt>
                <c:pt idx="2327">
                  <c:v>0.94210000000000005</c:v>
                </c:pt>
                <c:pt idx="2328">
                  <c:v>0.9496</c:v>
                </c:pt>
                <c:pt idx="2329">
                  <c:v>0.9466</c:v>
                </c:pt>
                <c:pt idx="2330">
                  <c:v>0.93469999999999998</c:v>
                </c:pt>
                <c:pt idx="2331">
                  <c:v>0.93340000000000001</c:v>
                </c:pt>
                <c:pt idx="2332">
                  <c:v>0.94369999999999998</c:v>
                </c:pt>
                <c:pt idx="2333">
                  <c:v>0.93400000000000005</c:v>
                </c:pt>
                <c:pt idx="2334">
                  <c:v>0.93899999999999995</c:v>
                </c:pt>
                <c:pt idx="2335">
                  <c:v>0.93320000000000003</c:v>
                </c:pt>
                <c:pt idx="2336">
                  <c:v>0.93969999999999998</c:v>
                </c:pt>
                <c:pt idx="2337">
                  <c:v>0.94910000000000005</c:v>
                </c:pt>
                <c:pt idx="2338">
                  <c:v>0.94479999999999997</c:v>
                </c:pt>
                <c:pt idx="2339">
                  <c:v>0.94269999999999998</c:v>
                </c:pt>
                <c:pt idx="2340">
                  <c:v>0.93440000000000001</c:v>
                </c:pt>
                <c:pt idx="2341">
                  <c:v>0.93759999999999999</c:v>
                </c:pt>
                <c:pt idx="2342">
                  <c:v>0.93959999999999999</c:v>
                </c:pt>
                <c:pt idx="2343">
                  <c:v>0.9264</c:v>
                </c:pt>
                <c:pt idx="2344">
                  <c:v>0.92669999999999997</c:v>
                </c:pt>
                <c:pt idx="2345">
                  <c:v>0.92769999999999997</c:v>
                </c:pt>
                <c:pt idx="2346">
                  <c:v>0.93220000000000003</c:v>
                </c:pt>
                <c:pt idx="2347">
                  <c:v>0.9284</c:v>
                </c:pt>
                <c:pt idx="2348">
                  <c:v>0.93189999999999995</c:v>
                </c:pt>
                <c:pt idx="2349">
                  <c:v>0.92579999999999996</c:v>
                </c:pt>
                <c:pt idx="2350">
                  <c:v>0.92249999999999999</c:v>
                </c:pt>
                <c:pt idx="2351">
                  <c:v>0.91639999999999999</c:v>
                </c:pt>
                <c:pt idx="2352">
                  <c:v>0.91410000000000002</c:v>
                </c:pt>
                <c:pt idx="2353">
                  <c:v>0.9073</c:v>
                </c:pt>
                <c:pt idx="2354">
                  <c:v>0.91300000000000003</c:v>
                </c:pt>
                <c:pt idx="2355">
                  <c:v>0.91739999999999999</c:v>
                </c:pt>
                <c:pt idx="2356">
                  <c:v>0.91890000000000005</c:v>
                </c:pt>
                <c:pt idx="2357">
                  <c:v>0.92</c:v>
                </c:pt>
                <c:pt idx="2358">
                  <c:v>0.91739999999999999</c:v>
                </c:pt>
                <c:pt idx="2359">
                  <c:v>0.90639999999999998</c:v>
                </c:pt>
                <c:pt idx="2360">
                  <c:v>0.90169999999999995</c:v>
                </c:pt>
                <c:pt idx="2361">
                  <c:v>0.8992</c:v>
                </c:pt>
                <c:pt idx="2362">
                  <c:v>0.91439999999999999</c:v>
                </c:pt>
                <c:pt idx="2363">
                  <c:v>0.92700000000000005</c:v>
                </c:pt>
                <c:pt idx="2364">
                  <c:v>0.92190000000000005</c:v>
                </c:pt>
                <c:pt idx="2365">
                  <c:v>0.93710000000000004</c:v>
                </c:pt>
                <c:pt idx="2366">
                  <c:v>0.94679999999999997</c:v>
                </c:pt>
                <c:pt idx="2367">
                  <c:v>0.93320000000000003</c:v>
                </c:pt>
                <c:pt idx="2368">
                  <c:v>0.92889999999999995</c:v>
                </c:pt>
                <c:pt idx="2369">
                  <c:v>0.91620000000000001</c:v>
                </c:pt>
                <c:pt idx="2370">
                  <c:v>0.92679999999999996</c:v>
                </c:pt>
                <c:pt idx="2371">
                  <c:v>0.92620000000000002</c:v>
                </c:pt>
                <c:pt idx="2372">
                  <c:v>0.93420000000000003</c:v>
                </c:pt>
                <c:pt idx="2373">
                  <c:v>0.92759999999999998</c:v>
                </c:pt>
                <c:pt idx="2374">
                  <c:v>0.9395</c:v>
                </c:pt>
                <c:pt idx="2375">
                  <c:v>0.93079999999999996</c:v>
                </c:pt>
                <c:pt idx="2376">
                  <c:v>0.94879999999999998</c:v>
                </c:pt>
                <c:pt idx="2377">
                  <c:v>0.94159999999999999</c:v>
                </c:pt>
                <c:pt idx="2378">
                  <c:v>0.93379999999999996</c:v>
                </c:pt>
                <c:pt idx="2379">
                  <c:v>0.92669999999999997</c:v>
                </c:pt>
                <c:pt idx="2380">
                  <c:v>0.9234</c:v>
                </c:pt>
                <c:pt idx="2381">
                  <c:v>0.91879999999999995</c:v>
                </c:pt>
                <c:pt idx="2382">
                  <c:v>0.91839999999999999</c:v>
                </c:pt>
                <c:pt idx="2383">
                  <c:v>0.91879999999999995</c:v>
                </c:pt>
                <c:pt idx="2384">
                  <c:v>0.91359999999999997</c:v>
                </c:pt>
                <c:pt idx="2385">
                  <c:v>0.90900000000000003</c:v>
                </c:pt>
                <c:pt idx="2386">
                  <c:v>0.90190000000000003</c:v>
                </c:pt>
                <c:pt idx="2387">
                  <c:v>0.89600000000000002</c:v>
                </c:pt>
                <c:pt idx="2388">
                  <c:v>0.90339999999999998</c:v>
                </c:pt>
                <c:pt idx="2389">
                  <c:v>0.90359999999999996</c:v>
                </c:pt>
                <c:pt idx="2390">
                  <c:v>0.89539999999999997</c:v>
                </c:pt>
                <c:pt idx="2391">
                  <c:v>0.89470000000000005</c:v>
                </c:pt>
                <c:pt idx="2392">
                  <c:v>0.89610000000000001</c:v>
                </c:pt>
                <c:pt idx="2393">
                  <c:v>0.8972</c:v>
                </c:pt>
                <c:pt idx="2394">
                  <c:v>0.90800000000000003</c:v>
                </c:pt>
                <c:pt idx="2395">
                  <c:v>0.90410000000000001</c:v>
                </c:pt>
                <c:pt idx="2396">
                  <c:v>0.89570000000000005</c:v>
                </c:pt>
                <c:pt idx="2397">
                  <c:v>0.89370000000000005</c:v>
                </c:pt>
                <c:pt idx="2398">
                  <c:v>0.88939999999999997</c:v>
                </c:pt>
                <c:pt idx="2399">
                  <c:v>0.88880000000000003</c:v>
                </c:pt>
                <c:pt idx="2400">
                  <c:v>0.87970000000000004</c:v>
                </c:pt>
                <c:pt idx="2401">
                  <c:v>0.88180000000000003</c:v>
                </c:pt>
                <c:pt idx="2402">
                  <c:v>0.87329999999999997</c:v>
                </c:pt>
                <c:pt idx="2403">
                  <c:v>0.86839999999999995</c:v>
                </c:pt>
                <c:pt idx="2404">
                  <c:v>0.86150000000000004</c:v>
                </c:pt>
                <c:pt idx="2405">
                  <c:v>0.87909999999999999</c:v>
                </c:pt>
                <c:pt idx="2406">
                  <c:v>0.87660000000000005</c:v>
                </c:pt>
                <c:pt idx="2407">
                  <c:v>0.87990000000000002</c:v>
                </c:pt>
                <c:pt idx="2408">
                  <c:v>0.88100000000000001</c:v>
                </c:pt>
                <c:pt idx="2409">
                  <c:v>0.89949999999999997</c:v>
                </c:pt>
                <c:pt idx="2410">
                  <c:v>0.89080000000000004</c:v>
                </c:pt>
                <c:pt idx="2411">
                  <c:v>0.89549999999999996</c:v>
                </c:pt>
                <c:pt idx="2412">
                  <c:v>0.8831</c:v>
                </c:pt>
                <c:pt idx="2413">
                  <c:v>0.87860000000000005</c:v>
                </c:pt>
                <c:pt idx="2414">
                  <c:v>0.873</c:v>
                </c:pt>
                <c:pt idx="2415">
                  <c:v>0.87219999999999998</c:v>
                </c:pt>
                <c:pt idx="2416">
                  <c:v>0.88029999999999997</c:v>
                </c:pt>
                <c:pt idx="2417">
                  <c:v>0.88370000000000004</c:v>
                </c:pt>
                <c:pt idx="2418">
                  <c:v>0.87619999999999998</c:v>
                </c:pt>
                <c:pt idx="2419">
                  <c:v>0.87490000000000001</c:v>
                </c:pt>
                <c:pt idx="2420">
                  <c:v>0.876</c:v>
                </c:pt>
                <c:pt idx="2421">
                  <c:v>0.878</c:v>
                </c:pt>
                <c:pt idx="2422">
                  <c:v>0.87419999999999998</c:v>
                </c:pt>
                <c:pt idx="2423">
                  <c:v>0.87129999999999996</c:v>
                </c:pt>
                <c:pt idx="2424">
                  <c:v>0.87150000000000005</c:v>
                </c:pt>
                <c:pt idx="2425">
                  <c:v>0.86739999999999995</c:v>
                </c:pt>
                <c:pt idx="2426">
                  <c:v>0.85880000000000001</c:v>
                </c:pt>
                <c:pt idx="2427">
                  <c:v>0.85899999999999999</c:v>
                </c:pt>
                <c:pt idx="2428">
                  <c:v>0.86050000000000004</c:v>
                </c:pt>
                <c:pt idx="2429">
                  <c:v>0.85699999999999998</c:v>
                </c:pt>
                <c:pt idx="2430">
                  <c:v>0.86080000000000001</c:v>
                </c:pt>
                <c:pt idx="2431">
                  <c:v>0.87590000000000001</c:v>
                </c:pt>
                <c:pt idx="2432">
                  <c:v>0.88339999999999996</c:v>
                </c:pt>
                <c:pt idx="2433">
                  <c:v>0.87329999999999997</c:v>
                </c:pt>
                <c:pt idx="2434">
                  <c:v>0.88500000000000001</c:v>
                </c:pt>
                <c:pt idx="2435">
                  <c:v>0.87619999999999998</c:v>
                </c:pt>
                <c:pt idx="2436">
                  <c:v>0.87880000000000003</c:v>
                </c:pt>
                <c:pt idx="2437">
                  <c:v>0.86990000000000001</c:v>
                </c:pt>
                <c:pt idx="2438">
                  <c:v>0.874</c:v>
                </c:pt>
                <c:pt idx="2439">
                  <c:v>0.88060000000000005</c:v>
                </c:pt>
                <c:pt idx="2440">
                  <c:v>0.88429999999999997</c:v>
                </c:pt>
                <c:pt idx="2441">
                  <c:v>0.88139999999999996</c:v>
                </c:pt>
                <c:pt idx="2442">
                  <c:v>0.88959999999999995</c:v>
                </c:pt>
                <c:pt idx="2443">
                  <c:v>0.877</c:v>
                </c:pt>
                <c:pt idx="2444">
                  <c:v>0.87070000000000003</c:v>
                </c:pt>
                <c:pt idx="2445">
                  <c:v>0.87780000000000002</c:v>
                </c:pt>
                <c:pt idx="2446">
                  <c:v>0.87150000000000005</c:v>
                </c:pt>
                <c:pt idx="2447">
                  <c:v>0.87080000000000002</c:v>
                </c:pt>
                <c:pt idx="2448">
                  <c:v>0.89270000000000005</c:v>
                </c:pt>
                <c:pt idx="2449">
                  <c:v>0.88400000000000001</c:v>
                </c:pt>
                <c:pt idx="2450">
                  <c:v>0.89300000000000002</c:v>
                </c:pt>
                <c:pt idx="2451">
                  <c:v>0.88560000000000005</c:v>
                </c:pt>
                <c:pt idx="2452">
                  <c:v>0.8952</c:v>
                </c:pt>
                <c:pt idx="2453">
                  <c:v>0.89580000000000004</c:v>
                </c:pt>
                <c:pt idx="2454">
                  <c:v>0.87749999999999995</c:v>
                </c:pt>
                <c:pt idx="2455">
                  <c:v>0.9113</c:v>
                </c:pt>
                <c:pt idx="2456">
                  <c:v>0.92720000000000002</c:v>
                </c:pt>
                <c:pt idx="2457">
                  <c:v>0.92800000000000005</c:v>
                </c:pt>
                <c:pt idx="2458">
                  <c:v>0.92889999999999995</c:v>
                </c:pt>
                <c:pt idx="2459">
                  <c:v>0.92069999999999996</c:v>
                </c:pt>
                <c:pt idx="2460">
                  <c:v>0.92320000000000002</c:v>
                </c:pt>
                <c:pt idx="2461">
                  <c:v>0.9123</c:v>
                </c:pt>
                <c:pt idx="2462">
                  <c:v>0.93430000000000002</c:v>
                </c:pt>
                <c:pt idx="2463">
                  <c:v>0.91879999999999995</c:v>
                </c:pt>
                <c:pt idx="2464">
                  <c:v>0.92130000000000001</c:v>
                </c:pt>
                <c:pt idx="2465">
                  <c:v>0.91830000000000001</c:v>
                </c:pt>
                <c:pt idx="2466">
                  <c:v>0.90890000000000004</c:v>
                </c:pt>
                <c:pt idx="2467">
                  <c:v>0.90300000000000002</c:v>
                </c:pt>
                <c:pt idx="2468">
                  <c:v>0.89859999999999995</c:v>
                </c:pt>
                <c:pt idx="2469">
                  <c:v>0.8861</c:v>
                </c:pt>
                <c:pt idx="2470">
                  <c:v>0.89059999999999995</c:v>
                </c:pt>
                <c:pt idx="2471">
                  <c:v>0.89600000000000002</c:v>
                </c:pt>
                <c:pt idx="2472">
                  <c:v>0.8871</c:v>
                </c:pt>
                <c:pt idx="2473">
                  <c:v>0.88800000000000001</c:v>
                </c:pt>
                <c:pt idx="2474">
                  <c:v>0.89880000000000004</c:v>
                </c:pt>
                <c:pt idx="2475">
                  <c:v>0.90300000000000002</c:v>
                </c:pt>
                <c:pt idx="2476">
                  <c:v>0.89970000000000006</c:v>
                </c:pt>
                <c:pt idx="2477">
                  <c:v>0.89780000000000004</c:v>
                </c:pt>
                <c:pt idx="2478">
                  <c:v>0.89880000000000004</c:v>
                </c:pt>
                <c:pt idx="2479">
                  <c:v>0.89249999999999996</c:v>
                </c:pt>
                <c:pt idx="2480">
                  <c:v>0.89700000000000002</c:v>
                </c:pt>
                <c:pt idx="2481">
                  <c:v>0.88749999999999996</c:v>
                </c:pt>
                <c:pt idx="2482">
                  <c:v>0.88200000000000001</c:v>
                </c:pt>
                <c:pt idx="2483">
                  <c:v>0.88500000000000001</c:v>
                </c:pt>
                <c:pt idx="2484">
                  <c:v>0.89429999999999998</c:v>
                </c:pt>
                <c:pt idx="2485">
                  <c:v>0.88770000000000004</c:v>
                </c:pt>
                <c:pt idx="2486">
                  <c:v>0.87960000000000005</c:v>
                </c:pt>
                <c:pt idx="2487">
                  <c:v>0.87580000000000002</c:v>
                </c:pt>
                <c:pt idx="2488">
                  <c:v>0.873</c:v>
                </c:pt>
                <c:pt idx="2489">
                  <c:v>0.86739999999999995</c:v>
                </c:pt>
                <c:pt idx="2490">
                  <c:v>0.86499999999999999</c:v>
                </c:pt>
                <c:pt idx="2491">
                  <c:v>0.86360000000000003</c:v>
                </c:pt>
                <c:pt idx="2492">
                  <c:v>0.85599999999999998</c:v>
                </c:pt>
                <c:pt idx="2493">
                  <c:v>0.8518</c:v>
                </c:pt>
                <c:pt idx="2494">
                  <c:v>0.83289999999999997</c:v>
                </c:pt>
                <c:pt idx="2495">
                  <c:v>0.8427</c:v>
                </c:pt>
                <c:pt idx="2496">
                  <c:v>0.84079999999999999</c:v>
                </c:pt>
                <c:pt idx="2497">
                  <c:v>0.84209999999999996</c:v>
                </c:pt>
                <c:pt idx="2498">
                  <c:v>0.83420000000000005</c:v>
                </c:pt>
                <c:pt idx="2499">
                  <c:v>0.82640000000000002</c:v>
                </c:pt>
                <c:pt idx="2500">
                  <c:v>0.82640000000000002</c:v>
                </c:pt>
                <c:pt idx="2501">
                  <c:v>0.8286</c:v>
                </c:pt>
                <c:pt idx="2502">
                  <c:v>0.8226</c:v>
                </c:pt>
                <c:pt idx="2503">
                  <c:v>0.82440000000000002</c:v>
                </c:pt>
                <c:pt idx="2504">
                  <c:v>0.8206</c:v>
                </c:pt>
                <c:pt idx="2505">
                  <c:v>0.81850000000000001</c:v>
                </c:pt>
                <c:pt idx="2506">
                  <c:v>0.81520000000000004</c:v>
                </c:pt>
                <c:pt idx="2507">
                  <c:v>0.81910000000000005</c:v>
                </c:pt>
                <c:pt idx="2508">
                  <c:v>0.81759999999999999</c:v>
                </c:pt>
                <c:pt idx="2509">
                  <c:v>0.83020000000000005</c:v>
                </c:pt>
                <c:pt idx="2510">
                  <c:v>0.82630000000000003</c:v>
                </c:pt>
                <c:pt idx="2511">
                  <c:v>0.81850000000000001</c:v>
                </c:pt>
                <c:pt idx="2512">
                  <c:v>0.80620000000000003</c:v>
                </c:pt>
                <c:pt idx="2513">
                  <c:v>0.80149999999999999</c:v>
                </c:pt>
                <c:pt idx="2514">
                  <c:v>0.80659999999999998</c:v>
                </c:pt>
                <c:pt idx="2515">
                  <c:v>0.79720000000000002</c:v>
                </c:pt>
                <c:pt idx="2516">
                  <c:v>0.78580000000000005</c:v>
                </c:pt>
                <c:pt idx="2517">
                  <c:v>0.82120000000000004</c:v>
                </c:pt>
                <c:pt idx="2518">
                  <c:v>0.8347</c:v>
                </c:pt>
                <c:pt idx="2519">
                  <c:v>0.84219999999999995</c:v>
                </c:pt>
                <c:pt idx="2520">
                  <c:v>0.84470000000000001</c:v>
                </c:pt>
                <c:pt idx="2521">
                  <c:v>0.85009999999999997</c:v>
                </c:pt>
                <c:pt idx="2522">
                  <c:v>0.86150000000000004</c:v>
                </c:pt>
                <c:pt idx="2523">
                  <c:v>0.85640000000000005</c:v>
                </c:pt>
                <c:pt idx="2524">
                  <c:v>0.85740000000000005</c:v>
                </c:pt>
                <c:pt idx="2525">
                  <c:v>0.85640000000000005</c:v>
                </c:pt>
                <c:pt idx="2526">
                  <c:v>0.85850000000000004</c:v>
                </c:pt>
                <c:pt idx="2527">
                  <c:v>0.84960000000000002</c:v>
                </c:pt>
                <c:pt idx="2528">
                  <c:v>0.85460000000000003</c:v>
                </c:pt>
                <c:pt idx="2529">
                  <c:v>0.8548</c:v>
                </c:pt>
                <c:pt idx="2530">
                  <c:v>0.85399999999999998</c:v>
                </c:pt>
                <c:pt idx="2531">
                  <c:v>0.87190000000000001</c:v>
                </c:pt>
                <c:pt idx="2532">
                  <c:v>0.88300000000000001</c:v>
                </c:pt>
                <c:pt idx="2533">
                  <c:v>0.88260000000000005</c:v>
                </c:pt>
                <c:pt idx="2534">
                  <c:v>0.88270000000000004</c:v>
                </c:pt>
                <c:pt idx="2535">
                  <c:v>0.87919999999999998</c:v>
                </c:pt>
                <c:pt idx="2536">
                  <c:v>0.87909999999999999</c:v>
                </c:pt>
                <c:pt idx="2537">
                  <c:v>0.87660000000000005</c:v>
                </c:pt>
                <c:pt idx="2538">
                  <c:v>0.87229999999999996</c:v>
                </c:pt>
                <c:pt idx="2539">
                  <c:v>0.87170000000000003</c:v>
                </c:pt>
                <c:pt idx="2540">
                  <c:v>0.86929999999999996</c:v>
                </c:pt>
                <c:pt idx="2541">
                  <c:v>0.86509999999999998</c:v>
                </c:pt>
                <c:pt idx="2542">
                  <c:v>0.86170000000000002</c:v>
                </c:pt>
                <c:pt idx="2543">
                  <c:v>0.86160000000000003</c:v>
                </c:pt>
                <c:pt idx="2544">
                  <c:v>0.86019999999999996</c:v>
                </c:pt>
                <c:pt idx="2545">
                  <c:v>0.85770000000000002</c:v>
                </c:pt>
                <c:pt idx="2546">
                  <c:v>0.85619999999999996</c:v>
                </c:pt>
                <c:pt idx="2547">
                  <c:v>0.85750000000000004</c:v>
                </c:pt>
                <c:pt idx="2548">
                  <c:v>0.85470000000000002</c:v>
                </c:pt>
                <c:pt idx="2549">
                  <c:v>0.85940000000000005</c:v>
                </c:pt>
                <c:pt idx="2550">
                  <c:v>0.84799999999999998</c:v>
                </c:pt>
                <c:pt idx="2551">
                  <c:v>0.8458</c:v>
                </c:pt>
                <c:pt idx="2552">
                  <c:v>0.83699999999999997</c:v>
                </c:pt>
                <c:pt idx="2553">
                  <c:v>0.84630000000000005</c:v>
                </c:pt>
                <c:pt idx="2554">
                  <c:v>0.84660000000000002</c:v>
                </c:pt>
                <c:pt idx="2555">
                  <c:v>0.8468</c:v>
                </c:pt>
                <c:pt idx="2556">
                  <c:v>0.84709999999999996</c:v>
                </c:pt>
                <c:pt idx="2557">
                  <c:v>0.84509999999999996</c:v>
                </c:pt>
                <c:pt idx="2558">
                  <c:v>0.84670000000000001</c:v>
                </c:pt>
                <c:pt idx="2559">
                  <c:v>0.84340000000000004</c:v>
                </c:pt>
                <c:pt idx="2560">
                  <c:v>0.84140000000000004</c:v>
                </c:pt>
                <c:pt idx="2561">
                  <c:v>0.83579999999999999</c:v>
                </c:pt>
                <c:pt idx="2562">
                  <c:v>0.83950000000000002</c:v>
                </c:pt>
                <c:pt idx="2563">
                  <c:v>0.84199999999999997</c:v>
                </c:pt>
                <c:pt idx="2564">
                  <c:v>0.84340000000000004</c:v>
                </c:pt>
                <c:pt idx="2565">
                  <c:v>0.84360000000000002</c:v>
                </c:pt>
                <c:pt idx="2566">
                  <c:v>0.84179999999999999</c:v>
                </c:pt>
                <c:pt idx="2567">
                  <c:v>0.84030000000000005</c:v>
                </c:pt>
                <c:pt idx="2568">
                  <c:v>0.83750000000000002</c:v>
                </c:pt>
                <c:pt idx="2569">
                  <c:v>0.83440000000000003</c:v>
                </c:pt>
                <c:pt idx="2570">
                  <c:v>0.83240000000000003</c:v>
                </c:pt>
                <c:pt idx="2571">
                  <c:v>0.82799999999999996</c:v>
                </c:pt>
                <c:pt idx="2572">
                  <c:v>0.82220000000000004</c:v>
                </c:pt>
                <c:pt idx="2573">
                  <c:v>0.81850000000000001</c:v>
                </c:pt>
                <c:pt idx="2574">
                  <c:v>0.81950000000000001</c:v>
                </c:pt>
                <c:pt idx="2575">
                  <c:v>0.81840000000000002</c:v>
                </c:pt>
                <c:pt idx="2576">
                  <c:v>0.81879999999999997</c:v>
                </c:pt>
                <c:pt idx="2577">
                  <c:v>0.82379999999999998</c:v>
                </c:pt>
                <c:pt idx="2578">
                  <c:v>0.8196</c:v>
                </c:pt>
                <c:pt idx="2579">
                  <c:v>0.82179999999999997</c:v>
                </c:pt>
                <c:pt idx="2580">
                  <c:v>0.82369999999999999</c:v>
                </c:pt>
                <c:pt idx="2581">
                  <c:v>0.8236</c:v>
                </c:pt>
                <c:pt idx="2582">
                  <c:v>0.82389999999999997</c:v>
                </c:pt>
                <c:pt idx="2583">
                  <c:v>0.83289999999999997</c:v>
                </c:pt>
                <c:pt idx="2584">
                  <c:v>0.83240000000000003</c:v>
                </c:pt>
                <c:pt idx="2585">
                  <c:v>0.83140000000000003</c:v>
                </c:pt>
                <c:pt idx="2586">
                  <c:v>0.82879999999999998</c:v>
                </c:pt>
                <c:pt idx="2587">
                  <c:v>0.82779999999999998</c:v>
                </c:pt>
                <c:pt idx="2588">
                  <c:v>0.82840000000000003</c:v>
                </c:pt>
                <c:pt idx="2589">
                  <c:v>0.82509999999999994</c:v>
                </c:pt>
                <c:pt idx="2590">
                  <c:v>0.82099999999999995</c:v>
                </c:pt>
                <c:pt idx="2591">
                  <c:v>0.82420000000000004</c:v>
                </c:pt>
                <c:pt idx="2592">
                  <c:v>0.82550000000000001</c:v>
                </c:pt>
                <c:pt idx="2593">
                  <c:v>0.82869999999999999</c:v>
                </c:pt>
                <c:pt idx="2594">
                  <c:v>0.8306</c:v>
                </c:pt>
                <c:pt idx="2595">
                  <c:v>0.83</c:v>
                </c:pt>
                <c:pt idx="2596">
                  <c:v>0.82609999999999995</c:v>
                </c:pt>
                <c:pt idx="2597">
                  <c:v>0.83320000000000005</c:v>
                </c:pt>
                <c:pt idx="2598">
                  <c:v>0.82689999999999997</c:v>
                </c:pt>
                <c:pt idx="2599">
                  <c:v>0.83220000000000005</c:v>
                </c:pt>
                <c:pt idx="2600">
                  <c:v>0.83750000000000002</c:v>
                </c:pt>
                <c:pt idx="2601">
                  <c:v>0.8347</c:v>
                </c:pt>
                <c:pt idx="2602">
                  <c:v>0.83660000000000001</c:v>
                </c:pt>
                <c:pt idx="2603">
                  <c:v>0.8367</c:v>
                </c:pt>
                <c:pt idx="2604">
                  <c:v>0.83260000000000001</c:v>
                </c:pt>
                <c:pt idx="2605">
                  <c:v>0.8327</c:v>
                </c:pt>
                <c:pt idx="2606">
                  <c:v>0.82930000000000004</c:v>
                </c:pt>
                <c:pt idx="2607">
                  <c:v>0.82420000000000004</c:v>
                </c:pt>
                <c:pt idx="2608">
                  <c:v>0.82650000000000001</c:v>
                </c:pt>
                <c:pt idx="2609">
                  <c:v>0.81669999999999998</c:v>
                </c:pt>
                <c:pt idx="2610">
                  <c:v>0.81630000000000003</c:v>
                </c:pt>
                <c:pt idx="2611">
                  <c:v>0.8196</c:v>
                </c:pt>
                <c:pt idx="2612">
                  <c:v>0.81830000000000003</c:v>
                </c:pt>
                <c:pt idx="2613">
                  <c:v>0.81220000000000003</c:v>
                </c:pt>
                <c:pt idx="2614">
                  <c:v>0.81689999999999996</c:v>
                </c:pt>
                <c:pt idx="2615">
                  <c:v>0.80859999999999999</c:v>
                </c:pt>
                <c:pt idx="2616">
                  <c:v>0.80649999999999999</c:v>
                </c:pt>
                <c:pt idx="2617">
                  <c:v>0.80489999999999995</c:v>
                </c:pt>
                <c:pt idx="2618">
                  <c:v>0.80830000000000002</c:v>
                </c:pt>
                <c:pt idx="2619">
                  <c:v>0.81020000000000003</c:v>
                </c:pt>
                <c:pt idx="2620">
                  <c:v>0.80559999999999998</c:v>
                </c:pt>
                <c:pt idx="2621">
                  <c:v>0.80649999999999999</c:v>
                </c:pt>
                <c:pt idx="2622">
                  <c:v>0.80720000000000003</c:v>
                </c:pt>
                <c:pt idx="2623">
                  <c:v>0.80359999999999998</c:v>
                </c:pt>
                <c:pt idx="2624">
                  <c:v>0.79930000000000001</c:v>
                </c:pt>
                <c:pt idx="2625">
                  <c:v>0.79610000000000003</c:v>
                </c:pt>
                <c:pt idx="2626">
                  <c:v>0.78869999999999996</c:v>
                </c:pt>
                <c:pt idx="2627">
                  <c:v>0.78549999999999998</c:v>
                </c:pt>
                <c:pt idx="2628">
                  <c:v>0.78259999999999996</c:v>
                </c:pt>
                <c:pt idx="2629">
                  <c:v>0.78410000000000002</c:v>
                </c:pt>
                <c:pt idx="2630">
                  <c:v>0.78029999999999999</c:v>
                </c:pt>
                <c:pt idx="2631">
                  <c:v>0.77700000000000002</c:v>
                </c:pt>
                <c:pt idx="2632">
                  <c:v>0.77800000000000002</c:v>
                </c:pt>
                <c:pt idx="2633">
                  <c:v>0.77470000000000006</c:v>
                </c:pt>
                <c:pt idx="2634">
                  <c:v>0.77070000000000005</c:v>
                </c:pt>
                <c:pt idx="2635">
                  <c:v>0.78210000000000002</c:v>
                </c:pt>
                <c:pt idx="2636">
                  <c:v>0.78520000000000001</c:v>
                </c:pt>
                <c:pt idx="2637">
                  <c:v>0.78820000000000001</c:v>
                </c:pt>
                <c:pt idx="2638">
                  <c:v>0.78869999999999996</c:v>
                </c:pt>
                <c:pt idx="2639">
                  <c:v>0.79349999999999998</c:v>
                </c:pt>
                <c:pt idx="2640">
                  <c:v>0.79169999999999996</c:v>
                </c:pt>
                <c:pt idx="2641">
                  <c:v>0.78879999999999995</c:v>
                </c:pt>
                <c:pt idx="2642">
                  <c:v>0.79120000000000001</c:v>
                </c:pt>
                <c:pt idx="2643">
                  <c:v>0.78600000000000003</c:v>
                </c:pt>
                <c:pt idx="2644">
                  <c:v>0.78680000000000005</c:v>
                </c:pt>
                <c:pt idx="2645">
                  <c:v>0.78700000000000003</c:v>
                </c:pt>
                <c:pt idx="2646">
                  <c:v>0.78469999999999995</c:v>
                </c:pt>
                <c:pt idx="2647">
                  <c:v>0.78380000000000005</c:v>
                </c:pt>
                <c:pt idx="2648">
                  <c:v>0.77910000000000001</c:v>
                </c:pt>
                <c:pt idx="2649">
                  <c:v>0.77170000000000005</c:v>
                </c:pt>
                <c:pt idx="2650">
                  <c:v>0.77649999999999997</c:v>
                </c:pt>
                <c:pt idx="2651">
                  <c:v>0.78159999999999996</c:v>
                </c:pt>
                <c:pt idx="2652">
                  <c:v>0.77800000000000002</c:v>
                </c:pt>
                <c:pt idx="2653">
                  <c:v>0.77769999999999995</c:v>
                </c:pt>
                <c:pt idx="2654">
                  <c:v>0.7762</c:v>
                </c:pt>
                <c:pt idx="2655">
                  <c:v>0.77490000000000003</c:v>
                </c:pt>
                <c:pt idx="2656">
                  <c:v>0.77410000000000001</c:v>
                </c:pt>
                <c:pt idx="2657">
                  <c:v>0.77590000000000003</c:v>
                </c:pt>
                <c:pt idx="2658">
                  <c:v>0.7722</c:v>
                </c:pt>
                <c:pt idx="2659">
                  <c:v>0.77170000000000005</c:v>
                </c:pt>
                <c:pt idx="2660">
                  <c:v>0.77349999999999997</c:v>
                </c:pt>
                <c:pt idx="2661">
                  <c:v>0.77329999999999999</c:v>
                </c:pt>
                <c:pt idx="2662">
                  <c:v>0.78110000000000002</c:v>
                </c:pt>
                <c:pt idx="2663">
                  <c:v>0.79249999999999998</c:v>
                </c:pt>
                <c:pt idx="2664">
                  <c:v>0.78800000000000003</c:v>
                </c:pt>
                <c:pt idx="2665">
                  <c:v>0.78979999999999995</c:v>
                </c:pt>
                <c:pt idx="2666">
                  <c:v>0.78900000000000003</c:v>
                </c:pt>
                <c:pt idx="2667">
                  <c:v>0.78690000000000004</c:v>
                </c:pt>
                <c:pt idx="2668">
                  <c:v>0.78320000000000001</c:v>
                </c:pt>
                <c:pt idx="2669">
                  <c:v>0.7843</c:v>
                </c:pt>
                <c:pt idx="2670">
                  <c:v>0.78349999999999997</c:v>
                </c:pt>
                <c:pt idx="2671">
                  <c:v>0.78110000000000002</c:v>
                </c:pt>
                <c:pt idx="2672">
                  <c:v>0.77629999999999999</c:v>
                </c:pt>
                <c:pt idx="2673">
                  <c:v>0.78110000000000002</c:v>
                </c:pt>
                <c:pt idx="2674">
                  <c:v>0.7802</c:v>
                </c:pt>
                <c:pt idx="2675">
                  <c:v>0.77929999999999999</c:v>
                </c:pt>
                <c:pt idx="2676">
                  <c:v>0.7843</c:v>
                </c:pt>
                <c:pt idx="2677">
                  <c:v>0.79149999999999998</c:v>
                </c:pt>
                <c:pt idx="2678">
                  <c:v>0.79590000000000005</c:v>
                </c:pt>
                <c:pt idx="2679">
                  <c:v>0.78939999999999999</c:v>
                </c:pt>
                <c:pt idx="2680">
                  <c:v>0.78939999999999999</c:v>
                </c:pt>
                <c:pt idx="2681">
                  <c:v>0.78969999999999996</c:v>
                </c:pt>
                <c:pt idx="2682">
                  <c:v>0.78410000000000002</c:v>
                </c:pt>
                <c:pt idx="2683">
                  <c:v>0.78169999999999995</c:v>
                </c:pt>
                <c:pt idx="2684">
                  <c:v>0.78490000000000004</c:v>
                </c:pt>
                <c:pt idx="2685">
                  <c:v>0.7843</c:v>
                </c:pt>
                <c:pt idx="2686">
                  <c:v>0.78439999999999999</c:v>
                </c:pt>
                <c:pt idx="2687">
                  <c:v>0.7853</c:v>
                </c:pt>
                <c:pt idx="2688">
                  <c:v>0.78380000000000005</c:v>
                </c:pt>
                <c:pt idx="2689">
                  <c:v>0.78</c:v>
                </c:pt>
                <c:pt idx="2690">
                  <c:v>0.78139999999999998</c:v>
                </c:pt>
                <c:pt idx="2691">
                  <c:v>0.78290000000000004</c:v>
                </c:pt>
                <c:pt idx="2692">
                  <c:v>0.78539999999999999</c:v>
                </c:pt>
                <c:pt idx="2693">
                  <c:v>0.78639999999999999</c:v>
                </c:pt>
                <c:pt idx="2694">
                  <c:v>0.7843</c:v>
                </c:pt>
                <c:pt idx="2695">
                  <c:v>0.78539999999999999</c:v>
                </c:pt>
                <c:pt idx="2696">
                  <c:v>0.7893</c:v>
                </c:pt>
                <c:pt idx="2697">
                  <c:v>0.78510000000000002</c:v>
                </c:pt>
                <c:pt idx="2698">
                  <c:v>0.78610000000000002</c:v>
                </c:pt>
                <c:pt idx="2699">
                  <c:v>0.78979999999999995</c:v>
                </c:pt>
                <c:pt idx="2700">
                  <c:v>0.78900000000000003</c:v>
                </c:pt>
                <c:pt idx="2701">
                  <c:v>0.78879999999999995</c:v>
                </c:pt>
                <c:pt idx="2702">
                  <c:v>0.78349999999999997</c:v>
                </c:pt>
                <c:pt idx="2703">
                  <c:v>0.78359999999999996</c:v>
                </c:pt>
                <c:pt idx="2704">
                  <c:v>0.77910000000000001</c:v>
                </c:pt>
                <c:pt idx="2705">
                  <c:v>0.77880000000000005</c:v>
                </c:pt>
                <c:pt idx="2706">
                  <c:v>0.77410000000000001</c:v>
                </c:pt>
                <c:pt idx="2707">
                  <c:v>0.77590000000000003</c:v>
                </c:pt>
                <c:pt idx="2708">
                  <c:v>0.77110000000000001</c:v>
                </c:pt>
                <c:pt idx="2709">
                  <c:v>0.77039999999999997</c:v>
                </c:pt>
                <c:pt idx="2710">
                  <c:v>0.76880000000000004</c:v>
                </c:pt>
                <c:pt idx="2711">
                  <c:v>0.76639999999999997</c:v>
                </c:pt>
                <c:pt idx="2712">
                  <c:v>0.76439999999999997</c:v>
                </c:pt>
                <c:pt idx="2713">
                  <c:v>0.76559999999999995</c:v>
                </c:pt>
                <c:pt idx="2714">
                  <c:v>0.76200000000000001</c:v>
                </c:pt>
                <c:pt idx="2715">
                  <c:v>0.76749999999999996</c:v>
                </c:pt>
                <c:pt idx="2716">
                  <c:v>0.76790000000000003</c:v>
                </c:pt>
                <c:pt idx="2717">
                  <c:v>0.77100000000000002</c:v>
                </c:pt>
                <c:pt idx="2718">
                  <c:v>0.77339999999999998</c:v>
                </c:pt>
                <c:pt idx="2719">
                  <c:v>0.77149999999999996</c:v>
                </c:pt>
                <c:pt idx="2720">
                  <c:v>0.76959999999999995</c:v>
                </c:pt>
                <c:pt idx="2721">
                  <c:v>0.77439999999999998</c:v>
                </c:pt>
                <c:pt idx="2722">
                  <c:v>0.77529999999999999</c:v>
                </c:pt>
                <c:pt idx="2723">
                  <c:v>0.77449999999999997</c:v>
                </c:pt>
                <c:pt idx="2724">
                  <c:v>0.77</c:v>
                </c:pt>
                <c:pt idx="2725">
                  <c:v>0.76890000000000003</c:v>
                </c:pt>
                <c:pt idx="2726">
                  <c:v>0.76419999999999999</c:v>
                </c:pt>
                <c:pt idx="2727">
                  <c:v>0.76180000000000003</c:v>
                </c:pt>
                <c:pt idx="2728">
                  <c:v>0.75770000000000004</c:v>
                </c:pt>
                <c:pt idx="2729">
                  <c:v>0.75700000000000001</c:v>
                </c:pt>
                <c:pt idx="2730">
                  <c:v>0.75860000000000005</c:v>
                </c:pt>
                <c:pt idx="2731">
                  <c:v>0.75949999999999995</c:v>
                </c:pt>
                <c:pt idx="2732">
                  <c:v>0.75460000000000005</c:v>
                </c:pt>
                <c:pt idx="2733">
                  <c:v>0.75429999999999997</c:v>
                </c:pt>
                <c:pt idx="2734">
                  <c:v>0.75380000000000003</c:v>
                </c:pt>
                <c:pt idx="2735">
                  <c:v>0.75090000000000001</c:v>
                </c:pt>
                <c:pt idx="2736">
                  <c:v>0.751</c:v>
                </c:pt>
                <c:pt idx="2737">
                  <c:v>0.7429</c:v>
                </c:pt>
                <c:pt idx="2738">
                  <c:v>0.74429999999999996</c:v>
                </c:pt>
                <c:pt idx="2739">
                  <c:v>0.74439999999999995</c:v>
                </c:pt>
                <c:pt idx="2740">
                  <c:v>0.74260000000000004</c:v>
                </c:pt>
                <c:pt idx="2741">
                  <c:v>0.74580000000000002</c:v>
                </c:pt>
                <c:pt idx="2742">
                  <c:v>0.74590000000000001</c:v>
                </c:pt>
                <c:pt idx="2743">
                  <c:v>0.74270000000000003</c:v>
                </c:pt>
                <c:pt idx="2744">
                  <c:v>0.74819999999999998</c:v>
                </c:pt>
                <c:pt idx="2745">
                  <c:v>0.74550000000000005</c:v>
                </c:pt>
                <c:pt idx="2746">
                  <c:v>0.74850000000000005</c:v>
                </c:pt>
                <c:pt idx="2747">
                  <c:v>0.75029999999999997</c:v>
                </c:pt>
                <c:pt idx="2748">
                  <c:v>0.75109999999999999</c:v>
                </c:pt>
                <c:pt idx="2749">
                  <c:v>0.75349999999999995</c:v>
                </c:pt>
                <c:pt idx="2750">
                  <c:v>0.75060000000000004</c:v>
                </c:pt>
                <c:pt idx="2751">
                  <c:v>0.75729999999999997</c:v>
                </c:pt>
                <c:pt idx="2752">
                  <c:v>0.75219999999999998</c:v>
                </c:pt>
                <c:pt idx="2753">
                  <c:v>0.75260000000000005</c:v>
                </c:pt>
                <c:pt idx="2754">
                  <c:v>0.75539999999999996</c:v>
                </c:pt>
                <c:pt idx="2755">
                  <c:v>0.75260000000000005</c:v>
                </c:pt>
                <c:pt idx="2756">
                  <c:v>0.75460000000000005</c:v>
                </c:pt>
                <c:pt idx="2757">
                  <c:v>0.753</c:v>
                </c:pt>
                <c:pt idx="2758">
                  <c:v>0.75060000000000004</c:v>
                </c:pt>
                <c:pt idx="2759">
                  <c:v>0.75119999999999998</c:v>
                </c:pt>
                <c:pt idx="2760">
                  <c:v>0.75419999999999998</c:v>
                </c:pt>
                <c:pt idx="2761">
                  <c:v>0.75860000000000005</c:v>
                </c:pt>
                <c:pt idx="2762">
                  <c:v>0.76629999999999998</c:v>
                </c:pt>
                <c:pt idx="2763">
                  <c:v>0.77129999999999999</c:v>
                </c:pt>
                <c:pt idx="2764">
                  <c:v>0.77070000000000005</c:v>
                </c:pt>
                <c:pt idx="2765">
                  <c:v>0.76680000000000004</c:v>
                </c:pt>
                <c:pt idx="2766">
                  <c:v>0.76380000000000003</c:v>
                </c:pt>
                <c:pt idx="2767">
                  <c:v>0.7631</c:v>
                </c:pt>
                <c:pt idx="2768">
                  <c:v>0.76380000000000003</c:v>
                </c:pt>
                <c:pt idx="2769">
                  <c:v>0.7591</c:v>
                </c:pt>
                <c:pt idx="2770">
                  <c:v>0.75600000000000001</c:v>
                </c:pt>
                <c:pt idx="2771">
                  <c:v>0.76129999999999998</c:v>
                </c:pt>
                <c:pt idx="2772">
                  <c:v>0.76280000000000003</c:v>
                </c:pt>
                <c:pt idx="2773">
                  <c:v>0.76200000000000001</c:v>
                </c:pt>
                <c:pt idx="2774">
                  <c:v>0.7631</c:v>
                </c:pt>
                <c:pt idx="2775">
                  <c:v>0.75870000000000004</c:v>
                </c:pt>
                <c:pt idx="2776">
                  <c:v>0.76100000000000001</c:v>
                </c:pt>
                <c:pt idx="2777">
                  <c:v>0.76770000000000005</c:v>
                </c:pt>
                <c:pt idx="2778">
                  <c:v>0.7651</c:v>
                </c:pt>
                <c:pt idx="2779">
                  <c:v>0.7591</c:v>
                </c:pt>
                <c:pt idx="2780">
                  <c:v>0.76570000000000005</c:v>
                </c:pt>
                <c:pt idx="2781">
                  <c:v>0.76739999999999997</c:v>
                </c:pt>
                <c:pt idx="2782">
                  <c:v>0.76629999999999998</c:v>
                </c:pt>
                <c:pt idx="2783">
                  <c:v>0.76100000000000001</c:v>
                </c:pt>
                <c:pt idx="2784">
                  <c:v>0.76359999999999995</c:v>
                </c:pt>
                <c:pt idx="2785">
                  <c:v>0.76480000000000004</c:v>
                </c:pt>
                <c:pt idx="2786">
                  <c:v>0.76100000000000001</c:v>
                </c:pt>
                <c:pt idx="2787">
                  <c:v>0.76400000000000001</c:v>
                </c:pt>
                <c:pt idx="2788">
                  <c:v>0.76590000000000003</c:v>
                </c:pt>
                <c:pt idx="2789">
                  <c:v>0.7661</c:v>
                </c:pt>
                <c:pt idx="2790">
                  <c:v>0.76729999999999998</c:v>
                </c:pt>
                <c:pt idx="2791">
                  <c:v>0.76219999999999999</c:v>
                </c:pt>
                <c:pt idx="2792">
                  <c:v>0.76149999999999995</c:v>
                </c:pt>
                <c:pt idx="2793">
                  <c:v>0.75270000000000004</c:v>
                </c:pt>
                <c:pt idx="2794">
                  <c:v>0.75449999999999995</c:v>
                </c:pt>
                <c:pt idx="2795">
                  <c:v>0.75260000000000005</c:v>
                </c:pt>
                <c:pt idx="2796">
                  <c:v>0.75170000000000003</c:v>
                </c:pt>
                <c:pt idx="2797">
                  <c:v>0.74980000000000002</c:v>
                </c:pt>
                <c:pt idx="2798">
                  <c:v>0.74609999999999999</c:v>
                </c:pt>
                <c:pt idx="2799">
                  <c:v>0.74770000000000003</c:v>
                </c:pt>
                <c:pt idx="2800">
                  <c:v>0.75309999999999999</c:v>
                </c:pt>
                <c:pt idx="2801">
                  <c:v>0.75429999999999997</c:v>
                </c:pt>
                <c:pt idx="2802">
                  <c:v>0.75219999999999998</c:v>
                </c:pt>
                <c:pt idx="2803">
                  <c:v>0.75280000000000002</c:v>
                </c:pt>
                <c:pt idx="2804">
                  <c:v>0.74690000000000001</c:v>
                </c:pt>
                <c:pt idx="2805">
                  <c:v>0.75249999999999995</c:v>
                </c:pt>
                <c:pt idx="2806">
                  <c:v>0.74590000000000001</c:v>
                </c:pt>
                <c:pt idx="2807">
                  <c:v>0.7419</c:v>
                </c:pt>
                <c:pt idx="2808">
                  <c:v>0.74480000000000002</c:v>
                </c:pt>
                <c:pt idx="2809">
                  <c:v>0.74270000000000003</c:v>
                </c:pt>
                <c:pt idx="2810">
                  <c:v>0.74280000000000002</c:v>
                </c:pt>
                <c:pt idx="2811">
                  <c:v>0.73860000000000003</c:v>
                </c:pt>
                <c:pt idx="2812">
                  <c:v>0.72850000000000004</c:v>
                </c:pt>
                <c:pt idx="2813">
                  <c:v>0.73360000000000003</c:v>
                </c:pt>
                <c:pt idx="2814">
                  <c:v>0.73219999999999996</c:v>
                </c:pt>
                <c:pt idx="2815">
                  <c:v>0.73199999999999998</c:v>
                </c:pt>
                <c:pt idx="2816">
                  <c:v>0.73370000000000002</c:v>
                </c:pt>
                <c:pt idx="2817">
                  <c:v>0.73909999999999998</c:v>
                </c:pt>
                <c:pt idx="2818">
                  <c:v>0.73819999999999997</c:v>
                </c:pt>
                <c:pt idx="2819">
                  <c:v>0.7369</c:v>
                </c:pt>
                <c:pt idx="2820">
                  <c:v>0.73860000000000003</c:v>
                </c:pt>
                <c:pt idx="2821">
                  <c:v>0.74080000000000001</c:v>
                </c:pt>
                <c:pt idx="2822">
                  <c:v>0.73619999999999997</c:v>
                </c:pt>
                <c:pt idx="2823">
                  <c:v>0.7369</c:v>
                </c:pt>
                <c:pt idx="2824">
                  <c:v>0.74680000000000002</c:v>
                </c:pt>
                <c:pt idx="2825">
                  <c:v>0.74809999999999999</c:v>
                </c:pt>
                <c:pt idx="2826">
                  <c:v>0.74099999999999999</c:v>
                </c:pt>
                <c:pt idx="2827">
                  <c:v>0.7409</c:v>
                </c:pt>
                <c:pt idx="2828">
                  <c:v>0.74009999999999998</c:v>
                </c:pt>
                <c:pt idx="2829">
                  <c:v>0.74970000000000003</c:v>
                </c:pt>
                <c:pt idx="2830">
                  <c:v>0.75170000000000003</c:v>
                </c:pt>
                <c:pt idx="2831">
                  <c:v>0.74739999999999995</c:v>
                </c:pt>
                <c:pt idx="2832">
                  <c:v>0.75219999999999998</c:v>
                </c:pt>
                <c:pt idx="2833">
                  <c:v>0.76229999999999998</c:v>
                </c:pt>
                <c:pt idx="2834">
                  <c:v>0.75839999999999996</c:v>
                </c:pt>
                <c:pt idx="2835">
                  <c:v>0.75739999999999996</c:v>
                </c:pt>
                <c:pt idx="2836">
                  <c:v>0.76060000000000005</c:v>
                </c:pt>
                <c:pt idx="2837">
                  <c:v>0.75290000000000001</c:v>
                </c:pt>
                <c:pt idx="2838">
                  <c:v>0.7581</c:v>
                </c:pt>
                <c:pt idx="2839">
                  <c:v>0.753</c:v>
                </c:pt>
                <c:pt idx="2840">
                  <c:v>0.75729999999999997</c:v>
                </c:pt>
                <c:pt idx="2841">
                  <c:v>0.7641</c:v>
                </c:pt>
                <c:pt idx="2842">
                  <c:v>0.75849999999999995</c:v>
                </c:pt>
                <c:pt idx="2843">
                  <c:v>0.76829999999999998</c:v>
                </c:pt>
                <c:pt idx="2844">
                  <c:v>0.76049999999999995</c:v>
                </c:pt>
                <c:pt idx="2845">
                  <c:v>0.77370000000000005</c:v>
                </c:pt>
                <c:pt idx="2846">
                  <c:v>0.77710000000000001</c:v>
                </c:pt>
                <c:pt idx="2847">
                  <c:v>0.77590000000000003</c:v>
                </c:pt>
                <c:pt idx="2848">
                  <c:v>0.77349999999999997</c:v>
                </c:pt>
                <c:pt idx="2849">
                  <c:v>0.76890000000000003</c:v>
                </c:pt>
                <c:pt idx="2850">
                  <c:v>0.77180000000000004</c:v>
                </c:pt>
                <c:pt idx="2851">
                  <c:v>0.77200000000000002</c:v>
                </c:pt>
                <c:pt idx="2852">
                  <c:v>0.77059999999999995</c:v>
                </c:pt>
                <c:pt idx="2853">
                  <c:v>0.7621</c:v>
                </c:pt>
                <c:pt idx="2854">
                  <c:v>0.75919999999999999</c:v>
                </c:pt>
                <c:pt idx="2855">
                  <c:v>0.75949999999999995</c:v>
                </c:pt>
                <c:pt idx="2856">
                  <c:v>0.75670000000000004</c:v>
                </c:pt>
                <c:pt idx="2857">
                  <c:v>0.75239999999999996</c:v>
                </c:pt>
                <c:pt idx="2858">
                  <c:v>0.74480000000000002</c:v>
                </c:pt>
                <c:pt idx="2859">
                  <c:v>0.74450000000000005</c:v>
                </c:pt>
                <c:pt idx="2860">
                  <c:v>0.74519999999999997</c:v>
                </c:pt>
                <c:pt idx="2861">
                  <c:v>0.7369</c:v>
                </c:pt>
                <c:pt idx="2862">
                  <c:v>0.74760000000000004</c:v>
                </c:pt>
                <c:pt idx="2863">
                  <c:v>0.74139999999999995</c:v>
                </c:pt>
                <c:pt idx="2864">
                  <c:v>0.73729999999999996</c:v>
                </c:pt>
                <c:pt idx="2865">
                  <c:v>0.72799999999999998</c:v>
                </c:pt>
                <c:pt idx="2866">
                  <c:v>0.7278</c:v>
                </c:pt>
                <c:pt idx="2867">
                  <c:v>0.73280000000000001</c:v>
                </c:pt>
                <c:pt idx="2868">
                  <c:v>0.73329999999999995</c:v>
                </c:pt>
                <c:pt idx="2869">
                  <c:v>0.7288</c:v>
                </c:pt>
                <c:pt idx="2870">
                  <c:v>0.72619999999999996</c:v>
                </c:pt>
                <c:pt idx="2871">
                  <c:v>0.73050000000000004</c:v>
                </c:pt>
                <c:pt idx="2872">
                  <c:v>0.72750000000000004</c:v>
                </c:pt>
                <c:pt idx="2873">
                  <c:v>0.72070000000000001</c:v>
                </c:pt>
                <c:pt idx="2874">
                  <c:v>0.71479999999999999</c:v>
                </c:pt>
                <c:pt idx="2875">
                  <c:v>0.7157</c:v>
                </c:pt>
                <c:pt idx="2876">
                  <c:v>0.71419999999999995</c:v>
                </c:pt>
                <c:pt idx="2877">
                  <c:v>0.70750000000000002</c:v>
                </c:pt>
                <c:pt idx="2878">
                  <c:v>0.70479999999999998</c:v>
                </c:pt>
                <c:pt idx="2879">
                  <c:v>0.70530000000000004</c:v>
                </c:pt>
                <c:pt idx="2880">
                  <c:v>0.70899999999999996</c:v>
                </c:pt>
                <c:pt idx="2881">
                  <c:v>0.71440000000000003</c:v>
                </c:pt>
                <c:pt idx="2882">
                  <c:v>0.71930000000000005</c:v>
                </c:pt>
                <c:pt idx="2883">
                  <c:v>0.71589999999999998</c:v>
                </c:pt>
                <c:pt idx="2884">
                  <c:v>0.72</c:v>
                </c:pt>
                <c:pt idx="2885">
                  <c:v>0.72719999999999996</c:v>
                </c:pt>
                <c:pt idx="2886">
                  <c:v>0.73750000000000004</c:v>
                </c:pt>
                <c:pt idx="2887">
                  <c:v>0.73909999999999998</c:v>
                </c:pt>
                <c:pt idx="2888">
                  <c:v>0.73670000000000002</c:v>
                </c:pt>
                <c:pt idx="2889">
                  <c:v>0.73509999999999998</c:v>
                </c:pt>
                <c:pt idx="2890">
                  <c:v>0.73129999999999995</c:v>
                </c:pt>
                <c:pt idx="2891">
                  <c:v>0.73399999999999999</c:v>
                </c:pt>
                <c:pt idx="2892">
                  <c:v>0.73360000000000003</c:v>
                </c:pt>
                <c:pt idx="2893">
                  <c:v>0.73319999999999996</c:v>
                </c:pt>
                <c:pt idx="2894">
                  <c:v>0.74019999999999997</c:v>
                </c:pt>
                <c:pt idx="2895">
                  <c:v>0.74429999999999996</c:v>
                </c:pt>
                <c:pt idx="2896">
                  <c:v>0.74819999999999998</c:v>
                </c:pt>
                <c:pt idx="2897">
                  <c:v>0.74429999999999996</c:v>
                </c:pt>
                <c:pt idx="2898">
                  <c:v>0.74260000000000004</c:v>
                </c:pt>
                <c:pt idx="2899">
                  <c:v>0.73719999999999997</c:v>
                </c:pt>
                <c:pt idx="2900">
                  <c:v>0.73929999999999996</c:v>
                </c:pt>
                <c:pt idx="2901">
                  <c:v>0.73870000000000002</c:v>
                </c:pt>
                <c:pt idx="2902">
                  <c:v>0.73660000000000003</c:v>
                </c:pt>
                <c:pt idx="2903">
                  <c:v>0.73939999999999995</c:v>
                </c:pt>
                <c:pt idx="2904">
                  <c:v>0.74170000000000003</c:v>
                </c:pt>
                <c:pt idx="2905">
                  <c:v>0.73929999999999996</c:v>
                </c:pt>
                <c:pt idx="2906">
                  <c:v>0.73880000000000001</c:v>
                </c:pt>
                <c:pt idx="2907">
                  <c:v>0.73760000000000003</c:v>
                </c:pt>
                <c:pt idx="2908">
                  <c:v>0.74170000000000003</c:v>
                </c:pt>
                <c:pt idx="2909">
                  <c:v>0.73839999999999995</c:v>
                </c:pt>
                <c:pt idx="2910">
                  <c:v>0.73750000000000004</c:v>
                </c:pt>
                <c:pt idx="2911">
                  <c:v>0.73980000000000001</c:v>
                </c:pt>
                <c:pt idx="2912">
                  <c:v>0.7389</c:v>
                </c:pt>
                <c:pt idx="2913">
                  <c:v>0.74019999999999997</c:v>
                </c:pt>
                <c:pt idx="2914">
                  <c:v>0.74170000000000003</c:v>
                </c:pt>
                <c:pt idx="2915">
                  <c:v>0.74850000000000005</c:v>
                </c:pt>
                <c:pt idx="2916">
                  <c:v>0.75319999999999998</c:v>
                </c:pt>
                <c:pt idx="2917">
                  <c:v>0.75309999999999999</c:v>
                </c:pt>
                <c:pt idx="2918">
                  <c:v>0.75749999999999995</c:v>
                </c:pt>
                <c:pt idx="2919">
                  <c:v>0.74839999999999995</c:v>
                </c:pt>
                <c:pt idx="2920">
                  <c:v>0.75119999999999998</c:v>
                </c:pt>
                <c:pt idx="2921">
                  <c:v>0.75160000000000005</c:v>
                </c:pt>
                <c:pt idx="2922">
                  <c:v>0.75290000000000001</c:v>
                </c:pt>
                <c:pt idx="2923">
                  <c:v>0.75180000000000002</c:v>
                </c:pt>
                <c:pt idx="2924">
                  <c:v>0.75319999999999998</c:v>
                </c:pt>
                <c:pt idx="2925">
                  <c:v>0.74829999999999997</c:v>
                </c:pt>
                <c:pt idx="2926">
                  <c:v>0.74770000000000003</c:v>
                </c:pt>
                <c:pt idx="2927">
                  <c:v>0.74809999999999999</c:v>
                </c:pt>
                <c:pt idx="2928">
                  <c:v>0.75260000000000005</c:v>
                </c:pt>
                <c:pt idx="2929">
                  <c:v>0.75470000000000004</c:v>
                </c:pt>
                <c:pt idx="2930">
                  <c:v>0.75449999999999995</c:v>
                </c:pt>
                <c:pt idx="2931">
                  <c:v>0.75039999999999996</c:v>
                </c:pt>
                <c:pt idx="2932">
                  <c:v>0.75490000000000002</c:v>
                </c:pt>
                <c:pt idx="2933">
                  <c:v>0.74950000000000006</c:v>
                </c:pt>
                <c:pt idx="2934">
                  <c:v>0.75390000000000001</c:v>
                </c:pt>
                <c:pt idx="2935">
                  <c:v>0.75480000000000003</c:v>
                </c:pt>
                <c:pt idx="2936">
                  <c:v>0.74780000000000002</c:v>
                </c:pt>
                <c:pt idx="2937">
                  <c:v>0.748</c:v>
                </c:pt>
                <c:pt idx="2938">
                  <c:v>0.74139999999999995</c:v>
                </c:pt>
                <c:pt idx="2939">
                  <c:v>0.73299999999999998</c:v>
                </c:pt>
                <c:pt idx="2940">
                  <c:v>0.73350000000000004</c:v>
                </c:pt>
                <c:pt idx="2941">
                  <c:v>0.73260000000000003</c:v>
                </c:pt>
                <c:pt idx="2942">
                  <c:v>0.7288</c:v>
                </c:pt>
                <c:pt idx="2943">
                  <c:v>0.72399999999999998</c:v>
                </c:pt>
                <c:pt idx="2944">
                  <c:v>0.73080000000000001</c:v>
                </c:pt>
                <c:pt idx="2945">
                  <c:v>0.72809999999999997</c:v>
                </c:pt>
                <c:pt idx="2946">
                  <c:v>0.73109999999999997</c:v>
                </c:pt>
                <c:pt idx="2947">
                  <c:v>0.73350000000000004</c:v>
                </c:pt>
                <c:pt idx="2948">
                  <c:v>0.7339</c:v>
                </c:pt>
                <c:pt idx="2949">
                  <c:v>0.74039999999999995</c:v>
                </c:pt>
                <c:pt idx="2950">
                  <c:v>0.74380000000000002</c:v>
                </c:pt>
                <c:pt idx="2951">
                  <c:v>0.74709999999999999</c:v>
                </c:pt>
                <c:pt idx="2952">
                  <c:v>0.75509999999999999</c:v>
                </c:pt>
                <c:pt idx="2953">
                  <c:v>0.75339999999999996</c:v>
                </c:pt>
                <c:pt idx="2954">
                  <c:v>0.75480000000000003</c:v>
                </c:pt>
                <c:pt idx="2955">
                  <c:v>0.75109999999999999</c:v>
                </c:pt>
                <c:pt idx="2956">
                  <c:v>0.74970000000000003</c:v>
                </c:pt>
                <c:pt idx="2957">
                  <c:v>0.74809999999999999</c:v>
                </c:pt>
                <c:pt idx="2958">
                  <c:v>0.75360000000000005</c:v>
                </c:pt>
                <c:pt idx="2959">
                  <c:v>0.75109999999999999</c:v>
                </c:pt>
                <c:pt idx="2960">
                  <c:v>0.74880000000000002</c:v>
                </c:pt>
                <c:pt idx="2961">
                  <c:v>0.74239999999999995</c:v>
                </c:pt>
                <c:pt idx="2962">
                  <c:v>0.73929999999999996</c:v>
                </c:pt>
                <c:pt idx="2963">
                  <c:v>0.73819999999999997</c:v>
                </c:pt>
                <c:pt idx="2964">
                  <c:v>0.74309999999999998</c:v>
                </c:pt>
                <c:pt idx="2965">
                  <c:v>0.73560000000000003</c:v>
                </c:pt>
                <c:pt idx="2966">
                  <c:v>0.73919999999999997</c:v>
                </c:pt>
                <c:pt idx="2967">
                  <c:v>0.73770000000000002</c:v>
                </c:pt>
                <c:pt idx="2968">
                  <c:v>0.73760000000000003</c:v>
                </c:pt>
                <c:pt idx="2969">
                  <c:v>0.73609999999999998</c:v>
                </c:pt>
                <c:pt idx="2970">
                  <c:v>0.73329999999999995</c:v>
                </c:pt>
                <c:pt idx="2971">
                  <c:v>0.73419999999999996</c:v>
                </c:pt>
                <c:pt idx="2972">
                  <c:v>0.73199999999999998</c:v>
                </c:pt>
                <c:pt idx="2973">
                  <c:v>0.73309999999999997</c:v>
                </c:pt>
                <c:pt idx="2974">
                  <c:v>0.72789999999999999</c:v>
                </c:pt>
                <c:pt idx="2975">
                  <c:v>0.73250000000000004</c:v>
                </c:pt>
                <c:pt idx="2976">
                  <c:v>0.72989999999999999</c:v>
                </c:pt>
                <c:pt idx="2977">
                  <c:v>0.73619999999999997</c:v>
                </c:pt>
                <c:pt idx="2978">
                  <c:v>0.7349</c:v>
                </c:pt>
                <c:pt idx="2979">
                  <c:v>0.73360000000000003</c:v>
                </c:pt>
                <c:pt idx="2980">
                  <c:v>0.73299999999999998</c:v>
                </c:pt>
                <c:pt idx="2981">
                  <c:v>0.73939999999999995</c:v>
                </c:pt>
                <c:pt idx="2982">
                  <c:v>0.74260000000000004</c:v>
                </c:pt>
                <c:pt idx="2983">
                  <c:v>0.74439999999999995</c:v>
                </c:pt>
                <c:pt idx="2984">
                  <c:v>0.748</c:v>
                </c:pt>
                <c:pt idx="2985">
                  <c:v>0.74980000000000002</c:v>
                </c:pt>
                <c:pt idx="2986">
                  <c:v>0.75739999999999996</c:v>
                </c:pt>
                <c:pt idx="2987">
                  <c:v>0.75460000000000005</c:v>
                </c:pt>
                <c:pt idx="2988">
                  <c:v>0.75649999999999995</c:v>
                </c:pt>
                <c:pt idx="2989">
                  <c:v>0.74990000000000001</c:v>
                </c:pt>
                <c:pt idx="2990">
                  <c:v>0.74839999999999995</c:v>
                </c:pt>
                <c:pt idx="2991">
                  <c:v>0.75219999999999998</c:v>
                </c:pt>
                <c:pt idx="2992">
                  <c:v>0.74950000000000006</c:v>
                </c:pt>
                <c:pt idx="2993">
                  <c:v>0.74850000000000005</c:v>
                </c:pt>
                <c:pt idx="2994">
                  <c:v>0.74909999999999999</c:v>
                </c:pt>
                <c:pt idx="2995">
                  <c:v>0.75190000000000001</c:v>
                </c:pt>
                <c:pt idx="2996">
                  <c:v>0.75080000000000002</c:v>
                </c:pt>
                <c:pt idx="2997">
                  <c:v>0.75509999999999999</c:v>
                </c:pt>
                <c:pt idx="2998">
                  <c:v>0.75229999999999997</c:v>
                </c:pt>
                <c:pt idx="2999">
                  <c:v>0.7591</c:v>
                </c:pt>
                <c:pt idx="3000">
                  <c:v>0.75600000000000001</c:v>
                </c:pt>
                <c:pt idx="3001">
                  <c:v>0.75839999999999996</c:v>
                </c:pt>
                <c:pt idx="3002">
                  <c:v>0.75649999999999995</c:v>
                </c:pt>
                <c:pt idx="3003">
                  <c:v>0.76359999999999995</c:v>
                </c:pt>
                <c:pt idx="3004">
                  <c:v>0.7631</c:v>
                </c:pt>
                <c:pt idx="3005">
                  <c:v>0.76290000000000002</c:v>
                </c:pt>
                <c:pt idx="3006">
                  <c:v>0.76</c:v>
                </c:pt>
                <c:pt idx="3007">
                  <c:v>0.75860000000000005</c:v>
                </c:pt>
                <c:pt idx="3008">
                  <c:v>0.75539999999999996</c:v>
                </c:pt>
                <c:pt idx="3009">
                  <c:v>0.75600000000000001</c:v>
                </c:pt>
                <c:pt idx="3010">
                  <c:v>0.75739999999999996</c:v>
                </c:pt>
                <c:pt idx="3011">
                  <c:v>0.76290000000000002</c:v>
                </c:pt>
                <c:pt idx="3012">
                  <c:v>0.76990000000000003</c:v>
                </c:pt>
                <c:pt idx="3013">
                  <c:v>0.76639999999999997</c:v>
                </c:pt>
                <c:pt idx="3014">
                  <c:v>0.76670000000000005</c:v>
                </c:pt>
                <c:pt idx="3015">
                  <c:v>0.76739999999999997</c:v>
                </c:pt>
                <c:pt idx="3016">
                  <c:v>0.76619999999999999</c:v>
                </c:pt>
                <c:pt idx="3017">
                  <c:v>0.77100000000000002</c:v>
                </c:pt>
                <c:pt idx="3018">
                  <c:v>0.76880000000000004</c:v>
                </c:pt>
                <c:pt idx="3019">
                  <c:v>0.77</c:v>
                </c:pt>
                <c:pt idx="3020">
                  <c:v>0.77400000000000002</c:v>
                </c:pt>
                <c:pt idx="3021">
                  <c:v>0.77259999999999995</c:v>
                </c:pt>
                <c:pt idx="3022">
                  <c:v>0.7671</c:v>
                </c:pt>
                <c:pt idx="3023">
                  <c:v>0.76800000000000002</c:v>
                </c:pt>
                <c:pt idx="3024">
                  <c:v>0.76729999999999998</c:v>
                </c:pt>
                <c:pt idx="3025">
                  <c:v>0.76529999999999998</c:v>
                </c:pt>
                <c:pt idx="3026">
                  <c:v>0.76190000000000002</c:v>
                </c:pt>
                <c:pt idx="3027">
                  <c:v>0.75409999999999999</c:v>
                </c:pt>
                <c:pt idx="3028">
                  <c:v>0.748</c:v>
                </c:pt>
                <c:pt idx="3029">
                  <c:v>0.75260000000000005</c:v>
                </c:pt>
                <c:pt idx="3030">
                  <c:v>0.75519999999999998</c:v>
                </c:pt>
                <c:pt idx="3031">
                  <c:v>0.75919999999999999</c:v>
                </c:pt>
                <c:pt idx="3032">
                  <c:v>0.75639999999999996</c:v>
                </c:pt>
                <c:pt idx="3033">
                  <c:v>0.75509999999999999</c:v>
                </c:pt>
                <c:pt idx="3034">
                  <c:v>0.75470000000000004</c:v>
                </c:pt>
                <c:pt idx="3035">
                  <c:v>0.75080000000000002</c:v>
                </c:pt>
                <c:pt idx="3036">
                  <c:v>0.75280000000000002</c:v>
                </c:pt>
                <c:pt idx="3037">
                  <c:v>0.75990000000000002</c:v>
                </c:pt>
                <c:pt idx="3038">
                  <c:v>0.76939999999999997</c:v>
                </c:pt>
                <c:pt idx="3039">
                  <c:v>0.76839999999999997</c:v>
                </c:pt>
                <c:pt idx="3040">
                  <c:v>0.77290000000000003</c:v>
                </c:pt>
                <c:pt idx="3041">
                  <c:v>0.77400000000000002</c:v>
                </c:pt>
                <c:pt idx="3042">
                  <c:v>0.76559999999999995</c:v>
                </c:pt>
                <c:pt idx="3043">
                  <c:v>0.7611</c:v>
                </c:pt>
                <c:pt idx="3044">
                  <c:v>0.76449999999999996</c:v>
                </c:pt>
                <c:pt idx="3045">
                  <c:v>0.76759999999999995</c:v>
                </c:pt>
                <c:pt idx="3046">
                  <c:v>0.77239999999999998</c:v>
                </c:pt>
                <c:pt idx="3047">
                  <c:v>0.77190000000000003</c:v>
                </c:pt>
                <c:pt idx="3048">
                  <c:v>0.76580000000000004</c:v>
                </c:pt>
                <c:pt idx="3049">
                  <c:v>0.76180000000000003</c:v>
                </c:pt>
                <c:pt idx="3050">
                  <c:v>0.75690000000000002</c:v>
                </c:pt>
                <c:pt idx="3051">
                  <c:v>0.75949999999999995</c:v>
                </c:pt>
                <c:pt idx="3052">
                  <c:v>0.75560000000000005</c:v>
                </c:pt>
                <c:pt idx="3053">
                  <c:v>0.75819999999999999</c:v>
                </c:pt>
                <c:pt idx="3054">
                  <c:v>0.76329999999999998</c:v>
                </c:pt>
                <c:pt idx="3055">
                  <c:v>0.76419999999999999</c:v>
                </c:pt>
                <c:pt idx="3056">
                  <c:v>0.76529999999999998</c:v>
                </c:pt>
                <c:pt idx="3057">
                  <c:v>0.75629999999999997</c:v>
                </c:pt>
                <c:pt idx="3058">
                  <c:v>0.75119999999999998</c:v>
                </c:pt>
                <c:pt idx="3059">
                  <c:v>0.75380000000000003</c:v>
                </c:pt>
                <c:pt idx="3060">
                  <c:v>0.74890000000000001</c:v>
                </c:pt>
                <c:pt idx="3061">
                  <c:v>0.75160000000000005</c:v>
                </c:pt>
                <c:pt idx="3062">
                  <c:v>0.74939999999999996</c:v>
                </c:pt>
                <c:pt idx="3063">
                  <c:v>0.75719999999999998</c:v>
                </c:pt>
                <c:pt idx="3064">
                  <c:v>0.74719999999999998</c:v>
                </c:pt>
                <c:pt idx="3065">
                  <c:v>0.74170000000000003</c:v>
                </c:pt>
                <c:pt idx="3066">
                  <c:v>0.73980000000000001</c:v>
                </c:pt>
                <c:pt idx="3067">
                  <c:v>0.74050000000000005</c:v>
                </c:pt>
                <c:pt idx="3068">
                  <c:v>0.74199999999999999</c:v>
                </c:pt>
                <c:pt idx="3069">
                  <c:v>0.75019999999999998</c:v>
                </c:pt>
                <c:pt idx="3070">
                  <c:v>0.75109999999999999</c:v>
                </c:pt>
                <c:pt idx="3071">
                  <c:v>0.76049999999999995</c:v>
                </c:pt>
                <c:pt idx="3072">
                  <c:v>0.76200000000000001</c:v>
                </c:pt>
                <c:pt idx="3073">
                  <c:v>0.76270000000000004</c:v>
                </c:pt>
                <c:pt idx="3074">
                  <c:v>0.76919999999999999</c:v>
                </c:pt>
                <c:pt idx="3075">
                  <c:v>0.76880000000000004</c:v>
                </c:pt>
                <c:pt idx="3076">
                  <c:v>0.77210000000000001</c:v>
                </c:pt>
                <c:pt idx="3077">
                  <c:v>0.77890000000000004</c:v>
                </c:pt>
                <c:pt idx="3078">
                  <c:v>0.78029999999999999</c:v>
                </c:pt>
                <c:pt idx="3079">
                  <c:v>0.77549999999999997</c:v>
                </c:pt>
                <c:pt idx="3080">
                  <c:v>0.77739999999999998</c:v>
                </c:pt>
                <c:pt idx="3081">
                  <c:v>0.77310000000000001</c:v>
                </c:pt>
                <c:pt idx="3082">
                  <c:v>0.76980000000000004</c:v>
                </c:pt>
                <c:pt idx="3083">
                  <c:v>0.76439999999999997</c:v>
                </c:pt>
                <c:pt idx="3084">
                  <c:v>0.76080000000000003</c:v>
                </c:pt>
                <c:pt idx="3085">
                  <c:v>0.76139999999999997</c:v>
                </c:pt>
                <c:pt idx="3086">
                  <c:v>0.76739999999999997</c:v>
                </c:pt>
                <c:pt idx="3087">
                  <c:v>0.76500000000000001</c:v>
                </c:pt>
                <c:pt idx="3088">
                  <c:v>0.76910000000000001</c:v>
                </c:pt>
                <c:pt idx="3089">
                  <c:v>0.76539999999999997</c:v>
                </c:pt>
                <c:pt idx="3090">
                  <c:v>0.75609999999999999</c:v>
                </c:pt>
                <c:pt idx="3091">
                  <c:v>0.754</c:v>
                </c:pt>
                <c:pt idx="3092">
                  <c:v>0.74950000000000006</c:v>
                </c:pt>
                <c:pt idx="3093">
                  <c:v>0.75590000000000002</c:v>
                </c:pt>
                <c:pt idx="3094">
                  <c:v>0.76049999999999995</c:v>
                </c:pt>
                <c:pt idx="3095">
                  <c:v>0.76249999999999996</c:v>
                </c:pt>
                <c:pt idx="3096">
                  <c:v>0.75819999999999999</c:v>
                </c:pt>
                <c:pt idx="3097">
                  <c:v>0.76219999999999999</c:v>
                </c:pt>
                <c:pt idx="3098">
                  <c:v>0.76329999999999998</c:v>
                </c:pt>
                <c:pt idx="3099">
                  <c:v>0.75949999999999995</c:v>
                </c:pt>
                <c:pt idx="3100">
                  <c:v>0.75570000000000004</c:v>
                </c:pt>
                <c:pt idx="3101">
                  <c:v>0.7581</c:v>
                </c:pt>
                <c:pt idx="3102">
                  <c:v>0.76119999999999999</c:v>
                </c:pt>
                <c:pt idx="3103">
                  <c:v>0.75619999999999998</c:v>
                </c:pt>
                <c:pt idx="3104">
                  <c:v>0.75570000000000004</c:v>
                </c:pt>
                <c:pt idx="3105">
                  <c:v>0.76070000000000004</c:v>
                </c:pt>
                <c:pt idx="3106">
                  <c:v>0.76559999999999995</c:v>
                </c:pt>
                <c:pt idx="3107">
                  <c:v>0.77429999999999999</c:v>
                </c:pt>
                <c:pt idx="3108">
                  <c:v>0.77629999999999999</c:v>
                </c:pt>
                <c:pt idx="3109">
                  <c:v>0.77259999999999995</c:v>
                </c:pt>
                <c:pt idx="3110">
                  <c:v>0.7752</c:v>
                </c:pt>
                <c:pt idx="3111">
                  <c:v>0.78059999999999996</c:v>
                </c:pt>
                <c:pt idx="3112">
                  <c:v>0.78069999999999995</c:v>
                </c:pt>
                <c:pt idx="3113">
                  <c:v>0.77390000000000003</c:v>
                </c:pt>
                <c:pt idx="3114">
                  <c:v>0.77959999999999996</c:v>
                </c:pt>
                <c:pt idx="3115">
                  <c:v>0.78049999999999997</c:v>
                </c:pt>
                <c:pt idx="3116">
                  <c:v>0.77869999999999995</c:v>
                </c:pt>
                <c:pt idx="3117">
                  <c:v>0.77659999999999996</c:v>
                </c:pt>
                <c:pt idx="3118">
                  <c:v>0.77810000000000001</c:v>
                </c:pt>
                <c:pt idx="3119">
                  <c:v>0.77990000000000004</c:v>
                </c:pt>
                <c:pt idx="3120">
                  <c:v>0.78220000000000001</c:v>
                </c:pt>
                <c:pt idx="3121">
                  <c:v>0.77580000000000005</c:v>
                </c:pt>
                <c:pt idx="3122">
                  <c:v>0.77610000000000001</c:v>
                </c:pt>
                <c:pt idx="3123">
                  <c:v>0.77070000000000005</c:v>
                </c:pt>
                <c:pt idx="3124">
                  <c:v>0.7671</c:v>
                </c:pt>
                <c:pt idx="3125">
                  <c:v>0.76890000000000003</c:v>
                </c:pt>
                <c:pt idx="3126">
                  <c:v>0.77149999999999996</c:v>
                </c:pt>
                <c:pt idx="3127">
                  <c:v>0.77859999999999996</c:v>
                </c:pt>
                <c:pt idx="3128">
                  <c:v>0.77539999999999998</c:v>
                </c:pt>
                <c:pt idx="3129">
                  <c:v>0.7752</c:v>
                </c:pt>
                <c:pt idx="3130">
                  <c:v>0.77239999999999998</c:v>
                </c:pt>
                <c:pt idx="3131">
                  <c:v>0.76649999999999996</c:v>
                </c:pt>
                <c:pt idx="3132">
                  <c:v>0.76590000000000003</c:v>
                </c:pt>
                <c:pt idx="3133">
                  <c:v>0.76880000000000004</c:v>
                </c:pt>
                <c:pt idx="3134">
                  <c:v>0.7681</c:v>
                </c:pt>
                <c:pt idx="3135">
                  <c:v>0.77080000000000004</c:v>
                </c:pt>
                <c:pt idx="3136">
                  <c:v>0.77310000000000001</c:v>
                </c:pt>
                <c:pt idx="3137">
                  <c:v>0.77029999999999998</c:v>
                </c:pt>
                <c:pt idx="3138">
                  <c:v>0.77110000000000001</c:v>
                </c:pt>
                <c:pt idx="3139">
                  <c:v>0.76780000000000004</c:v>
                </c:pt>
                <c:pt idx="3140">
                  <c:v>0.77180000000000004</c:v>
                </c:pt>
                <c:pt idx="3141">
                  <c:v>0.77159999999999995</c:v>
                </c:pt>
                <c:pt idx="3142">
                  <c:v>0.7702</c:v>
                </c:pt>
                <c:pt idx="3143">
                  <c:v>0.78380000000000005</c:v>
                </c:pt>
                <c:pt idx="3144">
                  <c:v>0.78580000000000005</c:v>
                </c:pt>
                <c:pt idx="3145">
                  <c:v>0.79479999999999995</c:v>
                </c:pt>
                <c:pt idx="3146">
                  <c:v>0.79259999999999997</c:v>
                </c:pt>
                <c:pt idx="3147">
                  <c:v>0.79420000000000002</c:v>
                </c:pt>
                <c:pt idx="3148">
                  <c:v>0.79049999999999998</c:v>
                </c:pt>
                <c:pt idx="3149">
                  <c:v>0.78759999999999997</c:v>
                </c:pt>
                <c:pt idx="3150">
                  <c:v>0.7923</c:v>
                </c:pt>
                <c:pt idx="3151">
                  <c:v>0.78979999999999995</c:v>
                </c:pt>
                <c:pt idx="3152">
                  <c:v>0.79339999999999999</c:v>
                </c:pt>
                <c:pt idx="3153">
                  <c:v>0.79810000000000003</c:v>
                </c:pt>
                <c:pt idx="3154">
                  <c:v>0.79210000000000003</c:v>
                </c:pt>
                <c:pt idx="3155">
                  <c:v>0.79079999999999995</c:v>
                </c:pt>
                <c:pt idx="3156">
                  <c:v>0.78239999999999998</c:v>
                </c:pt>
                <c:pt idx="3157">
                  <c:v>0.78320000000000001</c:v>
                </c:pt>
                <c:pt idx="3158">
                  <c:v>0.78620000000000001</c:v>
                </c:pt>
                <c:pt idx="3159">
                  <c:v>0.79200000000000004</c:v>
                </c:pt>
                <c:pt idx="3160">
                  <c:v>0.78690000000000004</c:v>
                </c:pt>
                <c:pt idx="3161">
                  <c:v>0.78690000000000004</c:v>
                </c:pt>
                <c:pt idx="3162">
                  <c:v>0.78710000000000002</c:v>
                </c:pt>
                <c:pt idx="3163">
                  <c:v>0.79430000000000001</c:v>
                </c:pt>
                <c:pt idx="3164">
                  <c:v>0.78939999999999999</c:v>
                </c:pt>
                <c:pt idx="3165">
                  <c:v>0.78859999999999997</c:v>
                </c:pt>
                <c:pt idx="3166">
                  <c:v>0.78790000000000004</c:v>
                </c:pt>
                <c:pt idx="3167">
                  <c:v>0.78510000000000002</c:v>
                </c:pt>
                <c:pt idx="3168">
                  <c:v>0.78669999999999995</c:v>
                </c:pt>
                <c:pt idx="3169">
                  <c:v>0.78810000000000002</c:v>
                </c:pt>
                <c:pt idx="3170">
                  <c:v>0.78580000000000005</c:v>
                </c:pt>
                <c:pt idx="3171">
                  <c:v>0.78359999999999996</c:v>
                </c:pt>
                <c:pt idx="3172">
                  <c:v>0.77</c:v>
                </c:pt>
                <c:pt idx="3173">
                  <c:v>0.76619999999999999</c:v>
                </c:pt>
                <c:pt idx="3174">
                  <c:v>0.76880000000000004</c:v>
                </c:pt>
                <c:pt idx="3175">
                  <c:v>0.7702</c:v>
                </c:pt>
                <c:pt idx="3176">
                  <c:v>0.77029999999999998</c:v>
                </c:pt>
                <c:pt idx="3177">
                  <c:v>0.77780000000000005</c:v>
                </c:pt>
                <c:pt idx="3178">
                  <c:v>0.77490000000000003</c:v>
                </c:pt>
                <c:pt idx="3179">
                  <c:v>0.77480000000000004</c:v>
                </c:pt>
                <c:pt idx="3180">
                  <c:v>0.77439999999999998</c:v>
                </c:pt>
                <c:pt idx="3181">
                  <c:v>0.77610000000000001</c:v>
                </c:pt>
                <c:pt idx="3182">
                  <c:v>0.77400000000000002</c:v>
                </c:pt>
                <c:pt idx="3183">
                  <c:v>0.76429999999999998</c:v>
                </c:pt>
                <c:pt idx="3184">
                  <c:v>0.77010000000000001</c:v>
                </c:pt>
                <c:pt idx="3185">
                  <c:v>0.76970000000000005</c:v>
                </c:pt>
                <c:pt idx="3186">
                  <c:v>0.75890000000000002</c:v>
                </c:pt>
                <c:pt idx="3187">
                  <c:v>0.7591</c:v>
                </c:pt>
                <c:pt idx="3188">
                  <c:v>0.75609999999999999</c:v>
                </c:pt>
                <c:pt idx="3189">
                  <c:v>0.75749999999999995</c:v>
                </c:pt>
                <c:pt idx="3190">
                  <c:v>0.75900000000000001</c:v>
                </c:pt>
                <c:pt idx="3191">
                  <c:v>0.76649999999999996</c:v>
                </c:pt>
                <c:pt idx="3192">
                  <c:v>0.76749999999999996</c:v>
                </c:pt>
                <c:pt idx="3193">
                  <c:v>0.76170000000000004</c:v>
                </c:pt>
                <c:pt idx="3194">
                  <c:v>0.75849999999999995</c:v>
                </c:pt>
                <c:pt idx="3195">
                  <c:v>0.75660000000000005</c:v>
                </c:pt>
                <c:pt idx="3196">
                  <c:v>0.76029999999999998</c:v>
                </c:pt>
                <c:pt idx="3197">
                  <c:v>0.76470000000000005</c:v>
                </c:pt>
                <c:pt idx="3198">
                  <c:v>0.76490000000000002</c:v>
                </c:pt>
                <c:pt idx="3199">
                  <c:v>0.77929999999999999</c:v>
                </c:pt>
                <c:pt idx="3200">
                  <c:v>0.78249999999999997</c:v>
                </c:pt>
                <c:pt idx="3201">
                  <c:v>0.77939999999999998</c:v>
                </c:pt>
                <c:pt idx="3202">
                  <c:v>0.77300000000000002</c:v>
                </c:pt>
                <c:pt idx="3203">
                  <c:v>0.77959999999999996</c:v>
                </c:pt>
                <c:pt idx="3204">
                  <c:v>0.7772</c:v>
                </c:pt>
                <c:pt idx="3205">
                  <c:v>0.76890000000000003</c:v>
                </c:pt>
                <c:pt idx="3206">
                  <c:v>0.76670000000000005</c:v>
                </c:pt>
                <c:pt idx="3207">
                  <c:v>0.76449999999999996</c:v>
                </c:pt>
                <c:pt idx="3208">
                  <c:v>0.76539999999999997</c:v>
                </c:pt>
                <c:pt idx="3209">
                  <c:v>0.76380000000000003</c:v>
                </c:pt>
                <c:pt idx="3210">
                  <c:v>0.76400000000000001</c:v>
                </c:pt>
                <c:pt idx="3211">
                  <c:v>0.75649999999999995</c:v>
                </c:pt>
                <c:pt idx="3212">
                  <c:v>0.76329999999999998</c:v>
                </c:pt>
                <c:pt idx="3213">
                  <c:v>0.75660000000000005</c:v>
                </c:pt>
                <c:pt idx="3214">
                  <c:v>0.75870000000000004</c:v>
                </c:pt>
                <c:pt idx="3215">
                  <c:v>0.75109999999999999</c:v>
                </c:pt>
                <c:pt idx="3216">
                  <c:v>0.75629999999999997</c:v>
                </c:pt>
                <c:pt idx="3217">
                  <c:v>0.75639999999999996</c:v>
                </c:pt>
                <c:pt idx="3218">
                  <c:v>0.77410000000000001</c:v>
                </c:pt>
                <c:pt idx="3219">
                  <c:v>0.7742</c:v>
                </c:pt>
                <c:pt idx="3220">
                  <c:v>0.78129999999999999</c:v>
                </c:pt>
                <c:pt idx="3221">
                  <c:v>0.77510000000000001</c:v>
                </c:pt>
                <c:pt idx="3222">
                  <c:v>0.77590000000000003</c:v>
                </c:pt>
                <c:pt idx="3223">
                  <c:v>0.77100000000000002</c:v>
                </c:pt>
                <c:pt idx="3224">
                  <c:v>0.78490000000000004</c:v>
                </c:pt>
                <c:pt idx="3225">
                  <c:v>0.79049999999999998</c:v>
                </c:pt>
                <c:pt idx="3226">
                  <c:v>0.7913</c:v>
                </c:pt>
                <c:pt idx="3227">
                  <c:v>0.78810000000000002</c:v>
                </c:pt>
                <c:pt idx="3228">
                  <c:v>0.78580000000000005</c:v>
                </c:pt>
                <c:pt idx="3229">
                  <c:v>0.78249999999999997</c:v>
                </c:pt>
                <c:pt idx="3230">
                  <c:v>0.78369999999999995</c:v>
                </c:pt>
                <c:pt idx="3231">
                  <c:v>0.77849999999999997</c:v>
                </c:pt>
                <c:pt idx="3232">
                  <c:v>0.78190000000000004</c:v>
                </c:pt>
                <c:pt idx="3233">
                  <c:v>0.77270000000000005</c:v>
                </c:pt>
                <c:pt idx="3234">
                  <c:v>0.77339999999999998</c:v>
                </c:pt>
                <c:pt idx="3235">
                  <c:v>0.76939999999999997</c:v>
                </c:pt>
                <c:pt idx="3236">
                  <c:v>0.76490000000000002</c:v>
                </c:pt>
                <c:pt idx="3237">
                  <c:v>0.75970000000000004</c:v>
                </c:pt>
                <c:pt idx="3238">
                  <c:v>0.76049999999999995</c:v>
                </c:pt>
                <c:pt idx="3239">
                  <c:v>0.75700000000000001</c:v>
                </c:pt>
                <c:pt idx="3240">
                  <c:v>0.7621</c:v>
                </c:pt>
                <c:pt idx="3241">
                  <c:v>0.75729999999999997</c:v>
                </c:pt>
                <c:pt idx="3242">
                  <c:v>0.75600000000000001</c:v>
                </c:pt>
                <c:pt idx="3243">
                  <c:v>0.74660000000000004</c:v>
                </c:pt>
                <c:pt idx="3244">
                  <c:v>0.74639999999999995</c:v>
                </c:pt>
                <c:pt idx="3245">
                  <c:v>0.748</c:v>
                </c:pt>
                <c:pt idx="3246">
                  <c:v>0.74580000000000002</c:v>
                </c:pt>
                <c:pt idx="3247">
                  <c:v>0.74470000000000003</c:v>
                </c:pt>
                <c:pt idx="3248">
                  <c:v>0.746</c:v>
                </c:pt>
                <c:pt idx="3249">
                  <c:v>0.74660000000000004</c:v>
                </c:pt>
                <c:pt idx="3250">
                  <c:v>0.73960000000000004</c:v>
                </c:pt>
                <c:pt idx="3251">
                  <c:v>0.73809999999999998</c:v>
                </c:pt>
                <c:pt idx="3252">
                  <c:v>0.7339</c:v>
                </c:pt>
                <c:pt idx="3253">
                  <c:v>0.72719999999999996</c:v>
                </c:pt>
                <c:pt idx="3254">
                  <c:v>0.7258</c:v>
                </c:pt>
                <c:pt idx="3255">
                  <c:v>0.73060000000000003</c:v>
                </c:pt>
                <c:pt idx="3256">
                  <c:v>0.7298</c:v>
                </c:pt>
                <c:pt idx="3257">
                  <c:v>0.72560000000000002</c:v>
                </c:pt>
                <c:pt idx="3258">
                  <c:v>0.73080000000000001</c:v>
                </c:pt>
                <c:pt idx="3259">
                  <c:v>0.73270000000000002</c:v>
                </c:pt>
                <c:pt idx="3260">
                  <c:v>0.73480000000000001</c:v>
                </c:pt>
                <c:pt idx="3261">
                  <c:v>0.7278</c:v>
                </c:pt>
                <c:pt idx="3262">
                  <c:v>0.72389999999999999</c:v>
                </c:pt>
                <c:pt idx="3263">
                  <c:v>0.72450000000000003</c:v>
                </c:pt>
                <c:pt idx="3264">
                  <c:v>0.72260000000000002</c:v>
                </c:pt>
                <c:pt idx="3265">
                  <c:v>0.72560000000000002</c:v>
                </c:pt>
                <c:pt idx="3266">
                  <c:v>0.7278</c:v>
                </c:pt>
                <c:pt idx="3267">
                  <c:v>0.71660000000000001</c:v>
                </c:pt>
                <c:pt idx="3268">
                  <c:v>0.71709999999999996</c:v>
                </c:pt>
                <c:pt idx="3269">
                  <c:v>0.71199999999999997</c:v>
                </c:pt>
                <c:pt idx="3270">
                  <c:v>0.71360000000000001</c:v>
                </c:pt>
                <c:pt idx="3271">
                  <c:v>0.71360000000000001</c:v>
                </c:pt>
                <c:pt idx="3272">
                  <c:v>0.70650000000000002</c:v>
                </c:pt>
                <c:pt idx="3273">
                  <c:v>0.70320000000000005</c:v>
                </c:pt>
                <c:pt idx="3274">
                  <c:v>0.70030000000000003</c:v>
                </c:pt>
                <c:pt idx="3275">
                  <c:v>0.69810000000000005</c:v>
                </c:pt>
                <c:pt idx="3276">
                  <c:v>0.69910000000000005</c:v>
                </c:pt>
                <c:pt idx="3277">
                  <c:v>0.69499999999999995</c:v>
                </c:pt>
                <c:pt idx="3278">
                  <c:v>0.70169999999999999</c:v>
                </c:pt>
                <c:pt idx="3279">
                  <c:v>0.69520000000000004</c:v>
                </c:pt>
                <c:pt idx="3280">
                  <c:v>0.69530000000000003</c:v>
                </c:pt>
                <c:pt idx="3281">
                  <c:v>0.68789999999999996</c:v>
                </c:pt>
                <c:pt idx="3282">
                  <c:v>0.69630000000000003</c:v>
                </c:pt>
                <c:pt idx="3283">
                  <c:v>0.69369999999999998</c:v>
                </c:pt>
                <c:pt idx="3284">
                  <c:v>0.6925</c:v>
                </c:pt>
                <c:pt idx="3285">
                  <c:v>0.69120000000000004</c:v>
                </c:pt>
                <c:pt idx="3286">
                  <c:v>0.69550000000000001</c:v>
                </c:pt>
                <c:pt idx="3287">
                  <c:v>0.70369999999999999</c:v>
                </c:pt>
                <c:pt idx="3288">
                  <c:v>0.70440000000000003</c:v>
                </c:pt>
                <c:pt idx="3289">
                  <c:v>0.69869999999999999</c:v>
                </c:pt>
                <c:pt idx="3290">
                  <c:v>0.70309999999999995</c:v>
                </c:pt>
                <c:pt idx="3291">
                  <c:v>0.70379999999999998</c:v>
                </c:pt>
                <c:pt idx="3292">
                  <c:v>0.70660000000000001</c:v>
                </c:pt>
                <c:pt idx="3293">
                  <c:v>0.70399999999999996</c:v>
                </c:pt>
                <c:pt idx="3294">
                  <c:v>0.71160000000000001</c:v>
                </c:pt>
                <c:pt idx="3295">
                  <c:v>0.72270000000000001</c:v>
                </c:pt>
                <c:pt idx="3296">
                  <c:v>0.7258</c:v>
                </c:pt>
                <c:pt idx="3297">
                  <c:v>0.71589999999999998</c:v>
                </c:pt>
                <c:pt idx="3298">
                  <c:v>0.71550000000000002</c:v>
                </c:pt>
                <c:pt idx="3299">
                  <c:v>0.71879999999999999</c:v>
                </c:pt>
                <c:pt idx="3300">
                  <c:v>0.71689999999999998</c:v>
                </c:pt>
                <c:pt idx="3301">
                  <c:v>0.71519999999999995</c:v>
                </c:pt>
                <c:pt idx="3302">
                  <c:v>0.71389999999999998</c:v>
                </c:pt>
                <c:pt idx="3303">
                  <c:v>0.71140000000000003</c:v>
                </c:pt>
                <c:pt idx="3304">
                  <c:v>0.71689999999999998</c:v>
                </c:pt>
                <c:pt idx="3305">
                  <c:v>0.71319999999999995</c:v>
                </c:pt>
                <c:pt idx="3306">
                  <c:v>0.70430000000000004</c:v>
                </c:pt>
                <c:pt idx="3307">
                  <c:v>0.70289999999999997</c:v>
                </c:pt>
                <c:pt idx="3308">
                  <c:v>0.70640000000000003</c:v>
                </c:pt>
                <c:pt idx="3309">
                  <c:v>0.70409999999999995</c:v>
                </c:pt>
                <c:pt idx="3310">
                  <c:v>0.70179999999999998</c:v>
                </c:pt>
                <c:pt idx="3311">
                  <c:v>0.69710000000000005</c:v>
                </c:pt>
                <c:pt idx="3312">
                  <c:v>0.69830000000000003</c:v>
                </c:pt>
                <c:pt idx="3313">
                  <c:v>0.69950000000000001</c:v>
                </c:pt>
                <c:pt idx="3314">
                  <c:v>0.70960000000000001</c:v>
                </c:pt>
                <c:pt idx="3315">
                  <c:v>0.7097</c:v>
                </c:pt>
                <c:pt idx="3316">
                  <c:v>0.71519999999999995</c:v>
                </c:pt>
                <c:pt idx="3317">
                  <c:v>0.71430000000000005</c:v>
                </c:pt>
                <c:pt idx="3318">
                  <c:v>0.72709999999999997</c:v>
                </c:pt>
                <c:pt idx="3319">
                  <c:v>0.7319</c:v>
                </c:pt>
                <c:pt idx="3320">
                  <c:v>0.7319</c:v>
                </c:pt>
                <c:pt idx="3321">
                  <c:v>0.72299999999999998</c:v>
                </c:pt>
                <c:pt idx="3322">
                  <c:v>0.72430000000000005</c:v>
                </c:pt>
                <c:pt idx="3323">
                  <c:v>0.72529999999999994</c:v>
                </c:pt>
                <c:pt idx="3324">
                  <c:v>0.7278</c:v>
                </c:pt>
                <c:pt idx="3325">
                  <c:v>0.72270000000000001</c:v>
                </c:pt>
                <c:pt idx="3326">
                  <c:v>0.72019999999999995</c:v>
                </c:pt>
                <c:pt idx="3327">
                  <c:v>0.72370000000000001</c:v>
                </c:pt>
                <c:pt idx="3328">
                  <c:v>0.71379999999999999</c:v>
                </c:pt>
                <c:pt idx="3329">
                  <c:v>0.71209999999999996</c:v>
                </c:pt>
                <c:pt idx="3330">
                  <c:v>0.71360000000000001</c:v>
                </c:pt>
                <c:pt idx="3331">
                  <c:v>0.70609999999999995</c:v>
                </c:pt>
                <c:pt idx="3332">
                  <c:v>0.69720000000000004</c:v>
                </c:pt>
                <c:pt idx="3333">
                  <c:v>0.69020000000000004</c:v>
                </c:pt>
                <c:pt idx="3334">
                  <c:v>0.70050000000000001</c:v>
                </c:pt>
                <c:pt idx="3335">
                  <c:v>0.70009999999999994</c:v>
                </c:pt>
                <c:pt idx="3336">
                  <c:v>0.70089999999999997</c:v>
                </c:pt>
                <c:pt idx="3337">
                  <c:v>0.68810000000000004</c:v>
                </c:pt>
                <c:pt idx="3338">
                  <c:v>0.68669999999999998</c:v>
                </c:pt>
                <c:pt idx="3339">
                  <c:v>0.69069999999999998</c:v>
                </c:pt>
                <c:pt idx="3340">
                  <c:v>0.68920000000000003</c:v>
                </c:pt>
                <c:pt idx="3341">
                  <c:v>0.68279999999999996</c:v>
                </c:pt>
                <c:pt idx="3342">
                  <c:v>0.68730000000000002</c:v>
                </c:pt>
                <c:pt idx="3343">
                  <c:v>0.69869999999999999</c:v>
                </c:pt>
                <c:pt idx="3344">
                  <c:v>0.68720000000000003</c:v>
                </c:pt>
                <c:pt idx="3345">
                  <c:v>0.69230000000000003</c:v>
                </c:pt>
                <c:pt idx="3346">
                  <c:v>0.69810000000000005</c:v>
                </c:pt>
                <c:pt idx="3347">
                  <c:v>0.69069999999999998</c:v>
                </c:pt>
                <c:pt idx="3348">
                  <c:v>0.69979999999999998</c:v>
                </c:pt>
                <c:pt idx="3349">
                  <c:v>0.70650000000000002</c:v>
                </c:pt>
                <c:pt idx="3350">
                  <c:v>0.69569999999999999</c:v>
                </c:pt>
                <c:pt idx="3351">
                  <c:v>0.68910000000000005</c:v>
                </c:pt>
                <c:pt idx="3352">
                  <c:v>0.69450000000000001</c:v>
                </c:pt>
                <c:pt idx="3353">
                  <c:v>0.70809999999999995</c:v>
                </c:pt>
                <c:pt idx="3354">
                  <c:v>0.71509999999999996</c:v>
                </c:pt>
                <c:pt idx="3355">
                  <c:v>0.71430000000000005</c:v>
                </c:pt>
                <c:pt idx="3356">
                  <c:v>0.71679999999999999</c:v>
                </c:pt>
                <c:pt idx="3357">
                  <c:v>0.70720000000000005</c:v>
                </c:pt>
                <c:pt idx="3358">
                  <c:v>0.70809999999999995</c:v>
                </c:pt>
                <c:pt idx="3359">
                  <c:v>0.69869999999999999</c:v>
                </c:pt>
                <c:pt idx="3360">
                  <c:v>0.69799999999999995</c:v>
                </c:pt>
                <c:pt idx="3361">
                  <c:v>0.69499999999999995</c:v>
                </c:pt>
                <c:pt idx="3362">
                  <c:v>0.69820000000000004</c:v>
                </c:pt>
                <c:pt idx="3363">
                  <c:v>0.68720000000000003</c:v>
                </c:pt>
                <c:pt idx="3364">
                  <c:v>0.68510000000000004</c:v>
                </c:pt>
                <c:pt idx="3365">
                  <c:v>0.69159999999999999</c:v>
                </c:pt>
                <c:pt idx="3366">
                  <c:v>0.68910000000000005</c:v>
                </c:pt>
                <c:pt idx="3367">
                  <c:v>0.69720000000000004</c:v>
                </c:pt>
                <c:pt idx="3368">
                  <c:v>0.69550000000000001</c:v>
                </c:pt>
                <c:pt idx="3369">
                  <c:v>0.6956</c:v>
                </c:pt>
                <c:pt idx="3370">
                  <c:v>0.70489999999999997</c:v>
                </c:pt>
                <c:pt idx="3371">
                  <c:v>0.7228</c:v>
                </c:pt>
                <c:pt idx="3372">
                  <c:v>0.73260000000000003</c:v>
                </c:pt>
                <c:pt idx="3373">
                  <c:v>0.73029999999999995</c:v>
                </c:pt>
                <c:pt idx="3374">
                  <c:v>0.72150000000000003</c:v>
                </c:pt>
                <c:pt idx="3375">
                  <c:v>0.72170000000000001</c:v>
                </c:pt>
                <c:pt idx="3376">
                  <c:v>0.72189999999999999</c:v>
                </c:pt>
                <c:pt idx="3377">
                  <c:v>0.72209999999999996</c:v>
                </c:pt>
                <c:pt idx="3378">
                  <c:v>0.73450000000000004</c:v>
                </c:pt>
                <c:pt idx="3379">
                  <c:v>0.73480000000000001</c:v>
                </c:pt>
                <c:pt idx="3380">
                  <c:v>0.73219999999999996</c:v>
                </c:pt>
                <c:pt idx="3381">
                  <c:v>0.73419999999999996</c:v>
                </c:pt>
                <c:pt idx="3382">
                  <c:v>0.72909999999999997</c:v>
                </c:pt>
                <c:pt idx="3383">
                  <c:v>0.73640000000000005</c:v>
                </c:pt>
                <c:pt idx="3384">
                  <c:v>0.74550000000000005</c:v>
                </c:pt>
                <c:pt idx="3385">
                  <c:v>0.74339999999999995</c:v>
                </c:pt>
                <c:pt idx="3386">
                  <c:v>0.74180000000000001</c:v>
                </c:pt>
                <c:pt idx="3387">
                  <c:v>0.73309999999999997</c:v>
                </c:pt>
                <c:pt idx="3388">
                  <c:v>0.75519999999999998</c:v>
                </c:pt>
                <c:pt idx="3389">
                  <c:v>0.76670000000000005</c:v>
                </c:pt>
                <c:pt idx="3390">
                  <c:v>0.76300000000000001</c:v>
                </c:pt>
                <c:pt idx="3391">
                  <c:v>0.76229999999999998</c:v>
                </c:pt>
                <c:pt idx="3392">
                  <c:v>0.76570000000000005</c:v>
                </c:pt>
                <c:pt idx="3393">
                  <c:v>0.76149999999999995</c:v>
                </c:pt>
                <c:pt idx="3394">
                  <c:v>0.75260000000000005</c:v>
                </c:pt>
                <c:pt idx="3395">
                  <c:v>0.75800000000000001</c:v>
                </c:pt>
                <c:pt idx="3396">
                  <c:v>0.76880000000000004</c:v>
                </c:pt>
                <c:pt idx="3397">
                  <c:v>0.76549999999999996</c:v>
                </c:pt>
                <c:pt idx="3398">
                  <c:v>0.75319999999999998</c:v>
                </c:pt>
                <c:pt idx="3399">
                  <c:v>0.74780000000000002</c:v>
                </c:pt>
                <c:pt idx="3400">
                  <c:v>0.74619999999999997</c:v>
                </c:pt>
                <c:pt idx="3401">
                  <c:v>0.73929999999999996</c:v>
                </c:pt>
                <c:pt idx="3402">
                  <c:v>0.74460000000000004</c:v>
                </c:pt>
                <c:pt idx="3403">
                  <c:v>0.75249999999999995</c:v>
                </c:pt>
                <c:pt idx="3404">
                  <c:v>0.75319999999999998</c:v>
                </c:pt>
                <c:pt idx="3405">
                  <c:v>0.74819999999999998</c:v>
                </c:pt>
                <c:pt idx="3406">
                  <c:v>0.75229999999999997</c:v>
                </c:pt>
                <c:pt idx="3407">
                  <c:v>0.74019999999999997</c:v>
                </c:pt>
                <c:pt idx="3408">
                  <c:v>0.74180000000000001</c:v>
                </c:pt>
                <c:pt idx="3409">
                  <c:v>0.73680000000000001</c:v>
                </c:pt>
                <c:pt idx="3410">
                  <c:v>0.73209999999999997</c:v>
                </c:pt>
                <c:pt idx="3411">
                  <c:v>0.73850000000000005</c:v>
                </c:pt>
                <c:pt idx="3412">
                  <c:v>0.74670000000000003</c:v>
                </c:pt>
                <c:pt idx="3413">
                  <c:v>0.75819999999999999</c:v>
                </c:pt>
                <c:pt idx="3414">
                  <c:v>0.7581</c:v>
                </c:pt>
                <c:pt idx="3415">
                  <c:v>0.75980000000000003</c:v>
                </c:pt>
                <c:pt idx="3416">
                  <c:v>0.74990000000000001</c:v>
                </c:pt>
                <c:pt idx="3417">
                  <c:v>0.75080000000000002</c:v>
                </c:pt>
                <c:pt idx="3418">
                  <c:v>0.76359999999999995</c:v>
                </c:pt>
                <c:pt idx="3419">
                  <c:v>0.77190000000000003</c:v>
                </c:pt>
                <c:pt idx="3420">
                  <c:v>0.77339999999999998</c:v>
                </c:pt>
                <c:pt idx="3421">
                  <c:v>0.77100000000000002</c:v>
                </c:pt>
                <c:pt idx="3422">
                  <c:v>0.77180000000000004</c:v>
                </c:pt>
                <c:pt idx="3423">
                  <c:v>0.77959999999999996</c:v>
                </c:pt>
                <c:pt idx="3424">
                  <c:v>0.77039999999999997</c:v>
                </c:pt>
                <c:pt idx="3425">
                  <c:v>0.76839999999999997</c:v>
                </c:pt>
                <c:pt idx="3426">
                  <c:v>0.79110000000000003</c:v>
                </c:pt>
                <c:pt idx="3427">
                  <c:v>0.78839999999999999</c:v>
                </c:pt>
                <c:pt idx="3428">
                  <c:v>0.79810000000000003</c:v>
                </c:pt>
                <c:pt idx="3429">
                  <c:v>0.79249999999999998</c:v>
                </c:pt>
                <c:pt idx="3430">
                  <c:v>0.78920000000000001</c:v>
                </c:pt>
                <c:pt idx="3431">
                  <c:v>0.78849999999999998</c:v>
                </c:pt>
                <c:pt idx="3432">
                  <c:v>0.78849999999999998</c:v>
                </c:pt>
                <c:pt idx="3433">
                  <c:v>0.78010000000000002</c:v>
                </c:pt>
                <c:pt idx="3434">
                  <c:v>0.7752</c:v>
                </c:pt>
                <c:pt idx="3435">
                  <c:v>0.76970000000000005</c:v>
                </c:pt>
                <c:pt idx="3436">
                  <c:v>0.76139999999999997</c:v>
                </c:pt>
                <c:pt idx="3437">
                  <c:v>0.76170000000000004</c:v>
                </c:pt>
                <c:pt idx="3438">
                  <c:v>0.76480000000000004</c:v>
                </c:pt>
                <c:pt idx="3439">
                  <c:v>0.75790000000000002</c:v>
                </c:pt>
                <c:pt idx="3440">
                  <c:v>0.76380000000000003</c:v>
                </c:pt>
                <c:pt idx="3441">
                  <c:v>0.76149999999999995</c:v>
                </c:pt>
                <c:pt idx="3442">
                  <c:v>0.77390000000000003</c:v>
                </c:pt>
                <c:pt idx="3443">
                  <c:v>0.77880000000000005</c:v>
                </c:pt>
                <c:pt idx="3444">
                  <c:v>0.76910000000000001</c:v>
                </c:pt>
                <c:pt idx="3445">
                  <c:v>0.77270000000000005</c:v>
                </c:pt>
                <c:pt idx="3446">
                  <c:v>0.77859999999999996</c:v>
                </c:pt>
                <c:pt idx="3447">
                  <c:v>0.77280000000000004</c:v>
                </c:pt>
                <c:pt idx="3448">
                  <c:v>0.76819999999999999</c:v>
                </c:pt>
                <c:pt idx="3449">
                  <c:v>0.75529999999999997</c:v>
                </c:pt>
                <c:pt idx="3450">
                  <c:v>0.76370000000000005</c:v>
                </c:pt>
                <c:pt idx="3451">
                  <c:v>0.77049999999999996</c:v>
                </c:pt>
                <c:pt idx="3452">
                  <c:v>0.77759999999999996</c:v>
                </c:pt>
                <c:pt idx="3453">
                  <c:v>0.77729999999999999</c:v>
                </c:pt>
                <c:pt idx="3454">
                  <c:v>0.77780000000000005</c:v>
                </c:pt>
                <c:pt idx="3455">
                  <c:v>0.77669999999999995</c:v>
                </c:pt>
                <c:pt idx="3456">
                  <c:v>0.77439999999999998</c:v>
                </c:pt>
                <c:pt idx="3457">
                  <c:v>0.76870000000000005</c:v>
                </c:pt>
                <c:pt idx="3458">
                  <c:v>0.77029999999999998</c:v>
                </c:pt>
                <c:pt idx="3459">
                  <c:v>0.76780000000000004</c:v>
                </c:pt>
                <c:pt idx="3460">
                  <c:v>0.75870000000000004</c:v>
                </c:pt>
                <c:pt idx="3461">
                  <c:v>0.75090000000000001</c:v>
                </c:pt>
                <c:pt idx="3462">
                  <c:v>0.75209999999999999</c:v>
                </c:pt>
                <c:pt idx="3463">
                  <c:v>0.74890000000000001</c:v>
                </c:pt>
                <c:pt idx="3464">
                  <c:v>0.74329999999999996</c:v>
                </c:pt>
                <c:pt idx="3465">
                  <c:v>0.7409</c:v>
                </c:pt>
                <c:pt idx="3466">
                  <c:v>0.74229999999999996</c:v>
                </c:pt>
                <c:pt idx="3467">
                  <c:v>0.7419</c:v>
                </c:pt>
                <c:pt idx="3468">
                  <c:v>0.73609999999999998</c:v>
                </c:pt>
                <c:pt idx="3469">
                  <c:v>0.73299999999999998</c:v>
                </c:pt>
                <c:pt idx="3470">
                  <c:v>0.73680000000000001</c:v>
                </c:pt>
                <c:pt idx="3471">
                  <c:v>0.74160000000000004</c:v>
                </c:pt>
                <c:pt idx="3472">
                  <c:v>0.73860000000000003</c:v>
                </c:pt>
                <c:pt idx="3473">
                  <c:v>0.74319999999999997</c:v>
                </c:pt>
                <c:pt idx="3474">
                  <c:v>0.74339999999999995</c:v>
                </c:pt>
                <c:pt idx="3475">
                  <c:v>0.74239999999999995</c:v>
                </c:pt>
                <c:pt idx="3476">
                  <c:v>0.73909999999999998</c:v>
                </c:pt>
                <c:pt idx="3477">
                  <c:v>0.73880000000000001</c:v>
                </c:pt>
                <c:pt idx="3478">
                  <c:v>0.74170000000000003</c:v>
                </c:pt>
                <c:pt idx="3479">
                  <c:v>0.74</c:v>
                </c:pt>
                <c:pt idx="3480">
                  <c:v>0.73660000000000003</c:v>
                </c:pt>
                <c:pt idx="3481">
                  <c:v>0.7349</c:v>
                </c:pt>
                <c:pt idx="3482">
                  <c:v>0.73640000000000005</c:v>
                </c:pt>
                <c:pt idx="3483">
                  <c:v>0.73080000000000001</c:v>
                </c:pt>
                <c:pt idx="3484">
                  <c:v>0.72789999999999999</c:v>
                </c:pt>
                <c:pt idx="3485">
                  <c:v>0.72409999999999997</c:v>
                </c:pt>
                <c:pt idx="3486">
                  <c:v>0.72240000000000004</c:v>
                </c:pt>
                <c:pt idx="3487">
                  <c:v>0.72360000000000002</c:v>
                </c:pt>
                <c:pt idx="3488">
                  <c:v>0.71789999999999998</c:v>
                </c:pt>
                <c:pt idx="3489">
                  <c:v>0.71799999999999997</c:v>
                </c:pt>
                <c:pt idx="3490">
                  <c:v>0.7238</c:v>
                </c:pt>
                <c:pt idx="3491">
                  <c:v>0.72250000000000003</c:v>
                </c:pt>
                <c:pt idx="3492">
                  <c:v>0.72199999999999998</c:v>
                </c:pt>
                <c:pt idx="3493">
                  <c:v>0.72409999999999997</c:v>
                </c:pt>
                <c:pt idx="3494">
                  <c:v>0.71160000000000001</c:v>
                </c:pt>
                <c:pt idx="3495">
                  <c:v>0.72030000000000005</c:v>
                </c:pt>
                <c:pt idx="3496">
                  <c:v>0.71970000000000001</c:v>
                </c:pt>
                <c:pt idx="3497">
                  <c:v>0.71870000000000001</c:v>
                </c:pt>
                <c:pt idx="3498">
                  <c:v>0.71550000000000002</c:v>
                </c:pt>
                <c:pt idx="3499">
                  <c:v>0.71599999999999997</c:v>
                </c:pt>
                <c:pt idx="3500">
                  <c:v>0.70950000000000002</c:v>
                </c:pt>
                <c:pt idx="3501">
                  <c:v>0.70569999999999999</c:v>
                </c:pt>
                <c:pt idx="3502">
                  <c:v>0.70879999999999999</c:v>
                </c:pt>
                <c:pt idx="3503">
                  <c:v>0.70279999999999998</c:v>
                </c:pt>
                <c:pt idx="3504">
                  <c:v>0.69869999999999999</c:v>
                </c:pt>
                <c:pt idx="3505">
                  <c:v>0.70689999999999997</c:v>
                </c:pt>
                <c:pt idx="3506">
                  <c:v>0.70389999999999997</c:v>
                </c:pt>
                <c:pt idx="3507">
                  <c:v>0.7036</c:v>
                </c:pt>
                <c:pt idx="3508">
                  <c:v>0.70599999999999996</c:v>
                </c:pt>
                <c:pt idx="3509">
                  <c:v>0.7046</c:v>
                </c:pt>
                <c:pt idx="3510">
                  <c:v>0.69989999999999997</c:v>
                </c:pt>
                <c:pt idx="3511">
                  <c:v>0.6996</c:v>
                </c:pt>
                <c:pt idx="3512">
                  <c:v>0.70509999999999995</c:v>
                </c:pt>
                <c:pt idx="3513">
                  <c:v>0.6996</c:v>
                </c:pt>
                <c:pt idx="3514">
                  <c:v>0.69169999999999998</c:v>
                </c:pt>
                <c:pt idx="3515">
                  <c:v>0.69240000000000002</c:v>
                </c:pt>
                <c:pt idx="3516">
                  <c:v>0.68859999999999999</c:v>
                </c:pt>
                <c:pt idx="3517">
                  <c:v>0.69</c:v>
                </c:pt>
                <c:pt idx="3518">
                  <c:v>0.68989999999999996</c:v>
                </c:pt>
                <c:pt idx="3519">
                  <c:v>0.69020000000000004</c:v>
                </c:pt>
                <c:pt idx="3520">
                  <c:v>0.69069999999999998</c:v>
                </c:pt>
                <c:pt idx="3521">
                  <c:v>0.68920000000000003</c:v>
                </c:pt>
                <c:pt idx="3522">
                  <c:v>0.68969999999999998</c:v>
                </c:pt>
                <c:pt idx="3523">
                  <c:v>0.6905</c:v>
                </c:pt>
                <c:pt idx="3524">
                  <c:v>0.68489999999999995</c:v>
                </c:pt>
                <c:pt idx="3525">
                  <c:v>0.67810000000000004</c:v>
                </c:pt>
                <c:pt idx="3526">
                  <c:v>0.68500000000000005</c:v>
                </c:pt>
                <c:pt idx="3527">
                  <c:v>0.68730000000000002</c:v>
                </c:pt>
                <c:pt idx="3528">
                  <c:v>0.68079999999999996</c:v>
                </c:pt>
                <c:pt idx="3529">
                  <c:v>0.6764</c:v>
                </c:pt>
                <c:pt idx="3530">
                  <c:v>0.67449999999999999</c:v>
                </c:pt>
                <c:pt idx="3531">
                  <c:v>0.67859999999999998</c:v>
                </c:pt>
                <c:pt idx="3532">
                  <c:v>0.67859999999999998</c:v>
                </c:pt>
                <c:pt idx="3533">
                  <c:v>0.67579999999999996</c:v>
                </c:pt>
                <c:pt idx="3534">
                  <c:v>0.6784</c:v>
                </c:pt>
                <c:pt idx="3535">
                  <c:v>0.6714</c:v>
                </c:pt>
                <c:pt idx="3536">
                  <c:v>0.66610000000000003</c:v>
                </c:pt>
                <c:pt idx="3537">
                  <c:v>0.66510000000000002</c:v>
                </c:pt>
                <c:pt idx="3538">
                  <c:v>0.66359999999999997</c:v>
                </c:pt>
                <c:pt idx="3539">
                  <c:v>0.66559999999999997</c:v>
                </c:pt>
                <c:pt idx="3540">
                  <c:v>0.66239999999999999</c:v>
                </c:pt>
                <c:pt idx="3541">
                  <c:v>0.65990000000000004</c:v>
                </c:pt>
                <c:pt idx="3542">
                  <c:v>0.65759999999999996</c:v>
                </c:pt>
                <c:pt idx="3543">
                  <c:v>0.65920000000000001</c:v>
                </c:pt>
                <c:pt idx="3544">
                  <c:v>0.65010000000000001</c:v>
                </c:pt>
                <c:pt idx="3545">
                  <c:v>0.64810000000000001</c:v>
                </c:pt>
                <c:pt idx="3546">
                  <c:v>0.64229999999999998</c:v>
                </c:pt>
                <c:pt idx="3547">
                  <c:v>0.64090000000000003</c:v>
                </c:pt>
                <c:pt idx="3548">
                  <c:v>0.63639999999999997</c:v>
                </c:pt>
                <c:pt idx="3549">
                  <c:v>0.64510000000000001</c:v>
                </c:pt>
                <c:pt idx="3550">
                  <c:v>0.64729999999999999</c:v>
                </c:pt>
                <c:pt idx="3551">
                  <c:v>0.64059999999999995</c:v>
                </c:pt>
                <c:pt idx="3552">
                  <c:v>0.6401</c:v>
                </c:pt>
                <c:pt idx="3553">
                  <c:v>0.64419999999999999</c:v>
                </c:pt>
                <c:pt idx="3554">
                  <c:v>0.65059999999999996</c:v>
                </c:pt>
                <c:pt idx="3555">
                  <c:v>0.65159999999999996</c:v>
                </c:pt>
                <c:pt idx="3556">
                  <c:v>0.65329999999999999</c:v>
                </c:pt>
                <c:pt idx="3557">
                  <c:v>0.66090000000000004</c:v>
                </c:pt>
                <c:pt idx="3558">
                  <c:v>0.65580000000000005</c:v>
                </c:pt>
                <c:pt idx="3559">
                  <c:v>0.6583</c:v>
                </c:pt>
                <c:pt idx="3560">
                  <c:v>0.65980000000000005</c:v>
                </c:pt>
                <c:pt idx="3561">
                  <c:v>0.65580000000000005</c:v>
                </c:pt>
                <c:pt idx="3562">
                  <c:v>0.65839999999999999</c:v>
                </c:pt>
                <c:pt idx="3563">
                  <c:v>0.65820000000000001</c:v>
                </c:pt>
                <c:pt idx="3564">
                  <c:v>0.65859999999999996</c:v>
                </c:pt>
                <c:pt idx="3565">
                  <c:v>0.65290000000000004</c:v>
                </c:pt>
                <c:pt idx="3566">
                  <c:v>0.65080000000000005</c:v>
                </c:pt>
                <c:pt idx="3567">
                  <c:v>0.64880000000000004</c:v>
                </c:pt>
                <c:pt idx="3568">
                  <c:v>0.64510000000000001</c:v>
                </c:pt>
                <c:pt idx="3569">
                  <c:v>0.64339999999999997</c:v>
                </c:pt>
                <c:pt idx="3570">
                  <c:v>0.65090000000000003</c:v>
                </c:pt>
                <c:pt idx="3571">
                  <c:v>0.64800000000000002</c:v>
                </c:pt>
                <c:pt idx="3572">
                  <c:v>0.65229999999999999</c:v>
                </c:pt>
                <c:pt idx="3573">
                  <c:v>0.66449999999999998</c:v>
                </c:pt>
                <c:pt idx="3574">
                  <c:v>0.66290000000000004</c:v>
                </c:pt>
                <c:pt idx="3575">
                  <c:v>0.66320000000000001</c:v>
                </c:pt>
                <c:pt idx="3576">
                  <c:v>0.66490000000000005</c:v>
                </c:pt>
                <c:pt idx="3577">
                  <c:v>0.65920000000000001</c:v>
                </c:pt>
                <c:pt idx="3578">
                  <c:v>0.65139999999999998</c:v>
                </c:pt>
                <c:pt idx="3579">
                  <c:v>0.65200000000000002</c:v>
                </c:pt>
                <c:pt idx="3580">
                  <c:v>0.64770000000000005</c:v>
                </c:pt>
                <c:pt idx="3581">
                  <c:v>0.65339999999999998</c:v>
                </c:pt>
                <c:pt idx="3582">
                  <c:v>0.65580000000000005</c:v>
                </c:pt>
                <c:pt idx="3583">
                  <c:v>0.65069999999999995</c:v>
                </c:pt>
                <c:pt idx="3584">
                  <c:v>0.65910000000000002</c:v>
                </c:pt>
                <c:pt idx="3585">
                  <c:v>0.65969999999999995</c:v>
                </c:pt>
                <c:pt idx="3586">
                  <c:v>0.65810000000000002</c:v>
                </c:pt>
                <c:pt idx="3587">
                  <c:v>0.65739999999999998</c:v>
                </c:pt>
                <c:pt idx="3588">
                  <c:v>0.66049999999999998</c:v>
                </c:pt>
                <c:pt idx="3589">
                  <c:v>0.67869999999999997</c:v>
                </c:pt>
                <c:pt idx="3590">
                  <c:v>0.67900000000000005</c:v>
                </c:pt>
                <c:pt idx="3591">
                  <c:v>0.68140000000000001</c:v>
                </c:pt>
                <c:pt idx="3592">
                  <c:v>0.68149999999999999</c:v>
                </c:pt>
                <c:pt idx="3593">
                  <c:v>0.67610000000000003</c:v>
                </c:pt>
                <c:pt idx="3594">
                  <c:v>0.67259999999999998</c:v>
                </c:pt>
                <c:pt idx="3595">
                  <c:v>0.66620000000000001</c:v>
                </c:pt>
                <c:pt idx="3596">
                  <c:v>0.66359999999999997</c:v>
                </c:pt>
                <c:pt idx="3597">
                  <c:v>0.66830000000000001</c:v>
                </c:pt>
                <c:pt idx="3598">
                  <c:v>0.66349999999999998</c:v>
                </c:pt>
                <c:pt idx="3599">
                  <c:v>0.66349999999999998</c:v>
                </c:pt>
                <c:pt idx="3600">
                  <c:v>0.66820000000000002</c:v>
                </c:pt>
                <c:pt idx="3601">
                  <c:v>0.67110000000000003</c:v>
                </c:pt>
                <c:pt idx="3602">
                  <c:v>0.67320000000000002</c:v>
                </c:pt>
                <c:pt idx="3603">
                  <c:v>0.67</c:v>
                </c:pt>
                <c:pt idx="3604">
                  <c:v>0.66879999999999995</c:v>
                </c:pt>
                <c:pt idx="3605">
                  <c:v>0.66830000000000001</c:v>
                </c:pt>
                <c:pt idx="3606">
                  <c:v>0.66459999999999997</c:v>
                </c:pt>
                <c:pt idx="3607">
                  <c:v>0.66290000000000004</c:v>
                </c:pt>
                <c:pt idx="3608">
                  <c:v>0.65690000000000004</c:v>
                </c:pt>
                <c:pt idx="3609">
                  <c:v>0.65639999999999998</c:v>
                </c:pt>
                <c:pt idx="3610">
                  <c:v>0.6583</c:v>
                </c:pt>
                <c:pt idx="3611">
                  <c:v>0.66510000000000002</c:v>
                </c:pt>
                <c:pt idx="3612">
                  <c:v>0.66449999999999998</c:v>
                </c:pt>
                <c:pt idx="3613">
                  <c:v>0.66039999999999999</c:v>
                </c:pt>
                <c:pt idx="3614">
                  <c:v>0.65810000000000002</c:v>
                </c:pt>
                <c:pt idx="3615">
                  <c:v>0.65380000000000005</c:v>
                </c:pt>
                <c:pt idx="3616">
                  <c:v>0.65139999999999998</c:v>
                </c:pt>
                <c:pt idx="3617">
                  <c:v>0.65069999999999995</c:v>
                </c:pt>
                <c:pt idx="3618">
                  <c:v>0.65529999999999999</c:v>
                </c:pt>
                <c:pt idx="3619">
                  <c:v>0.65980000000000005</c:v>
                </c:pt>
                <c:pt idx="3620">
                  <c:v>0.65890000000000004</c:v>
                </c:pt>
                <c:pt idx="3621">
                  <c:v>0.65769999999999995</c:v>
                </c:pt>
                <c:pt idx="3622">
                  <c:v>0.65559999999999996</c:v>
                </c:pt>
                <c:pt idx="3623">
                  <c:v>0.65790000000000004</c:v>
                </c:pt>
                <c:pt idx="3624">
                  <c:v>0.65469999999999995</c:v>
                </c:pt>
                <c:pt idx="3625">
                  <c:v>0.65139999999999998</c:v>
                </c:pt>
                <c:pt idx="3626">
                  <c:v>0.64139999999999997</c:v>
                </c:pt>
                <c:pt idx="3627">
                  <c:v>0.64749999999999996</c:v>
                </c:pt>
                <c:pt idx="3628">
                  <c:v>0.64849999999999997</c:v>
                </c:pt>
                <c:pt idx="3629">
                  <c:v>0.64880000000000004</c:v>
                </c:pt>
                <c:pt idx="3630">
                  <c:v>0.64480000000000004</c:v>
                </c:pt>
                <c:pt idx="3631">
                  <c:v>0.64329999999999998</c:v>
                </c:pt>
                <c:pt idx="3632">
                  <c:v>0.63839999999999997</c:v>
                </c:pt>
                <c:pt idx="3633">
                  <c:v>0.64280000000000004</c:v>
                </c:pt>
                <c:pt idx="3634">
                  <c:v>0.63480000000000003</c:v>
                </c:pt>
                <c:pt idx="3635">
                  <c:v>0.63019999999999998</c:v>
                </c:pt>
                <c:pt idx="3636">
                  <c:v>0.63149999999999995</c:v>
                </c:pt>
                <c:pt idx="3637">
                  <c:v>0.62629999999999997</c:v>
                </c:pt>
                <c:pt idx="3638">
                  <c:v>0.62190000000000001</c:v>
                </c:pt>
                <c:pt idx="3639">
                  <c:v>0.61819999999999997</c:v>
                </c:pt>
                <c:pt idx="3640">
                  <c:v>0.61629999999999996</c:v>
                </c:pt>
                <c:pt idx="3641">
                  <c:v>0.61760000000000004</c:v>
                </c:pt>
                <c:pt idx="3642">
                  <c:v>0.61860000000000004</c:v>
                </c:pt>
                <c:pt idx="3643">
                  <c:v>0.62139999999999995</c:v>
                </c:pt>
                <c:pt idx="3644">
                  <c:v>0.61419999999999997</c:v>
                </c:pt>
                <c:pt idx="3645">
                  <c:v>0.61480000000000001</c:v>
                </c:pt>
                <c:pt idx="3646">
                  <c:v>0.61399999999999999</c:v>
                </c:pt>
                <c:pt idx="3647">
                  <c:v>0.61270000000000002</c:v>
                </c:pt>
                <c:pt idx="3648">
                  <c:v>0.60670000000000002</c:v>
                </c:pt>
                <c:pt idx="3649">
                  <c:v>0.60489999999999999</c:v>
                </c:pt>
                <c:pt idx="3650">
                  <c:v>0.60560000000000003</c:v>
                </c:pt>
                <c:pt idx="3651">
                  <c:v>0.60560000000000003</c:v>
                </c:pt>
                <c:pt idx="3652">
                  <c:v>0.60540000000000005</c:v>
                </c:pt>
                <c:pt idx="3653">
                  <c:v>0.60089999999999999</c:v>
                </c:pt>
                <c:pt idx="3654">
                  <c:v>0.59799999999999998</c:v>
                </c:pt>
                <c:pt idx="3655">
                  <c:v>0.60060000000000002</c:v>
                </c:pt>
                <c:pt idx="3656">
                  <c:v>0.60170000000000001</c:v>
                </c:pt>
                <c:pt idx="3657">
                  <c:v>0.60250000000000004</c:v>
                </c:pt>
                <c:pt idx="3658">
                  <c:v>0.60460000000000003</c:v>
                </c:pt>
                <c:pt idx="3659">
                  <c:v>0.60409999999999997</c:v>
                </c:pt>
                <c:pt idx="3660">
                  <c:v>0.60109999999999997</c:v>
                </c:pt>
                <c:pt idx="3661">
                  <c:v>0.60140000000000005</c:v>
                </c:pt>
                <c:pt idx="3662">
                  <c:v>0.59819999999999995</c:v>
                </c:pt>
                <c:pt idx="3663">
                  <c:v>0.59619999999999995</c:v>
                </c:pt>
                <c:pt idx="3664">
                  <c:v>0.59489999999999998</c:v>
                </c:pt>
                <c:pt idx="3665">
                  <c:v>0.59130000000000005</c:v>
                </c:pt>
                <c:pt idx="3666">
                  <c:v>0.59330000000000005</c:v>
                </c:pt>
                <c:pt idx="3667">
                  <c:v>0.5897</c:v>
                </c:pt>
                <c:pt idx="3668">
                  <c:v>0.59419999999999995</c:v>
                </c:pt>
                <c:pt idx="3669">
                  <c:v>0.59279999999999999</c:v>
                </c:pt>
                <c:pt idx="3670">
                  <c:v>0.5988</c:v>
                </c:pt>
                <c:pt idx="3671">
                  <c:v>0.59470000000000001</c:v>
                </c:pt>
                <c:pt idx="3672">
                  <c:v>0.59560000000000002</c:v>
                </c:pt>
                <c:pt idx="3673">
                  <c:v>0.60429999999999995</c:v>
                </c:pt>
                <c:pt idx="3674">
                  <c:v>0.61460000000000004</c:v>
                </c:pt>
                <c:pt idx="3675">
                  <c:v>0.6139</c:v>
                </c:pt>
                <c:pt idx="3676">
                  <c:v>0.61439999999999995</c:v>
                </c:pt>
                <c:pt idx="3677">
                  <c:v>0.61660000000000004</c:v>
                </c:pt>
                <c:pt idx="3678">
                  <c:v>0.61260000000000003</c:v>
                </c:pt>
                <c:pt idx="3679">
                  <c:v>0.61450000000000005</c:v>
                </c:pt>
                <c:pt idx="3680">
                  <c:v>0.60850000000000004</c:v>
                </c:pt>
                <c:pt idx="3681">
                  <c:v>0.60519999999999996</c:v>
                </c:pt>
                <c:pt idx="3682">
                  <c:v>0.60709999999999997</c:v>
                </c:pt>
                <c:pt idx="3683">
                  <c:v>0.60560000000000003</c:v>
                </c:pt>
                <c:pt idx="3684">
                  <c:v>0.60529999999999995</c:v>
                </c:pt>
                <c:pt idx="3685">
                  <c:v>0.59719999999999995</c:v>
                </c:pt>
                <c:pt idx="3686">
                  <c:v>0.59850000000000003</c:v>
                </c:pt>
                <c:pt idx="3687">
                  <c:v>0.59409999999999996</c:v>
                </c:pt>
                <c:pt idx="3688">
                  <c:v>0.5897</c:v>
                </c:pt>
                <c:pt idx="3689">
                  <c:v>0.5907</c:v>
                </c:pt>
                <c:pt idx="3690">
                  <c:v>0.59189999999999998</c:v>
                </c:pt>
                <c:pt idx="3691">
                  <c:v>0.59570000000000001</c:v>
                </c:pt>
                <c:pt idx="3692">
                  <c:v>0.58879999999999999</c:v>
                </c:pt>
                <c:pt idx="3693">
                  <c:v>0.59109999999999996</c:v>
                </c:pt>
                <c:pt idx="3694">
                  <c:v>0.59130000000000005</c:v>
                </c:pt>
                <c:pt idx="3695">
                  <c:v>0.5907</c:v>
                </c:pt>
                <c:pt idx="3696">
                  <c:v>0.59199999999999997</c:v>
                </c:pt>
                <c:pt idx="3697">
                  <c:v>0.59</c:v>
                </c:pt>
                <c:pt idx="3698">
                  <c:v>0.59179999999999999</c:v>
                </c:pt>
                <c:pt idx="3699">
                  <c:v>0.58450000000000002</c:v>
                </c:pt>
                <c:pt idx="3700">
                  <c:v>0.58679999999999999</c:v>
                </c:pt>
                <c:pt idx="3701">
                  <c:v>0.58919999999999995</c:v>
                </c:pt>
                <c:pt idx="3702">
                  <c:v>0.58960000000000001</c:v>
                </c:pt>
                <c:pt idx="3703">
                  <c:v>0.58850000000000002</c:v>
                </c:pt>
                <c:pt idx="3704">
                  <c:v>0.59040000000000004</c:v>
                </c:pt>
                <c:pt idx="3705">
                  <c:v>0.59199999999999997</c:v>
                </c:pt>
                <c:pt idx="3706">
                  <c:v>0.5907</c:v>
                </c:pt>
                <c:pt idx="3707">
                  <c:v>0.58640000000000003</c:v>
                </c:pt>
                <c:pt idx="3708">
                  <c:v>0.58909999999999996</c:v>
                </c:pt>
                <c:pt idx="3709">
                  <c:v>0.59109999999999996</c:v>
                </c:pt>
                <c:pt idx="3710">
                  <c:v>0.59179999999999999</c:v>
                </c:pt>
                <c:pt idx="3711">
                  <c:v>0.5877</c:v>
                </c:pt>
                <c:pt idx="3712">
                  <c:v>0.58420000000000005</c:v>
                </c:pt>
                <c:pt idx="3713">
                  <c:v>0.58340000000000003</c:v>
                </c:pt>
                <c:pt idx="3714">
                  <c:v>0.58530000000000004</c:v>
                </c:pt>
                <c:pt idx="3715">
                  <c:v>0.58399999999999996</c:v>
                </c:pt>
                <c:pt idx="3716">
                  <c:v>0.57589999999999997</c:v>
                </c:pt>
                <c:pt idx="3717">
                  <c:v>0.5766</c:v>
                </c:pt>
                <c:pt idx="3718">
                  <c:v>0.57340000000000002</c:v>
                </c:pt>
                <c:pt idx="3719">
                  <c:v>0.57599999999999996</c:v>
                </c:pt>
                <c:pt idx="3720">
                  <c:v>0.56759999999999999</c:v>
                </c:pt>
                <c:pt idx="3721">
                  <c:v>0.56330000000000002</c:v>
                </c:pt>
                <c:pt idx="3722">
                  <c:v>0.56179999999999997</c:v>
                </c:pt>
                <c:pt idx="3723">
                  <c:v>0.5615</c:v>
                </c:pt>
                <c:pt idx="3724">
                  <c:v>0.56489999999999996</c:v>
                </c:pt>
                <c:pt idx="3725">
                  <c:v>0.56120000000000003</c:v>
                </c:pt>
                <c:pt idx="3726">
                  <c:v>0.56320000000000003</c:v>
                </c:pt>
                <c:pt idx="3727">
                  <c:v>0.56289999999999996</c:v>
                </c:pt>
                <c:pt idx="3728">
                  <c:v>0.56240000000000001</c:v>
                </c:pt>
                <c:pt idx="3729">
                  <c:v>0.56210000000000004</c:v>
                </c:pt>
                <c:pt idx="3730">
                  <c:v>0.56310000000000004</c:v>
                </c:pt>
                <c:pt idx="3731">
                  <c:v>0.56530000000000002</c:v>
                </c:pt>
                <c:pt idx="3732">
                  <c:v>0.56499999999999995</c:v>
                </c:pt>
                <c:pt idx="3733">
                  <c:v>0.56559999999999999</c:v>
                </c:pt>
                <c:pt idx="3734">
                  <c:v>0.56679999999999997</c:v>
                </c:pt>
                <c:pt idx="3735">
                  <c:v>0.56479999999999997</c:v>
                </c:pt>
                <c:pt idx="3736">
                  <c:v>0.56589999999999996</c:v>
                </c:pt>
                <c:pt idx="3737">
                  <c:v>0.5605</c:v>
                </c:pt>
                <c:pt idx="3738">
                  <c:v>0.55940000000000001</c:v>
                </c:pt>
                <c:pt idx="3739">
                  <c:v>0.56369999999999998</c:v>
                </c:pt>
                <c:pt idx="3740">
                  <c:v>0.56079999999999997</c:v>
                </c:pt>
                <c:pt idx="3741">
                  <c:v>0.56140000000000001</c:v>
                </c:pt>
                <c:pt idx="3742">
                  <c:v>0.56059999999999999</c:v>
                </c:pt>
                <c:pt idx="3743">
                  <c:v>0.55900000000000005</c:v>
                </c:pt>
                <c:pt idx="3744">
                  <c:v>0.55969999999999998</c:v>
                </c:pt>
                <c:pt idx="3745">
                  <c:v>0.56059999999999999</c:v>
                </c:pt>
                <c:pt idx="3746">
                  <c:v>0.56030000000000002</c:v>
                </c:pt>
                <c:pt idx="3747">
                  <c:v>0.55640000000000001</c:v>
                </c:pt>
                <c:pt idx="3748">
                  <c:v>0.56000000000000005</c:v>
                </c:pt>
                <c:pt idx="3749">
                  <c:v>0.55940000000000001</c:v>
                </c:pt>
                <c:pt idx="3750">
                  <c:v>0.5635</c:v>
                </c:pt>
                <c:pt idx="3751">
                  <c:v>0.56279999999999997</c:v>
                </c:pt>
                <c:pt idx="3752">
                  <c:v>0.56030000000000002</c:v>
                </c:pt>
                <c:pt idx="3753">
                  <c:v>0.55969999999999998</c:v>
                </c:pt>
                <c:pt idx="3754">
                  <c:v>0.56200000000000006</c:v>
                </c:pt>
                <c:pt idx="3755">
                  <c:v>0.56359999999999999</c:v>
                </c:pt>
                <c:pt idx="3756">
                  <c:v>0.56330000000000002</c:v>
                </c:pt>
                <c:pt idx="3757">
                  <c:v>0.56030000000000002</c:v>
                </c:pt>
                <c:pt idx="3758">
                  <c:v>0.56030000000000002</c:v>
                </c:pt>
                <c:pt idx="3759">
                  <c:v>0.56140000000000001</c:v>
                </c:pt>
                <c:pt idx="3760">
                  <c:v>0.56479999999999997</c:v>
                </c:pt>
                <c:pt idx="3761">
                  <c:v>0.56669999999999998</c:v>
                </c:pt>
                <c:pt idx="3762">
                  <c:v>0.56369999999999998</c:v>
                </c:pt>
                <c:pt idx="3763">
                  <c:v>0.56120000000000003</c:v>
                </c:pt>
                <c:pt idx="3764">
                  <c:v>0.56140000000000001</c:v>
                </c:pt>
                <c:pt idx="3765">
                  <c:v>0.55910000000000004</c:v>
                </c:pt>
                <c:pt idx="3766">
                  <c:v>0.55459999999999998</c:v>
                </c:pt>
                <c:pt idx="3767">
                  <c:v>0.55330000000000001</c:v>
                </c:pt>
                <c:pt idx="3768">
                  <c:v>0.55679999999999996</c:v>
                </c:pt>
                <c:pt idx="3769">
                  <c:v>0.55910000000000004</c:v>
                </c:pt>
                <c:pt idx="3770">
                  <c:v>0.55579999999999996</c:v>
                </c:pt>
                <c:pt idx="3771">
                  <c:v>0.55449999999999999</c:v>
                </c:pt>
                <c:pt idx="3772">
                  <c:v>0.55289999999999995</c:v>
                </c:pt>
                <c:pt idx="3773">
                  <c:v>0.55249999999999999</c:v>
                </c:pt>
                <c:pt idx="3774">
                  <c:v>0.55469999999999997</c:v>
                </c:pt>
                <c:pt idx="3775">
                  <c:v>0.55000000000000004</c:v>
                </c:pt>
                <c:pt idx="3776">
                  <c:v>0.55089999999999995</c:v>
                </c:pt>
                <c:pt idx="3777">
                  <c:v>0.54869999999999997</c:v>
                </c:pt>
                <c:pt idx="3778">
                  <c:v>0.54669999999999996</c:v>
                </c:pt>
                <c:pt idx="3779">
                  <c:v>0.54669999999999996</c:v>
                </c:pt>
                <c:pt idx="3780">
                  <c:v>0.54869999999999997</c:v>
                </c:pt>
                <c:pt idx="3781">
                  <c:v>0.54849999999999999</c:v>
                </c:pt>
                <c:pt idx="3782">
                  <c:v>0.54910000000000003</c:v>
                </c:pt>
                <c:pt idx="3783">
                  <c:v>0.54659999999999997</c:v>
                </c:pt>
                <c:pt idx="3784">
                  <c:v>0.54949999999999999</c:v>
                </c:pt>
                <c:pt idx="3785">
                  <c:v>0.54659999999999997</c:v>
                </c:pt>
                <c:pt idx="3786">
                  <c:v>0.54630000000000001</c:v>
                </c:pt>
                <c:pt idx="3787">
                  <c:v>0.54349999999999998</c:v>
                </c:pt>
                <c:pt idx="3788">
                  <c:v>0.54379999999999995</c:v>
                </c:pt>
                <c:pt idx="3789">
                  <c:v>0.54339999999999999</c:v>
                </c:pt>
                <c:pt idx="3790">
                  <c:v>0.54379999999999995</c:v>
                </c:pt>
                <c:pt idx="3791">
                  <c:v>0.54410000000000003</c:v>
                </c:pt>
                <c:pt idx="3792">
                  <c:v>0.54669999999999996</c:v>
                </c:pt>
                <c:pt idx="3793">
                  <c:v>0.54330000000000001</c:v>
                </c:pt>
                <c:pt idx="3794">
                  <c:v>0.54349999999999998</c:v>
                </c:pt>
                <c:pt idx="3795">
                  <c:v>0.54630000000000001</c:v>
                </c:pt>
                <c:pt idx="3796">
                  <c:v>0.55000000000000004</c:v>
                </c:pt>
                <c:pt idx="3797">
                  <c:v>0.54859999999999998</c:v>
                </c:pt>
                <c:pt idx="3798">
                  <c:v>0.54759999999999998</c:v>
                </c:pt>
                <c:pt idx="3799">
                  <c:v>0.54779999999999995</c:v>
                </c:pt>
                <c:pt idx="3800">
                  <c:v>0.55020000000000002</c:v>
                </c:pt>
                <c:pt idx="3801">
                  <c:v>0.5524</c:v>
                </c:pt>
                <c:pt idx="3802">
                  <c:v>0.54820000000000002</c:v>
                </c:pt>
                <c:pt idx="3803">
                  <c:v>0.5484</c:v>
                </c:pt>
                <c:pt idx="3804">
                  <c:v>0.54830000000000001</c:v>
                </c:pt>
                <c:pt idx="3805">
                  <c:v>0.54749999999999999</c:v>
                </c:pt>
                <c:pt idx="3806">
                  <c:v>0.54210000000000003</c:v>
                </c:pt>
                <c:pt idx="3807">
                  <c:v>0.54479999999999995</c:v>
                </c:pt>
                <c:pt idx="3808">
                  <c:v>0.54820000000000002</c:v>
                </c:pt>
                <c:pt idx="3809">
                  <c:v>0.55200000000000005</c:v>
                </c:pt>
                <c:pt idx="3810">
                  <c:v>0.55049999999999999</c:v>
                </c:pt>
                <c:pt idx="3811">
                  <c:v>0.55220000000000002</c:v>
                </c:pt>
                <c:pt idx="3812">
                  <c:v>0.55149999999999999</c:v>
                </c:pt>
                <c:pt idx="3813">
                  <c:v>0.55410000000000004</c:v>
                </c:pt>
                <c:pt idx="3814">
                  <c:v>0.54379999999999995</c:v>
                </c:pt>
                <c:pt idx="3815">
                  <c:v>0.54239999999999999</c:v>
                </c:pt>
                <c:pt idx="3816">
                  <c:v>0.54069999999999996</c:v>
                </c:pt>
                <c:pt idx="3817">
                  <c:v>0.54390000000000005</c:v>
                </c:pt>
                <c:pt idx="3818">
                  <c:v>0.54620000000000002</c:v>
                </c:pt>
                <c:pt idx="3819">
                  <c:v>0.54210000000000003</c:v>
                </c:pt>
                <c:pt idx="3820">
                  <c:v>0.54530000000000001</c:v>
                </c:pt>
                <c:pt idx="3821">
                  <c:v>0.54279999999999995</c:v>
                </c:pt>
                <c:pt idx="3822">
                  <c:v>0.53649999999999998</c:v>
                </c:pt>
                <c:pt idx="3823">
                  <c:v>0.53790000000000004</c:v>
                </c:pt>
                <c:pt idx="3824">
                  <c:v>0.53959999999999997</c:v>
                </c:pt>
                <c:pt idx="3825">
                  <c:v>0.53600000000000003</c:v>
                </c:pt>
                <c:pt idx="3826">
                  <c:v>0.53359999999999996</c:v>
                </c:pt>
                <c:pt idx="3827">
                  <c:v>0.53690000000000004</c:v>
                </c:pt>
                <c:pt idx="3828">
                  <c:v>0.53100000000000003</c:v>
                </c:pt>
                <c:pt idx="3829">
                  <c:v>0.5272</c:v>
                </c:pt>
                <c:pt idx="3830">
                  <c:v>0.53839999999999999</c:v>
                </c:pt>
                <c:pt idx="3831">
                  <c:v>0.54069999999999996</c:v>
                </c:pt>
                <c:pt idx="3832">
                  <c:v>0.54249999999999998</c:v>
                </c:pt>
                <c:pt idx="3833">
                  <c:v>0.54359999999999997</c:v>
                </c:pt>
                <c:pt idx="3834">
                  <c:v>0.54110000000000003</c:v>
                </c:pt>
                <c:pt idx="3835">
                  <c:v>0.53469999999999995</c:v>
                </c:pt>
                <c:pt idx="3836">
                  <c:v>0.54020000000000001</c:v>
                </c:pt>
                <c:pt idx="3837">
                  <c:v>0.54259999999999997</c:v>
                </c:pt>
                <c:pt idx="3838">
                  <c:v>0.53849999999999998</c:v>
                </c:pt>
                <c:pt idx="3839">
                  <c:v>0.54710000000000003</c:v>
                </c:pt>
                <c:pt idx="3840">
                  <c:v>0.55669999999999997</c:v>
                </c:pt>
                <c:pt idx="3841">
                  <c:v>0.55289999999999995</c:v>
                </c:pt>
                <c:pt idx="3842">
                  <c:v>0.55079999999999996</c:v>
                </c:pt>
                <c:pt idx="3843">
                  <c:v>0.55620000000000003</c:v>
                </c:pt>
                <c:pt idx="3844">
                  <c:v>0.55889999999999995</c:v>
                </c:pt>
                <c:pt idx="3845">
                  <c:v>0.55979999999999996</c:v>
                </c:pt>
                <c:pt idx="3846">
                  <c:v>0.55769999999999997</c:v>
                </c:pt>
                <c:pt idx="3847">
                  <c:v>0.56540000000000001</c:v>
                </c:pt>
                <c:pt idx="3848">
                  <c:v>0.56830000000000003</c:v>
                </c:pt>
                <c:pt idx="3849">
                  <c:v>0.56469999999999998</c:v>
                </c:pt>
                <c:pt idx="3850">
                  <c:v>0.55659999999999998</c:v>
                </c:pt>
                <c:pt idx="3851">
                  <c:v>0.55610000000000004</c:v>
                </c:pt>
                <c:pt idx="3852">
                  <c:v>0.56000000000000005</c:v>
                </c:pt>
                <c:pt idx="3853">
                  <c:v>0.5645</c:v>
                </c:pt>
                <c:pt idx="3854">
                  <c:v>0.56169999999999998</c:v>
                </c:pt>
                <c:pt idx="3855">
                  <c:v>0.5635</c:v>
                </c:pt>
                <c:pt idx="3856">
                  <c:v>0.56240000000000001</c:v>
                </c:pt>
                <c:pt idx="3857">
                  <c:v>0.55989999999999995</c:v>
                </c:pt>
                <c:pt idx="3858">
                  <c:v>0.5716</c:v>
                </c:pt>
                <c:pt idx="3859">
                  <c:v>0.56950000000000001</c:v>
                </c:pt>
                <c:pt idx="3860">
                  <c:v>0.57389999999999997</c:v>
                </c:pt>
                <c:pt idx="3861">
                  <c:v>0.57220000000000004</c:v>
                </c:pt>
                <c:pt idx="3862">
                  <c:v>0.56469999999999998</c:v>
                </c:pt>
                <c:pt idx="3863">
                  <c:v>0.56569999999999998</c:v>
                </c:pt>
                <c:pt idx="3864">
                  <c:v>0.5585</c:v>
                </c:pt>
                <c:pt idx="3865">
                  <c:v>0.56040000000000001</c:v>
                </c:pt>
                <c:pt idx="3866">
                  <c:v>0.56669999999999998</c:v>
                </c:pt>
                <c:pt idx="3867">
                  <c:v>0.57020000000000004</c:v>
                </c:pt>
                <c:pt idx="3868">
                  <c:v>0.56869999999999998</c:v>
                </c:pt>
                <c:pt idx="3869">
                  <c:v>0.5706</c:v>
                </c:pt>
                <c:pt idx="3870">
                  <c:v>0.57179999999999997</c:v>
                </c:pt>
                <c:pt idx="3871">
                  <c:v>0.57579999999999998</c:v>
                </c:pt>
                <c:pt idx="3872">
                  <c:v>0.57369999999999999</c:v>
                </c:pt>
                <c:pt idx="3873">
                  <c:v>0.57240000000000002</c:v>
                </c:pt>
                <c:pt idx="3874">
                  <c:v>0.57130000000000003</c:v>
                </c:pt>
                <c:pt idx="3875">
                  <c:v>0.56769999999999998</c:v>
                </c:pt>
                <c:pt idx="3876">
                  <c:v>0.56459999999999999</c:v>
                </c:pt>
                <c:pt idx="3877">
                  <c:v>0.56379999999999997</c:v>
                </c:pt>
                <c:pt idx="3878">
                  <c:v>0.56179999999999997</c:v>
                </c:pt>
                <c:pt idx="3879">
                  <c:v>0.55740000000000001</c:v>
                </c:pt>
                <c:pt idx="3880">
                  <c:v>0.55679999999999996</c:v>
                </c:pt>
                <c:pt idx="3881">
                  <c:v>0.55689999999999995</c:v>
                </c:pt>
                <c:pt idx="3882">
                  <c:v>0.56030000000000002</c:v>
                </c:pt>
                <c:pt idx="3883">
                  <c:v>0.55679999999999996</c:v>
                </c:pt>
                <c:pt idx="3884">
                  <c:v>0.55510000000000004</c:v>
                </c:pt>
                <c:pt idx="3885">
                  <c:v>0.55259999999999998</c:v>
                </c:pt>
                <c:pt idx="3886">
                  <c:v>0.54910000000000003</c:v>
                </c:pt>
                <c:pt idx="3887">
                  <c:v>0.54920000000000002</c:v>
                </c:pt>
                <c:pt idx="3888">
                  <c:v>0.54730000000000001</c:v>
                </c:pt>
                <c:pt idx="3889">
                  <c:v>0.54669999999999996</c:v>
                </c:pt>
                <c:pt idx="3890">
                  <c:v>0.54490000000000005</c:v>
                </c:pt>
                <c:pt idx="3891">
                  <c:v>0.54420000000000002</c:v>
                </c:pt>
                <c:pt idx="3892">
                  <c:v>0.5393</c:v>
                </c:pt>
                <c:pt idx="3893">
                  <c:v>0.53920000000000001</c:v>
                </c:pt>
                <c:pt idx="3894">
                  <c:v>0.53969999999999996</c:v>
                </c:pt>
                <c:pt idx="3895">
                  <c:v>0.53969999999999996</c:v>
                </c:pt>
                <c:pt idx="3896">
                  <c:v>0.53549999999999998</c:v>
                </c:pt>
                <c:pt idx="3897">
                  <c:v>0.53959999999999997</c:v>
                </c:pt>
                <c:pt idx="3898">
                  <c:v>0.53849999999999998</c:v>
                </c:pt>
                <c:pt idx="3899">
                  <c:v>0.53869999999999996</c:v>
                </c:pt>
                <c:pt idx="3900">
                  <c:v>0.54369999999999996</c:v>
                </c:pt>
                <c:pt idx="3901">
                  <c:v>0.54349999999999998</c:v>
                </c:pt>
                <c:pt idx="3902">
                  <c:v>0.54279999999999995</c:v>
                </c:pt>
                <c:pt idx="3903">
                  <c:v>0.53810000000000002</c:v>
                </c:pt>
                <c:pt idx="3904">
                  <c:v>0.54049999999999998</c:v>
                </c:pt>
                <c:pt idx="3905">
                  <c:v>0.53979999999999995</c:v>
                </c:pt>
                <c:pt idx="3906">
                  <c:v>0.53879999999999995</c:v>
                </c:pt>
                <c:pt idx="3907">
                  <c:v>0.53769999999999996</c:v>
                </c:pt>
                <c:pt idx="3908">
                  <c:v>0.53300000000000003</c:v>
                </c:pt>
                <c:pt idx="3909">
                  <c:v>0.53120000000000001</c:v>
                </c:pt>
                <c:pt idx="3910">
                  <c:v>0.53490000000000004</c:v>
                </c:pt>
                <c:pt idx="3911">
                  <c:v>0.53500000000000003</c:v>
                </c:pt>
                <c:pt idx="3912">
                  <c:v>0.53090000000000004</c:v>
                </c:pt>
                <c:pt idx="3913">
                  <c:v>0.52800000000000002</c:v>
                </c:pt>
                <c:pt idx="3914">
                  <c:v>0.52729999999999999</c:v>
                </c:pt>
                <c:pt idx="3915">
                  <c:v>0.53049999999999997</c:v>
                </c:pt>
                <c:pt idx="3916">
                  <c:v>0.53110000000000002</c:v>
                </c:pt>
                <c:pt idx="3917">
                  <c:v>0.53220000000000001</c:v>
                </c:pt>
                <c:pt idx="3918">
                  <c:v>0.53480000000000005</c:v>
                </c:pt>
                <c:pt idx="3919">
                  <c:v>0.53400000000000003</c:v>
                </c:pt>
                <c:pt idx="3920">
                  <c:v>0.53339999999999999</c:v>
                </c:pt>
                <c:pt idx="3921">
                  <c:v>0.53390000000000004</c:v>
                </c:pt>
                <c:pt idx="3922">
                  <c:v>0.52769999999999995</c:v>
                </c:pt>
                <c:pt idx="3923">
                  <c:v>0.52700000000000002</c:v>
                </c:pt>
                <c:pt idx="3924">
                  <c:v>0.5302</c:v>
                </c:pt>
                <c:pt idx="3925">
                  <c:v>0.53059999999999996</c:v>
                </c:pt>
                <c:pt idx="3926">
                  <c:v>0.53010000000000002</c:v>
                </c:pt>
                <c:pt idx="3927">
                  <c:v>0.52990000000000004</c:v>
                </c:pt>
                <c:pt idx="3928">
                  <c:v>0.52310000000000001</c:v>
                </c:pt>
                <c:pt idx="3929">
                  <c:v>0.52549999999999997</c:v>
                </c:pt>
                <c:pt idx="3930">
                  <c:v>0.52549999999999997</c:v>
                </c:pt>
                <c:pt idx="3931">
                  <c:v>0.52400000000000002</c:v>
                </c:pt>
                <c:pt idx="3932">
                  <c:v>0.51959999999999995</c:v>
                </c:pt>
                <c:pt idx="3933">
                  <c:v>0.52059999999999995</c:v>
                </c:pt>
                <c:pt idx="3934">
                  <c:v>0.52170000000000005</c:v>
                </c:pt>
                <c:pt idx="3935">
                  <c:v>0.5232</c:v>
                </c:pt>
                <c:pt idx="3936">
                  <c:v>0.52529999999999999</c:v>
                </c:pt>
                <c:pt idx="3937">
                  <c:v>0.52249999999999996</c:v>
                </c:pt>
                <c:pt idx="3938">
                  <c:v>0.52049999999999996</c:v>
                </c:pt>
                <c:pt idx="3939">
                  <c:v>0.52049999999999996</c:v>
                </c:pt>
                <c:pt idx="3940">
                  <c:v>0.51959999999999995</c:v>
                </c:pt>
                <c:pt idx="3941">
                  <c:v>0.51670000000000005</c:v>
                </c:pt>
                <c:pt idx="3942">
                  <c:v>0.51529999999999998</c:v>
                </c:pt>
                <c:pt idx="3943">
                  <c:v>0.51359999999999995</c:v>
                </c:pt>
                <c:pt idx="3944">
                  <c:v>0.51380000000000003</c:v>
                </c:pt>
                <c:pt idx="3945">
                  <c:v>0.51290000000000002</c:v>
                </c:pt>
                <c:pt idx="3946">
                  <c:v>0.5171</c:v>
                </c:pt>
                <c:pt idx="3947">
                  <c:v>0.51819999999999999</c:v>
                </c:pt>
                <c:pt idx="3948">
                  <c:v>0.51829999999999998</c:v>
                </c:pt>
                <c:pt idx="3949">
                  <c:v>0.51829999999999998</c:v>
                </c:pt>
                <c:pt idx="3950">
                  <c:v>0.5171</c:v>
                </c:pt>
                <c:pt idx="3951">
                  <c:v>0.51680000000000004</c:v>
                </c:pt>
                <c:pt idx="3952">
                  <c:v>0.50980000000000003</c:v>
                </c:pt>
                <c:pt idx="3953">
                  <c:v>0.50919999999999999</c:v>
                </c:pt>
                <c:pt idx="3954">
                  <c:v>0.51239999999999997</c:v>
                </c:pt>
                <c:pt idx="3955">
                  <c:v>0.51039999999999996</c:v>
                </c:pt>
                <c:pt idx="3956">
                  <c:v>0.50919999999999999</c:v>
                </c:pt>
                <c:pt idx="3957">
                  <c:v>0.50829999999999997</c:v>
                </c:pt>
                <c:pt idx="3958">
                  <c:v>0.50919999999999999</c:v>
                </c:pt>
                <c:pt idx="3959">
                  <c:v>0.51080000000000003</c:v>
                </c:pt>
                <c:pt idx="3960">
                  <c:v>0.50919999999999999</c:v>
                </c:pt>
                <c:pt idx="3961">
                  <c:v>0.50780000000000003</c:v>
                </c:pt>
                <c:pt idx="3962">
                  <c:v>0.50670000000000004</c:v>
                </c:pt>
                <c:pt idx="3963">
                  <c:v>0.50939999999999996</c:v>
                </c:pt>
                <c:pt idx="3964">
                  <c:v>0.51580000000000004</c:v>
                </c:pt>
                <c:pt idx="3965">
                  <c:v>0.51619999999999999</c:v>
                </c:pt>
                <c:pt idx="3966">
                  <c:v>0.51939999999999997</c:v>
                </c:pt>
                <c:pt idx="3967">
                  <c:v>0.51800000000000002</c:v>
                </c:pt>
                <c:pt idx="3968">
                  <c:v>0.51910000000000001</c:v>
                </c:pt>
                <c:pt idx="3969">
                  <c:v>0.51749999999999996</c:v>
                </c:pt>
                <c:pt idx="3970">
                  <c:v>0.51449999999999996</c:v>
                </c:pt>
                <c:pt idx="3971">
                  <c:v>0.51459999999999995</c:v>
                </c:pt>
                <c:pt idx="3972">
                  <c:v>0.51519999999999999</c:v>
                </c:pt>
                <c:pt idx="3973">
                  <c:v>0.51790000000000003</c:v>
                </c:pt>
                <c:pt idx="3974">
                  <c:v>0.51819999999999999</c:v>
                </c:pt>
                <c:pt idx="3975">
                  <c:v>0.52070000000000005</c:v>
                </c:pt>
                <c:pt idx="3976">
                  <c:v>0.52310000000000001</c:v>
                </c:pt>
                <c:pt idx="3977">
                  <c:v>0.52470000000000006</c:v>
                </c:pt>
                <c:pt idx="3978">
                  <c:v>0.5242</c:v>
                </c:pt>
                <c:pt idx="3979">
                  <c:v>0.51870000000000005</c:v>
                </c:pt>
                <c:pt idx="3980">
                  <c:v>0.52</c:v>
                </c:pt>
                <c:pt idx="3981">
                  <c:v>0.51439999999999997</c:v>
                </c:pt>
                <c:pt idx="3982">
                  <c:v>0.51490000000000002</c:v>
                </c:pt>
                <c:pt idx="3983">
                  <c:v>0.50990000000000002</c:v>
                </c:pt>
                <c:pt idx="3984">
                  <c:v>0.51060000000000005</c:v>
                </c:pt>
                <c:pt idx="3985">
                  <c:v>0.51060000000000005</c:v>
                </c:pt>
                <c:pt idx="3986">
                  <c:v>0.50770000000000004</c:v>
                </c:pt>
                <c:pt idx="3987">
                  <c:v>0.50739999999999996</c:v>
                </c:pt>
                <c:pt idx="3988">
                  <c:v>0.50800000000000001</c:v>
                </c:pt>
                <c:pt idx="3989">
                  <c:v>0.50880000000000003</c:v>
                </c:pt>
                <c:pt idx="3990">
                  <c:v>0.50839999999999996</c:v>
                </c:pt>
                <c:pt idx="3991">
                  <c:v>0.50529999999999997</c:v>
                </c:pt>
                <c:pt idx="3992">
                  <c:v>0.5111</c:v>
                </c:pt>
                <c:pt idx="3993">
                  <c:v>0.51549999999999996</c:v>
                </c:pt>
                <c:pt idx="3994">
                  <c:v>0.51719999999999999</c:v>
                </c:pt>
                <c:pt idx="3995">
                  <c:v>0.51939999999999997</c:v>
                </c:pt>
                <c:pt idx="3996">
                  <c:v>0.51880000000000004</c:v>
                </c:pt>
                <c:pt idx="3997">
                  <c:v>0.51980000000000004</c:v>
                </c:pt>
                <c:pt idx="3998">
                  <c:v>0.51590000000000003</c:v>
                </c:pt>
                <c:pt idx="3999">
                  <c:v>0.51470000000000005</c:v>
                </c:pt>
                <c:pt idx="4000">
                  <c:v>0.51470000000000005</c:v>
                </c:pt>
                <c:pt idx="4001">
                  <c:v>0.51870000000000005</c:v>
                </c:pt>
                <c:pt idx="4002">
                  <c:v>0.51759999999999995</c:v>
                </c:pt>
                <c:pt idx="4003">
                  <c:v>0.51419999999999999</c:v>
                </c:pt>
                <c:pt idx="4004">
                  <c:v>0.51700000000000002</c:v>
                </c:pt>
                <c:pt idx="4005">
                  <c:v>0.52180000000000004</c:v>
                </c:pt>
                <c:pt idx="4006">
                  <c:v>0.51780000000000004</c:v>
                </c:pt>
                <c:pt idx="4007">
                  <c:v>0.52149999999999996</c:v>
                </c:pt>
                <c:pt idx="4008">
                  <c:v>0.52270000000000005</c:v>
                </c:pt>
                <c:pt idx="4009">
                  <c:v>0.5181</c:v>
                </c:pt>
                <c:pt idx="4010">
                  <c:v>0.51790000000000003</c:v>
                </c:pt>
                <c:pt idx="4011">
                  <c:v>0.51729999999999998</c:v>
                </c:pt>
                <c:pt idx="4012">
                  <c:v>0.51659999999999995</c:v>
                </c:pt>
                <c:pt idx="4013">
                  <c:v>0.51990000000000003</c:v>
                </c:pt>
                <c:pt idx="4014">
                  <c:v>0.52229999999999999</c:v>
                </c:pt>
                <c:pt idx="4015">
                  <c:v>0.52249999999999996</c:v>
                </c:pt>
                <c:pt idx="4016">
                  <c:v>0.51839999999999997</c:v>
                </c:pt>
                <c:pt idx="4017">
                  <c:v>0.52029999999999998</c:v>
                </c:pt>
                <c:pt idx="4018">
                  <c:v>0.52080000000000004</c:v>
                </c:pt>
                <c:pt idx="4019">
                  <c:v>0.52080000000000004</c:v>
                </c:pt>
                <c:pt idx="4020">
                  <c:v>0.51429999999999998</c:v>
                </c:pt>
                <c:pt idx="4021">
                  <c:v>0.51470000000000005</c:v>
                </c:pt>
                <c:pt idx="4022">
                  <c:v>0.51539999999999997</c:v>
                </c:pt>
                <c:pt idx="4023">
                  <c:v>0.51370000000000005</c:v>
                </c:pt>
                <c:pt idx="4024">
                  <c:v>0.50880000000000003</c:v>
                </c:pt>
                <c:pt idx="4025">
                  <c:v>0.50849999999999995</c:v>
                </c:pt>
                <c:pt idx="4026">
                  <c:v>0.50880000000000003</c:v>
                </c:pt>
                <c:pt idx="4027">
                  <c:v>0.50329999999999997</c:v>
                </c:pt>
                <c:pt idx="4028">
                  <c:v>0.50439999999999996</c:v>
                </c:pt>
                <c:pt idx="4029">
                  <c:v>0.50560000000000005</c:v>
                </c:pt>
                <c:pt idx="4030">
                  <c:v>0.50270000000000004</c:v>
                </c:pt>
                <c:pt idx="4031">
                  <c:v>0.50349999999999995</c:v>
                </c:pt>
                <c:pt idx="4032">
                  <c:v>0.50780000000000003</c:v>
                </c:pt>
                <c:pt idx="4033">
                  <c:v>0.50780000000000003</c:v>
                </c:pt>
                <c:pt idx="4034">
                  <c:v>0.51080000000000003</c:v>
                </c:pt>
                <c:pt idx="4035">
                  <c:v>0.50919999999999999</c:v>
                </c:pt>
                <c:pt idx="4036">
                  <c:v>0.50649999999999995</c:v>
                </c:pt>
                <c:pt idx="4037">
                  <c:v>0.50870000000000004</c:v>
                </c:pt>
                <c:pt idx="4038">
                  <c:v>0.51119999999999999</c:v>
                </c:pt>
                <c:pt idx="4039">
                  <c:v>0.51649999999999996</c:v>
                </c:pt>
                <c:pt idx="4040">
                  <c:v>0.50580000000000003</c:v>
                </c:pt>
                <c:pt idx="4041">
                  <c:v>0.50080000000000002</c:v>
                </c:pt>
                <c:pt idx="4042">
                  <c:v>0.50180000000000002</c:v>
                </c:pt>
                <c:pt idx="4043">
                  <c:v>0.50070000000000003</c:v>
                </c:pt>
                <c:pt idx="4044">
                  <c:v>0.50819999999999999</c:v>
                </c:pt>
                <c:pt idx="4045">
                  <c:v>0.50700000000000001</c:v>
                </c:pt>
                <c:pt idx="4046">
                  <c:v>0.4985</c:v>
                </c:pt>
                <c:pt idx="4047">
                  <c:v>0.49580000000000002</c:v>
                </c:pt>
                <c:pt idx="4048">
                  <c:v>0.49530000000000002</c:v>
                </c:pt>
                <c:pt idx="4049">
                  <c:v>0.4955</c:v>
                </c:pt>
                <c:pt idx="4050">
                  <c:v>0.49130000000000001</c:v>
                </c:pt>
                <c:pt idx="4051">
                  <c:v>0.4879</c:v>
                </c:pt>
                <c:pt idx="4052">
                  <c:v>0.49130000000000001</c:v>
                </c:pt>
                <c:pt idx="4053">
                  <c:v>0.49299999999999999</c:v>
                </c:pt>
                <c:pt idx="4054">
                  <c:v>0.49159999999999998</c:v>
                </c:pt>
                <c:pt idx="4055">
                  <c:v>0.48470000000000002</c:v>
                </c:pt>
                <c:pt idx="4056">
                  <c:v>0.49259999999999998</c:v>
                </c:pt>
                <c:pt idx="4057">
                  <c:v>0.49340000000000001</c:v>
                </c:pt>
                <c:pt idx="4058">
                  <c:v>0.49709999999999999</c:v>
                </c:pt>
                <c:pt idx="4059">
                  <c:v>0.50249999999999995</c:v>
                </c:pt>
                <c:pt idx="4060">
                  <c:v>0.51500000000000001</c:v>
                </c:pt>
                <c:pt idx="4061">
                  <c:v>0.51649999999999996</c:v>
                </c:pt>
                <c:pt idx="4062">
                  <c:v>0.51670000000000005</c:v>
                </c:pt>
                <c:pt idx="4063">
                  <c:v>0.5222</c:v>
                </c:pt>
                <c:pt idx="4064">
                  <c:v>0.51329999999999998</c:v>
                </c:pt>
                <c:pt idx="4065">
                  <c:v>0.51939999999999997</c:v>
                </c:pt>
                <c:pt idx="4066">
                  <c:v>0.52229999999999999</c:v>
                </c:pt>
                <c:pt idx="4067">
                  <c:v>0.52049999999999996</c:v>
                </c:pt>
                <c:pt idx="4068">
                  <c:v>0.52090000000000003</c:v>
                </c:pt>
                <c:pt idx="4069">
                  <c:v>0.52690000000000003</c:v>
                </c:pt>
                <c:pt idx="4070">
                  <c:v>0.52949999999999997</c:v>
                </c:pt>
                <c:pt idx="4071">
                  <c:v>0.53220000000000001</c:v>
                </c:pt>
                <c:pt idx="4072">
                  <c:v>0.52939999999999998</c:v>
                </c:pt>
                <c:pt idx="4073">
                  <c:v>0.53090000000000004</c:v>
                </c:pt>
                <c:pt idx="4074">
                  <c:v>0.52859999999999996</c:v>
                </c:pt>
                <c:pt idx="4075">
                  <c:v>0.53449999999999998</c:v>
                </c:pt>
                <c:pt idx="4076">
                  <c:v>0.53400000000000003</c:v>
                </c:pt>
                <c:pt idx="4077">
                  <c:v>0.5333</c:v>
                </c:pt>
                <c:pt idx="4078">
                  <c:v>0.53420000000000001</c:v>
                </c:pt>
                <c:pt idx="4079">
                  <c:v>0.53239999999999998</c:v>
                </c:pt>
                <c:pt idx="4080">
                  <c:v>0.53539999999999999</c:v>
                </c:pt>
                <c:pt idx="4081">
                  <c:v>0.52410000000000001</c:v>
                </c:pt>
                <c:pt idx="4082">
                  <c:v>0.52890000000000004</c:v>
                </c:pt>
                <c:pt idx="4083">
                  <c:v>0.52180000000000004</c:v>
                </c:pt>
                <c:pt idx="4084">
                  <c:v>0.51719999999999999</c:v>
                </c:pt>
                <c:pt idx="4085">
                  <c:v>0.51329999999999998</c:v>
                </c:pt>
                <c:pt idx="4086">
                  <c:v>0.51170000000000004</c:v>
                </c:pt>
                <c:pt idx="4087">
                  <c:v>0.51890000000000003</c:v>
                </c:pt>
                <c:pt idx="4088">
                  <c:v>0.51500000000000001</c:v>
                </c:pt>
                <c:pt idx="4089">
                  <c:v>0.51739999999999997</c:v>
                </c:pt>
                <c:pt idx="4090">
                  <c:v>0.51659999999999995</c:v>
                </c:pt>
                <c:pt idx="4091">
                  <c:v>0.5202</c:v>
                </c:pt>
                <c:pt idx="4092">
                  <c:v>0.51780000000000004</c:v>
                </c:pt>
                <c:pt idx="4093">
                  <c:v>0.50960000000000005</c:v>
                </c:pt>
                <c:pt idx="4094">
                  <c:v>0.50560000000000005</c:v>
                </c:pt>
                <c:pt idx="4095">
                  <c:v>0.50800000000000001</c:v>
                </c:pt>
                <c:pt idx="4096">
                  <c:v>0.50939999999999996</c:v>
                </c:pt>
                <c:pt idx="4097">
                  <c:v>0.50780000000000003</c:v>
                </c:pt>
                <c:pt idx="4098">
                  <c:v>0.50939999999999996</c:v>
                </c:pt>
                <c:pt idx="4099">
                  <c:v>0.50780000000000003</c:v>
                </c:pt>
                <c:pt idx="4100">
                  <c:v>0.50560000000000005</c:v>
                </c:pt>
                <c:pt idx="4101">
                  <c:v>0.51319999999999999</c:v>
                </c:pt>
                <c:pt idx="4102">
                  <c:v>0.51480000000000004</c:v>
                </c:pt>
                <c:pt idx="4103">
                  <c:v>0.50919999999999999</c:v>
                </c:pt>
                <c:pt idx="4104">
                  <c:v>0.50760000000000005</c:v>
                </c:pt>
                <c:pt idx="4105">
                  <c:v>0.50760000000000005</c:v>
                </c:pt>
                <c:pt idx="4106">
                  <c:v>0.50509999999999999</c:v>
                </c:pt>
                <c:pt idx="4107">
                  <c:v>0.50480000000000003</c:v>
                </c:pt>
                <c:pt idx="4108">
                  <c:v>0.50929999999999997</c:v>
                </c:pt>
                <c:pt idx="4109">
                  <c:v>0.51100000000000001</c:v>
                </c:pt>
                <c:pt idx="4110">
                  <c:v>0.50800000000000001</c:v>
                </c:pt>
                <c:pt idx="4111">
                  <c:v>0.51400000000000001</c:v>
                </c:pt>
                <c:pt idx="4112">
                  <c:v>0.51790000000000003</c:v>
                </c:pt>
                <c:pt idx="4113">
                  <c:v>0.51759999999999995</c:v>
                </c:pt>
                <c:pt idx="4114">
                  <c:v>0.51100000000000001</c:v>
                </c:pt>
                <c:pt idx="4115">
                  <c:v>0.5111</c:v>
                </c:pt>
                <c:pt idx="4116">
                  <c:v>0.50639999999999996</c:v>
                </c:pt>
                <c:pt idx="4117">
                  <c:v>0.51880000000000004</c:v>
                </c:pt>
                <c:pt idx="4118">
                  <c:v>0.52129999999999999</c:v>
                </c:pt>
                <c:pt idx="4119">
                  <c:v>0.51700000000000002</c:v>
                </c:pt>
                <c:pt idx="4120">
                  <c:v>0.51639999999999997</c:v>
                </c:pt>
                <c:pt idx="4121">
                  <c:v>0.51670000000000005</c:v>
                </c:pt>
                <c:pt idx="4122">
                  <c:v>0.51910000000000001</c:v>
                </c:pt>
                <c:pt idx="4123">
                  <c:v>0.51959999999999995</c:v>
                </c:pt>
                <c:pt idx="4124">
                  <c:v>0.52259999999999995</c:v>
                </c:pt>
                <c:pt idx="4125">
                  <c:v>0.52449999999999997</c:v>
                </c:pt>
                <c:pt idx="4126">
                  <c:v>0.52749999999999997</c:v>
                </c:pt>
                <c:pt idx="4127">
                  <c:v>0.52939999999999998</c:v>
                </c:pt>
                <c:pt idx="4128">
                  <c:v>0.52449999999999997</c:v>
                </c:pt>
                <c:pt idx="4129">
                  <c:v>0.52159999999999995</c:v>
                </c:pt>
                <c:pt idx="4130">
                  <c:v>0.52480000000000004</c:v>
                </c:pt>
                <c:pt idx="4131">
                  <c:v>0.51939999999999997</c:v>
                </c:pt>
                <c:pt idx="4132">
                  <c:v>0.51590000000000003</c:v>
                </c:pt>
                <c:pt idx="4133">
                  <c:v>0.50970000000000004</c:v>
                </c:pt>
                <c:pt idx="4134">
                  <c:v>0.50780000000000003</c:v>
                </c:pt>
                <c:pt idx="4135">
                  <c:v>0.50860000000000005</c:v>
                </c:pt>
                <c:pt idx="4136">
                  <c:v>0.50639999999999996</c:v>
                </c:pt>
                <c:pt idx="4137">
                  <c:v>0.51249999999999996</c:v>
                </c:pt>
                <c:pt idx="4138">
                  <c:v>0.51729999999999998</c:v>
                </c:pt>
                <c:pt idx="4139">
                  <c:v>0.52029999999999998</c:v>
                </c:pt>
                <c:pt idx="4140">
                  <c:v>0.52029999999999998</c:v>
                </c:pt>
                <c:pt idx="4141">
                  <c:v>0.51949999999999996</c:v>
                </c:pt>
                <c:pt idx="4142">
                  <c:v>0.51749999999999996</c:v>
                </c:pt>
                <c:pt idx="4143">
                  <c:v>0.52329999999999999</c:v>
                </c:pt>
                <c:pt idx="4144">
                  <c:v>0.52639999999999998</c:v>
                </c:pt>
                <c:pt idx="4145">
                  <c:v>0.52929999999999999</c:v>
                </c:pt>
                <c:pt idx="4146">
                  <c:v>0.52729999999999999</c:v>
                </c:pt>
                <c:pt idx="4147">
                  <c:v>0.52349999999999997</c:v>
                </c:pt>
                <c:pt idx="4148">
                  <c:v>0.52110000000000001</c:v>
                </c:pt>
                <c:pt idx="4149">
                  <c:v>0.51929999999999998</c:v>
                </c:pt>
                <c:pt idx="4150">
                  <c:v>0.52129999999999999</c:v>
                </c:pt>
                <c:pt idx="4151">
                  <c:v>0.52349999999999997</c:v>
                </c:pt>
                <c:pt idx="4152">
                  <c:v>0.5242</c:v>
                </c:pt>
                <c:pt idx="4153">
                  <c:v>0.51600000000000001</c:v>
                </c:pt>
                <c:pt idx="4154">
                  <c:v>0.51759999999999995</c:v>
                </c:pt>
                <c:pt idx="4155">
                  <c:v>0.51839999999999997</c:v>
                </c:pt>
                <c:pt idx="4156">
                  <c:v>0.51839999999999997</c:v>
                </c:pt>
                <c:pt idx="4157">
                  <c:v>0.52059999999999995</c:v>
                </c:pt>
                <c:pt idx="4158">
                  <c:v>0.51719999999999999</c:v>
                </c:pt>
                <c:pt idx="4159">
                  <c:v>0.51300000000000001</c:v>
                </c:pt>
                <c:pt idx="4160">
                  <c:v>0.50939999999999996</c:v>
                </c:pt>
                <c:pt idx="4161">
                  <c:v>0.51039999999999996</c:v>
                </c:pt>
                <c:pt idx="4162">
                  <c:v>0.50600000000000001</c:v>
                </c:pt>
                <c:pt idx="4163">
                  <c:v>0.50609999999999999</c:v>
                </c:pt>
                <c:pt idx="4164">
                  <c:v>0.50670000000000004</c:v>
                </c:pt>
                <c:pt idx="4165">
                  <c:v>0.5151</c:v>
                </c:pt>
                <c:pt idx="4166">
                  <c:v>0.51549999999999996</c:v>
                </c:pt>
                <c:pt idx="4167">
                  <c:v>0.50319999999999998</c:v>
                </c:pt>
                <c:pt idx="4168">
                  <c:v>0.50319999999999998</c:v>
                </c:pt>
                <c:pt idx="4169">
                  <c:v>0.51119999999999999</c:v>
                </c:pt>
                <c:pt idx="4170">
                  <c:v>0.50870000000000004</c:v>
                </c:pt>
                <c:pt idx="4171">
                  <c:v>0.50839999999999996</c:v>
                </c:pt>
                <c:pt idx="4172">
                  <c:v>0.50270000000000004</c:v>
                </c:pt>
                <c:pt idx="4173">
                  <c:v>0.49590000000000001</c:v>
                </c:pt>
                <c:pt idx="4174">
                  <c:v>0.4914</c:v>
                </c:pt>
                <c:pt idx="4175">
                  <c:v>0.49780000000000002</c:v>
                </c:pt>
                <c:pt idx="4176">
                  <c:v>0.49</c:v>
                </c:pt>
                <c:pt idx="4177">
                  <c:v>0.48809999999999998</c:v>
                </c:pt>
                <c:pt idx="4178">
                  <c:v>0.48749999999999999</c:v>
                </c:pt>
                <c:pt idx="4179">
                  <c:v>0.47870000000000001</c:v>
                </c:pt>
                <c:pt idx="4180">
                  <c:v>0.4854</c:v>
                </c:pt>
                <c:pt idx="4181">
                  <c:v>0.49419999999999997</c:v>
                </c:pt>
                <c:pt idx="4182">
                  <c:v>0.49320000000000003</c:v>
                </c:pt>
                <c:pt idx="4183">
                  <c:v>0.49869999999999998</c:v>
                </c:pt>
                <c:pt idx="4184">
                  <c:v>0.49969999999999998</c:v>
                </c:pt>
                <c:pt idx="4185">
                  <c:v>0.49619999999999997</c:v>
                </c:pt>
                <c:pt idx="4186">
                  <c:v>0.49330000000000002</c:v>
                </c:pt>
                <c:pt idx="4187">
                  <c:v>0.49340000000000001</c:v>
                </c:pt>
                <c:pt idx="4188">
                  <c:v>0.50119999999999998</c:v>
                </c:pt>
                <c:pt idx="4189">
                  <c:v>0.49790000000000001</c:v>
                </c:pt>
                <c:pt idx="4190">
                  <c:v>0.4945</c:v>
                </c:pt>
                <c:pt idx="4191">
                  <c:v>0.49159999999999998</c:v>
                </c:pt>
                <c:pt idx="4192">
                  <c:v>0.497</c:v>
                </c:pt>
                <c:pt idx="4193">
                  <c:v>0.50280000000000002</c:v>
                </c:pt>
                <c:pt idx="4194">
                  <c:v>0.50929999999999997</c:v>
                </c:pt>
                <c:pt idx="4195">
                  <c:v>0.50870000000000004</c:v>
                </c:pt>
                <c:pt idx="4196">
                  <c:v>0.51139999999999997</c:v>
                </c:pt>
                <c:pt idx="4197">
                  <c:v>0.50980000000000003</c:v>
                </c:pt>
                <c:pt idx="4198">
                  <c:v>0.52039999999999997</c:v>
                </c:pt>
                <c:pt idx="4199">
                  <c:v>0.52210000000000001</c:v>
                </c:pt>
                <c:pt idx="4200">
                  <c:v>0.53010000000000002</c:v>
                </c:pt>
                <c:pt idx="4201">
                  <c:v>0.5272</c:v>
                </c:pt>
                <c:pt idx="4202">
                  <c:v>0.52569999999999995</c:v>
                </c:pt>
                <c:pt idx="4203">
                  <c:v>0.52539999999999998</c:v>
                </c:pt>
                <c:pt idx="4204">
                  <c:v>0.5222</c:v>
                </c:pt>
                <c:pt idx="4205">
                  <c:v>0.52600000000000002</c:v>
                </c:pt>
                <c:pt idx="4206">
                  <c:v>0.52400000000000002</c:v>
                </c:pt>
                <c:pt idx="4207">
                  <c:v>0.52439999999999998</c:v>
                </c:pt>
                <c:pt idx="4208">
                  <c:v>0.52339999999999998</c:v>
                </c:pt>
                <c:pt idx="4209">
                  <c:v>0.53029999999999999</c:v>
                </c:pt>
                <c:pt idx="4210">
                  <c:v>0.52769999999999995</c:v>
                </c:pt>
                <c:pt idx="4211">
                  <c:v>0.52329999999999999</c:v>
                </c:pt>
                <c:pt idx="4212">
                  <c:v>0.52849999999999997</c:v>
                </c:pt>
                <c:pt idx="4213">
                  <c:v>0.53369999999999995</c:v>
                </c:pt>
                <c:pt idx="4214">
                  <c:v>0.53849999999999998</c:v>
                </c:pt>
                <c:pt idx="4215">
                  <c:v>0.53620000000000001</c:v>
                </c:pt>
                <c:pt idx="4216">
                  <c:v>0.53559999999999997</c:v>
                </c:pt>
                <c:pt idx="4217">
                  <c:v>0.54590000000000005</c:v>
                </c:pt>
                <c:pt idx="4218">
                  <c:v>0.54830000000000001</c:v>
                </c:pt>
                <c:pt idx="4219">
                  <c:v>0.54990000000000006</c:v>
                </c:pt>
                <c:pt idx="4220">
                  <c:v>0.55269999999999997</c:v>
                </c:pt>
                <c:pt idx="4221">
                  <c:v>0.55269999999999997</c:v>
                </c:pt>
                <c:pt idx="4222">
                  <c:v>0.55049999999999999</c:v>
                </c:pt>
                <c:pt idx="4223">
                  <c:v>0.54779999999999995</c:v>
                </c:pt>
                <c:pt idx="4224">
                  <c:v>0.54259999999999997</c:v>
                </c:pt>
                <c:pt idx="4225">
                  <c:v>0.54400000000000004</c:v>
                </c:pt>
                <c:pt idx="4226">
                  <c:v>0.54620000000000002</c:v>
                </c:pt>
                <c:pt idx="4227">
                  <c:v>0.54249999999999998</c:v>
                </c:pt>
                <c:pt idx="4228">
                  <c:v>0.5514</c:v>
                </c:pt>
                <c:pt idx="4229">
                  <c:v>0.55720000000000003</c:v>
                </c:pt>
                <c:pt idx="4230">
                  <c:v>0.55600000000000005</c:v>
                </c:pt>
                <c:pt idx="4231">
                  <c:v>0.55800000000000005</c:v>
                </c:pt>
                <c:pt idx="4232">
                  <c:v>0.55330000000000001</c:v>
                </c:pt>
                <c:pt idx="4233">
                  <c:v>0.55489999999999995</c:v>
                </c:pt>
                <c:pt idx="4234">
                  <c:v>0.55230000000000001</c:v>
                </c:pt>
                <c:pt idx="4235">
                  <c:v>0.55659999999999998</c:v>
                </c:pt>
                <c:pt idx="4236">
                  <c:v>0.5605</c:v>
                </c:pt>
                <c:pt idx="4237">
                  <c:v>0.55500000000000005</c:v>
                </c:pt>
                <c:pt idx="4238">
                  <c:v>0.56430000000000002</c:v>
                </c:pt>
                <c:pt idx="4239">
                  <c:v>0.56740000000000002</c:v>
                </c:pt>
                <c:pt idx="4240">
                  <c:v>0.57189999999999996</c:v>
                </c:pt>
                <c:pt idx="4241">
                  <c:v>0.56640000000000001</c:v>
                </c:pt>
                <c:pt idx="4242">
                  <c:v>0.55600000000000005</c:v>
                </c:pt>
                <c:pt idx="4243">
                  <c:v>0.56000000000000005</c:v>
                </c:pt>
                <c:pt idx="4244">
                  <c:v>0.55889999999999995</c:v>
                </c:pt>
                <c:pt idx="4245">
                  <c:v>0.5585</c:v>
                </c:pt>
                <c:pt idx="4246">
                  <c:v>0.55349999999999999</c:v>
                </c:pt>
                <c:pt idx="4247">
                  <c:v>0.55840000000000001</c:v>
                </c:pt>
                <c:pt idx="4248">
                  <c:v>0.55810000000000004</c:v>
                </c:pt>
                <c:pt idx="4249">
                  <c:v>0.55669999999999997</c:v>
                </c:pt>
                <c:pt idx="4250">
                  <c:v>0.55620000000000003</c:v>
                </c:pt>
                <c:pt idx="4251">
                  <c:v>0.5544</c:v>
                </c:pt>
                <c:pt idx="4252">
                  <c:v>0.55300000000000005</c:v>
                </c:pt>
                <c:pt idx="4253">
                  <c:v>0.54490000000000005</c:v>
                </c:pt>
                <c:pt idx="4254">
                  <c:v>0.54210000000000003</c:v>
                </c:pt>
                <c:pt idx="4255">
                  <c:v>0.54520000000000002</c:v>
                </c:pt>
                <c:pt idx="4256">
                  <c:v>0.54379999999999995</c:v>
                </c:pt>
                <c:pt idx="4257">
                  <c:v>0.54</c:v>
                </c:pt>
                <c:pt idx="4258">
                  <c:v>0.54149999999999998</c:v>
                </c:pt>
                <c:pt idx="4259">
                  <c:v>0.54</c:v>
                </c:pt>
                <c:pt idx="4260">
                  <c:v>0.54569999999999996</c:v>
                </c:pt>
                <c:pt idx="4261">
                  <c:v>0.54700000000000004</c:v>
                </c:pt>
                <c:pt idx="4262">
                  <c:v>0.54820000000000002</c:v>
                </c:pt>
                <c:pt idx="4263">
                  <c:v>0.53959999999999997</c:v>
                </c:pt>
                <c:pt idx="4264">
                  <c:v>0.54300000000000004</c:v>
                </c:pt>
                <c:pt idx="4265">
                  <c:v>0.53859999999999997</c:v>
                </c:pt>
                <c:pt idx="4266">
                  <c:v>0.52839999999999998</c:v>
                </c:pt>
                <c:pt idx="4267">
                  <c:v>0.52149999999999996</c:v>
                </c:pt>
                <c:pt idx="4268">
                  <c:v>0.52210000000000001</c:v>
                </c:pt>
                <c:pt idx="4269">
                  <c:v>0.52659999999999996</c:v>
                </c:pt>
                <c:pt idx="4270">
                  <c:v>0.5232</c:v>
                </c:pt>
                <c:pt idx="4271">
                  <c:v>0.52200000000000002</c:v>
                </c:pt>
                <c:pt idx="4272">
                  <c:v>0.52539999999999998</c:v>
                </c:pt>
                <c:pt idx="4273">
                  <c:v>0.50990000000000002</c:v>
                </c:pt>
                <c:pt idx="4274">
                  <c:v>0.51439999999999997</c:v>
                </c:pt>
                <c:pt idx="4275">
                  <c:v>0.51849999999999996</c:v>
                </c:pt>
                <c:pt idx="4276">
                  <c:v>0.52049999999999996</c:v>
                </c:pt>
                <c:pt idx="4277">
                  <c:v>0.52059999999999995</c:v>
                </c:pt>
                <c:pt idx="4278">
                  <c:v>0.51900000000000002</c:v>
                </c:pt>
                <c:pt idx="4279">
                  <c:v>0.51949999999999996</c:v>
                </c:pt>
                <c:pt idx="4280">
                  <c:v>0.51919999999999999</c:v>
                </c:pt>
                <c:pt idx="4281">
                  <c:v>0.52700000000000002</c:v>
                </c:pt>
                <c:pt idx="4282">
                  <c:v>0.52610000000000001</c:v>
                </c:pt>
                <c:pt idx="4283">
                  <c:v>0.52849999999999997</c:v>
                </c:pt>
                <c:pt idx="4284">
                  <c:v>0.52749999999999997</c:v>
                </c:pt>
                <c:pt idx="4285">
                  <c:v>0.52600000000000002</c:v>
                </c:pt>
                <c:pt idx="4286">
                  <c:v>0.52049999999999996</c:v>
                </c:pt>
                <c:pt idx="4287">
                  <c:v>0.52580000000000005</c:v>
                </c:pt>
                <c:pt idx="4288">
                  <c:v>0.51910000000000001</c:v>
                </c:pt>
                <c:pt idx="4289">
                  <c:v>0.52290000000000003</c:v>
                </c:pt>
                <c:pt idx="4290">
                  <c:v>0.52300000000000002</c:v>
                </c:pt>
                <c:pt idx="4291">
                  <c:v>0.5202</c:v>
                </c:pt>
                <c:pt idx="4292">
                  <c:v>0.52010000000000001</c:v>
                </c:pt>
                <c:pt idx="4293">
                  <c:v>0.52510000000000001</c:v>
                </c:pt>
                <c:pt idx="4294">
                  <c:v>0.52629999999999999</c:v>
                </c:pt>
                <c:pt idx="4295">
                  <c:v>0.52890000000000004</c:v>
                </c:pt>
                <c:pt idx="4296">
                  <c:v>0.52159999999999995</c:v>
                </c:pt>
                <c:pt idx="4297">
                  <c:v>0.52029999999999998</c:v>
                </c:pt>
                <c:pt idx="4298">
                  <c:v>0.52010000000000001</c:v>
                </c:pt>
                <c:pt idx="4299">
                  <c:v>0.52210000000000001</c:v>
                </c:pt>
                <c:pt idx="4300">
                  <c:v>0.52849999999999997</c:v>
                </c:pt>
                <c:pt idx="4301">
                  <c:v>0.53110000000000002</c:v>
                </c:pt>
                <c:pt idx="4302">
                  <c:v>0.53400000000000003</c:v>
                </c:pt>
                <c:pt idx="4303">
                  <c:v>0.53439999999999999</c:v>
                </c:pt>
                <c:pt idx="4304">
                  <c:v>0.53639999999999999</c:v>
                </c:pt>
                <c:pt idx="4305">
                  <c:v>0.53349999999999997</c:v>
                </c:pt>
                <c:pt idx="4306">
                  <c:v>0.53420000000000001</c:v>
                </c:pt>
                <c:pt idx="4307">
                  <c:v>0.53749999999999998</c:v>
                </c:pt>
                <c:pt idx="4308">
                  <c:v>0.54</c:v>
                </c:pt>
                <c:pt idx="4309">
                  <c:v>0.54630000000000001</c:v>
                </c:pt>
                <c:pt idx="4310">
                  <c:v>0.54249999999999998</c:v>
                </c:pt>
                <c:pt idx="4311">
                  <c:v>0.54479999999999995</c:v>
                </c:pt>
                <c:pt idx="4312">
                  <c:v>0.55020000000000002</c:v>
                </c:pt>
                <c:pt idx="4313">
                  <c:v>0.54849999999999999</c:v>
                </c:pt>
                <c:pt idx="4314">
                  <c:v>0.54849999999999999</c:v>
                </c:pt>
                <c:pt idx="4315">
                  <c:v>0.54400000000000004</c:v>
                </c:pt>
                <c:pt idx="4316">
                  <c:v>0.5444</c:v>
                </c:pt>
                <c:pt idx="4317">
                  <c:v>0.53879999999999995</c:v>
                </c:pt>
                <c:pt idx="4318">
                  <c:v>0.54400000000000004</c:v>
                </c:pt>
                <c:pt idx="4319">
                  <c:v>0.54210000000000003</c:v>
                </c:pt>
                <c:pt idx="4320">
                  <c:v>0.54500000000000004</c:v>
                </c:pt>
                <c:pt idx="4321">
                  <c:v>0.54869999999999997</c:v>
                </c:pt>
                <c:pt idx="4322">
                  <c:v>0.55389999999999995</c:v>
                </c:pt>
                <c:pt idx="4323">
                  <c:v>0.5575</c:v>
                </c:pt>
                <c:pt idx="4324">
                  <c:v>0.56200000000000006</c:v>
                </c:pt>
                <c:pt idx="4325">
                  <c:v>0.55579999999999996</c:v>
                </c:pt>
                <c:pt idx="4326">
                  <c:v>0.5575</c:v>
                </c:pt>
                <c:pt idx="4327">
                  <c:v>0.5635</c:v>
                </c:pt>
                <c:pt idx="4328">
                  <c:v>0.56850000000000001</c:v>
                </c:pt>
                <c:pt idx="4329">
                  <c:v>0.57520000000000004</c:v>
                </c:pt>
                <c:pt idx="4330">
                  <c:v>0.57699999999999996</c:v>
                </c:pt>
                <c:pt idx="4331">
                  <c:v>0.57689999999999997</c:v>
                </c:pt>
                <c:pt idx="4332">
                  <c:v>0.57579999999999998</c:v>
                </c:pt>
                <c:pt idx="4333">
                  <c:v>0.56950000000000001</c:v>
                </c:pt>
                <c:pt idx="4334">
                  <c:v>0.57140000000000002</c:v>
                </c:pt>
                <c:pt idx="4335">
                  <c:v>0.57389999999999997</c:v>
                </c:pt>
                <c:pt idx="4336">
                  <c:v>0.5726</c:v>
                </c:pt>
                <c:pt idx="4337">
                  <c:v>0.57179999999999997</c:v>
                </c:pt>
                <c:pt idx="4338">
                  <c:v>0.58040000000000003</c:v>
                </c:pt>
                <c:pt idx="4339">
                  <c:v>0.58750000000000002</c:v>
                </c:pt>
                <c:pt idx="4340">
                  <c:v>0.59050000000000002</c:v>
                </c:pt>
                <c:pt idx="4341">
                  <c:v>0.59240000000000004</c:v>
                </c:pt>
                <c:pt idx="4342">
                  <c:v>0.59109999999999996</c:v>
                </c:pt>
                <c:pt idx="4343">
                  <c:v>0.58250000000000002</c:v>
                </c:pt>
                <c:pt idx="4344">
                  <c:v>0.58189999999999997</c:v>
                </c:pt>
                <c:pt idx="4345">
                  <c:v>0.57940000000000003</c:v>
                </c:pt>
                <c:pt idx="4346">
                  <c:v>0.58209999999999995</c:v>
                </c:pt>
                <c:pt idx="4347">
                  <c:v>0.57850000000000001</c:v>
                </c:pt>
                <c:pt idx="4348">
                  <c:v>0.5827</c:v>
                </c:pt>
                <c:pt idx="4349">
                  <c:v>0.58689999999999998</c:v>
                </c:pt>
                <c:pt idx="4350">
                  <c:v>0.58620000000000005</c:v>
                </c:pt>
                <c:pt idx="4351">
                  <c:v>0.58599999999999997</c:v>
                </c:pt>
                <c:pt idx="4352">
                  <c:v>0.58420000000000005</c:v>
                </c:pt>
                <c:pt idx="4353">
                  <c:v>0.57850000000000001</c:v>
                </c:pt>
                <c:pt idx="4354">
                  <c:v>0.57950000000000002</c:v>
                </c:pt>
                <c:pt idx="4355">
                  <c:v>0.58779999999999999</c:v>
                </c:pt>
                <c:pt idx="4356">
                  <c:v>0.58750000000000002</c:v>
                </c:pt>
                <c:pt idx="4357">
                  <c:v>0.59119999999999995</c:v>
                </c:pt>
                <c:pt idx="4358">
                  <c:v>0.58540000000000003</c:v>
                </c:pt>
                <c:pt idx="4359">
                  <c:v>0.58499999999999996</c:v>
                </c:pt>
                <c:pt idx="4360">
                  <c:v>0.58589999999999998</c:v>
                </c:pt>
                <c:pt idx="4361">
                  <c:v>0.58250000000000002</c:v>
                </c:pt>
                <c:pt idx="4362">
                  <c:v>0.5766</c:v>
                </c:pt>
                <c:pt idx="4363">
                  <c:v>0.58099999999999996</c:v>
                </c:pt>
                <c:pt idx="4364">
                  <c:v>0.58819999999999995</c:v>
                </c:pt>
                <c:pt idx="4365">
                  <c:v>0.58360000000000001</c:v>
                </c:pt>
                <c:pt idx="4366">
                  <c:v>0.58430000000000004</c:v>
                </c:pt>
                <c:pt idx="4367">
                  <c:v>0.58809999999999996</c:v>
                </c:pt>
                <c:pt idx="4368">
                  <c:v>0.58740000000000003</c:v>
                </c:pt>
                <c:pt idx="4369">
                  <c:v>0.59240000000000004</c:v>
                </c:pt>
                <c:pt idx="4370">
                  <c:v>0.59150000000000003</c:v>
                </c:pt>
                <c:pt idx="4371">
                  <c:v>0.58979999999999999</c:v>
                </c:pt>
                <c:pt idx="4372">
                  <c:v>0.58919999999999995</c:v>
                </c:pt>
                <c:pt idx="4373">
                  <c:v>0.59889999999999999</c:v>
                </c:pt>
                <c:pt idx="4374">
                  <c:v>0.5988</c:v>
                </c:pt>
                <c:pt idx="4375">
                  <c:v>0.59640000000000004</c:v>
                </c:pt>
                <c:pt idx="4376">
                  <c:v>0.60170000000000001</c:v>
                </c:pt>
                <c:pt idx="4377">
                  <c:v>0.60209999999999997</c:v>
                </c:pt>
                <c:pt idx="4378">
                  <c:v>0.60140000000000005</c:v>
                </c:pt>
                <c:pt idx="4379">
                  <c:v>0.59699999999999998</c:v>
                </c:pt>
                <c:pt idx="4380">
                  <c:v>0.59440000000000004</c:v>
                </c:pt>
                <c:pt idx="4381">
                  <c:v>0.5968</c:v>
                </c:pt>
                <c:pt idx="4382">
                  <c:v>0.60160000000000002</c:v>
                </c:pt>
                <c:pt idx="4383">
                  <c:v>0.60260000000000002</c:v>
                </c:pt>
                <c:pt idx="4384">
                  <c:v>0.60089999999999999</c:v>
                </c:pt>
                <c:pt idx="4385">
                  <c:v>0.60589999999999999</c:v>
                </c:pt>
                <c:pt idx="4386">
                  <c:v>0.60199999999999998</c:v>
                </c:pt>
                <c:pt idx="4387">
                  <c:v>0.59930000000000005</c:v>
                </c:pt>
                <c:pt idx="4388">
                  <c:v>0.59599999999999997</c:v>
                </c:pt>
                <c:pt idx="4389">
                  <c:v>0.59109999999999996</c:v>
                </c:pt>
                <c:pt idx="4390">
                  <c:v>0.58699999999999997</c:v>
                </c:pt>
                <c:pt idx="4391">
                  <c:v>0.58860000000000001</c:v>
                </c:pt>
                <c:pt idx="4392">
                  <c:v>0.59319999999999995</c:v>
                </c:pt>
                <c:pt idx="4393">
                  <c:v>0.58819999999999995</c:v>
                </c:pt>
                <c:pt idx="4394">
                  <c:v>0.58169999999999999</c:v>
                </c:pt>
                <c:pt idx="4395">
                  <c:v>0.57950000000000002</c:v>
                </c:pt>
                <c:pt idx="4396">
                  <c:v>0.57179999999999997</c:v>
                </c:pt>
                <c:pt idx="4397">
                  <c:v>0.57310000000000005</c:v>
                </c:pt>
                <c:pt idx="4398">
                  <c:v>0.57520000000000004</c:v>
                </c:pt>
                <c:pt idx="4399">
                  <c:v>0.57179999999999997</c:v>
                </c:pt>
                <c:pt idx="4400">
                  <c:v>0.57399999999999995</c:v>
                </c:pt>
                <c:pt idx="4401">
                  <c:v>0.56850000000000001</c:v>
                </c:pt>
                <c:pt idx="4402">
                  <c:v>0.57040000000000002</c:v>
                </c:pt>
                <c:pt idx="4403">
                  <c:v>0.57499999999999996</c:v>
                </c:pt>
                <c:pt idx="4404">
                  <c:v>0.5716</c:v>
                </c:pt>
                <c:pt idx="4405">
                  <c:v>0.57369999999999999</c:v>
                </c:pt>
                <c:pt idx="4406">
                  <c:v>0.57250000000000001</c:v>
                </c:pt>
                <c:pt idx="4407">
                  <c:v>0.56779999999999997</c:v>
                </c:pt>
                <c:pt idx="4408">
                  <c:v>0.57709999999999995</c:v>
                </c:pt>
                <c:pt idx="4409">
                  <c:v>0.57310000000000005</c:v>
                </c:pt>
                <c:pt idx="4410">
                  <c:v>0.5796</c:v>
                </c:pt>
                <c:pt idx="4411">
                  <c:v>0.58120000000000005</c:v>
                </c:pt>
                <c:pt idx="4412">
                  <c:v>0.58179999999999998</c:v>
                </c:pt>
                <c:pt idx="4413">
                  <c:v>0.58350000000000002</c:v>
                </c:pt>
                <c:pt idx="4414">
                  <c:v>0.58150000000000002</c:v>
                </c:pt>
                <c:pt idx="4415">
                  <c:v>0.59609999999999996</c:v>
                </c:pt>
                <c:pt idx="4416">
                  <c:v>0.59099999999999997</c:v>
                </c:pt>
                <c:pt idx="4417">
                  <c:v>0.59219999999999995</c:v>
                </c:pt>
                <c:pt idx="4418">
                  <c:v>0.5847</c:v>
                </c:pt>
                <c:pt idx="4419">
                  <c:v>0.58309999999999995</c:v>
                </c:pt>
                <c:pt idx="4420">
                  <c:v>0.58340000000000003</c:v>
                </c:pt>
                <c:pt idx="4421">
                  <c:v>0.58720000000000006</c:v>
                </c:pt>
                <c:pt idx="4422">
                  <c:v>0.58789999999999998</c:v>
                </c:pt>
                <c:pt idx="4423">
                  <c:v>0.59279999999999999</c:v>
                </c:pt>
                <c:pt idx="4424">
                  <c:v>0.59489999999999998</c:v>
                </c:pt>
                <c:pt idx="4425">
                  <c:v>0.59279999999999999</c:v>
                </c:pt>
                <c:pt idx="4426">
                  <c:v>0.59260000000000002</c:v>
                </c:pt>
                <c:pt idx="4427">
                  <c:v>0.59550000000000003</c:v>
                </c:pt>
                <c:pt idx="4428">
                  <c:v>0.59440000000000004</c:v>
                </c:pt>
                <c:pt idx="4429">
                  <c:v>0.59109999999999996</c:v>
                </c:pt>
                <c:pt idx="4430">
                  <c:v>0.5978</c:v>
                </c:pt>
                <c:pt idx="4431">
                  <c:v>0.59609999999999996</c:v>
                </c:pt>
                <c:pt idx="4432">
                  <c:v>0.59799999999999998</c:v>
                </c:pt>
                <c:pt idx="4433">
                  <c:v>0.59570000000000001</c:v>
                </c:pt>
                <c:pt idx="4434">
                  <c:v>0.59719999999999995</c:v>
                </c:pt>
                <c:pt idx="4435">
                  <c:v>0.59850000000000003</c:v>
                </c:pt>
                <c:pt idx="4436">
                  <c:v>0.60229999999999995</c:v>
                </c:pt>
                <c:pt idx="4437">
                  <c:v>0.60589999999999999</c:v>
                </c:pt>
                <c:pt idx="4438">
                  <c:v>0.60460000000000003</c:v>
                </c:pt>
                <c:pt idx="4439">
                  <c:v>0.60840000000000005</c:v>
                </c:pt>
                <c:pt idx="4440">
                  <c:v>0.60750000000000004</c:v>
                </c:pt>
                <c:pt idx="4441">
                  <c:v>0.6129</c:v>
                </c:pt>
                <c:pt idx="4442">
                  <c:v>0.61019999999999996</c:v>
                </c:pt>
                <c:pt idx="4443">
                  <c:v>0.61570000000000003</c:v>
                </c:pt>
                <c:pt idx="4444">
                  <c:v>0.61309999999999998</c:v>
                </c:pt>
                <c:pt idx="4445">
                  <c:v>0.60760000000000003</c:v>
                </c:pt>
                <c:pt idx="4446">
                  <c:v>0.60580000000000001</c:v>
                </c:pt>
                <c:pt idx="4447">
                  <c:v>0.6038</c:v>
                </c:pt>
                <c:pt idx="4448">
                  <c:v>0.60960000000000003</c:v>
                </c:pt>
                <c:pt idx="4449">
                  <c:v>0.60799999999999998</c:v>
                </c:pt>
                <c:pt idx="4450">
                  <c:v>0.60609999999999997</c:v>
                </c:pt>
                <c:pt idx="4451">
                  <c:v>0.61050000000000004</c:v>
                </c:pt>
                <c:pt idx="4452">
                  <c:v>0.61329999999999996</c:v>
                </c:pt>
                <c:pt idx="4453">
                  <c:v>0.61439999999999995</c:v>
                </c:pt>
                <c:pt idx="4454">
                  <c:v>0.61650000000000005</c:v>
                </c:pt>
                <c:pt idx="4455">
                  <c:v>0.61439999999999995</c:v>
                </c:pt>
                <c:pt idx="4456">
                  <c:v>0.6149</c:v>
                </c:pt>
                <c:pt idx="4457">
                  <c:v>0.60919999999999996</c:v>
                </c:pt>
                <c:pt idx="4458">
                  <c:v>0.60450000000000004</c:v>
                </c:pt>
                <c:pt idx="4459">
                  <c:v>0.60199999999999998</c:v>
                </c:pt>
                <c:pt idx="4460">
                  <c:v>0.60819999999999996</c:v>
                </c:pt>
                <c:pt idx="4461">
                  <c:v>0.60680000000000001</c:v>
                </c:pt>
                <c:pt idx="4462">
                  <c:v>0.60499999999999998</c:v>
                </c:pt>
                <c:pt idx="4463">
                  <c:v>0.61750000000000005</c:v>
                </c:pt>
                <c:pt idx="4464">
                  <c:v>0.61460000000000004</c:v>
                </c:pt>
                <c:pt idx="4465">
                  <c:v>0.61480000000000001</c:v>
                </c:pt>
                <c:pt idx="4466">
                  <c:v>0.61450000000000005</c:v>
                </c:pt>
                <c:pt idx="4467">
                  <c:v>0.621</c:v>
                </c:pt>
                <c:pt idx="4468">
                  <c:v>0.62360000000000004</c:v>
                </c:pt>
                <c:pt idx="4469">
                  <c:v>0.62519999999999998</c:v>
                </c:pt>
                <c:pt idx="4470">
                  <c:v>0.62860000000000005</c:v>
                </c:pt>
                <c:pt idx="4471">
                  <c:v>0.63190000000000002</c:v>
                </c:pt>
                <c:pt idx="4472">
                  <c:v>0.63139999999999996</c:v>
                </c:pt>
                <c:pt idx="4473">
                  <c:v>0.62829999999999997</c:v>
                </c:pt>
                <c:pt idx="4474">
                  <c:v>0.62680000000000002</c:v>
                </c:pt>
                <c:pt idx="4475">
                  <c:v>0.63039999999999996</c:v>
                </c:pt>
                <c:pt idx="4476">
                  <c:v>0.63139999999999996</c:v>
                </c:pt>
                <c:pt idx="4477">
                  <c:v>0.63549999999999995</c:v>
                </c:pt>
                <c:pt idx="4478">
                  <c:v>0.6321</c:v>
                </c:pt>
                <c:pt idx="4479">
                  <c:v>0.63349999999999995</c:v>
                </c:pt>
                <c:pt idx="4480">
                  <c:v>0.63600000000000001</c:v>
                </c:pt>
                <c:pt idx="4481">
                  <c:v>0.6361</c:v>
                </c:pt>
                <c:pt idx="4482">
                  <c:v>0.63770000000000004</c:v>
                </c:pt>
                <c:pt idx="4483">
                  <c:v>0.63160000000000005</c:v>
                </c:pt>
                <c:pt idx="4484">
                  <c:v>0.63560000000000005</c:v>
                </c:pt>
                <c:pt idx="4485">
                  <c:v>0.63160000000000005</c:v>
                </c:pt>
                <c:pt idx="4486">
                  <c:v>0.65400000000000003</c:v>
                </c:pt>
                <c:pt idx="4487">
                  <c:v>0.65149999999999997</c:v>
                </c:pt>
                <c:pt idx="4488">
                  <c:v>0.65549999999999997</c:v>
                </c:pt>
                <c:pt idx="4489">
                  <c:v>0.65410000000000001</c:v>
                </c:pt>
                <c:pt idx="4490">
                  <c:v>0.66249999999999998</c:v>
                </c:pt>
                <c:pt idx="4491">
                  <c:v>0.66539999999999999</c:v>
                </c:pt>
                <c:pt idx="4492">
                  <c:v>0.66310000000000002</c:v>
                </c:pt>
                <c:pt idx="4493">
                  <c:v>0.66579999999999995</c:v>
                </c:pt>
                <c:pt idx="4494">
                  <c:v>0.66500000000000004</c:v>
                </c:pt>
                <c:pt idx="4495">
                  <c:v>0.66579999999999995</c:v>
                </c:pt>
                <c:pt idx="4496">
                  <c:v>0.66679999999999995</c:v>
                </c:pt>
                <c:pt idx="4497">
                  <c:v>0.65820000000000001</c:v>
                </c:pt>
                <c:pt idx="4498">
                  <c:v>0.65800000000000003</c:v>
                </c:pt>
                <c:pt idx="4499">
                  <c:v>0.65610000000000002</c:v>
                </c:pt>
                <c:pt idx="4500">
                  <c:v>0.65529999999999999</c:v>
                </c:pt>
                <c:pt idx="4501">
                  <c:v>0.65400000000000003</c:v>
                </c:pt>
                <c:pt idx="4502">
                  <c:v>0.6583</c:v>
                </c:pt>
                <c:pt idx="4503">
                  <c:v>0.65480000000000005</c:v>
                </c:pt>
                <c:pt idx="4504">
                  <c:v>0.65820000000000001</c:v>
                </c:pt>
                <c:pt idx="4505">
                  <c:v>0.65680000000000005</c:v>
                </c:pt>
                <c:pt idx="4506">
                  <c:v>0.65339999999999998</c:v>
                </c:pt>
                <c:pt idx="4507">
                  <c:v>0.65069999999999995</c:v>
                </c:pt>
                <c:pt idx="4508">
                  <c:v>0.64629999999999999</c:v>
                </c:pt>
                <c:pt idx="4509">
                  <c:v>0.6452</c:v>
                </c:pt>
                <c:pt idx="4510">
                  <c:v>0.64280000000000004</c:v>
                </c:pt>
                <c:pt idx="4511">
                  <c:v>0.64529999999999998</c:v>
                </c:pt>
                <c:pt idx="4512">
                  <c:v>0.64410000000000001</c:v>
                </c:pt>
                <c:pt idx="4513">
                  <c:v>0.64449999999999996</c:v>
                </c:pt>
                <c:pt idx="4514">
                  <c:v>0.64229999999999998</c:v>
                </c:pt>
                <c:pt idx="4515">
                  <c:v>0.64249999999999996</c:v>
                </c:pt>
                <c:pt idx="4516">
                  <c:v>0.64239999999999997</c:v>
                </c:pt>
                <c:pt idx="4517">
                  <c:v>0.63580000000000003</c:v>
                </c:pt>
                <c:pt idx="4518">
                  <c:v>0.63590000000000002</c:v>
                </c:pt>
                <c:pt idx="4519">
                  <c:v>0.63439999999999996</c:v>
                </c:pt>
                <c:pt idx="4520">
                  <c:v>0.63619999999999999</c:v>
                </c:pt>
                <c:pt idx="4521">
                  <c:v>0.63919999999999999</c:v>
                </c:pt>
                <c:pt idx="4522">
                  <c:v>0.63759999999999994</c:v>
                </c:pt>
                <c:pt idx="4523">
                  <c:v>0.63700000000000001</c:v>
                </c:pt>
                <c:pt idx="4524">
                  <c:v>0.63500000000000001</c:v>
                </c:pt>
                <c:pt idx="4525">
                  <c:v>0.63200000000000001</c:v>
                </c:pt>
                <c:pt idx="4526">
                  <c:v>0.63239999999999996</c:v>
                </c:pt>
                <c:pt idx="4527">
                  <c:v>0.63690000000000002</c:v>
                </c:pt>
                <c:pt idx="4528">
                  <c:v>0.63490000000000002</c:v>
                </c:pt>
                <c:pt idx="4529">
                  <c:v>0.6371</c:v>
                </c:pt>
                <c:pt idx="4530">
                  <c:v>0.63449999999999995</c:v>
                </c:pt>
                <c:pt idx="4531">
                  <c:v>0.63580000000000003</c:v>
                </c:pt>
                <c:pt idx="4532">
                  <c:v>0.63249999999999995</c:v>
                </c:pt>
                <c:pt idx="4533">
                  <c:v>0.63600000000000001</c:v>
                </c:pt>
                <c:pt idx="4534">
                  <c:v>0.6371</c:v>
                </c:pt>
                <c:pt idx="4535">
                  <c:v>0.63829999999999998</c:v>
                </c:pt>
                <c:pt idx="4536">
                  <c:v>0.63849999999999996</c:v>
                </c:pt>
                <c:pt idx="4537">
                  <c:v>0.63929999999999998</c:v>
                </c:pt>
                <c:pt idx="4538">
                  <c:v>0.64259999999999995</c:v>
                </c:pt>
                <c:pt idx="4539">
                  <c:v>0.64639999999999997</c:v>
                </c:pt>
                <c:pt idx="4540">
                  <c:v>0.64439999999999997</c:v>
                </c:pt>
                <c:pt idx="4541">
                  <c:v>0.6421</c:v>
                </c:pt>
                <c:pt idx="4542">
                  <c:v>0.64200000000000002</c:v>
                </c:pt>
                <c:pt idx="4543">
                  <c:v>0.63880000000000003</c:v>
                </c:pt>
                <c:pt idx="4544">
                  <c:v>0.63739999999999997</c:v>
                </c:pt>
                <c:pt idx="4545">
                  <c:v>0.63849999999999996</c:v>
                </c:pt>
                <c:pt idx="4546">
                  <c:v>0.63700000000000001</c:v>
                </c:pt>
                <c:pt idx="4547">
                  <c:v>0.64290000000000003</c:v>
                </c:pt>
                <c:pt idx="4548">
                  <c:v>0.64029999999999998</c:v>
                </c:pt>
                <c:pt idx="4549">
                  <c:v>0.63829999999999998</c:v>
                </c:pt>
                <c:pt idx="4550">
                  <c:v>0.6371</c:v>
                </c:pt>
                <c:pt idx="4551">
                  <c:v>0.64529999999999998</c:v>
                </c:pt>
                <c:pt idx="4552">
                  <c:v>0.64400000000000002</c:v>
                </c:pt>
                <c:pt idx="4553">
                  <c:v>0.64959999999999996</c:v>
                </c:pt>
                <c:pt idx="4554">
                  <c:v>0.65210000000000001</c:v>
                </c:pt>
                <c:pt idx="4555">
                  <c:v>0.64900000000000002</c:v>
                </c:pt>
                <c:pt idx="4556">
                  <c:v>0.64829999999999999</c:v>
                </c:pt>
                <c:pt idx="4557">
                  <c:v>0.64639999999999997</c:v>
                </c:pt>
                <c:pt idx="4558">
                  <c:v>0.64800000000000002</c:v>
                </c:pt>
                <c:pt idx="4559">
                  <c:v>0.64349999999999996</c:v>
                </c:pt>
                <c:pt idx="4560">
                  <c:v>0.64649999999999996</c:v>
                </c:pt>
                <c:pt idx="4561">
                  <c:v>0.64829999999999999</c:v>
                </c:pt>
                <c:pt idx="4562">
                  <c:v>0.64749999999999996</c:v>
                </c:pt>
                <c:pt idx="4563">
                  <c:v>0.65569999999999995</c:v>
                </c:pt>
                <c:pt idx="4564">
                  <c:v>0.65429999999999999</c:v>
                </c:pt>
                <c:pt idx="4565">
                  <c:v>0.65500000000000003</c:v>
                </c:pt>
                <c:pt idx="4566">
                  <c:v>0.65849999999999997</c:v>
                </c:pt>
                <c:pt idx="4567">
                  <c:v>0.66090000000000004</c:v>
                </c:pt>
                <c:pt idx="4568">
                  <c:v>0.66290000000000004</c:v>
                </c:pt>
                <c:pt idx="4569">
                  <c:v>0.66249999999999998</c:v>
                </c:pt>
                <c:pt idx="4570">
                  <c:v>0.65600000000000003</c:v>
                </c:pt>
                <c:pt idx="4571">
                  <c:v>0.65249999999999997</c:v>
                </c:pt>
                <c:pt idx="4572">
                  <c:v>0.65239999999999998</c:v>
                </c:pt>
                <c:pt idx="4573">
                  <c:v>0.6573</c:v>
                </c:pt>
                <c:pt idx="4574">
                  <c:v>0.65300000000000002</c:v>
                </c:pt>
                <c:pt idx="4575">
                  <c:v>0.65110000000000001</c:v>
                </c:pt>
                <c:pt idx="4576">
                  <c:v>0.64910000000000001</c:v>
                </c:pt>
                <c:pt idx="4577">
                  <c:v>0.65069999999999995</c:v>
                </c:pt>
                <c:pt idx="4578">
                  <c:v>0.64770000000000005</c:v>
                </c:pt>
                <c:pt idx="4579">
                  <c:v>0.64119999999999999</c:v>
                </c:pt>
                <c:pt idx="4580">
                  <c:v>0.64749999999999996</c:v>
                </c:pt>
                <c:pt idx="4581">
                  <c:v>0.64600000000000002</c:v>
                </c:pt>
                <c:pt idx="4582">
                  <c:v>0.64849999999999997</c:v>
                </c:pt>
                <c:pt idx="4583">
                  <c:v>0.65169999999999995</c:v>
                </c:pt>
                <c:pt idx="4584">
                  <c:v>0.65629999999999999</c:v>
                </c:pt>
                <c:pt idx="4585">
                  <c:v>0.65139999999999998</c:v>
                </c:pt>
                <c:pt idx="4586">
                  <c:v>0.65290000000000004</c:v>
                </c:pt>
                <c:pt idx="4587">
                  <c:v>0.64759999999999995</c:v>
                </c:pt>
                <c:pt idx="4588">
                  <c:v>0.64900000000000002</c:v>
                </c:pt>
                <c:pt idx="4589">
                  <c:v>0.64480000000000004</c:v>
                </c:pt>
                <c:pt idx="4590">
                  <c:v>0.64670000000000005</c:v>
                </c:pt>
                <c:pt idx="4591">
                  <c:v>0.64459999999999995</c:v>
                </c:pt>
                <c:pt idx="4592">
                  <c:v>0.63839999999999997</c:v>
                </c:pt>
                <c:pt idx="4593">
                  <c:v>0.63949999999999996</c:v>
                </c:pt>
                <c:pt idx="4594">
                  <c:v>0.63380000000000003</c:v>
                </c:pt>
                <c:pt idx="4595">
                  <c:v>0.63200000000000001</c:v>
                </c:pt>
                <c:pt idx="4596">
                  <c:v>0.63049999999999995</c:v>
                </c:pt>
                <c:pt idx="4597">
                  <c:v>0.6321</c:v>
                </c:pt>
                <c:pt idx="4598">
                  <c:v>0.63600000000000001</c:v>
                </c:pt>
                <c:pt idx="4599">
                  <c:v>0.63500000000000001</c:v>
                </c:pt>
                <c:pt idx="4600">
                  <c:v>0.63649999999999995</c:v>
                </c:pt>
                <c:pt idx="4601">
                  <c:v>0.63429999999999997</c:v>
                </c:pt>
                <c:pt idx="4602">
                  <c:v>0.64680000000000004</c:v>
                </c:pt>
                <c:pt idx="4603">
                  <c:v>0.64959999999999996</c:v>
                </c:pt>
                <c:pt idx="4604">
                  <c:v>0.64949999999999997</c:v>
                </c:pt>
                <c:pt idx="4605">
                  <c:v>0.6522</c:v>
                </c:pt>
                <c:pt idx="4606">
                  <c:v>0.64939999999999998</c:v>
                </c:pt>
                <c:pt idx="4607">
                  <c:v>0.64910000000000001</c:v>
                </c:pt>
                <c:pt idx="4608">
                  <c:v>0.65069999999999995</c:v>
                </c:pt>
                <c:pt idx="4609">
                  <c:v>0.65349999999999997</c:v>
                </c:pt>
                <c:pt idx="4610">
                  <c:v>0.65249999999999997</c:v>
                </c:pt>
                <c:pt idx="4611">
                  <c:v>0.65429999999999999</c:v>
                </c:pt>
                <c:pt idx="4612">
                  <c:v>0.65869999999999995</c:v>
                </c:pt>
                <c:pt idx="4613">
                  <c:v>0.65369999999999995</c:v>
                </c:pt>
                <c:pt idx="4614">
                  <c:v>0.65</c:v>
                </c:pt>
                <c:pt idx="4615">
                  <c:v>0.65100000000000002</c:v>
                </c:pt>
                <c:pt idx="4616">
                  <c:v>0.65</c:v>
                </c:pt>
                <c:pt idx="4617">
                  <c:v>0.64600000000000002</c:v>
                </c:pt>
                <c:pt idx="4618">
                  <c:v>0.64449999999999996</c:v>
                </c:pt>
                <c:pt idx="4619">
                  <c:v>0.64710000000000001</c:v>
                </c:pt>
                <c:pt idx="4620">
                  <c:v>0.64800000000000002</c:v>
                </c:pt>
                <c:pt idx="4621">
                  <c:v>0.6472</c:v>
                </c:pt>
                <c:pt idx="4622">
                  <c:v>0.64549999999999996</c:v>
                </c:pt>
                <c:pt idx="4623">
                  <c:v>0.64390000000000003</c:v>
                </c:pt>
                <c:pt idx="4624">
                  <c:v>0.64929999999999999</c:v>
                </c:pt>
                <c:pt idx="4625">
                  <c:v>0.66049999999999998</c:v>
                </c:pt>
                <c:pt idx="4626">
                  <c:v>0.66049999999999998</c:v>
                </c:pt>
                <c:pt idx="4627">
                  <c:v>0.65749999999999997</c:v>
                </c:pt>
                <c:pt idx="4628">
                  <c:v>0.65849999999999997</c:v>
                </c:pt>
                <c:pt idx="4629">
                  <c:v>0.66159999999999997</c:v>
                </c:pt>
                <c:pt idx="4630">
                  <c:v>0.66520000000000001</c:v>
                </c:pt>
                <c:pt idx="4631">
                  <c:v>0.66639999999999999</c:v>
                </c:pt>
                <c:pt idx="4632">
                  <c:v>0.66739999999999999</c:v>
                </c:pt>
                <c:pt idx="4633">
                  <c:v>0.66149999999999998</c:v>
                </c:pt>
                <c:pt idx="4634">
                  <c:v>0.66549999999999998</c:v>
                </c:pt>
                <c:pt idx="4635">
                  <c:v>0.66879999999999995</c:v>
                </c:pt>
                <c:pt idx="4636">
                  <c:v>0.66610000000000003</c:v>
                </c:pt>
                <c:pt idx="4637">
                  <c:v>0.66679999999999995</c:v>
                </c:pt>
                <c:pt idx="4638">
                  <c:v>0.65629999999999999</c:v>
                </c:pt>
                <c:pt idx="4639">
                  <c:v>0.65780000000000005</c:v>
                </c:pt>
                <c:pt idx="4640">
                  <c:v>0.66120000000000001</c:v>
                </c:pt>
                <c:pt idx="4641">
                  <c:v>0.65890000000000004</c:v>
                </c:pt>
                <c:pt idx="4642">
                  <c:v>0.65800000000000003</c:v>
                </c:pt>
                <c:pt idx="4643">
                  <c:v>0.65349999999999997</c:v>
                </c:pt>
                <c:pt idx="4644">
                  <c:v>0.64949999999999997</c:v>
                </c:pt>
                <c:pt idx="4645">
                  <c:v>0.65180000000000005</c:v>
                </c:pt>
                <c:pt idx="4646">
                  <c:v>0.6573</c:v>
                </c:pt>
                <c:pt idx="4647">
                  <c:v>0.65700000000000003</c:v>
                </c:pt>
                <c:pt idx="4648">
                  <c:v>0.65749999999999997</c:v>
                </c:pt>
                <c:pt idx="4649">
                  <c:v>0.66379999999999995</c:v>
                </c:pt>
                <c:pt idx="4650">
                  <c:v>0.66459999999999997</c:v>
                </c:pt>
                <c:pt idx="4651">
                  <c:v>0.66049999999999998</c:v>
                </c:pt>
                <c:pt idx="4652">
                  <c:v>0.65839999999999999</c:v>
                </c:pt>
                <c:pt idx="4653">
                  <c:v>0.65649999999999997</c:v>
                </c:pt>
                <c:pt idx="4654">
                  <c:v>0.65949999999999998</c:v>
                </c:pt>
                <c:pt idx="4655">
                  <c:v>0.65800000000000003</c:v>
                </c:pt>
                <c:pt idx="4656">
                  <c:v>0.64859999999999995</c:v>
                </c:pt>
                <c:pt idx="4657">
                  <c:v>0.64400000000000002</c:v>
                </c:pt>
                <c:pt idx="4658">
                  <c:v>0.64290000000000003</c:v>
                </c:pt>
                <c:pt idx="4659">
                  <c:v>0.64870000000000005</c:v>
                </c:pt>
                <c:pt idx="4660">
                  <c:v>0.65200000000000002</c:v>
                </c:pt>
                <c:pt idx="4661">
                  <c:v>0.64990000000000003</c:v>
                </c:pt>
                <c:pt idx="4662">
                  <c:v>0.64900000000000002</c:v>
                </c:pt>
                <c:pt idx="4663">
                  <c:v>0.64870000000000005</c:v>
                </c:pt>
                <c:pt idx="4664">
                  <c:v>0.6593</c:v>
                </c:pt>
                <c:pt idx="4665">
                  <c:v>0.65739999999999998</c:v>
                </c:pt>
                <c:pt idx="4666">
                  <c:v>0.66</c:v>
                </c:pt>
                <c:pt idx="4667">
                  <c:v>0.6593</c:v>
                </c:pt>
                <c:pt idx="4668">
                  <c:v>0.66700000000000004</c:v>
                </c:pt>
                <c:pt idx="4669">
                  <c:v>0.66510000000000002</c:v>
                </c:pt>
                <c:pt idx="4670">
                  <c:v>0.66420000000000001</c:v>
                </c:pt>
                <c:pt idx="4671">
                  <c:v>0.66700000000000004</c:v>
                </c:pt>
                <c:pt idx="4672">
                  <c:v>0.6663</c:v>
                </c:pt>
                <c:pt idx="4673">
                  <c:v>0.66820000000000002</c:v>
                </c:pt>
                <c:pt idx="4674">
                  <c:v>0.66639999999999999</c:v>
                </c:pt>
                <c:pt idx="4675">
                  <c:v>0.67149999999999999</c:v>
                </c:pt>
                <c:pt idx="4676">
                  <c:v>0.67020000000000002</c:v>
                </c:pt>
                <c:pt idx="4677">
                  <c:v>0.66400000000000003</c:v>
                </c:pt>
                <c:pt idx="4678">
                  <c:v>0.65949999999999998</c:v>
                </c:pt>
                <c:pt idx="4679">
                  <c:v>0.6643</c:v>
                </c:pt>
                <c:pt idx="4680">
                  <c:v>0.66120000000000001</c:v>
                </c:pt>
                <c:pt idx="4681">
                  <c:v>0.65949999999999998</c:v>
                </c:pt>
                <c:pt idx="4682">
                  <c:v>0.65390000000000004</c:v>
                </c:pt>
                <c:pt idx="4683">
                  <c:v>0.64929999999999999</c:v>
                </c:pt>
                <c:pt idx="4684">
                  <c:v>0.6492</c:v>
                </c:pt>
                <c:pt idx="4685">
                  <c:v>0.65180000000000005</c:v>
                </c:pt>
                <c:pt idx="4686">
                  <c:v>0.65110000000000001</c:v>
                </c:pt>
                <c:pt idx="4687">
                  <c:v>0.64649999999999996</c:v>
                </c:pt>
                <c:pt idx="4688">
                  <c:v>0.64570000000000005</c:v>
                </c:pt>
                <c:pt idx="4689">
                  <c:v>0.6512</c:v>
                </c:pt>
                <c:pt idx="4690">
                  <c:v>0.64690000000000003</c:v>
                </c:pt>
                <c:pt idx="4691">
                  <c:v>0.64329999999999998</c:v>
                </c:pt>
                <c:pt idx="4692">
                  <c:v>0.63329999999999997</c:v>
                </c:pt>
                <c:pt idx="4693">
                  <c:v>0.63600000000000001</c:v>
                </c:pt>
                <c:pt idx="4694">
                  <c:v>0.63549999999999995</c:v>
                </c:pt>
                <c:pt idx="4695">
                  <c:v>0.63060000000000005</c:v>
                </c:pt>
                <c:pt idx="4696">
                  <c:v>0.62560000000000004</c:v>
                </c:pt>
                <c:pt idx="4697">
                  <c:v>0.62780000000000002</c:v>
                </c:pt>
                <c:pt idx="4698">
                  <c:v>0.62960000000000005</c:v>
                </c:pt>
                <c:pt idx="4699">
                  <c:v>0.63090000000000002</c:v>
                </c:pt>
                <c:pt idx="4700">
                  <c:v>0.6341</c:v>
                </c:pt>
                <c:pt idx="4701">
                  <c:v>0.63490000000000002</c:v>
                </c:pt>
                <c:pt idx="4702">
                  <c:v>0.63419999999999999</c:v>
                </c:pt>
                <c:pt idx="4703">
                  <c:v>0.62639999999999996</c:v>
                </c:pt>
                <c:pt idx="4704">
                  <c:v>0.63129999999999997</c:v>
                </c:pt>
                <c:pt idx="4705">
                  <c:v>0.63470000000000004</c:v>
                </c:pt>
                <c:pt idx="4706">
                  <c:v>0.63739999999999997</c:v>
                </c:pt>
                <c:pt idx="4707">
                  <c:v>0.63719999999999999</c:v>
                </c:pt>
                <c:pt idx="4708">
                  <c:v>0.63990000000000002</c:v>
                </c:pt>
                <c:pt idx="4709">
                  <c:v>0.63649999999999995</c:v>
                </c:pt>
                <c:pt idx="4710">
                  <c:v>0.62970000000000004</c:v>
                </c:pt>
                <c:pt idx="4711">
                  <c:v>0.62829999999999997</c:v>
                </c:pt>
                <c:pt idx="4712">
                  <c:v>0.62670000000000003</c:v>
                </c:pt>
                <c:pt idx="4713">
                  <c:v>0.62629999999999997</c:v>
                </c:pt>
                <c:pt idx="4714">
                  <c:v>0.62849999999999995</c:v>
                </c:pt>
                <c:pt idx="4715">
                  <c:v>0.63649999999999995</c:v>
                </c:pt>
                <c:pt idx="4716">
                  <c:v>0.63739999999999997</c:v>
                </c:pt>
                <c:pt idx="4717">
                  <c:v>0.63690000000000002</c:v>
                </c:pt>
                <c:pt idx="4718">
                  <c:v>0.63519999999999999</c:v>
                </c:pt>
                <c:pt idx="4719">
                  <c:v>0.63160000000000005</c:v>
                </c:pt>
                <c:pt idx="4720">
                  <c:v>0.62819999999999998</c:v>
                </c:pt>
                <c:pt idx="4721">
                  <c:v>0.62549999999999994</c:v>
                </c:pt>
                <c:pt idx="4722">
                  <c:v>0.62160000000000004</c:v>
                </c:pt>
                <c:pt idx="4723">
                  <c:v>0.62060000000000004</c:v>
                </c:pt>
                <c:pt idx="4724">
                  <c:v>0.61899999999999999</c:v>
                </c:pt>
                <c:pt idx="4725">
                  <c:v>0.61850000000000005</c:v>
                </c:pt>
                <c:pt idx="4726">
                  <c:v>0.626</c:v>
                </c:pt>
                <c:pt idx="4727">
                  <c:v>0.63200000000000001</c:v>
                </c:pt>
                <c:pt idx="4728">
                  <c:v>0.64049999999999996</c:v>
                </c:pt>
                <c:pt idx="4729">
                  <c:v>0.64019999999999999</c:v>
                </c:pt>
                <c:pt idx="4730">
                  <c:v>0.63949999999999996</c:v>
                </c:pt>
                <c:pt idx="4731">
                  <c:v>0.63519999999999999</c:v>
                </c:pt>
                <c:pt idx="4732">
                  <c:v>0.63480000000000003</c:v>
                </c:pt>
                <c:pt idx="4733">
                  <c:v>0.63549999999999995</c:v>
                </c:pt>
                <c:pt idx="4734">
                  <c:v>0.64600000000000002</c:v>
                </c:pt>
                <c:pt idx="4735">
                  <c:v>0.64559999999999995</c:v>
                </c:pt>
                <c:pt idx="4736">
                  <c:v>0.64749999999999996</c:v>
                </c:pt>
                <c:pt idx="4737">
                  <c:v>0.64639999999999997</c:v>
                </c:pt>
                <c:pt idx="4738">
                  <c:v>0.64590000000000003</c:v>
                </c:pt>
                <c:pt idx="4739">
                  <c:v>0.65</c:v>
                </c:pt>
                <c:pt idx="4740">
                  <c:v>0.65080000000000005</c:v>
                </c:pt>
                <c:pt idx="4741">
                  <c:v>0.64800000000000002</c:v>
                </c:pt>
                <c:pt idx="4742">
                  <c:v>0.6411</c:v>
                </c:pt>
                <c:pt idx="4743">
                  <c:v>0.63829999999999998</c:v>
                </c:pt>
                <c:pt idx="4744">
                  <c:v>0.63560000000000005</c:v>
                </c:pt>
                <c:pt idx="4745">
                  <c:v>0.63009999999999999</c:v>
                </c:pt>
                <c:pt idx="4746">
                  <c:v>0.62780000000000002</c:v>
                </c:pt>
                <c:pt idx="4747">
                  <c:v>0.62770000000000004</c:v>
                </c:pt>
                <c:pt idx="4748">
                  <c:v>0.629</c:v>
                </c:pt>
                <c:pt idx="4749">
                  <c:v>0.63090000000000002</c:v>
                </c:pt>
                <c:pt idx="4750">
                  <c:v>0.63249999999999995</c:v>
                </c:pt>
                <c:pt idx="4751">
                  <c:v>0.6431</c:v>
                </c:pt>
                <c:pt idx="4752">
                  <c:v>0.63980000000000004</c:v>
                </c:pt>
                <c:pt idx="4753">
                  <c:v>0.6381</c:v>
                </c:pt>
                <c:pt idx="4754">
                  <c:v>0.63339999999999996</c:v>
                </c:pt>
                <c:pt idx="4755">
                  <c:v>0.63300000000000001</c:v>
                </c:pt>
                <c:pt idx="4756">
                  <c:v>0.63</c:v>
                </c:pt>
                <c:pt idx="4757">
                  <c:v>0.63170000000000004</c:v>
                </c:pt>
                <c:pt idx="4758">
                  <c:v>0.63739999999999997</c:v>
                </c:pt>
                <c:pt idx="4759">
                  <c:v>0.6401</c:v>
                </c:pt>
                <c:pt idx="4760">
                  <c:v>0.63449999999999995</c:v>
                </c:pt>
                <c:pt idx="4761">
                  <c:v>0.63539999999999996</c:v>
                </c:pt>
                <c:pt idx="4762">
                  <c:v>0.62870000000000004</c:v>
                </c:pt>
                <c:pt idx="4763">
                  <c:v>0.62229999999999996</c:v>
                </c:pt>
                <c:pt idx="4764">
                  <c:v>0.62119999999999997</c:v>
                </c:pt>
                <c:pt idx="4765">
                  <c:v>0.61229999999999996</c:v>
                </c:pt>
                <c:pt idx="4766">
                  <c:v>0.61009999999999998</c:v>
                </c:pt>
                <c:pt idx="4767">
                  <c:v>0.61119999999999997</c:v>
                </c:pt>
                <c:pt idx="4768">
                  <c:v>0.61160000000000003</c:v>
                </c:pt>
                <c:pt idx="4769">
                  <c:v>0.60650000000000004</c:v>
                </c:pt>
                <c:pt idx="4770">
                  <c:v>0.60880000000000001</c:v>
                </c:pt>
                <c:pt idx="4771">
                  <c:v>0.60980000000000001</c:v>
                </c:pt>
                <c:pt idx="4772">
                  <c:v>0.61</c:v>
                </c:pt>
                <c:pt idx="4773">
                  <c:v>0.61250000000000004</c:v>
                </c:pt>
                <c:pt idx="4774">
                  <c:v>0.61619999999999997</c:v>
                </c:pt>
                <c:pt idx="4775">
                  <c:v>0.62</c:v>
                </c:pt>
                <c:pt idx="4776">
                  <c:v>0.62090000000000001</c:v>
                </c:pt>
                <c:pt idx="4777">
                  <c:v>0.62219999999999998</c:v>
                </c:pt>
                <c:pt idx="4778">
                  <c:v>0.62350000000000005</c:v>
                </c:pt>
                <c:pt idx="4779">
                  <c:v>0.61899999999999999</c:v>
                </c:pt>
                <c:pt idx="4780">
                  <c:v>0.62039999999999995</c:v>
                </c:pt>
                <c:pt idx="4781">
                  <c:v>0.61899999999999999</c:v>
                </c:pt>
                <c:pt idx="4782">
                  <c:v>0.61509999999999998</c:v>
                </c:pt>
                <c:pt idx="4783">
                  <c:v>0.61499999999999999</c:v>
                </c:pt>
                <c:pt idx="4784">
                  <c:v>0.61970000000000003</c:v>
                </c:pt>
                <c:pt idx="4785">
                  <c:v>0.61680000000000001</c:v>
                </c:pt>
                <c:pt idx="4786">
                  <c:v>0.62360000000000004</c:v>
                </c:pt>
                <c:pt idx="4787">
                  <c:v>0.629</c:v>
                </c:pt>
                <c:pt idx="4788">
                  <c:v>0.63249999999999995</c:v>
                </c:pt>
                <c:pt idx="4789">
                  <c:v>0.62770000000000004</c:v>
                </c:pt>
                <c:pt idx="4790">
                  <c:v>0.63300000000000001</c:v>
                </c:pt>
                <c:pt idx="4791">
                  <c:v>0.63519999999999999</c:v>
                </c:pt>
                <c:pt idx="4792">
                  <c:v>0.63929999999999998</c:v>
                </c:pt>
                <c:pt idx="4793">
                  <c:v>0.64149999999999996</c:v>
                </c:pt>
                <c:pt idx="4794">
                  <c:v>0.63900000000000001</c:v>
                </c:pt>
                <c:pt idx="4795">
                  <c:v>0.64300000000000002</c:v>
                </c:pt>
                <c:pt idx="4796">
                  <c:v>0.64239999999999997</c:v>
                </c:pt>
                <c:pt idx="4797">
                  <c:v>0.64410000000000001</c:v>
                </c:pt>
                <c:pt idx="4798">
                  <c:v>0.63270000000000004</c:v>
                </c:pt>
                <c:pt idx="4799">
                  <c:v>0.6371</c:v>
                </c:pt>
                <c:pt idx="4800">
                  <c:v>0.63619999999999999</c:v>
                </c:pt>
                <c:pt idx="4801">
                  <c:v>0.63800000000000001</c:v>
                </c:pt>
                <c:pt idx="4802">
                  <c:v>0.63119999999999998</c:v>
                </c:pt>
                <c:pt idx="4803">
                  <c:v>0.62660000000000005</c:v>
                </c:pt>
                <c:pt idx="4804">
                  <c:v>0.63649999999999995</c:v>
                </c:pt>
                <c:pt idx="4805">
                  <c:v>0.63529999999999998</c:v>
                </c:pt>
                <c:pt idx="4806">
                  <c:v>0.63170000000000004</c:v>
                </c:pt>
                <c:pt idx="4807">
                  <c:v>0.62990000000000002</c:v>
                </c:pt>
                <c:pt idx="4808">
                  <c:v>0.62350000000000005</c:v>
                </c:pt>
                <c:pt idx="4809">
                  <c:v>0.62460000000000004</c:v>
                </c:pt>
                <c:pt idx="4810">
                  <c:v>0.62409999999999999</c:v>
                </c:pt>
                <c:pt idx="4811">
                  <c:v>0.62339999999999995</c:v>
                </c:pt>
                <c:pt idx="4812">
                  <c:v>0.61699999999999999</c:v>
                </c:pt>
                <c:pt idx="4813">
                  <c:v>0.61729999999999996</c:v>
                </c:pt>
                <c:pt idx="4814">
                  <c:v>0.61599999999999999</c:v>
                </c:pt>
                <c:pt idx="4815">
                  <c:v>0.61829999999999996</c:v>
                </c:pt>
                <c:pt idx="4816">
                  <c:v>0.62490000000000001</c:v>
                </c:pt>
                <c:pt idx="4817">
                  <c:v>0.62560000000000004</c:v>
                </c:pt>
                <c:pt idx="4818">
                  <c:v>0.63139999999999996</c:v>
                </c:pt>
                <c:pt idx="4819">
                  <c:v>0.63239999999999996</c:v>
                </c:pt>
                <c:pt idx="4820">
                  <c:v>0.63400000000000001</c:v>
                </c:pt>
                <c:pt idx="4821">
                  <c:v>0.63729999999999998</c:v>
                </c:pt>
                <c:pt idx="4822">
                  <c:v>0.63349999999999995</c:v>
                </c:pt>
                <c:pt idx="4823">
                  <c:v>0.62490000000000001</c:v>
                </c:pt>
                <c:pt idx="4824">
                  <c:v>0.62319999999999998</c:v>
                </c:pt>
                <c:pt idx="4825">
                  <c:v>0.61380000000000001</c:v>
                </c:pt>
                <c:pt idx="4826">
                  <c:v>0.61599999999999999</c:v>
                </c:pt>
                <c:pt idx="4827">
                  <c:v>0.622</c:v>
                </c:pt>
                <c:pt idx="4828">
                  <c:v>0.59219999999999995</c:v>
                </c:pt>
                <c:pt idx="4829">
                  <c:v>0.59379999999999999</c:v>
                </c:pt>
                <c:pt idx="4830">
                  <c:v>0.59489999999999998</c:v>
                </c:pt>
                <c:pt idx="4831">
                  <c:v>0.59799999999999998</c:v>
                </c:pt>
                <c:pt idx="4832">
                  <c:v>0.59399999999999997</c:v>
                </c:pt>
                <c:pt idx="4833">
                  <c:v>0.5968</c:v>
                </c:pt>
                <c:pt idx="4834">
                  <c:v>0.59</c:v>
                </c:pt>
                <c:pt idx="4835">
                  <c:v>0.58699999999999997</c:v>
                </c:pt>
                <c:pt idx="4836">
                  <c:v>0.58450000000000002</c:v>
                </c:pt>
                <c:pt idx="4837">
                  <c:v>0.57969999999999999</c:v>
                </c:pt>
                <c:pt idx="4838">
                  <c:v>0.58120000000000005</c:v>
                </c:pt>
                <c:pt idx="4839">
                  <c:v>0.58320000000000005</c:v>
                </c:pt>
                <c:pt idx="4840">
                  <c:v>0.58919999999999995</c:v>
                </c:pt>
                <c:pt idx="4841">
                  <c:v>0.59330000000000005</c:v>
                </c:pt>
                <c:pt idx="4842">
                  <c:v>0.5897</c:v>
                </c:pt>
                <c:pt idx="4843">
                  <c:v>0.59499999999999997</c:v>
                </c:pt>
                <c:pt idx="4844">
                  <c:v>0.59450000000000003</c:v>
                </c:pt>
                <c:pt idx="4845">
                  <c:v>0.59919999999999995</c:v>
                </c:pt>
                <c:pt idx="4846">
                  <c:v>0.59760000000000002</c:v>
                </c:pt>
                <c:pt idx="4847">
                  <c:v>0.58540000000000003</c:v>
                </c:pt>
                <c:pt idx="4848">
                  <c:v>0.59179999999999999</c:v>
                </c:pt>
                <c:pt idx="4849">
                  <c:v>0.59019999999999995</c:v>
                </c:pt>
                <c:pt idx="4850">
                  <c:v>0.58650000000000002</c:v>
                </c:pt>
                <c:pt idx="4851">
                  <c:v>0.58450000000000002</c:v>
                </c:pt>
                <c:pt idx="4852">
                  <c:v>0.58540000000000003</c:v>
                </c:pt>
                <c:pt idx="4853">
                  <c:v>0.58289999999999997</c:v>
                </c:pt>
                <c:pt idx="4854">
                  <c:v>0.56899999999999995</c:v>
                </c:pt>
                <c:pt idx="4855">
                  <c:v>0.56699999999999995</c:v>
                </c:pt>
                <c:pt idx="4856">
                  <c:v>0.55689999999999995</c:v>
                </c:pt>
                <c:pt idx="4857">
                  <c:v>0.56459999999999999</c:v>
                </c:pt>
                <c:pt idx="4858">
                  <c:v>0.57620000000000005</c:v>
                </c:pt>
                <c:pt idx="4859">
                  <c:v>0.58040000000000003</c:v>
                </c:pt>
                <c:pt idx="4860">
                  <c:v>0.58109999999999995</c:v>
                </c:pt>
                <c:pt idx="4861">
                  <c:v>0.58630000000000004</c:v>
                </c:pt>
                <c:pt idx="4862">
                  <c:v>0.59130000000000005</c:v>
                </c:pt>
                <c:pt idx="4863">
                  <c:v>0.59509999999999996</c:v>
                </c:pt>
                <c:pt idx="4864">
                  <c:v>0.59179999999999999</c:v>
                </c:pt>
                <c:pt idx="4865">
                  <c:v>0.59330000000000005</c:v>
                </c:pt>
                <c:pt idx="4866">
                  <c:v>0.59640000000000004</c:v>
                </c:pt>
                <c:pt idx="4867">
                  <c:v>0.59370000000000001</c:v>
                </c:pt>
                <c:pt idx="4868">
                  <c:v>0.59279999999999999</c:v>
                </c:pt>
                <c:pt idx="4869">
                  <c:v>0.60050000000000003</c:v>
                </c:pt>
                <c:pt idx="4870">
                  <c:v>0.59970000000000001</c:v>
                </c:pt>
                <c:pt idx="4871">
                  <c:v>0.60509999999999997</c:v>
                </c:pt>
                <c:pt idx="4872">
                  <c:v>0.60860000000000003</c:v>
                </c:pt>
                <c:pt idx="4873">
                  <c:v>0.60429999999999995</c:v>
                </c:pt>
                <c:pt idx="4874">
                  <c:v>0.60189999999999999</c:v>
                </c:pt>
                <c:pt idx="4875">
                  <c:v>0.60599999999999998</c:v>
                </c:pt>
                <c:pt idx="4876">
                  <c:v>0.60950000000000004</c:v>
                </c:pt>
                <c:pt idx="4877">
                  <c:v>0.61150000000000004</c:v>
                </c:pt>
                <c:pt idx="4878">
                  <c:v>0.61329999999999996</c:v>
                </c:pt>
                <c:pt idx="4879">
                  <c:v>0.60880000000000001</c:v>
                </c:pt>
                <c:pt idx="4880">
                  <c:v>0.61660000000000004</c:v>
                </c:pt>
                <c:pt idx="4881">
                  <c:v>0.62029999999999996</c:v>
                </c:pt>
                <c:pt idx="4882">
                  <c:v>0.62250000000000005</c:v>
                </c:pt>
                <c:pt idx="4883">
                  <c:v>0.62619999999999998</c:v>
                </c:pt>
                <c:pt idx="4884">
                  <c:v>0.63149999999999995</c:v>
                </c:pt>
                <c:pt idx="4885">
                  <c:v>0.62849999999999995</c:v>
                </c:pt>
                <c:pt idx="4886">
                  <c:v>0.63170000000000004</c:v>
                </c:pt>
                <c:pt idx="4887">
                  <c:v>0.623</c:v>
                </c:pt>
                <c:pt idx="4888">
                  <c:v>0.62260000000000004</c:v>
                </c:pt>
                <c:pt idx="4889">
                  <c:v>0.61729999999999996</c:v>
                </c:pt>
                <c:pt idx="4890">
                  <c:v>0.61599999999999999</c:v>
                </c:pt>
                <c:pt idx="4891">
                  <c:v>0.61319999999999997</c:v>
                </c:pt>
                <c:pt idx="4892">
                  <c:v>0.61750000000000005</c:v>
                </c:pt>
                <c:pt idx="4893">
                  <c:v>0.61980000000000002</c:v>
                </c:pt>
                <c:pt idx="4894">
                  <c:v>0.61550000000000005</c:v>
                </c:pt>
                <c:pt idx="4895">
                  <c:v>0.61780000000000002</c:v>
                </c:pt>
                <c:pt idx="4896">
                  <c:v>0.61399999999999999</c:v>
                </c:pt>
                <c:pt idx="4897">
                  <c:v>0.62</c:v>
                </c:pt>
                <c:pt idx="4898">
                  <c:v>0.61839999999999995</c:v>
                </c:pt>
                <c:pt idx="4899">
                  <c:v>0.60770000000000002</c:v>
                </c:pt>
                <c:pt idx="4900">
                  <c:v>0.60150000000000003</c:v>
                </c:pt>
                <c:pt idx="4901">
                  <c:v>0.60519999999999996</c:v>
                </c:pt>
                <c:pt idx="4902">
                  <c:v>0.60450000000000004</c:v>
                </c:pt>
                <c:pt idx="4903">
                  <c:v>0.60819999999999996</c:v>
                </c:pt>
                <c:pt idx="4904">
                  <c:v>0.60850000000000004</c:v>
                </c:pt>
                <c:pt idx="4905">
                  <c:v>0.61609999999999998</c:v>
                </c:pt>
                <c:pt idx="4906">
                  <c:v>0.60840000000000005</c:v>
                </c:pt>
                <c:pt idx="4907">
                  <c:v>0.61299999999999999</c:v>
                </c:pt>
                <c:pt idx="4908">
                  <c:v>0.59199999999999997</c:v>
                </c:pt>
                <c:pt idx="4909">
                  <c:v>0.58899999999999997</c:v>
                </c:pt>
                <c:pt idx="4910">
                  <c:v>0.58699999999999997</c:v>
                </c:pt>
                <c:pt idx="4911">
                  <c:v>0.58599999999999997</c:v>
                </c:pt>
                <c:pt idx="4912">
                  <c:v>0.58799999999999997</c:v>
                </c:pt>
                <c:pt idx="4913">
                  <c:v>0.59399999999999997</c:v>
                </c:pt>
                <c:pt idx="4914">
                  <c:v>0.6</c:v>
                </c:pt>
                <c:pt idx="4915">
                  <c:v>0.6</c:v>
                </c:pt>
                <c:pt idx="4916">
                  <c:v>0.61</c:v>
                </c:pt>
                <c:pt idx="4917">
                  <c:v>0.60899999999999999</c:v>
                </c:pt>
                <c:pt idx="4918">
                  <c:v>0.61499999999999999</c:v>
                </c:pt>
                <c:pt idx="4919">
                  <c:v>0.61499999999999999</c:v>
                </c:pt>
                <c:pt idx="4920">
                  <c:v>0.623</c:v>
                </c:pt>
                <c:pt idx="4921">
                  <c:v>0.62190000000000001</c:v>
                </c:pt>
                <c:pt idx="4922">
                  <c:v>0.62029999999999996</c:v>
                </c:pt>
                <c:pt idx="4923">
                  <c:v>0.62119999999999997</c:v>
                </c:pt>
                <c:pt idx="4924">
                  <c:v>0.62560000000000004</c:v>
                </c:pt>
                <c:pt idx="4925">
                  <c:v>0.62680000000000002</c:v>
                </c:pt>
                <c:pt idx="4926">
                  <c:v>0.63349999999999995</c:v>
                </c:pt>
                <c:pt idx="4927">
                  <c:v>0.62539999999999996</c:v>
                </c:pt>
                <c:pt idx="4928">
                  <c:v>0.62239999999999995</c:v>
                </c:pt>
                <c:pt idx="4929">
                  <c:v>0.61850000000000005</c:v>
                </c:pt>
                <c:pt idx="4930">
                  <c:v>0.62709999999999999</c:v>
                </c:pt>
                <c:pt idx="4931">
                  <c:v>0.62870000000000004</c:v>
                </c:pt>
                <c:pt idx="4932">
                  <c:v>0.628</c:v>
                </c:pt>
                <c:pt idx="4933">
                  <c:v>0.63109999999999999</c:v>
                </c:pt>
                <c:pt idx="4934">
                  <c:v>0.63570000000000004</c:v>
                </c:pt>
                <c:pt idx="4935">
                  <c:v>0.63480000000000003</c:v>
                </c:pt>
                <c:pt idx="4936">
                  <c:v>0.63749999999999996</c:v>
                </c:pt>
                <c:pt idx="4937">
                  <c:v>0.63700000000000001</c:v>
                </c:pt>
                <c:pt idx="4938">
                  <c:v>0.6401</c:v>
                </c:pt>
                <c:pt idx="4939">
                  <c:v>0.64649999999999996</c:v>
                </c:pt>
                <c:pt idx="4940">
                  <c:v>0.64839999999999998</c:v>
                </c:pt>
                <c:pt idx="4941">
                  <c:v>0.64970000000000006</c:v>
                </c:pt>
                <c:pt idx="4942">
                  <c:v>0.64910000000000001</c:v>
                </c:pt>
                <c:pt idx="4943">
                  <c:v>0.64449999999999996</c:v>
                </c:pt>
                <c:pt idx="4944">
                  <c:v>0.64639999999999997</c:v>
                </c:pt>
                <c:pt idx="4945">
                  <c:v>0.65039999999999998</c:v>
                </c:pt>
                <c:pt idx="4946">
                  <c:v>0.6532</c:v>
                </c:pt>
                <c:pt idx="4947">
                  <c:v>0.65169999999999995</c:v>
                </c:pt>
                <c:pt idx="4948">
                  <c:v>0.65149999999999997</c:v>
                </c:pt>
                <c:pt idx="4949">
                  <c:v>0.64639999999999997</c:v>
                </c:pt>
                <c:pt idx="4950">
                  <c:v>0.64970000000000006</c:v>
                </c:pt>
                <c:pt idx="4951">
                  <c:v>0.65100000000000002</c:v>
                </c:pt>
                <c:pt idx="4952">
                  <c:v>0.64939999999999998</c:v>
                </c:pt>
                <c:pt idx="4953">
                  <c:v>0.64690000000000003</c:v>
                </c:pt>
                <c:pt idx="4954">
                  <c:v>0.6552</c:v>
                </c:pt>
                <c:pt idx="4955">
                  <c:v>0.65620000000000001</c:v>
                </c:pt>
                <c:pt idx="4956">
                  <c:v>0.65300000000000002</c:v>
                </c:pt>
                <c:pt idx="4957">
                  <c:v>0.66059999999999997</c:v>
                </c:pt>
                <c:pt idx="4958">
                  <c:v>0.65780000000000005</c:v>
                </c:pt>
                <c:pt idx="4959">
                  <c:v>0.65849999999999997</c:v>
                </c:pt>
                <c:pt idx="4960">
                  <c:v>0.65600000000000003</c:v>
                </c:pt>
                <c:pt idx="4961">
                  <c:v>0.65500000000000003</c:v>
                </c:pt>
                <c:pt idx="4962">
                  <c:v>0.65680000000000005</c:v>
                </c:pt>
                <c:pt idx="4963">
                  <c:v>0.66190000000000004</c:v>
                </c:pt>
                <c:pt idx="4964">
                  <c:v>0.6633</c:v>
                </c:pt>
                <c:pt idx="4965">
                  <c:v>0.6724</c:v>
                </c:pt>
                <c:pt idx="4966">
                  <c:v>0.67620000000000002</c:v>
                </c:pt>
                <c:pt idx="4967">
                  <c:v>0.66849999999999998</c:v>
                </c:pt>
                <c:pt idx="4968">
                  <c:v>0.67130000000000001</c:v>
                </c:pt>
                <c:pt idx="4969">
                  <c:v>0.67010000000000003</c:v>
                </c:pt>
                <c:pt idx="4970">
                  <c:v>0.66449999999999998</c:v>
                </c:pt>
                <c:pt idx="4971">
                  <c:v>0.66090000000000004</c:v>
                </c:pt>
                <c:pt idx="4972">
                  <c:v>0.66159999999999997</c:v>
                </c:pt>
                <c:pt idx="4973">
                  <c:v>0.67100000000000004</c:v>
                </c:pt>
                <c:pt idx="4974">
                  <c:v>0.66869999999999996</c:v>
                </c:pt>
                <c:pt idx="4975">
                  <c:v>0.67530000000000001</c:v>
                </c:pt>
                <c:pt idx="4976">
                  <c:v>0.67149999999999999</c:v>
                </c:pt>
                <c:pt idx="4977">
                  <c:v>0.66600000000000004</c:v>
                </c:pt>
                <c:pt idx="4978">
                  <c:v>0.66900000000000004</c:v>
                </c:pt>
                <c:pt idx="4979">
                  <c:v>0.66700000000000004</c:v>
                </c:pt>
                <c:pt idx="4980">
                  <c:v>0.66800000000000004</c:v>
                </c:pt>
                <c:pt idx="4981">
                  <c:v>0.66700000000000004</c:v>
                </c:pt>
                <c:pt idx="4982">
                  <c:v>0.67400000000000004</c:v>
                </c:pt>
                <c:pt idx="4983">
                  <c:v>0.67900000000000005</c:v>
                </c:pt>
                <c:pt idx="4984">
                  <c:v>0.68300000000000005</c:v>
                </c:pt>
                <c:pt idx="4985">
                  <c:v>0.67900000000000005</c:v>
                </c:pt>
                <c:pt idx="4986">
                  <c:v>0.67200000000000004</c:v>
                </c:pt>
                <c:pt idx="4987">
                  <c:v>0.66500000000000004</c:v>
                </c:pt>
                <c:pt idx="4988">
                  <c:v>0.66600000000000004</c:v>
                </c:pt>
                <c:pt idx="4989">
                  <c:v>0.66600000000000004</c:v>
                </c:pt>
                <c:pt idx="4990">
                  <c:v>0.66900000000000004</c:v>
                </c:pt>
                <c:pt idx="4991">
                  <c:v>0.67500000000000004</c:v>
                </c:pt>
                <c:pt idx="4992">
                  <c:v>0.66800000000000004</c:v>
                </c:pt>
                <c:pt idx="4993">
                  <c:v>0.66900000000000004</c:v>
                </c:pt>
                <c:pt idx="4994">
                  <c:v>0.66400000000000003</c:v>
                </c:pt>
                <c:pt idx="4995">
                  <c:v>0.67300000000000004</c:v>
                </c:pt>
                <c:pt idx="4996">
                  <c:v>0.67300000000000004</c:v>
                </c:pt>
                <c:pt idx="4997">
                  <c:v>0.67800000000000005</c:v>
                </c:pt>
                <c:pt idx="4998">
                  <c:v>0.67800000000000005</c:v>
                </c:pt>
                <c:pt idx="4999">
                  <c:v>0.67400000000000004</c:v>
                </c:pt>
                <c:pt idx="5000">
                  <c:v>0.67200000000000004</c:v>
                </c:pt>
                <c:pt idx="5001">
                  <c:v>0.67700000000000005</c:v>
                </c:pt>
                <c:pt idx="5002">
                  <c:v>0.68100000000000005</c:v>
                </c:pt>
                <c:pt idx="5003">
                  <c:v>0.68</c:v>
                </c:pt>
                <c:pt idx="5004">
                  <c:v>0.68400000000000005</c:v>
                </c:pt>
                <c:pt idx="5005">
                  <c:v>0.68600000000000005</c:v>
                </c:pt>
                <c:pt idx="5006">
                  <c:v>0.67400000000000004</c:v>
                </c:pt>
                <c:pt idx="5007">
                  <c:v>0.68100000000000005</c:v>
                </c:pt>
                <c:pt idx="5008">
                  <c:v>0.67700000000000005</c:v>
                </c:pt>
                <c:pt idx="5009">
                  <c:v>0.66800000000000004</c:v>
                </c:pt>
                <c:pt idx="5010">
                  <c:v>0.66500000000000004</c:v>
                </c:pt>
                <c:pt idx="5011">
                  <c:v>0.65900000000000003</c:v>
                </c:pt>
                <c:pt idx="5012">
                  <c:v>0.66300000000000003</c:v>
                </c:pt>
                <c:pt idx="5013">
                  <c:v>0.66800000000000004</c:v>
                </c:pt>
                <c:pt idx="5014">
                  <c:v>0.66600000000000004</c:v>
                </c:pt>
                <c:pt idx="5015">
                  <c:v>0.66500000000000004</c:v>
                </c:pt>
                <c:pt idx="5016">
                  <c:v>0.65200000000000002</c:v>
                </c:pt>
                <c:pt idx="5017">
                  <c:v>0.64800000000000002</c:v>
                </c:pt>
                <c:pt idx="5018">
                  <c:v>0.64900000000000002</c:v>
                </c:pt>
                <c:pt idx="5019">
                  <c:v>0.64300000000000002</c:v>
                </c:pt>
                <c:pt idx="5020">
                  <c:v>0.64400000000000002</c:v>
                </c:pt>
                <c:pt idx="5021">
                  <c:v>0.63400000000000001</c:v>
                </c:pt>
                <c:pt idx="5022">
                  <c:v>0.64300000000000002</c:v>
                </c:pt>
                <c:pt idx="5023">
                  <c:v>0.63600000000000001</c:v>
                </c:pt>
                <c:pt idx="5024">
                  <c:v>0.64</c:v>
                </c:pt>
                <c:pt idx="5025">
                  <c:v>0.65</c:v>
                </c:pt>
                <c:pt idx="5026">
                  <c:v>0.65100000000000002</c:v>
                </c:pt>
                <c:pt idx="5027">
                  <c:v>0.65100000000000002</c:v>
                </c:pt>
                <c:pt idx="5028">
                  <c:v>0.65200000000000002</c:v>
                </c:pt>
                <c:pt idx="5029">
                  <c:v>0.65500000000000003</c:v>
                </c:pt>
                <c:pt idx="5030">
                  <c:v>0.65600000000000003</c:v>
                </c:pt>
                <c:pt idx="5031">
                  <c:v>0.65500000000000003</c:v>
                </c:pt>
                <c:pt idx="5032">
                  <c:v>0.65600000000000003</c:v>
                </c:pt>
                <c:pt idx="5033">
                  <c:v>0.65500000000000003</c:v>
                </c:pt>
                <c:pt idx="5034">
                  <c:v>0.65200000000000002</c:v>
                </c:pt>
                <c:pt idx="5035">
                  <c:v>0.65200000000000002</c:v>
                </c:pt>
                <c:pt idx="5036">
                  <c:v>0.65100000000000002</c:v>
                </c:pt>
                <c:pt idx="5037">
                  <c:v>0.66100000000000003</c:v>
                </c:pt>
                <c:pt idx="5038">
                  <c:v>0.64800000000000002</c:v>
                </c:pt>
                <c:pt idx="5039">
                  <c:v>0.65500000000000003</c:v>
                </c:pt>
                <c:pt idx="5040">
                  <c:v>0.66100000000000003</c:v>
                </c:pt>
                <c:pt idx="5041">
                  <c:v>0.66400000000000003</c:v>
                </c:pt>
                <c:pt idx="5042">
                  <c:v>0.66800000000000004</c:v>
                </c:pt>
                <c:pt idx="5043">
                  <c:v>0.66900000000000004</c:v>
                </c:pt>
                <c:pt idx="5044">
                  <c:v>0.67100000000000004</c:v>
                </c:pt>
                <c:pt idx="5045">
                  <c:v>0.67200000000000004</c:v>
                </c:pt>
                <c:pt idx="5046">
                  <c:v>0.67100000000000004</c:v>
                </c:pt>
                <c:pt idx="5047">
                  <c:v>0.67700000000000005</c:v>
                </c:pt>
                <c:pt idx="5048">
                  <c:v>0.67700000000000005</c:v>
                </c:pt>
                <c:pt idx="5049">
                  <c:v>0.67500000000000004</c:v>
                </c:pt>
                <c:pt idx="5050">
                  <c:v>0.68100000000000005</c:v>
                </c:pt>
                <c:pt idx="5051">
                  <c:v>0.67900000000000005</c:v>
                </c:pt>
                <c:pt idx="5052">
                  <c:v>0.68600000000000005</c:v>
                </c:pt>
                <c:pt idx="5053">
                  <c:v>0.68600000000000005</c:v>
                </c:pt>
                <c:pt idx="5054">
                  <c:v>0.69299999999999995</c:v>
                </c:pt>
                <c:pt idx="5055">
                  <c:v>0.69299999999999995</c:v>
                </c:pt>
                <c:pt idx="5056">
                  <c:v>0.69</c:v>
                </c:pt>
                <c:pt idx="5057">
                  <c:v>0.69</c:v>
                </c:pt>
                <c:pt idx="5058">
                  <c:v>0.69799999999999995</c:v>
                </c:pt>
                <c:pt idx="5059">
                  <c:v>0.69899999999999995</c:v>
                </c:pt>
                <c:pt idx="5060">
                  <c:v>0.69699999999999995</c:v>
                </c:pt>
                <c:pt idx="5061">
                  <c:v>0.69699999999999995</c:v>
                </c:pt>
                <c:pt idx="5062">
                  <c:v>0.69099999999999995</c:v>
                </c:pt>
                <c:pt idx="5063">
                  <c:v>0.69699999999999995</c:v>
                </c:pt>
                <c:pt idx="5064">
                  <c:v>0.69599999999999995</c:v>
                </c:pt>
                <c:pt idx="5065">
                  <c:v>0.69299999999999995</c:v>
                </c:pt>
                <c:pt idx="5066">
                  <c:v>0.69699999999999995</c:v>
                </c:pt>
                <c:pt idx="5067">
                  <c:v>0.70299999999999996</c:v>
                </c:pt>
                <c:pt idx="5068">
                  <c:v>0.70299999999999996</c:v>
                </c:pt>
                <c:pt idx="5069">
                  <c:v>0.71199999999999997</c:v>
                </c:pt>
                <c:pt idx="5070">
                  <c:v>0.70099999999999996</c:v>
                </c:pt>
                <c:pt idx="5071">
                  <c:v>0.70199999999999996</c:v>
                </c:pt>
                <c:pt idx="5072">
                  <c:v>0.69799999999999995</c:v>
                </c:pt>
                <c:pt idx="5073">
                  <c:v>0.70599999999999996</c:v>
                </c:pt>
                <c:pt idx="5074">
                  <c:v>0.68799999999999994</c:v>
                </c:pt>
                <c:pt idx="5075">
                  <c:v>0.68799999999999994</c:v>
                </c:pt>
                <c:pt idx="5076">
                  <c:v>0.70399999999999996</c:v>
                </c:pt>
                <c:pt idx="5077">
                  <c:v>0.70499999999999996</c:v>
                </c:pt>
                <c:pt idx="5078">
                  <c:v>0.71899999999999997</c:v>
                </c:pt>
                <c:pt idx="5079">
                  <c:v>0.72899999999999998</c:v>
                </c:pt>
                <c:pt idx="5080">
                  <c:v>0.73199999999999998</c:v>
                </c:pt>
                <c:pt idx="5081">
                  <c:v>0.73899999999999999</c:v>
                </c:pt>
                <c:pt idx="5082">
                  <c:v>0.73399999999999999</c:v>
                </c:pt>
                <c:pt idx="5083">
                  <c:v>0.73599999999999999</c:v>
                </c:pt>
                <c:pt idx="5084">
                  <c:v>0.74</c:v>
                </c:pt>
                <c:pt idx="5085">
                  <c:v>0.73799999999999999</c:v>
                </c:pt>
                <c:pt idx="5086">
                  <c:v>0.73399999999999999</c:v>
                </c:pt>
                <c:pt idx="5087">
                  <c:v>0.72799999999999998</c:v>
                </c:pt>
                <c:pt idx="5088">
                  <c:v>0.72399999999999998</c:v>
                </c:pt>
                <c:pt idx="5089">
                  <c:v>0.72399999999999998</c:v>
                </c:pt>
                <c:pt idx="5090">
                  <c:v>0.72899999999999998</c:v>
                </c:pt>
                <c:pt idx="5091">
                  <c:v>0.72799999999999998</c:v>
                </c:pt>
                <c:pt idx="5092">
                  <c:v>0.72699999999999998</c:v>
                </c:pt>
                <c:pt idx="5093">
                  <c:v>0.72599999999999998</c:v>
                </c:pt>
                <c:pt idx="5094">
                  <c:v>0.71899999999999997</c:v>
                </c:pt>
                <c:pt idx="5095">
                  <c:v>0.72099999999999997</c:v>
                </c:pt>
                <c:pt idx="5096">
                  <c:v>0.72499999999999998</c:v>
                </c:pt>
                <c:pt idx="5097">
                  <c:v>0.72399999999999998</c:v>
                </c:pt>
                <c:pt idx="5098">
                  <c:v>0.72</c:v>
                </c:pt>
                <c:pt idx="5099">
                  <c:v>0.72</c:v>
                </c:pt>
                <c:pt idx="5100">
                  <c:v>0.71699999999999997</c:v>
                </c:pt>
                <c:pt idx="5101">
                  <c:v>0.71599999999999997</c:v>
                </c:pt>
                <c:pt idx="5102">
                  <c:v>0.71599999999999997</c:v>
                </c:pt>
                <c:pt idx="5103">
                  <c:v>0.71499999999999997</c:v>
                </c:pt>
                <c:pt idx="5104">
                  <c:v>0.72</c:v>
                </c:pt>
                <c:pt idx="5105">
                  <c:v>0.72199999999999998</c:v>
                </c:pt>
                <c:pt idx="5106">
                  <c:v>0.72</c:v>
                </c:pt>
                <c:pt idx="5107">
                  <c:v>0.72899999999999998</c:v>
                </c:pt>
                <c:pt idx="5108">
                  <c:v>0.72799999999999998</c:v>
                </c:pt>
                <c:pt idx="5109">
                  <c:v>0.72899999999999998</c:v>
                </c:pt>
                <c:pt idx="5110">
                  <c:v>0.73099999999999998</c:v>
                </c:pt>
                <c:pt idx="5111">
                  <c:v>0.73199999999999998</c:v>
                </c:pt>
                <c:pt idx="5112">
                  <c:v>0.72799999999999998</c:v>
                </c:pt>
                <c:pt idx="5113">
                  <c:v>0.72499999999999998</c:v>
                </c:pt>
                <c:pt idx="5114">
                  <c:v>0.73</c:v>
                </c:pt>
                <c:pt idx="5115">
                  <c:v>0.73099999999999998</c:v>
                </c:pt>
                <c:pt idx="5116">
                  <c:v>0.73699999999999999</c:v>
                </c:pt>
                <c:pt idx="5117">
                  <c:v>0.74199999999999999</c:v>
                </c:pt>
                <c:pt idx="5118">
                  <c:v>0.748</c:v>
                </c:pt>
                <c:pt idx="5119">
                  <c:v>0.746</c:v>
                </c:pt>
                <c:pt idx="5120">
                  <c:v>0.747</c:v>
                </c:pt>
                <c:pt idx="5121">
                  <c:v>0.751</c:v>
                </c:pt>
                <c:pt idx="5122">
                  <c:v>0.746</c:v>
                </c:pt>
                <c:pt idx="5123">
                  <c:v>0.74199999999999999</c:v>
                </c:pt>
                <c:pt idx="5124">
                  <c:v>0.73799999999999999</c:v>
                </c:pt>
                <c:pt idx="5125">
                  <c:v>0.74199999999999999</c:v>
                </c:pt>
                <c:pt idx="5126">
                  <c:v>0.74199999999999999</c:v>
                </c:pt>
                <c:pt idx="5127">
                  <c:v>0.74399999999999999</c:v>
                </c:pt>
                <c:pt idx="5128">
                  <c:v>0.73899999999999999</c:v>
                </c:pt>
                <c:pt idx="5129">
                  <c:v>0.73799999999999999</c:v>
                </c:pt>
                <c:pt idx="5130">
                  <c:v>0.73399999999999999</c:v>
                </c:pt>
                <c:pt idx="5131">
                  <c:v>0.72899999999999998</c:v>
                </c:pt>
                <c:pt idx="5132">
                  <c:v>0.73599999999999999</c:v>
                </c:pt>
                <c:pt idx="5133">
                  <c:v>0.73799999999999999</c:v>
                </c:pt>
                <c:pt idx="5134">
                  <c:v>0.74099999999999999</c:v>
                </c:pt>
                <c:pt idx="5135">
                  <c:v>0.73899999999999999</c:v>
                </c:pt>
                <c:pt idx="5136">
                  <c:v>0.748</c:v>
                </c:pt>
                <c:pt idx="5137">
                  <c:v>0.74399999999999999</c:v>
                </c:pt>
                <c:pt idx="5138">
                  <c:v>0.746</c:v>
                </c:pt>
                <c:pt idx="5139">
                  <c:v>0.73799999999999999</c:v>
                </c:pt>
                <c:pt idx="5140">
                  <c:v>0.73699999999999999</c:v>
                </c:pt>
                <c:pt idx="5141">
                  <c:v>0.73599999999999999</c:v>
                </c:pt>
                <c:pt idx="5142">
                  <c:v>0.73699999999999999</c:v>
                </c:pt>
                <c:pt idx="5143">
                  <c:v>0.74</c:v>
                </c:pt>
                <c:pt idx="5144">
                  <c:v>0.74099999999999999</c:v>
                </c:pt>
                <c:pt idx="5145">
                  <c:v>0.74099999999999999</c:v>
                </c:pt>
                <c:pt idx="5146">
                  <c:v>0.73699999999999999</c:v>
                </c:pt>
                <c:pt idx="5147">
                  <c:v>0.73699999999999999</c:v>
                </c:pt>
                <c:pt idx="5148">
                  <c:v>0.73399999999999999</c:v>
                </c:pt>
                <c:pt idx="5149">
                  <c:v>0.73699999999999999</c:v>
                </c:pt>
                <c:pt idx="5150">
                  <c:v>0.74</c:v>
                </c:pt>
                <c:pt idx="5151">
                  <c:v>0.74199999999999999</c:v>
                </c:pt>
                <c:pt idx="5152">
                  <c:v>0.74399999999999999</c:v>
                </c:pt>
                <c:pt idx="5153">
                  <c:v>0.746</c:v>
                </c:pt>
                <c:pt idx="5154">
                  <c:v>0.74399999999999999</c:v>
                </c:pt>
                <c:pt idx="5155">
                  <c:v>0.748</c:v>
                </c:pt>
                <c:pt idx="5156">
                  <c:v>0.752</c:v>
                </c:pt>
                <c:pt idx="5157">
                  <c:v>0.752</c:v>
                </c:pt>
                <c:pt idx="5158">
                  <c:v>0.751</c:v>
                </c:pt>
                <c:pt idx="5159">
                  <c:v>0.754</c:v>
                </c:pt>
                <c:pt idx="5160">
                  <c:v>0.746</c:v>
                </c:pt>
                <c:pt idx="5161">
                  <c:v>0.75</c:v>
                </c:pt>
                <c:pt idx="5162">
                  <c:v>0.751</c:v>
                </c:pt>
                <c:pt idx="5163">
                  <c:v>0.751</c:v>
                </c:pt>
                <c:pt idx="5164">
                  <c:v>0.752</c:v>
                </c:pt>
                <c:pt idx="5165">
                  <c:v>0.751</c:v>
                </c:pt>
                <c:pt idx="5166">
                  <c:v>0.75</c:v>
                </c:pt>
                <c:pt idx="5167">
                  <c:v>0.749</c:v>
                </c:pt>
                <c:pt idx="5168">
                  <c:v>0.751</c:v>
                </c:pt>
                <c:pt idx="5169">
                  <c:v>0.748</c:v>
                </c:pt>
                <c:pt idx="5170">
                  <c:v>0.75</c:v>
                </c:pt>
                <c:pt idx="5171">
                  <c:v>0.752</c:v>
                </c:pt>
                <c:pt idx="5172">
                  <c:v>0.75600000000000001</c:v>
                </c:pt>
                <c:pt idx="5173">
                  <c:v>0.76200000000000001</c:v>
                </c:pt>
                <c:pt idx="5174">
                  <c:v>0.76100000000000001</c:v>
                </c:pt>
                <c:pt idx="5175">
                  <c:v>0.76200000000000001</c:v>
                </c:pt>
                <c:pt idx="5176">
                  <c:v>0.75900000000000001</c:v>
                </c:pt>
                <c:pt idx="5177">
                  <c:v>0.75700000000000001</c:v>
                </c:pt>
                <c:pt idx="5178">
                  <c:v>0.76200000000000001</c:v>
                </c:pt>
                <c:pt idx="5179">
                  <c:v>0.75700000000000001</c:v>
                </c:pt>
                <c:pt idx="5180">
                  <c:v>0.76</c:v>
                </c:pt>
                <c:pt idx="5181">
                  <c:v>0.76600000000000001</c:v>
                </c:pt>
                <c:pt idx="5182">
                  <c:v>0.76500000000000001</c:v>
                </c:pt>
                <c:pt idx="5183">
                  <c:v>0.76400000000000001</c:v>
                </c:pt>
                <c:pt idx="5184">
                  <c:v>0.76600000000000001</c:v>
                </c:pt>
                <c:pt idx="5185">
                  <c:v>0.76600000000000001</c:v>
                </c:pt>
                <c:pt idx="5186">
                  <c:v>0.77700000000000002</c:v>
                </c:pt>
                <c:pt idx="5187">
                  <c:v>0.78700000000000003</c:v>
                </c:pt>
                <c:pt idx="5188">
                  <c:v>0.77500000000000002</c:v>
                </c:pt>
                <c:pt idx="5189">
                  <c:v>0.77500000000000002</c:v>
                </c:pt>
                <c:pt idx="5190">
                  <c:v>0.77600000000000002</c:v>
                </c:pt>
                <c:pt idx="5191">
                  <c:v>0.77700000000000002</c:v>
                </c:pt>
                <c:pt idx="5192">
                  <c:v>0.77600000000000002</c:v>
                </c:pt>
                <c:pt idx="5193">
                  <c:v>0.77700000000000002</c:v>
                </c:pt>
                <c:pt idx="5194">
                  <c:v>0.77900000000000003</c:v>
                </c:pt>
                <c:pt idx="5195">
                  <c:v>0.77700000000000002</c:v>
                </c:pt>
                <c:pt idx="5196">
                  <c:v>0.77900000000000003</c:v>
                </c:pt>
                <c:pt idx="5197">
                  <c:v>0.77600000000000002</c:v>
                </c:pt>
                <c:pt idx="5198">
                  <c:v>0.77700000000000002</c:v>
                </c:pt>
                <c:pt idx="5199">
                  <c:v>0.78</c:v>
                </c:pt>
                <c:pt idx="5200">
                  <c:v>0.78300000000000003</c:v>
                </c:pt>
                <c:pt idx="5201">
                  <c:v>0.78300000000000003</c:v>
                </c:pt>
                <c:pt idx="5202">
                  <c:v>0.78200000000000003</c:v>
                </c:pt>
                <c:pt idx="5203">
                  <c:v>0.78200000000000003</c:v>
                </c:pt>
                <c:pt idx="5204">
                  <c:v>0.78</c:v>
                </c:pt>
                <c:pt idx="5205">
                  <c:v>0.77600000000000002</c:v>
                </c:pt>
                <c:pt idx="5206">
                  <c:v>0.77600000000000002</c:v>
                </c:pt>
                <c:pt idx="5207">
                  <c:v>0.77600000000000002</c:v>
                </c:pt>
                <c:pt idx="5208">
                  <c:v>0.77700000000000002</c:v>
                </c:pt>
                <c:pt idx="5209">
                  <c:v>0.77800000000000002</c:v>
                </c:pt>
                <c:pt idx="5210">
                  <c:v>0.77300000000000002</c:v>
                </c:pt>
                <c:pt idx="5211">
                  <c:v>0.77700000000000002</c:v>
                </c:pt>
                <c:pt idx="5212">
                  <c:v>0.77300000000000002</c:v>
                </c:pt>
                <c:pt idx="5213">
                  <c:v>0.77400000000000002</c:v>
                </c:pt>
                <c:pt idx="5214">
                  <c:v>0.77900000000000003</c:v>
                </c:pt>
                <c:pt idx="5215">
                  <c:v>0.78800000000000003</c:v>
                </c:pt>
                <c:pt idx="5216">
                  <c:v>0.78500000000000003</c:v>
                </c:pt>
                <c:pt idx="5217">
                  <c:v>0.78500000000000003</c:v>
                </c:pt>
                <c:pt idx="5218">
                  <c:v>0.78</c:v>
                </c:pt>
                <c:pt idx="5219">
                  <c:v>0.77600000000000002</c:v>
                </c:pt>
                <c:pt idx="5220">
                  <c:v>0.77600000000000002</c:v>
                </c:pt>
                <c:pt idx="5221">
                  <c:v>0.77700000000000002</c:v>
                </c:pt>
                <c:pt idx="5222">
                  <c:v>0.78300000000000003</c:v>
                </c:pt>
                <c:pt idx="5223">
                  <c:v>0.78600000000000003</c:v>
                </c:pt>
                <c:pt idx="5224">
                  <c:v>0.78600000000000003</c:v>
                </c:pt>
                <c:pt idx="5225">
                  <c:v>0.78400000000000003</c:v>
                </c:pt>
                <c:pt idx="5226">
                  <c:v>0.78500000000000003</c:v>
                </c:pt>
                <c:pt idx="5227">
                  <c:v>0.78500000000000003</c:v>
                </c:pt>
                <c:pt idx="5228">
                  <c:v>0.78300000000000003</c:v>
                </c:pt>
                <c:pt idx="5229">
                  <c:v>0.78900000000000003</c:v>
                </c:pt>
                <c:pt idx="5230">
                  <c:v>0.78600000000000003</c:v>
                </c:pt>
                <c:pt idx="5231">
                  <c:v>0.78700000000000003</c:v>
                </c:pt>
                <c:pt idx="5232">
                  <c:v>0.78700000000000003</c:v>
                </c:pt>
                <c:pt idx="5233">
                  <c:v>0.78800000000000003</c:v>
                </c:pt>
                <c:pt idx="5234">
                  <c:v>0.79300000000000004</c:v>
                </c:pt>
                <c:pt idx="5235">
                  <c:v>0.8</c:v>
                </c:pt>
                <c:pt idx="5236">
                  <c:v>0.79400000000000004</c:v>
                </c:pt>
                <c:pt idx="5237">
                  <c:v>0.79500000000000004</c:v>
                </c:pt>
                <c:pt idx="5238">
                  <c:v>0.79300000000000004</c:v>
                </c:pt>
                <c:pt idx="5239">
                  <c:v>0.78900000000000003</c:v>
                </c:pt>
                <c:pt idx="5240">
                  <c:v>0.78700000000000003</c:v>
                </c:pt>
                <c:pt idx="5241">
                  <c:v>0.78600000000000003</c:v>
                </c:pt>
                <c:pt idx="5242">
                  <c:v>0.78400000000000003</c:v>
                </c:pt>
                <c:pt idx="5243">
                  <c:v>0.78900000000000003</c:v>
                </c:pt>
                <c:pt idx="5244">
                  <c:v>0.78800000000000003</c:v>
                </c:pt>
                <c:pt idx="5245">
                  <c:v>0.77900000000000003</c:v>
                </c:pt>
                <c:pt idx="5246">
                  <c:v>0.77500000000000002</c:v>
                </c:pt>
                <c:pt idx="5247">
                  <c:v>0.77600000000000002</c:v>
                </c:pt>
                <c:pt idx="5248">
                  <c:v>0.77600000000000002</c:v>
                </c:pt>
                <c:pt idx="5249">
                  <c:v>0.77700000000000002</c:v>
                </c:pt>
                <c:pt idx="5250">
                  <c:v>0.77700000000000002</c:v>
                </c:pt>
                <c:pt idx="5251">
                  <c:v>0.77200000000000002</c:v>
                </c:pt>
                <c:pt idx="5252">
                  <c:v>0.76700000000000002</c:v>
                </c:pt>
                <c:pt idx="5253">
                  <c:v>0.76500000000000001</c:v>
                </c:pt>
                <c:pt idx="5254">
                  <c:v>0.76600000000000001</c:v>
                </c:pt>
                <c:pt idx="5255">
                  <c:v>0.76500000000000001</c:v>
                </c:pt>
                <c:pt idx="5256">
                  <c:v>0.76600000000000001</c:v>
                </c:pt>
                <c:pt idx="5257">
                  <c:v>0.75900000000000001</c:v>
                </c:pt>
                <c:pt idx="5258">
                  <c:v>0.75800000000000001</c:v>
                </c:pt>
                <c:pt idx="5259">
                  <c:v>0.75800000000000001</c:v>
                </c:pt>
                <c:pt idx="5260">
                  <c:v>0.76100000000000001</c:v>
                </c:pt>
                <c:pt idx="5261">
                  <c:v>0.76500000000000001</c:v>
                </c:pt>
                <c:pt idx="5262">
                  <c:v>0.76300000000000001</c:v>
                </c:pt>
                <c:pt idx="5263">
                  <c:v>0.76400000000000001</c:v>
                </c:pt>
                <c:pt idx="5264">
                  <c:v>0.76500000000000001</c:v>
                </c:pt>
                <c:pt idx="5265">
                  <c:v>0.76200000000000001</c:v>
                </c:pt>
                <c:pt idx="5266">
                  <c:v>0.76500000000000001</c:v>
                </c:pt>
                <c:pt idx="5267">
                  <c:v>0.77100000000000002</c:v>
                </c:pt>
                <c:pt idx="5268">
                  <c:v>0.76800000000000002</c:v>
                </c:pt>
                <c:pt idx="5269">
                  <c:v>0.77200000000000002</c:v>
                </c:pt>
                <c:pt idx="5270">
                  <c:v>0.77100000000000002</c:v>
                </c:pt>
                <c:pt idx="5271">
                  <c:v>0.77100000000000002</c:v>
                </c:pt>
                <c:pt idx="5272">
                  <c:v>0.77600000000000002</c:v>
                </c:pt>
                <c:pt idx="5273">
                  <c:v>0.77700000000000002</c:v>
                </c:pt>
                <c:pt idx="5274">
                  <c:v>0.77600000000000002</c:v>
                </c:pt>
                <c:pt idx="5275">
                  <c:v>0.78</c:v>
                </c:pt>
                <c:pt idx="5276">
                  <c:v>0.77900000000000003</c:v>
                </c:pt>
                <c:pt idx="5277">
                  <c:v>0.77500000000000002</c:v>
                </c:pt>
                <c:pt idx="5278">
                  <c:v>0.78</c:v>
                </c:pt>
                <c:pt idx="5279">
                  <c:v>0.77800000000000002</c:v>
                </c:pt>
                <c:pt idx="5280">
                  <c:v>0.78100000000000003</c:v>
                </c:pt>
                <c:pt idx="5281">
                  <c:v>0.78100000000000003</c:v>
                </c:pt>
                <c:pt idx="5282">
                  <c:v>0.78100000000000003</c:v>
                </c:pt>
                <c:pt idx="5283">
                  <c:v>0.79</c:v>
                </c:pt>
                <c:pt idx="5284">
                  <c:v>0.78900000000000003</c:v>
                </c:pt>
                <c:pt idx="5285">
                  <c:v>0.79100000000000004</c:v>
                </c:pt>
                <c:pt idx="5286">
                  <c:v>0.79100000000000004</c:v>
                </c:pt>
                <c:pt idx="5287">
                  <c:v>0.79400000000000004</c:v>
                </c:pt>
                <c:pt idx="5288">
                  <c:v>0.79400000000000004</c:v>
                </c:pt>
                <c:pt idx="5289">
                  <c:v>0.79600000000000004</c:v>
                </c:pt>
                <c:pt idx="5290">
                  <c:v>0.79400000000000004</c:v>
                </c:pt>
                <c:pt idx="5291">
                  <c:v>0.79500000000000004</c:v>
                </c:pt>
                <c:pt idx="5292">
                  <c:v>0.79500000000000004</c:v>
                </c:pt>
                <c:pt idx="5293">
                  <c:v>0.79500000000000004</c:v>
                </c:pt>
                <c:pt idx="5294">
                  <c:v>0.79800000000000004</c:v>
                </c:pt>
                <c:pt idx="5295">
                  <c:v>0.79600000000000004</c:v>
                </c:pt>
                <c:pt idx="5296">
                  <c:v>0.79400000000000004</c:v>
                </c:pt>
                <c:pt idx="5297">
                  <c:v>0.79100000000000004</c:v>
                </c:pt>
                <c:pt idx="5298">
                  <c:v>0.79600000000000004</c:v>
                </c:pt>
                <c:pt idx="5299">
                  <c:v>0.79200000000000004</c:v>
                </c:pt>
                <c:pt idx="5300">
                  <c:v>0.79100000000000004</c:v>
                </c:pt>
                <c:pt idx="5301">
                  <c:v>0.79300000000000004</c:v>
                </c:pt>
                <c:pt idx="5302">
                  <c:v>0.79</c:v>
                </c:pt>
                <c:pt idx="5303">
                  <c:v>0.80200000000000005</c:v>
                </c:pt>
                <c:pt idx="5304">
                  <c:v>0.80300000000000005</c:v>
                </c:pt>
                <c:pt idx="5305">
                  <c:v>0.79800000000000004</c:v>
                </c:pt>
                <c:pt idx="5306">
                  <c:v>0.79900000000000004</c:v>
                </c:pt>
                <c:pt idx="5307">
                  <c:v>0.79900000000000004</c:v>
                </c:pt>
                <c:pt idx="5308">
                  <c:v>0.79500000000000004</c:v>
                </c:pt>
                <c:pt idx="5309">
                  <c:v>0.81699999999999995</c:v>
                </c:pt>
                <c:pt idx="5310">
                  <c:v>0.81599999999999995</c:v>
                </c:pt>
                <c:pt idx="5311">
                  <c:v>0.81</c:v>
                </c:pt>
                <c:pt idx="5312">
                  <c:v>0.81</c:v>
                </c:pt>
                <c:pt idx="5313">
                  <c:v>0.81</c:v>
                </c:pt>
                <c:pt idx="5314">
                  <c:v>0.81</c:v>
                </c:pt>
                <c:pt idx="5315">
                  <c:v>0.81399999999999995</c:v>
                </c:pt>
                <c:pt idx="5316">
                  <c:v>0.81100000000000005</c:v>
                </c:pt>
                <c:pt idx="5317">
                  <c:v>0.8</c:v>
                </c:pt>
                <c:pt idx="5318">
                  <c:v>0.79400000000000004</c:v>
                </c:pt>
                <c:pt idx="5319">
                  <c:v>0.79300000000000004</c:v>
                </c:pt>
                <c:pt idx="5320">
                  <c:v>0.79</c:v>
                </c:pt>
                <c:pt idx="5321">
                  <c:v>0.79</c:v>
                </c:pt>
                <c:pt idx="5322">
                  <c:v>0.78800000000000003</c:v>
                </c:pt>
                <c:pt idx="5323">
                  <c:v>0.78800000000000003</c:v>
                </c:pt>
                <c:pt idx="5324">
                  <c:v>0.78700000000000003</c:v>
                </c:pt>
                <c:pt idx="5325">
                  <c:v>0.78700000000000003</c:v>
                </c:pt>
                <c:pt idx="5326">
                  <c:v>0.78300000000000003</c:v>
                </c:pt>
                <c:pt idx="5327">
                  <c:v>0.79100000000000004</c:v>
                </c:pt>
                <c:pt idx="5328">
                  <c:v>0.78600000000000003</c:v>
                </c:pt>
                <c:pt idx="5329">
                  <c:v>0.78800000000000003</c:v>
                </c:pt>
                <c:pt idx="5330">
                  <c:v>0.78900000000000003</c:v>
                </c:pt>
                <c:pt idx="5331">
                  <c:v>0.79100000000000004</c:v>
                </c:pt>
                <c:pt idx="5332">
                  <c:v>0.79200000000000004</c:v>
                </c:pt>
                <c:pt idx="5333">
                  <c:v>0.79100000000000004</c:v>
                </c:pt>
                <c:pt idx="5334">
                  <c:v>0.79100000000000004</c:v>
                </c:pt>
                <c:pt idx="5335">
                  <c:v>0.79</c:v>
                </c:pt>
                <c:pt idx="5336">
                  <c:v>0.79200000000000004</c:v>
                </c:pt>
                <c:pt idx="5337">
                  <c:v>0.79400000000000004</c:v>
                </c:pt>
                <c:pt idx="5338">
                  <c:v>0.79400000000000004</c:v>
                </c:pt>
                <c:pt idx="5339">
                  <c:v>0.79700000000000004</c:v>
                </c:pt>
                <c:pt idx="5340">
                  <c:v>0.79500000000000004</c:v>
                </c:pt>
                <c:pt idx="5341">
                  <c:v>0.79300000000000004</c:v>
                </c:pt>
                <c:pt idx="5342">
                  <c:v>0.79100000000000004</c:v>
                </c:pt>
                <c:pt idx="5343">
                  <c:v>0.79</c:v>
                </c:pt>
                <c:pt idx="5344">
                  <c:v>0.79100000000000004</c:v>
                </c:pt>
                <c:pt idx="5345">
                  <c:v>0.79</c:v>
                </c:pt>
                <c:pt idx="5346">
                  <c:v>0.79</c:v>
                </c:pt>
                <c:pt idx="5347">
                  <c:v>0.79</c:v>
                </c:pt>
                <c:pt idx="5348">
                  <c:v>0.79100000000000004</c:v>
                </c:pt>
                <c:pt idx="5349">
                  <c:v>0.78800000000000003</c:v>
                </c:pt>
                <c:pt idx="5350">
                  <c:v>0.78900000000000003</c:v>
                </c:pt>
                <c:pt idx="5351">
                  <c:v>0.79100000000000004</c:v>
                </c:pt>
                <c:pt idx="5352">
                  <c:v>0.79400000000000004</c:v>
                </c:pt>
                <c:pt idx="5353">
                  <c:v>0.79100000000000004</c:v>
                </c:pt>
                <c:pt idx="5354">
                  <c:v>0.79100000000000004</c:v>
                </c:pt>
                <c:pt idx="5355">
                  <c:v>0.79100000000000004</c:v>
                </c:pt>
                <c:pt idx="5356">
                  <c:v>0.79300000000000004</c:v>
                </c:pt>
                <c:pt idx="5357">
                  <c:v>0.79100000000000004</c:v>
                </c:pt>
                <c:pt idx="5358">
                  <c:v>0.78600000000000003</c:v>
                </c:pt>
                <c:pt idx="5359">
                  <c:v>0.79200000000000004</c:v>
                </c:pt>
                <c:pt idx="5360">
                  <c:v>0.79300000000000004</c:v>
                </c:pt>
                <c:pt idx="5361">
                  <c:v>0.79100000000000004</c:v>
                </c:pt>
                <c:pt idx="5362">
                  <c:v>0.78800000000000003</c:v>
                </c:pt>
                <c:pt idx="5363">
                  <c:v>0.79</c:v>
                </c:pt>
                <c:pt idx="5364">
                  <c:v>0.78900000000000003</c:v>
                </c:pt>
                <c:pt idx="5365">
                  <c:v>0.79</c:v>
                </c:pt>
                <c:pt idx="5366">
                  <c:v>0.79700000000000004</c:v>
                </c:pt>
                <c:pt idx="5367">
                  <c:v>0.79900000000000004</c:v>
                </c:pt>
                <c:pt idx="5368">
                  <c:v>0.79900000000000004</c:v>
                </c:pt>
                <c:pt idx="5369">
                  <c:v>0.80100000000000005</c:v>
                </c:pt>
                <c:pt idx="5370">
                  <c:v>0.79900000000000004</c:v>
                </c:pt>
                <c:pt idx="5371">
                  <c:v>0.79400000000000004</c:v>
                </c:pt>
                <c:pt idx="5372">
                  <c:v>0.79100000000000004</c:v>
                </c:pt>
                <c:pt idx="5373">
                  <c:v>0.79100000000000004</c:v>
                </c:pt>
                <c:pt idx="5374">
                  <c:v>0.78900000000000003</c:v>
                </c:pt>
                <c:pt idx="5375">
                  <c:v>0.79</c:v>
                </c:pt>
                <c:pt idx="5376">
                  <c:v>0.79100000000000004</c:v>
                </c:pt>
                <c:pt idx="5377">
                  <c:v>0.79100000000000004</c:v>
                </c:pt>
                <c:pt idx="5378">
                  <c:v>0.78800000000000003</c:v>
                </c:pt>
                <c:pt idx="5379">
                  <c:v>0.79100000000000004</c:v>
                </c:pt>
                <c:pt idx="5380">
                  <c:v>0.79100000000000004</c:v>
                </c:pt>
                <c:pt idx="5381">
                  <c:v>0.79100000000000004</c:v>
                </c:pt>
                <c:pt idx="5382">
                  <c:v>0.79100000000000004</c:v>
                </c:pt>
                <c:pt idx="5383">
                  <c:v>0.78600000000000003</c:v>
                </c:pt>
                <c:pt idx="5384">
                  <c:v>0.79100000000000004</c:v>
                </c:pt>
                <c:pt idx="5385">
                  <c:v>0.78300000000000003</c:v>
                </c:pt>
                <c:pt idx="5386">
                  <c:v>0.78300000000000003</c:v>
                </c:pt>
                <c:pt idx="5387">
                  <c:v>0.78</c:v>
                </c:pt>
                <c:pt idx="5388">
                  <c:v>0.77900000000000003</c:v>
                </c:pt>
                <c:pt idx="5389">
                  <c:v>0.77800000000000002</c:v>
                </c:pt>
                <c:pt idx="5390">
                  <c:v>0.77900000000000003</c:v>
                </c:pt>
                <c:pt idx="5391">
                  <c:v>0.77900000000000003</c:v>
                </c:pt>
                <c:pt idx="5392">
                  <c:v>0.77700000000000002</c:v>
                </c:pt>
                <c:pt idx="5393">
                  <c:v>0.77500000000000002</c:v>
                </c:pt>
                <c:pt idx="5394">
                  <c:v>0.77200000000000002</c:v>
                </c:pt>
                <c:pt idx="5395">
                  <c:v>0.77400000000000002</c:v>
                </c:pt>
                <c:pt idx="5396">
                  <c:v>0.77300000000000002</c:v>
                </c:pt>
                <c:pt idx="5397">
                  <c:v>0.77400000000000002</c:v>
                </c:pt>
                <c:pt idx="5398">
                  <c:v>0.77900000000000003</c:v>
                </c:pt>
                <c:pt idx="5399">
                  <c:v>0.78700000000000003</c:v>
                </c:pt>
                <c:pt idx="5400">
                  <c:v>0.78700000000000003</c:v>
                </c:pt>
                <c:pt idx="5401">
                  <c:v>0.78800000000000003</c:v>
                </c:pt>
                <c:pt idx="5402">
                  <c:v>0.79</c:v>
                </c:pt>
                <c:pt idx="5403">
                  <c:v>0.79</c:v>
                </c:pt>
                <c:pt idx="5404">
                  <c:v>0.79</c:v>
                </c:pt>
                <c:pt idx="5405">
                  <c:v>0.79200000000000004</c:v>
                </c:pt>
                <c:pt idx="5406">
                  <c:v>0.79100000000000004</c:v>
                </c:pt>
                <c:pt idx="5407">
                  <c:v>0.78700000000000003</c:v>
                </c:pt>
                <c:pt idx="5408">
                  <c:v>0.79</c:v>
                </c:pt>
                <c:pt idx="5409">
                  <c:v>0.79500000000000004</c:v>
                </c:pt>
                <c:pt idx="5410">
                  <c:v>0.79700000000000004</c:v>
                </c:pt>
                <c:pt idx="5411">
                  <c:v>0.79700000000000004</c:v>
                </c:pt>
                <c:pt idx="5412">
                  <c:v>0.79800000000000004</c:v>
                </c:pt>
                <c:pt idx="5413">
                  <c:v>0.79300000000000004</c:v>
                </c:pt>
                <c:pt idx="5414">
                  <c:v>0.79300000000000004</c:v>
                </c:pt>
                <c:pt idx="5415">
                  <c:v>0.79500000000000004</c:v>
                </c:pt>
                <c:pt idx="5416">
                  <c:v>0.78400000000000003</c:v>
                </c:pt>
                <c:pt idx="5417">
                  <c:v>0.78300000000000003</c:v>
                </c:pt>
                <c:pt idx="5418">
                  <c:v>0.78200000000000003</c:v>
                </c:pt>
                <c:pt idx="5419">
                  <c:v>0.78700000000000003</c:v>
                </c:pt>
                <c:pt idx="5420">
                  <c:v>0.78700000000000003</c:v>
                </c:pt>
                <c:pt idx="5421">
                  <c:v>0.78800000000000003</c:v>
                </c:pt>
                <c:pt idx="5422">
                  <c:v>0.79</c:v>
                </c:pt>
                <c:pt idx="5423">
                  <c:v>0.79</c:v>
                </c:pt>
                <c:pt idx="5424">
                  <c:v>0.79</c:v>
                </c:pt>
                <c:pt idx="5425">
                  <c:v>0.78900000000000003</c:v>
                </c:pt>
                <c:pt idx="5426">
                  <c:v>0.78900000000000003</c:v>
                </c:pt>
                <c:pt idx="5427">
                  <c:v>0.78800000000000003</c:v>
                </c:pt>
                <c:pt idx="5428">
                  <c:v>0.78900000000000003</c:v>
                </c:pt>
                <c:pt idx="5429">
                  <c:v>0.79100000000000004</c:v>
                </c:pt>
                <c:pt idx="5430">
                  <c:v>0.79300000000000004</c:v>
                </c:pt>
                <c:pt idx="5431">
                  <c:v>0.79100000000000004</c:v>
                </c:pt>
                <c:pt idx="5432">
                  <c:v>0.79100000000000004</c:v>
                </c:pt>
                <c:pt idx="5433">
                  <c:v>0.79100000000000004</c:v>
                </c:pt>
                <c:pt idx="5434">
                  <c:v>0.79400000000000004</c:v>
                </c:pt>
                <c:pt idx="5435">
                  <c:v>0.79200000000000004</c:v>
                </c:pt>
                <c:pt idx="5436">
                  <c:v>0.78600000000000003</c:v>
                </c:pt>
                <c:pt idx="5437">
                  <c:v>0.79200000000000004</c:v>
                </c:pt>
                <c:pt idx="5438">
                  <c:v>0.79700000000000004</c:v>
                </c:pt>
                <c:pt idx="5439">
                  <c:v>0.80200000000000005</c:v>
                </c:pt>
                <c:pt idx="5440">
                  <c:v>0.79800000000000004</c:v>
                </c:pt>
                <c:pt idx="5441">
                  <c:v>0.79700000000000004</c:v>
                </c:pt>
                <c:pt idx="5442">
                  <c:v>0.79800000000000004</c:v>
                </c:pt>
                <c:pt idx="5443">
                  <c:v>0.79400000000000004</c:v>
                </c:pt>
                <c:pt idx="5444">
                  <c:v>0.79200000000000004</c:v>
                </c:pt>
                <c:pt idx="5445">
                  <c:v>0.79100000000000004</c:v>
                </c:pt>
                <c:pt idx="5446">
                  <c:v>0.79400000000000004</c:v>
                </c:pt>
                <c:pt idx="5447">
                  <c:v>0.79500000000000004</c:v>
                </c:pt>
                <c:pt idx="5448">
                  <c:v>0.79300000000000004</c:v>
                </c:pt>
                <c:pt idx="5449">
                  <c:v>0.79400000000000004</c:v>
                </c:pt>
                <c:pt idx="5450">
                  <c:v>0.79900000000000004</c:v>
                </c:pt>
                <c:pt idx="5451">
                  <c:v>0.80100000000000005</c:v>
                </c:pt>
                <c:pt idx="5452">
                  <c:v>0.8</c:v>
                </c:pt>
                <c:pt idx="5453">
                  <c:v>0.80200000000000005</c:v>
                </c:pt>
                <c:pt idx="5454">
                  <c:v>0.80200000000000005</c:v>
                </c:pt>
                <c:pt idx="5455">
                  <c:v>0.80200000000000005</c:v>
                </c:pt>
                <c:pt idx="5456">
                  <c:v>0.79800000000000004</c:v>
                </c:pt>
                <c:pt idx="5457">
                  <c:v>0.80100000000000005</c:v>
                </c:pt>
                <c:pt idx="5458">
                  <c:v>0.79900000000000004</c:v>
                </c:pt>
                <c:pt idx="5459">
                  <c:v>0.79700000000000004</c:v>
                </c:pt>
                <c:pt idx="5460">
                  <c:v>0.79600000000000004</c:v>
                </c:pt>
                <c:pt idx="5461">
                  <c:v>0.79800000000000004</c:v>
                </c:pt>
                <c:pt idx="5462">
                  <c:v>0.79</c:v>
                </c:pt>
                <c:pt idx="5463">
                  <c:v>0.78700000000000003</c:v>
                </c:pt>
                <c:pt idx="5464">
                  <c:v>0.78700000000000003</c:v>
                </c:pt>
                <c:pt idx="5465">
                  <c:v>0.79</c:v>
                </c:pt>
                <c:pt idx="5466">
                  <c:v>0.78900000000000003</c:v>
                </c:pt>
                <c:pt idx="5467">
                  <c:v>0.78500000000000003</c:v>
                </c:pt>
                <c:pt idx="5468">
                  <c:v>0.79</c:v>
                </c:pt>
                <c:pt idx="5469">
                  <c:v>0.78600000000000003</c:v>
                </c:pt>
                <c:pt idx="5470">
                  <c:v>0.78300000000000003</c:v>
                </c:pt>
                <c:pt idx="5471">
                  <c:v>0.78300000000000003</c:v>
                </c:pt>
                <c:pt idx="5472">
                  <c:v>0.78700000000000003</c:v>
                </c:pt>
                <c:pt idx="5473">
                  <c:v>0.78600000000000003</c:v>
                </c:pt>
                <c:pt idx="5474">
                  <c:v>0.78900000000000003</c:v>
                </c:pt>
                <c:pt idx="5475">
                  <c:v>0.79100000000000004</c:v>
                </c:pt>
                <c:pt idx="5476">
                  <c:v>0.79</c:v>
                </c:pt>
                <c:pt idx="5477">
                  <c:v>0.78800000000000003</c:v>
                </c:pt>
                <c:pt idx="5478">
                  <c:v>0.78600000000000003</c:v>
                </c:pt>
                <c:pt idx="5479">
                  <c:v>0.78400000000000003</c:v>
                </c:pt>
                <c:pt idx="5480">
                  <c:v>0.78300000000000003</c:v>
                </c:pt>
                <c:pt idx="5481">
                  <c:v>0.78100000000000003</c:v>
                </c:pt>
                <c:pt idx="5482">
                  <c:v>0.78100000000000003</c:v>
                </c:pt>
                <c:pt idx="5483">
                  <c:v>0.78200000000000003</c:v>
                </c:pt>
                <c:pt idx="5484">
                  <c:v>0.78500000000000003</c:v>
                </c:pt>
                <c:pt idx="5485">
                  <c:v>0.78100000000000003</c:v>
                </c:pt>
                <c:pt idx="5486">
                  <c:v>0.78100000000000003</c:v>
                </c:pt>
                <c:pt idx="5487">
                  <c:v>0.78</c:v>
                </c:pt>
                <c:pt idx="5488">
                  <c:v>0.77300000000000002</c:v>
                </c:pt>
                <c:pt idx="5489">
                  <c:v>0.77300000000000002</c:v>
                </c:pt>
                <c:pt idx="5490">
                  <c:v>0.77600000000000002</c:v>
                </c:pt>
                <c:pt idx="5491">
                  <c:v>0.77800000000000002</c:v>
                </c:pt>
                <c:pt idx="5492">
                  <c:v>0.77600000000000002</c:v>
                </c:pt>
                <c:pt idx="5493">
                  <c:v>0.77300000000000002</c:v>
                </c:pt>
                <c:pt idx="5494">
                  <c:v>0.77400000000000002</c:v>
                </c:pt>
                <c:pt idx="5495">
                  <c:v>0.77400000000000002</c:v>
                </c:pt>
                <c:pt idx="5496">
                  <c:v>0.77400000000000002</c:v>
                </c:pt>
                <c:pt idx="5497">
                  <c:v>0.77400000000000002</c:v>
                </c:pt>
                <c:pt idx="5498">
                  <c:v>0.77</c:v>
                </c:pt>
                <c:pt idx="5499">
                  <c:v>0.76700000000000002</c:v>
                </c:pt>
                <c:pt idx="5500">
                  <c:v>0.76700000000000002</c:v>
                </c:pt>
                <c:pt idx="5501">
                  <c:v>0.76300000000000001</c:v>
                </c:pt>
                <c:pt idx="5502">
                  <c:v>0.76400000000000001</c:v>
                </c:pt>
                <c:pt idx="5503">
                  <c:v>0.76</c:v>
                </c:pt>
                <c:pt idx="5504">
                  <c:v>0.76</c:v>
                </c:pt>
                <c:pt idx="5505">
                  <c:v>0.76100000000000001</c:v>
                </c:pt>
                <c:pt idx="5506">
                  <c:v>0.76500000000000001</c:v>
                </c:pt>
                <c:pt idx="5507">
                  <c:v>0.76300000000000001</c:v>
                </c:pt>
                <c:pt idx="5508">
                  <c:v>0.75900000000000001</c:v>
                </c:pt>
                <c:pt idx="5509">
                  <c:v>0.75700000000000001</c:v>
                </c:pt>
                <c:pt idx="5510">
                  <c:v>0.75700000000000001</c:v>
                </c:pt>
                <c:pt idx="5511">
                  <c:v>0.75600000000000001</c:v>
                </c:pt>
                <c:pt idx="5512">
                  <c:v>0.751</c:v>
                </c:pt>
                <c:pt idx="5513">
                  <c:v>0.753</c:v>
                </c:pt>
                <c:pt idx="5514">
                  <c:v>0.753</c:v>
                </c:pt>
                <c:pt idx="5515">
                  <c:v>0.755</c:v>
                </c:pt>
                <c:pt idx="5516">
                  <c:v>0.755</c:v>
                </c:pt>
                <c:pt idx="5517">
                  <c:v>0.754</c:v>
                </c:pt>
                <c:pt idx="5518">
                  <c:v>0.754</c:v>
                </c:pt>
                <c:pt idx="5519">
                  <c:v>0.755</c:v>
                </c:pt>
                <c:pt idx="5520">
                  <c:v>0.755</c:v>
                </c:pt>
                <c:pt idx="5521">
                  <c:v>0.75800000000000001</c:v>
                </c:pt>
                <c:pt idx="5522">
                  <c:v>0.752</c:v>
                </c:pt>
                <c:pt idx="5523">
                  <c:v>0.754</c:v>
                </c:pt>
                <c:pt idx="5524">
                  <c:v>0.755</c:v>
                </c:pt>
                <c:pt idx="5525">
                  <c:v>0.75800000000000001</c:v>
                </c:pt>
                <c:pt idx="5526">
                  <c:v>0.748</c:v>
                </c:pt>
                <c:pt idx="5527">
                  <c:v>0.745</c:v>
                </c:pt>
                <c:pt idx="5528">
                  <c:v>0.74199999999999999</c:v>
                </c:pt>
                <c:pt idx="5529">
                  <c:v>0.74099999999999999</c:v>
                </c:pt>
                <c:pt idx="5530">
                  <c:v>0.73799999999999999</c:v>
                </c:pt>
                <c:pt idx="5531">
                  <c:v>0.73799999999999999</c:v>
                </c:pt>
                <c:pt idx="5532">
                  <c:v>0.73799999999999999</c:v>
                </c:pt>
                <c:pt idx="5533">
                  <c:v>0.73399999999999999</c:v>
                </c:pt>
                <c:pt idx="5534">
                  <c:v>0.73399999999999999</c:v>
                </c:pt>
                <c:pt idx="5535">
                  <c:v>0.73399999999999999</c:v>
                </c:pt>
                <c:pt idx="5536">
                  <c:v>0.73899999999999999</c:v>
                </c:pt>
                <c:pt idx="5537">
                  <c:v>0.74099999999999999</c:v>
                </c:pt>
                <c:pt idx="5538">
                  <c:v>0.74399999999999999</c:v>
                </c:pt>
                <c:pt idx="5539">
                  <c:v>0.74099999999999999</c:v>
                </c:pt>
                <c:pt idx="5540">
                  <c:v>0.74299999999999999</c:v>
                </c:pt>
                <c:pt idx="5541">
                  <c:v>0.74399999999999999</c:v>
                </c:pt>
                <c:pt idx="5542">
                  <c:v>0.746</c:v>
                </c:pt>
                <c:pt idx="5543">
                  <c:v>0.74399999999999999</c:v>
                </c:pt>
                <c:pt idx="5544">
                  <c:v>0.747</c:v>
                </c:pt>
                <c:pt idx="5545">
                  <c:v>0.747</c:v>
                </c:pt>
                <c:pt idx="5546">
                  <c:v>0.73899999999999999</c:v>
                </c:pt>
                <c:pt idx="5547">
                  <c:v>0.748</c:v>
                </c:pt>
                <c:pt idx="5548">
                  <c:v>0.74399999999999999</c:v>
                </c:pt>
                <c:pt idx="5549">
                  <c:v>0.74399999999999999</c:v>
                </c:pt>
                <c:pt idx="5550">
                  <c:v>0.74399999999999999</c:v>
                </c:pt>
                <c:pt idx="5551">
                  <c:v>0.74399999999999999</c:v>
                </c:pt>
                <c:pt idx="5552">
                  <c:v>0.748</c:v>
                </c:pt>
                <c:pt idx="5553">
                  <c:v>0.74099999999999999</c:v>
                </c:pt>
                <c:pt idx="5554">
                  <c:v>0.73899999999999999</c:v>
                </c:pt>
                <c:pt idx="5555">
                  <c:v>0.74</c:v>
                </c:pt>
                <c:pt idx="5556">
                  <c:v>0.74</c:v>
                </c:pt>
                <c:pt idx="5557">
                  <c:v>0.74099999999999999</c:v>
                </c:pt>
                <c:pt idx="5558">
                  <c:v>0.74099999999999999</c:v>
                </c:pt>
                <c:pt idx="5559">
                  <c:v>0.74</c:v>
                </c:pt>
                <c:pt idx="5560">
                  <c:v>0.74299999999999999</c:v>
                </c:pt>
                <c:pt idx="5561">
                  <c:v>0.73899999999999999</c:v>
                </c:pt>
                <c:pt idx="5562">
                  <c:v>0.74399999999999999</c:v>
                </c:pt>
                <c:pt idx="5563">
                  <c:v>0.74</c:v>
                </c:pt>
                <c:pt idx="5564">
                  <c:v>0.73599999999999999</c:v>
                </c:pt>
                <c:pt idx="5565">
                  <c:v>0.73699999999999999</c:v>
                </c:pt>
                <c:pt idx="5566">
                  <c:v>0.73899999999999999</c:v>
                </c:pt>
                <c:pt idx="5567">
                  <c:v>0.73899999999999999</c:v>
                </c:pt>
                <c:pt idx="5568">
                  <c:v>0.73899999999999999</c:v>
                </c:pt>
                <c:pt idx="5569">
                  <c:v>0.73799999999999999</c:v>
                </c:pt>
                <c:pt idx="5570">
                  <c:v>0.73899999999999999</c:v>
                </c:pt>
                <c:pt idx="5571">
                  <c:v>0.74299999999999999</c:v>
                </c:pt>
                <c:pt idx="5572">
                  <c:v>0.748</c:v>
                </c:pt>
                <c:pt idx="5573">
                  <c:v>0.748</c:v>
                </c:pt>
                <c:pt idx="5574">
                  <c:v>0.74299999999999999</c:v>
                </c:pt>
                <c:pt idx="5575">
                  <c:v>0.73899999999999999</c:v>
                </c:pt>
                <c:pt idx="5576">
                  <c:v>0.74</c:v>
                </c:pt>
                <c:pt idx="5577">
                  <c:v>0.74</c:v>
                </c:pt>
                <c:pt idx="5578">
                  <c:v>0.74399999999999999</c:v>
                </c:pt>
                <c:pt idx="5579">
                  <c:v>0.74399999999999999</c:v>
                </c:pt>
                <c:pt idx="5580">
                  <c:v>0.74</c:v>
                </c:pt>
                <c:pt idx="5581">
                  <c:v>0.74</c:v>
                </c:pt>
                <c:pt idx="5582">
                  <c:v>0.73499999999999999</c:v>
                </c:pt>
                <c:pt idx="5583">
                  <c:v>0.74</c:v>
                </c:pt>
                <c:pt idx="5584">
                  <c:v>0.73799999999999999</c:v>
                </c:pt>
                <c:pt idx="5585">
                  <c:v>0.73799999999999999</c:v>
                </c:pt>
                <c:pt idx="5586">
                  <c:v>0.73599999999999999</c:v>
                </c:pt>
                <c:pt idx="5587">
                  <c:v>0.752</c:v>
                </c:pt>
                <c:pt idx="5588">
                  <c:v>0.752</c:v>
                </c:pt>
                <c:pt idx="5589">
                  <c:v>0.754</c:v>
                </c:pt>
                <c:pt idx="5590">
                  <c:v>0.75800000000000001</c:v>
                </c:pt>
                <c:pt idx="5591">
                  <c:v>0.75700000000000001</c:v>
                </c:pt>
                <c:pt idx="5592">
                  <c:v>0.76</c:v>
                </c:pt>
                <c:pt idx="5593">
                  <c:v>0.76</c:v>
                </c:pt>
                <c:pt idx="5594">
                  <c:v>0.76</c:v>
                </c:pt>
                <c:pt idx="5595">
                  <c:v>0.754</c:v>
                </c:pt>
                <c:pt idx="5596">
                  <c:v>0.755</c:v>
                </c:pt>
                <c:pt idx="5597">
                  <c:v>0.748</c:v>
                </c:pt>
                <c:pt idx="5598">
                  <c:v>0.747</c:v>
                </c:pt>
                <c:pt idx="5599">
                  <c:v>0.747</c:v>
                </c:pt>
                <c:pt idx="5600">
                  <c:v>0.749</c:v>
                </c:pt>
                <c:pt idx="5601">
                  <c:v>0.751</c:v>
                </c:pt>
                <c:pt idx="5602">
                  <c:v>0.754</c:v>
                </c:pt>
                <c:pt idx="5603">
                  <c:v>0.753</c:v>
                </c:pt>
                <c:pt idx="5604">
                  <c:v>0.75900000000000001</c:v>
                </c:pt>
                <c:pt idx="5605">
                  <c:v>0.75900000000000001</c:v>
                </c:pt>
                <c:pt idx="5606">
                  <c:v>0.75900000000000001</c:v>
                </c:pt>
                <c:pt idx="5607">
                  <c:v>0.76200000000000001</c:v>
                </c:pt>
                <c:pt idx="5608">
                  <c:v>0.76</c:v>
                </c:pt>
                <c:pt idx="5609">
                  <c:v>0.76400000000000001</c:v>
                </c:pt>
                <c:pt idx="5610">
                  <c:v>0.76200000000000001</c:v>
                </c:pt>
                <c:pt idx="5611">
                  <c:v>0.75800000000000001</c:v>
                </c:pt>
                <c:pt idx="5612">
                  <c:v>0.76400000000000001</c:v>
                </c:pt>
                <c:pt idx="5613">
                  <c:v>0.76900000000000002</c:v>
                </c:pt>
                <c:pt idx="5614">
                  <c:v>0.76100000000000001</c:v>
                </c:pt>
                <c:pt idx="5615">
                  <c:v>0.755</c:v>
                </c:pt>
                <c:pt idx="5616">
                  <c:v>0.752</c:v>
                </c:pt>
                <c:pt idx="5617">
                  <c:v>0.749</c:v>
                </c:pt>
                <c:pt idx="5618">
                  <c:v>0.748</c:v>
                </c:pt>
                <c:pt idx="5619">
                  <c:v>0.75</c:v>
                </c:pt>
                <c:pt idx="5620">
                  <c:v>0.746</c:v>
                </c:pt>
                <c:pt idx="5621">
                  <c:v>0.748</c:v>
                </c:pt>
                <c:pt idx="5622">
                  <c:v>0.755</c:v>
                </c:pt>
                <c:pt idx="5623">
                  <c:v>0.76100000000000001</c:v>
                </c:pt>
                <c:pt idx="5624">
                  <c:v>0.755</c:v>
                </c:pt>
                <c:pt idx="5625">
                  <c:v>0.76</c:v>
                </c:pt>
                <c:pt idx="5626">
                  <c:v>0.76100000000000001</c:v>
                </c:pt>
                <c:pt idx="5627">
                  <c:v>0.76600000000000001</c:v>
                </c:pt>
                <c:pt idx="5628">
                  <c:v>0.75900000000000001</c:v>
                </c:pt>
                <c:pt idx="5629">
                  <c:v>0.753</c:v>
                </c:pt>
                <c:pt idx="5630">
                  <c:v>0.752</c:v>
                </c:pt>
                <c:pt idx="5631">
                  <c:v>0.752</c:v>
                </c:pt>
                <c:pt idx="5632">
                  <c:v>0.752</c:v>
                </c:pt>
                <c:pt idx="5633">
                  <c:v>0.751</c:v>
                </c:pt>
                <c:pt idx="5634">
                  <c:v>0.748</c:v>
                </c:pt>
                <c:pt idx="5635">
                  <c:v>0.751</c:v>
                </c:pt>
                <c:pt idx="5636">
                  <c:v>0.751</c:v>
                </c:pt>
                <c:pt idx="5637">
                  <c:v>0.753</c:v>
                </c:pt>
                <c:pt idx="5638">
                  <c:v>0.752</c:v>
                </c:pt>
                <c:pt idx="5639">
                  <c:v>0.74299999999999999</c:v>
                </c:pt>
                <c:pt idx="5640">
                  <c:v>0.74299999999999999</c:v>
                </c:pt>
                <c:pt idx="5641">
                  <c:v>0.74</c:v>
                </c:pt>
                <c:pt idx="5642">
                  <c:v>0.74099999999999999</c:v>
                </c:pt>
                <c:pt idx="5643">
                  <c:v>0.74</c:v>
                </c:pt>
                <c:pt idx="5644">
                  <c:v>0.73699999999999999</c:v>
                </c:pt>
                <c:pt idx="5645">
                  <c:v>0.73499999999999999</c:v>
                </c:pt>
                <c:pt idx="5646">
                  <c:v>0.73199999999999998</c:v>
                </c:pt>
                <c:pt idx="5647">
                  <c:v>0.73299999999999998</c:v>
                </c:pt>
                <c:pt idx="5648">
                  <c:v>0.73599999999999999</c:v>
                </c:pt>
                <c:pt idx="5649">
                  <c:v>0.74199999999999999</c:v>
                </c:pt>
                <c:pt idx="5650">
                  <c:v>0.74299999999999999</c:v>
                </c:pt>
                <c:pt idx="5651">
                  <c:v>0.74099999999999999</c:v>
                </c:pt>
                <c:pt idx="5652">
                  <c:v>0.74099999999999999</c:v>
                </c:pt>
                <c:pt idx="5653">
                  <c:v>0.74299999999999999</c:v>
                </c:pt>
                <c:pt idx="5654">
                  <c:v>0.74099999999999999</c:v>
                </c:pt>
                <c:pt idx="5655">
                  <c:v>0.74299999999999999</c:v>
                </c:pt>
                <c:pt idx="5656">
                  <c:v>0.73799999999999999</c:v>
                </c:pt>
                <c:pt idx="5657">
                  <c:v>0.74199999999999999</c:v>
                </c:pt>
                <c:pt idx="5658">
                  <c:v>0.74</c:v>
                </c:pt>
                <c:pt idx="5659">
                  <c:v>0.73899999999999999</c:v>
                </c:pt>
                <c:pt idx="5660">
                  <c:v>0.73799999999999999</c:v>
                </c:pt>
                <c:pt idx="5661">
                  <c:v>0.73399999999999999</c:v>
                </c:pt>
                <c:pt idx="5662">
                  <c:v>0.73799999999999999</c:v>
                </c:pt>
                <c:pt idx="5663">
                  <c:v>0.73799999999999999</c:v>
                </c:pt>
                <c:pt idx="5664">
                  <c:v>0.73899999999999999</c:v>
                </c:pt>
              </c:numCache>
            </c:numRef>
          </c:val>
          <c:smooth val="0"/>
          <c:extLst>
            <c:ext xmlns:c16="http://schemas.microsoft.com/office/drawing/2014/chart" uri="{C3380CC4-5D6E-409C-BE32-E72D297353CC}">
              <c16:uniqueId val="{00000001-AEF2-4F96-A2A9-64A961D9D955}"/>
            </c:ext>
          </c:extLst>
        </c:ser>
        <c:dLbls>
          <c:showLegendKey val="0"/>
          <c:showVal val="0"/>
          <c:showCatName val="0"/>
          <c:showSerName val="0"/>
          <c:showPercent val="0"/>
          <c:showBubbleSize val="0"/>
        </c:dLbls>
        <c:marker val="1"/>
        <c:smooth val="0"/>
        <c:axId val="3"/>
        <c:axId val="4"/>
      </c:lineChart>
      <c:dateAx>
        <c:axId val="657837599"/>
        <c:scaling>
          <c:orientation val="minMax"/>
        </c:scaling>
        <c:delete val="0"/>
        <c:axPos val="b"/>
        <c:numFmt formatCode="dd/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US"/>
          </a:p>
        </c:txPr>
        <c:crossAx val="1"/>
        <c:crosses val="autoZero"/>
        <c:auto val="1"/>
        <c:lblOffset val="100"/>
        <c:baseTimeUnit val="day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7837599"/>
        <c:crosses val="autoZero"/>
        <c:crossBetween val="between"/>
        <c:majorUnit val="200"/>
      </c:valAx>
      <c:dateAx>
        <c:axId val="3"/>
        <c:scaling>
          <c:orientation val="minMax"/>
        </c:scaling>
        <c:delete val="1"/>
        <c:axPos val="b"/>
        <c:numFmt formatCode="d\-mmm\-yy" sourceLinked="1"/>
        <c:majorTickMark val="out"/>
        <c:minorTickMark val="none"/>
        <c:tickLblPos val="nextTo"/>
        <c:crossAx val="4"/>
        <c:crosses val="autoZero"/>
        <c:auto val="1"/>
        <c:lblOffset val="100"/>
        <c:baseTimeUnit val="days"/>
      </c:dateAx>
      <c:valAx>
        <c:axId val="4"/>
        <c:scaling>
          <c:orientation val="minMax"/>
          <c:max val="1.2"/>
          <c:min val="0.4"/>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5.000000000000001E-2"/>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Calibri"/>
                <a:ea typeface="Calibri"/>
                <a:cs typeface="Calibri"/>
              </a:defRPr>
            </a:pPr>
            <a:r>
              <a:rPr lang="en-US"/>
              <a:t>ASX200(USD) 2010-2015</a:t>
            </a:r>
          </a:p>
        </c:rich>
      </c:tx>
      <c:overlay val="0"/>
      <c:spPr>
        <a:noFill/>
        <a:ln w="25400">
          <a:noFill/>
        </a:ln>
      </c:spPr>
    </c:title>
    <c:autoTitleDeleted val="0"/>
    <c:plotArea>
      <c:layout/>
      <c:lineChart>
        <c:grouping val="standard"/>
        <c:varyColors val="0"/>
        <c:ser>
          <c:idx val="0"/>
          <c:order val="0"/>
          <c:spPr>
            <a:ln w="12700" cap="rnd">
              <a:solidFill>
                <a:srgbClr val="00B050"/>
              </a:solidFill>
              <a:round/>
            </a:ln>
            <a:effectLst/>
          </c:spPr>
          <c:marker>
            <c:symbol val="none"/>
          </c:marker>
          <c:cat>
            <c:numRef>
              <c:f>'Stock Returns'!$A$2:$A$5666</c:f>
              <c:numCache>
                <c:formatCode>d\-mmm\-yy</c:formatCode>
                <c:ptCount val="5665"/>
                <c:pt idx="0">
                  <c:v>42095</c:v>
                </c:pt>
                <c:pt idx="1">
                  <c:v>42094</c:v>
                </c:pt>
                <c:pt idx="2">
                  <c:v>42093</c:v>
                </c:pt>
                <c:pt idx="3">
                  <c:v>42092</c:v>
                </c:pt>
                <c:pt idx="4">
                  <c:v>42091</c:v>
                </c:pt>
                <c:pt idx="5">
                  <c:v>42090</c:v>
                </c:pt>
                <c:pt idx="6">
                  <c:v>42089</c:v>
                </c:pt>
                <c:pt idx="7">
                  <c:v>42088</c:v>
                </c:pt>
                <c:pt idx="8">
                  <c:v>42087</c:v>
                </c:pt>
                <c:pt idx="9">
                  <c:v>42086</c:v>
                </c:pt>
                <c:pt idx="10">
                  <c:v>42085</c:v>
                </c:pt>
                <c:pt idx="11">
                  <c:v>42084</c:v>
                </c:pt>
                <c:pt idx="12">
                  <c:v>42083</c:v>
                </c:pt>
                <c:pt idx="13">
                  <c:v>42082</c:v>
                </c:pt>
                <c:pt idx="14">
                  <c:v>42081</c:v>
                </c:pt>
                <c:pt idx="15">
                  <c:v>42080</c:v>
                </c:pt>
                <c:pt idx="16">
                  <c:v>42079</c:v>
                </c:pt>
                <c:pt idx="17">
                  <c:v>42078</c:v>
                </c:pt>
                <c:pt idx="18">
                  <c:v>42077</c:v>
                </c:pt>
                <c:pt idx="19">
                  <c:v>42076</c:v>
                </c:pt>
                <c:pt idx="20">
                  <c:v>42075</c:v>
                </c:pt>
                <c:pt idx="21">
                  <c:v>42074</c:v>
                </c:pt>
                <c:pt idx="22">
                  <c:v>42073</c:v>
                </c:pt>
                <c:pt idx="23">
                  <c:v>42072</c:v>
                </c:pt>
                <c:pt idx="24">
                  <c:v>42071</c:v>
                </c:pt>
                <c:pt idx="25">
                  <c:v>42070</c:v>
                </c:pt>
                <c:pt idx="26">
                  <c:v>42069</c:v>
                </c:pt>
                <c:pt idx="27">
                  <c:v>42068</c:v>
                </c:pt>
                <c:pt idx="28">
                  <c:v>42067</c:v>
                </c:pt>
                <c:pt idx="29">
                  <c:v>42066</c:v>
                </c:pt>
                <c:pt idx="30">
                  <c:v>42065</c:v>
                </c:pt>
                <c:pt idx="31">
                  <c:v>42064</c:v>
                </c:pt>
                <c:pt idx="32">
                  <c:v>42063</c:v>
                </c:pt>
                <c:pt idx="33">
                  <c:v>42062</c:v>
                </c:pt>
                <c:pt idx="34">
                  <c:v>42061</c:v>
                </c:pt>
                <c:pt idx="35">
                  <c:v>42060</c:v>
                </c:pt>
                <c:pt idx="36">
                  <c:v>42059</c:v>
                </c:pt>
                <c:pt idx="37">
                  <c:v>42058</c:v>
                </c:pt>
                <c:pt idx="38">
                  <c:v>42057</c:v>
                </c:pt>
                <c:pt idx="39">
                  <c:v>42056</c:v>
                </c:pt>
                <c:pt idx="40">
                  <c:v>42055</c:v>
                </c:pt>
                <c:pt idx="41">
                  <c:v>42054</c:v>
                </c:pt>
                <c:pt idx="42">
                  <c:v>42053</c:v>
                </c:pt>
                <c:pt idx="43">
                  <c:v>42052</c:v>
                </c:pt>
                <c:pt idx="44">
                  <c:v>42051</c:v>
                </c:pt>
                <c:pt idx="45">
                  <c:v>42050</c:v>
                </c:pt>
                <c:pt idx="46">
                  <c:v>42049</c:v>
                </c:pt>
                <c:pt idx="47">
                  <c:v>42048</c:v>
                </c:pt>
                <c:pt idx="48">
                  <c:v>42047</c:v>
                </c:pt>
                <c:pt idx="49">
                  <c:v>42046</c:v>
                </c:pt>
                <c:pt idx="50">
                  <c:v>42045</c:v>
                </c:pt>
                <c:pt idx="51">
                  <c:v>42044</c:v>
                </c:pt>
                <c:pt idx="52">
                  <c:v>42043</c:v>
                </c:pt>
                <c:pt idx="53">
                  <c:v>42042</c:v>
                </c:pt>
                <c:pt idx="54">
                  <c:v>42041</c:v>
                </c:pt>
                <c:pt idx="55">
                  <c:v>42040</c:v>
                </c:pt>
                <c:pt idx="56">
                  <c:v>42039</c:v>
                </c:pt>
                <c:pt idx="57">
                  <c:v>42038</c:v>
                </c:pt>
                <c:pt idx="58">
                  <c:v>42037</c:v>
                </c:pt>
                <c:pt idx="59">
                  <c:v>42036</c:v>
                </c:pt>
                <c:pt idx="60">
                  <c:v>42035</c:v>
                </c:pt>
                <c:pt idx="61">
                  <c:v>42034</c:v>
                </c:pt>
                <c:pt idx="62">
                  <c:v>42033</c:v>
                </c:pt>
                <c:pt idx="63">
                  <c:v>42032</c:v>
                </c:pt>
                <c:pt idx="64">
                  <c:v>42031</c:v>
                </c:pt>
                <c:pt idx="65">
                  <c:v>42030</c:v>
                </c:pt>
                <c:pt idx="66">
                  <c:v>42029</c:v>
                </c:pt>
                <c:pt idx="67">
                  <c:v>42028</c:v>
                </c:pt>
                <c:pt idx="68">
                  <c:v>42027</c:v>
                </c:pt>
                <c:pt idx="69">
                  <c:v>42026</c:v>
                </c:pt>
                <c:pt idx="70">
                  <c:v>42025</c:v>
                </c:pt>
                <c:pt idx="71">
                  <c:v>42024</c:v>
                </c:pt>
                <c:pt idx="72">
                  <c:v>42023</c:v>
                </c:pt>
                <c:pt idx="73">
                  <c:v>42022</c:v>
                </c:pt>
                <c:pt idx="74">
                  <c:v>42021</c:v>
                </c:pt>
                <c:pt idx="75">
                  <c:v>42020</c:v>
                </c:pt>
                <c:pt idx="76">
                  <c:v>42019</c:v>
                </c:pt>
                <c:pt idx="77">
                  <c:v>42018</c:v>
                </c:pt>
                <c:pt idx="78">
                  <c:v>42017</c:v>
                </c:pt>
                <c:pt idx="79">
                  <c:v>42016</c:v>
                </c:pt>
                <c:pt idx="80">
                  <c:v>42015</c:v>
                </c:pt>
                <c:pt idx="81">
                  <c:v>42014</c:v>
                </c:pt>
                <c:pt idx="82">
                  <c:v>42013</c:v>
                </c:pt>
                <c:pt idx="83">
                  <c:v>42012</c:v>
                </c:pt>
                <c:pt idx="84">
                  <c:v>42011</c:v>
                </c:pt>
                <c:pt idx="85">
                  <c:v>42010</c:v>
                </c:pt>
                <c:pt idx="86">
                  <c:v>42009</c:v>
                </c:pt>
                <c:pt idx="87">
                  <c:v>42008</c:v>
                </c:pt>
                <c:pt idx="88">
                  <c:v>42007</c:v>
                </c:pt>
                <c:pt idx="89">
                  <c:v>42006</c:v>
                </c:pt>
                <c:pt idx="90">
                  <c:v>42005</c:v>
                </c:pt>
                <c:pt idx="91">
                  <c:v>42004</c:v>
                </c:pt>
                <c:pt idx="92">
                  <c:v>42003</c:v>
                </c:pt>
                <c:pt idx="93">
                  <c:v>42002</c:v>
                </c:pt>
                <c:pt idx="94">
                  <c:v>42001</c:v>
                </c:pt>
                <c:pt idx="95">
                  <c:v>42000</c:v>
                </c:pt>
                <c:pt idx="96">
                  <c:v>41999</c:v>
                </c:pt>
                <c:pt idx="97">
                  <c:v>41998</c:v>
                </c:pt>
                <c:pt idx="98">
                  <c:v>41997</c:v>
                </c:pt>
                <c:pt idx="99">
                  <c:v>41996</c:v>
                </c:pt>
                <c:pt idx="100">
                  <c:v>41995</c:v>
                </c:pt>
                <c:pt idx="101">
                  <c:v>41994</c:v>
                </c:pt>
                <c:pt idx="102">
                  <c:v>41993</c:v>
                </c:pt>
                <c:pt idx="103">
                  <c:v>41992</c:v>
                </c:pt>
                <c:pt idx="104">
                  <c:v>41991</c:v>
                </c:pt>
                <c:pt idx="105">
                  <c:v>41990</c:v>
                </c:pt>
                <c:pt idx="106">
                  <c:v>41989</c:v>
                </c:pt>
                <c:pt idx="107">
                  <c:v>41988</c:v>
                </c:pt>
                <c:pt idx="108">
                  <c:v>41987</c:v>
                </c:pt>
                <c:pt idx="109">
                  <c:v>41986</c:v>
                </c:pt>
                <c:pt idx="110">
                  <c:v>41985</c:v>
                </c:pt>
                <c:pt idx="111">
                  <c:v>41984</c:v>
                </c:pt>
                <c:pt idx="112">
                  <c:v>41983</c:v>
                </c:pt>
                <c:pt idx="113">
                  <c:v>41982</c:v>
                </c:pt>
                <c:pt idx="114">
                  <c:v>41981</c:v>
                </c:pt>
                <c:pt idx="115">
                  <c:v>41980</c:v>
                </c:pt>
                <c:pt idx="116">
                  <c:v>41979</c:v>
                </c:pt>
                <c:pt idx="117">
                  <c:v>41978</c:v>
                </c:pt>
                <c:pt idx="118">
                  <c:v>41977</c:v>
                </c:pt>
                <c:pt idx="119">
                  <c:v>41976</c:v>
                </c:pt>
                <c:pt idx="120">
                  <c:v>41975</c:v>
                </c:pt>
                <c:pt idx="121">
                  <c:v>41974</c:v>
                </c:pt>
                <c:pt idx="122">
                  <c:v>41973</c:v>
                </c:pt>
                <c:pt idx="123">
                  <c:v>41972</c:v>
                </c:pt>
                <c:pt idx="124">
                  <c:v>41971</c:v>
                </c:pt>
                <c:pt idx="125">
                  <c:v>41970</c:v>
                </c:pt>
                <c:pt idx="126">
                  <c:v>41969</c:v>
                </c:pt>
                <c:pt idx="127">
                  <c:v>41968</c:v>
                </c:pt>
                <c:pt idx="128">
                  <c:v>41967</c:v>
                </c:pt>
                <c:pt idx="129">
                  <c:v>41966</c:v>
                </c:pt>
                <c:pt idx="130">
                  <c:v>41965</c:v>
                </c:pt>
                <c:pt idx="131">
                  <c:v>41964</c:v>
                </c:pt>
                <c:pt idx="132">
                  <c:v>41963</c:v>
                </c:pt>
                <c:pt idx="133">
                  <c:v>41962</c:v>
                </c:pt>
                <c:pt idx="134">
                  <c:v>41961</c:v>
                </c:pt>
                <c:pt idx="135">
                  <c:v>41960</c:v>
                </c:pt>
                <c:pt idx="136">
                  <c:v>41959</c:v>
                </c:pt>
                <c:pt idx="137">
                  <c:v>41958</c:v>
                </c:pt>
                <c:pt idx="138">
                  <c:v>41957</c:v>
                </c:pt>
                <c:pt idx="139">
                  <c:v>41956</c:v>
                </c:pt>
                <c:pt idx="140">
                  <c:v>41955</c:v>
                </c:pt>
                <c:pt idx="141">
                  <c:v>41954</c:v>
                </c:pt>
                <c:pt idx="142">
                  <c:v>41953</c:v>
                </c:pt>
                <c:pt idx="143">
                  <c:v>41952</c:v>
                </c:pt>
                <c:pt idx="144">
                  <c:v>41951</c:v>
                </c:pt>
                <c:pt idx="145">
                  <c:v>41950</c:v>
                </c:pt>
                <c:pt idx="146">
                  <c:v>41949</c:v>
                </c:pt>
                <c:pt idx="147">
                  <c:v>41948</c:v>
                </c:pt>
                <c:pt idx="148">
                  <c:v>41947</c:v>
                </c:pt>
                <c:pt idx="149">
                  <c:v>41946</c:v>
                </c:pt>
                <c:pt idx="150">
                  <c:v>41945</c:v>
                </c:pt>
                <c:pt idx="151">
                  <c:v>41944</c:v>
                </c:pt>
                <c:pt idx="152">
                  <c:v>41943</c:v>
                </c:pt>
                <c:pt idx="153">
                  <c:v>41942</c:v>
                </c:pt>
                <c:pt idx="154">
                  <c:v>41941</c:v>
                </c:pt>
                <c:pt idx="155">
                  <c:v>41940</c:v>
                </c:pt>
                <c:pt idx="156">
                  <c:v>41939</c:v>
                </c:pt>
                <c:pt idx="157">
                  <c:v>41938</c:v>
                </c:pt>
                <c:pt idx="158">
                  <c:v>41937</c:v>
                </c:pt>
                <c:pt idx="159">
                  <c:v>41936</c:v>
                </c:pt>
                <c:pt idx="160">
                  <c:v>41935</c:v>
                </c:pt>
                <c:pt idx="161">
                  <c:v>41934</c:v>
                </c:pt>
                <c:pt idx="162">
                  <c:v>41933</c:v>
                </c:pt>
                <c:pt idx="163">
                  <c:v>41932</c:v>
                </c:pt>
                <c:pt idx="164">
                  <c:v>41931</c:v>
                </c:pt>
                <c:pt idx="165">
                  <c:v>41930</c:v>
                </c:pt>
                <c:pt idx="166">
                  <c:v>41929</c:v>
                </c:pt>
                <c:pt idx="167">
                  <c:v>41928</c:v>
                </c:pt>
                <c:pt idx="168">
                  <c:v>41927</c:v>
                </c:pt>
                <c:pt idx="169">
                  <c:v>41926</c:v>
                </c:pt>
                <c:pt idx="170">
                  <c:v>41925</c:v>
                </c:pt>
                <c:pt idx="171">
                  <c:v>41924</c:v>
                </c:pt>
                <c:pt idx="172">
                  <c:v>41923</c:v>
                </c:pt>
                <c:pt idx="173">
                  <c:v>41922</c:v>
                </c:pt>
                <c:pt idx="174">
                  <c:v>41921</c:v>
                </c:pt>
                <c:pt idx="175">
                  <c:v>41920</c:v>
                </c:pt>
                <c:pt idx="176">
                  <c:v>41919</c:v>
                </c:pt>
                <c:pt idx="177">
                  <c:v>41918</c:v>
                </c:pt>
                <c:pt idx="178">
                  <c:v>41917</c:v>
                </c:pt>
                <c:pt idx="179">
                  <c:v>41916</c:v>
                </c:pt>
                <c:pt idx="180">
                  <c:v>41915</c:v>
                </c:pt>
                <c:pt idx="181">
                  <c:v>41914</c:v>
                </c:pt>
                <c:pt idx="182">
                  <c:v>41913</c:v>
                </c:pt>
                <c:pt idx="183">
                  <c:v>41912</c:v>
                </c:pt>
                <c:pt idx="184">
                  <c:v>41911</c:v>
                </c:pt>
                <c:pt idx="185">
                  <c:v>41910</c:v>
                </c:pt>
                <c:pt idx="186">
                  <c:v>41909</c:v>
                </c:pt>
                <c:pt idx="187">
                  <c:v>41908</c:v>
                </c:pt>
                <c:pt idx="188">
                  <c:v>41907</c:v>
                </c:pt>
                <c:pt idx="189">
                  <c:v>41906</c:v>
                </c:pt>
                <c:pt idx="190">
                  <c:v>41905</c:v>
                </c:pt>
                <c:pt idx="191">
                  <c:v>41904</c:v>
                </c:pt>
                <c:pt idx="192">
                  <c:v>41903</c:v>
                </c:pt>
                <c:pt idx="193">
                  <c:v>41902</c:v>
                </c:pt>
                <c:pt idx="194">
                  <c:v>41901</c:v>
                </c:pt>
                <c:pt idx="195">
                  <c:v>41900</c:v>
                </c:pt>
                <c:pt idx="196">
                  <c:v>41899</c:v>
                </c:pt>
                <c:pt idx="197">
                  <c:v>41898</c:v>
                </c:pt>
                <c:pt idx="198">
                  <c:v>41897</c:v>
                </c:pt>
                <c:pt idx="199">
                  <c:v>41896</c:v>
                </c:pt>
                <c:pt idx="200">
                  <c:v>41895</c:v>
                </c:pt>
                <c:pt idx="201">
                  <c:v>41894</c:v>
                </c:pt>
                <c:pt idx="202">
                  <c:v>41893</c:v>
                </c:pt>
                <c:pt idx="203">
                  <c:v>41892</c:v>
                </c:pt>
                <c:pt idx="204">
                  <c:v>41891</c:v>
                </c:pt>
                <c:pt idx="205">
                  <c:v>41890</c:v>
                </c:pt>
                <c:pt idx="206">
                  <c:v>41889</c:v>
                </c:pt>
                <c:pt idx="207">
                  <c:v>41888</c:v>
                </c:pt>
                <c:pt idx="208">
                  <c:v>41887</c:v>
                </c:pt>
                <c:pt idx="209">
                  <c:v>41886</c:v>
                </c:pt>
                <c:pt idx="210">
                  <c:v>41885</c:v>
                </c:pt>
                <c:pt idx="211">
                  <c:v>41884</c:v>
                </c:pt>
                <c:pt idx="212">
                  <c:v>41883</c:v>
                </c:pt>
                <c:pt idx="213">
                  <c:v>41882</c:v>
                </c:pt>
                <c:pt idx="214">
                  <c:v>41881</c:v>
                </c:pt>
                <c:pt idx="215">
                  <c:v>41880</c:v>
                </c:pt>
                <c:pt idx="216">
                  <c:v>41879</c:v>
                </c:pt>
                <c:pt idx="217">
                  <c:v>41878</c:v>
                </c:pt>
                <c:pt idx="218">
                  <c:v>41877</c:v>
                </c:pt>
                <c:pt idx="219">
                  <c:v>41876</c:v>
                </c:pt>
                <c:pt idx="220">
                  <c:v>41874</c:v>
                </c:pt>
                <c:pt idx="221">
                  <c:v>41873</c:v>
                </c:pt>
                <c:pt idx="222">
                  <c:v>41872</c:v>
                </c:pt>
                <c:pt idx="223">
                  <c:v>41871</c:v>
                </c:pt>
                <c:pt idx="224">
                  <c:v>41870</c:v>
                </c:pt>
                <c:pt idx="225">
                  <c:v>41869</c:v>
                </c:pt>
                <c:pt idx="226">
                  <c:v>41868</c:v>
                </c:pt>
                <c:pt idx="227">
                  <c:v>41867</c:v>
                </c:pt>
                <c:pt idx="228">
                  <c:v>41866</c:v>
                </c:pt>
                <c:pt idx="229">
                  <c:v>41865</c:v>
                </c:pt>
                <c:pt idx="230">
                  <c:v>41864</c:v>
                </c:pt>
                <c:pt idx="231">
                  <c:v>41863</c:v>
                </c:pt>
                <c:pt idx="232">
                  <c:v>41862</c:v>
                </c:pt>
                <c:pt idx="233">
                  <c:v>41861</c:v>
                </c:pt>
                <c:pt idx="234">
                  <c:v>41860</c:v>
                </c:pt>
                <c:pt idx="235">
                  <c:v>41859</c:v>
                </c:pt>
                <c:pt idx="236">
                  <c:v>41858</c:v>
                </c:pt>
                <c:pt idx="237">
                  <c:v>41857</c:v>
                </c:pt>
                <c:pt idx="238">
                  <c:v>41856</c:v>
                </c:pt>
                <c:pt idx="239">
                  <c:v>41855</c:v>
                </c:pt>
                <c:pt idx="240">
                  <c:v>41854</c:v>
                </c:pt>
                <c:pt idx="241">
                  <c:v>41853</c:v>
                </c:pt>
                <c:pt idx="242">
                  <c:v>41852</c:v>
                </c:pt>
                <c:pt idx="243">
                  <c:v>41851</c:v>
                </c:pt>
                <c:pt idx="244">
                  <c:v>41850</c:v>
                </c:pt>
                <c:pt idx="245">
                  <c:v>41849</c:v>
                </c:pt>
                <c:pt idx="246">
                  <c:v>41848</c:v>
                </c:pt>
                <c:pt idx="247">
                  <c:v>41847</c:v>
                </c:pt>
                <c:pt idx="248">
                  <c:v>41846</c:v>
                </c:pt>
                <c:pt idx="249">
                  <c:v>41845</c:v>
                </c:pt>
                <c:pt idx="250">
                  <c:v>41844</c:v>
                </c:pt>
                <c:pt idx="251">
                  <c:v>41843</c:v>
                </c:pt>
                <c:pt idx="252">
                  <c:v>41842</c:v>
                </c:pt>
                <c:pt idx="253">
                  <c:v>41841</c:v>
                </c:pt>
                <c:pt idx="254">
                  <c:v>41840</c:v>
                </c:pt>
                <c:pt idx="255">
                  <c:v>41839</c:v>
                </c:pt>
                <c:pt idx="256">
                  <c:v>41838</c:v>
                </c:pt>
                <c:pt idx="257">
                  <c:v>41837</c:v>
                </c:pt>
                <c:pt idx="258">
                  <c:v>41836</c:v>
                </c:pt>
                <c:pt idx="259">
                  <c:v>41835</c:v>
                </c:pt>
                <c:pt idx="260">
                  <c:v>41834</c:v>
                </c:pt>
                <c:pt idx="261">
                  <c:v>41833</c:v>
                </c:pt>
                <c:pt idx="262">
                  <c:v>41832</c:v>
                </c:pt>
                <c:pt idx="263">
                  <c:v>41831</c:v>
                </c:pt>
                <c:pt idx="264">
                  <c:v>41830</c:v>
                </c:pt>
                <c:pt idx="265">
                  <c:v>41829</c:v>
                </c:pt>
                <c:pt idx="266">
                  <c:v>41828</c:v>
                </c:pt>
                <c:pt idx="267">
                  <c:v>41827</c:v>
                </c:pt>
                <c:pt idx="268">
                  <c:v>41826</c:v>
                </c:pt>
                <c:pt idx="269">
                  <c:v>41825</c:v>
                </c:pt>
                <c:pt idx="270">
                  <c:v>41824</c:v>
                </c:pt>
                <c:pt idx="271">
                  <c:v>41823</c:v>
                </c:pt>
                <c:pt idx="272">
                  <c:v>41822</c:v>
                </c:pt>
                <c:pt idx="273">
                  <c:v>41821</c:v>
                </c:pt>
                <c:pt idx="274">
                  <c:v>41820</c:v>
                </c:pt>
                <c:pt idx="275">
                  <c:v>41819</c:v>
                </c:pt>
                <c:pt idx="276">
                  <c:v>41818</c:v>
                </c:pt>
                <c:pt idx="277">
                  <c:v>41817</c:v>
                </c:pt>
                <c:pt idx="278">
                  <c:v>41816</c:v>
                </c:pt>
                <c:pt idx="279">
                  <c:v>41815</c:v>
                </c:pt>
                <c:pt idx="280">
                  <c:v>41814</c:v>
                </c:pt>
                <c:pt idx="281">
                  <c:v>41813</c:v>
                </c:pt>
                <c:pt idx="282">
                  <c:v>41812</c:v>
                </c:pt>
                <c:pt idx="283">
                  <c:v>41811</c:v>
                </c:pt>
                <c:pt idx="284">
                  <c:v>41810</c:v>
                </c:pt>
                <c:pt idx="285">
                  <c:v>41809</c:v>
                </c:pt>
                <c:pt idx="286">
                  <c:v>41808</c:v>
                </c:pt>
                <c:pt idx="287">
                  <c:v>41807</c:v>
                </c:pt>
                <c:pt idx="288">
                  <c:v>41806</c:v>
                </c:pt>
                <c:pt idx="289">
                  <c:v>41805</c:v>
                </c:pt>
                <c:pt idx="290">
                  <c:v>41804</c:v>
                </c:pt>
                <c:pt idx="291">
                  <c:v>41803</c:v>
                </c:pt>
                <c:pt idx="292">
                  <c:v>41802</c:v>
                </c:pt>
                <c:pt idx="293">
                  <c:v>41801</c:v>
                </c:pt>
                <c:pt idx="294">
                  <c:v>41800</c:v>
                </c:pt>
                <c:pt idx="295">
                  <c:v>41799</c:v>
                </c:pt>
                <c:pt idx="296">
                  <c:v>41798</c:v>
                </c:pt>
                <c:pt idx="297">
                  <c:v>41797</c:v>
                </c:pt>
                <c:pt idx="298">
                  <c:v>41796</c:v>
                </c:pt>
                <c:pt idx="299">
                  <c:v>41795</c:v>
                </c:pt>
                <c:pt idx="300">
                  <c:v>41794</c:v>
                </c:pt>
                <c:pt idx="301">
                  <c:v>41793</c:v>
                </c:pt>
                <c:pt idx="302">
                  <c:v>41792</c:v>
                </c:pt>
                <c:pt idx="303">
                  <c:v>41791</c:v>
                </c:pt>
                <c:pt idx="304">
                  <c:v>41790</c:v>
                </c:pt>
                <c:pt idx="305">
                  <c:v>41789</c:v>
                </c:pt>
                <c:pt idx="306">
                  <c:v>41788</c:v>
                </c:pt>
                <c:pt idx="307">
                  <c:v>41787</c:v>
                </c:pt>
                <c:pt idx="308">
                  <c:v>41786</c:v>
                </c:pt>
                <c:pt idx="309">
                  <c:v>41785</c:v>
                </c:pt>
                <c:pt idx="310">
                  <c:v>41784</c:v>
                </c:pt>
                <c:pt idx="311">
                  <c:v>41783</c:v>
                </c:pt>
                <c:pt idx="312">
                  <c:v>41782</c:v>
                </c:pt>
                <c:pt idx="313">
                  <c:v>41781</c:v>
                </c:pt>
                <c:pt idx="314">
                  <c:v>41780</c:v>
                </c:pt>
                <c:pt idx="315">
                  <c:v>41779</c:v>
                </c:pt>
                <c:pt idx="316">
                  <c:v>41778</c:v>
                </c:pt>
                <c:pt idx="317">
                  <c:v>41776</c:v>
                </c:pt>
                <c:pt idx="318">
                  <c:v>41775</c:v>
                </c:pt>
                <c:pt idx="319">
                  <c:v>41774</c:v>
                </c:pt>
                <c:pt idx="320">
                  <c:v>41773</c:v>
                </c:pt>
                <c:pt idx="321">
                  <c:v>41772</c:v>
                </c:pt>
                <c:pt idx="322">
                  <c:v>41771</c:v>
                </c:pt>
                <c:pt idx="323">
                  <c:v>41770</c:v>
                </c:pt>
                <c:pt idx="324">
                  <c:v>41769</c:v>
                </c:pt>
                <c:pt idx="325">
                  <c:v>41768</c:v>
                </c:pt>
                <c:pt idx="326">
                  <c:v>41767</c:v>
                </c:pt>
                <c:pt idx="327">
                  <c:v>41766</c:v>
                </c:pt>
                <c:pt idx="328">
                  <c:v>41765</c:v>
                </c:pt>
                <c:pt idx="329">
                  <c:v>41764</c:v>
                </c:pt>
                <c:pt idx="330">
                  <c:v>41763</c:v>
                </c:pt>
                <c:pt idx="331">
                  <c:v>41762</c:v>
                </c:pt>
                <c:pt idx="332">
                  <c:v>41761</c:v>
                </c:pt>
                <c:pt idx="333">
                  <c:v>41760</c:v>
                </c:pt>
                <c:pt idx="334">
                  <c:v>41759</c:v>
                </c:pt>
                <c:pt idx="335">
                  <c:v>41758</c:v>
                </c:pt>
                <c:pt idx="336">
                  <c:v>41757</c:v>
                </c:pt>
                <c:pt idx="337">
                  <c:v>41756</c:v>
                </c:pt>
                <c:pt idx="338">
                  <c:v>41755</c:v>
                </c:pt>
                <c:pt idx="339">
                  <c:v>41754</c:v>
                </c:pt>
                <c:pt idx="340">
                  <c:v>41753</c:v>
                </c:pt>
                <c:pt idx="341">
                  <c:v>41752</c:v>
                </c:pt>
                <c:pt idx="342">
                  <c:v>41751</c:v>
                </c:pt>
                <c:pt idx="343">
                  <c:v>41750</c:v>
                </c:pt>
                <c:pt idx="344">
                  <c:v>41749</c:v>
                </c:pt>
                <c:pt idx="345">
                  <c:v>41748</c:v>
                </c:pt>
                <c:pt idx="346">
                  <c:v>41747</c:v>
                </c:pt>
                <c:pt idx="347">
                  <c:v>41746</c:v>
                </c:pt>
                <c:pt idx="348">
                  <c:v>41745</c:v>
                </c:pt>
                <c:pt idx="349">
                  <c:v>41744</c:v>
                </c:pt>
                <c:pt idx="350">
                  <c:v>41743</c:v>
                </c:pt>
                <c:pt idx="351">
                  <c:v>41742</c:v>
                </c:pt>
                <c:pt idx="352">
                  <c:v>41741</c:v>
                </c:pt>
                <c:pt idx="353">
                  <c:v>41740</c:v>
                </c:pt>
                <c:pt idx="354">
                  <c:v>41739</c:v>
                </c:pt>
                <c:pt idx="355">
                  <c:v>41738</c:v>
                </c:pt>
                <c:pt idx="356">
                  <c:v>41737</c:v>
                </c:pt>
                <c:pt idx="357">
                  <c:v>41736</c:v>
                </c:pt>
                <c:pt idx="358">
                  <c:v>41735</c:v>
                </c:pt>
                <c:pt idx="359">
                  <c:v>41734</c:v>
                </c:pt>
                <c:pt idx="360">
                  <c:v>41733</c:v>
                </c:pt>
                <c:pt idx="361">
                  <c:v>41732</c:v>
                </c:pt>
                <c:pt idx="362">
                  <c:v>41731</c:v>
                </c:pt>
                <c:pt idx="363">
                  <c:v>41730</c:v>
                </c:pt>
                <c:pt idx="364">
                  <c:v>41729</c:v>
                </c:pt>
                <c:pt idx="365">
                  <c:v>41728</c:v>
                </c:pt>
                <c:pt idx="366">
                  <c:v>41727</c:v>
                </c:pt>
                <c:pt idx="367">
                  <c:v>41726</c:v>
                </c:pt>
                <c:pt idx="368">
                  <c:v>41725</c:v>
                </c:pt>
                <c:pt idx="369">
                  <c:v>41724</c:v>
                </c:pt>
                <c:pt idx="370">
                  <c:v>41723</c:v>
                </c:pt>
                <c:pt idx="371">
                  <c:v>41722</c:v>
                </c:pt>
                <c:pt idx="372">
                  <c:v>41721</c:v>
                </c:pt>
                <c:pt idx="373">
                  <c:v>41720</c:v>
                </c:pt>
                <c:pt idx="374">
                  <c:v>41719</c:v>
                </c:pt>
                <c:pt idx="375">
                  <c:v>41718</c:v>
                </c:pt>
                <c:pt idx="376">
                  <c:v>41717</c:v>
                </c:pt>
                <c:pt idx="377">
                  <c:v>41716</c:v>
                </c:pt>
                <c:pt idx="378">
                  <c:v>41715</c:v>
                </c:pt>
                <c:pt idx="379">
                  <c:v>41714</c:v>
                </c:pt>
                <c:pt idx="380">
                  <c:v>41713</c:v>
                </c:pt>
                <c:pt idx="381">
                  <c:v>41712</c:v>
                </c:pt>
                <c:pt idx="382">
                  <c:v>41711</c:v>
                </c:pt>
                <c:pt idx="383">
                  <c:v>41710</c:v>
                </c:pt>
                <c:pt idx="384">
                  <c:v>41709</c:v>
                </c:pt>
                <c:pt idx="385">
                  <c:v>41708</c:v>
                </c:pt>
                <c:pt idx="386">
                  <c:v>41707</c:v>
                </c:pt>
                <c:pt idx="387">
                  <c:v>41706</c:v>
                </c:pt>
                <c:pt idx="388">
                  <c:v>41705</c:v>
                </c:pt>
                <c:pt idx="389">
                  <c:v>41704</c:v>
                </c:pt>
                <c:pt idx="390">
                  <c:v>41703</c:v>
                </c:pt>
                <c:pt idx="391">
                  <c:v>41702</c:v>
                </c:pt>
                <c:pt idx="392">
                  <c:v>41701</c:v>
                </c:pt>
                <c:pt idx="393">
                  <c:v>41700</c:v>
                </c:pt>
                <c:pt idx="394">
                  <c:v>41699</c:v>
                </c:pt>
                <c:pt idx="395">
                  <c:v>41698</c:v>
                </c:pt>
                <c:pt idx="396">
                  <c:v>41697</c:v>
                </c:pt>
                <c:pt idx="397">
                  <c:v>41696</c:v>
                </c:pt>
                <c:pt idx="398">
                  <c:v>41695</c:v>
                </c:pt>
                <c:pt idx="399">
                  <c:v>41694</c:v>
                </c:pt>
                <c:pt idx="400">
                  <c:v>41693</c:v>
                </c:pt>
                <c:pt idx="401">
                  <c:v>41692</c:v>
                </c:pt>
                <c:pt idx="402">
                  <c:v>41691</c:v>
                </c:pt>
                <c:pt idx="403">
                  <c:v>41690</c:v>
                </c:pt>
                <c:pt idx="404">
                  <c:v>41689</c:v>
                </c:pt>
                <c:pt idx="405">
                  <c:v>41688</c:v>
                </c:pt>
                <c:pt idx="406">
                  <c:v>41687</c:v>
                </c:pt>
                <c:pt idx="407">
                  <c:v>41686</c:v>
                </c:pt>
                <c:pt idx="408">
                  <c:v>41685</c:v>
                </c:pt>
                <c:pt idx="409">
                  <c:v>41684</c:v>
                </c:pt>
                <c:pt idx="410">
                  <c:v>41683</c:v>
                </c:pt>
                <c:pt idx="411">
                  <c:v>41682</c:v>
                </c:pt>
                <c:pt idx="412">
                  <c:v>41681</c:v>
                </c:pt>
                <c:pt idx="413">
                  <c:v>41680</c:v>
                </c:pt>
                <c:pt idx="414">
                  <c:v>41679</c:v>
                </c:pt>
                <c:pt idx="415">
                  <c:v>41678</c:v>
                </c:pt>
                <c:pt idx="416">
                  <c:v>41677</c:v>
                </c:pt>
                <c:pt idx="417">
                  <c:v>41676</c:v>
                </c:pt>
                <c:pt idx="418">
                  <c:v>41675</c:v>
                </c:pt>
                <c:pt idx="419">
                  <c:v>41674</c:v>
                </c:pt>
                <c:pt idx="420">
                  <c:v>41673</c:v>
                </c:pt>
                <c:pt idx="421">
                  <c:v>41672</c:v>
                </c:pt>
                <c:pt idx="422">
                  <c:v>41671</c:v>
                </c:pt>
                <c:pt idx="423">
                  <c:v>41670</c:v>
                </c:pt>
                <c:pt idx="424">
                  <c:v>41669</c:v>
                </c:pt>
                <c:pt idx="425">
                  <c:v>41668</c:v>
                </c:pt>
                <c:pt idx="426">
                  <c:v>41667</c:v>
                </c:pt>
                <c:pt idx="427">
                  <c:v>41666</c:v>
                </c:pt>
                <c:pt idx="428">
                  <c:v>41665</c:v>
                </c:pt>
                <c:pt idx="429">
                  <c:v>41664</c:v>
                </c:pt>
                <c:pt idx="430">
                  <c:v>41663</c:v>
                </c:pt>
                <c:pt idx="431">
                  <c:v>41662</c:v>
                </c:pt>
                <c:pt idx="432">
                  <c:v>41661</c:v>
                </c:pt>
                <c:pt idx="433">
                  <c:v>41660</c:v>
                </c:pt>
                <c:pt idx="434">
                  <c:v>41659</c:v>
                </c:pt>
                <c:pt idx="435">
                  <c:v>41658</c:v>
                </c:pt>
                <c:pt idx="436">
                  <c:v>41657</c:v>
                </c:pt>
                <c:pt idx="437">
                  <c:v>41656</c:v>
                </c:pt>
                <c:pt idx="438">
                  <c:v>41655</c:v>
                </c:pt>
                <c:pt idx="439">
                  <c:v>41654</c:v>
                </c:pt>
                <c:pt idx="440">
                  <c:v>41653</c:v>
                </c:pt>
                <c:pt idx="441">
                  <c:v>41652</c:v>
                </c:pt>
                <c:pt idx="442">
                  <c:v>41651</c:v>
                </c:pt>
                <c:pt idx="443">
                  <c:v>41650</c:v>
                </c:pt>
                <c:pt idx="444">
                  <c:v>41649</c:v>
                </c:pt>
                <c:pt idx="445">
                  <c:v>41648</c:v>
                </c:pt>
                <c:pt idx="446">
                  <c:v>41647</c:v>
                </c:pt>
                <c:pt idx="447">
                  <c:v>41646</c:v>
                </c:pt>
                <c:pt idx="448">
                  <c:v>41645</c:v>
                </c:pt>
                <c:pt idx="449">
                  <c:v>41644</c:v>
                </c:pt>
                <c:pt idx="450">
                  <c:v>41643</c:v>
                </c:pt>
                <c:pt idx="451">
                  <c:v>41642</c:v>
                </c:pt>
                <c:pt idx="452">
                  <c:v>41641</c:v>
                </c:pt>
                <c:pt idx="453">
                  <c:v>41640</c:v>
                </c:pt>
                <c:pt idx="454">
                  <c:v>41639</c:v>
                </c:pt>
                <c:pt idx="455">
                  <c:v>41638</c:v>
                </c:pt>
                <c:pt idx="456">
                  <c:v>41637</c:v>
                </c:pt>
                <c:pt idx="457">
                  <c:v>41636</c:v>
                </c:pt>
                <c:pt idx="458">
                  <c:v>41635</c:v>
                </c:pt>
                <c:pt idx="459">
                  <c:v>41634</c:v>
                </c:pt>
                <c:pt idx="460">
                  <c:v>41633</c:v>
                </c:pt>
                <c:pt idx="461">
                  <c:v>41632</c:v>
                </c:pt>
                <c:pt idx="462">
                  <c:v>41631</c:v>
                </c:pt>
                <c:pt idx="463">
                  <c:v>41630</c:v>
                </c:pt>
                <c:pt idx="464">
                  <c:v>41629</c:v>
                </c:pt>
                <c:pt idx="465">
                  <c:v>41628</c:v>
                </c:pt>
                <c:pt idx="466">
                  <c:v>41627</c:v>
                </c:pt>
                <c:pt idx="467">
                  <c:v>41626</c:v>
                </c:pt>
                <c:pt idx="468">
                  <c:v>41625</c:v>
                </c:pt>
                <c:pt idx="469">
                  <c:v>41624</c:v>
                </c:pt>
                <c:pt idx="470">
                  <c:v>41623</c:v>
                </c:pt>
                <c:pt idx="471">
                  <c:v>41622</c:v>
                </c:pt>
                <c:pt idx="472">
                  <c:v>41621</c:v>
                </c:pt>
                <c:pt idx="473">
                  <c:v>41620</c:v>
                </c:pt>
                <c:pt idx="474">
                  <c:v>41619</c:v>
                </c:pt>
                <c:pt idx="475">
                  <c:v>41618</c:v>
                </c:pt>
                <c:pt idx="476">
                  <c:v>41617</c:v>
                </c:pt>
                <c:pt idx="477">
                  <c:v>41616</c:v>
                </c:pt>
                <c:pt idx="478">
                  <c:v>41615</c:v>
                </c:pt>
                <c:pt idx="479">
                  <c:v>41614</c:v>
                </c:pt>
                <c:pt idx="480">
                  <c:v>41613</c:v>
                </c:pt>
                <c:pt idx="481">
                  <c:v>41612</c:v>
                </c:pt>
                <c:pt idx="482">
                  <c:v>41611</c:v>
                </c:pt>
                <c:pt idx="483">
                  <c:v>41610</c:v>
                </c:pt>
                <c:pt idx="484">
                  <c:v>41609</c:v>
                </c:pt>
                <c:pt idx="485">
                  <c:v>41608</c:v>
                </c:pt>
                <c:pt idx="486">
                  <c:v>41607</c:v>
                </c:pt>
                <c:pt idx="487">
                  <c:v>41606</c:v>
                </c:pt>
                <c:pt idx="488">
                  <c:v>41605</c:v>
                </c:pt>
                <c:pt idx="489">
                  <c:v>41604</c:v>
                </c:pt>
                <c:pt idx="490">
                  <c:v>41603</c:v>
                </c:pt>
                <c:pt idx="491">
                  <c:v>41602</c:v>
                </c:pt>
                <c:pt idx="492">
                  <c:v>41601</c:v>
                </c:pt>
                <c:pt idx="493">
                  <c:v>41600</c:v>
                </c:pt>
                <c:pt idx="494">
                  <c:v>41599</c:v>
                </c:pt>
                <c:pt idx="495">
                  <c:v>41598</c:v>
                </c:pt>
                <c:pt idx="496">
                  <c:v>41597</c:v>
                </c:pt>
                <c:pt idx="497">
                  <c:v>41596</c:v>
                </c:pt>
                <c:pt idx="498">
                  <c:v>41595</c:v>
                </c:pt>
                <c:pt idx="499">
                  <c:v>41594</c:v>
                </c:pt>
                <c:pt idx="500">
                  <c:v>41593</c:v>
                </c:pt>
                <c:pt idx="501">
                  <c:v>41592</c:v>
                </c:pt>
                <c:pt idx="502">
                  <c:v>41591</c:v>
                </c:pt>
                <c:pt idx="503">
                  <c:v>41590</c:v>
                </c:pt>
                <c:pt idx="504">
                  <c:v>41589</c:v>
                </c:pt>
                <c:pt idx="505">
                  <c:v>41588</c:v>
                </c:pt>
                <c:pt idx="506">
                  <c:v>41587</c:v>
                </c:pt>
                <c:pt idx="507">
                  <c:v>41586</c:v>
                </c:pt>
                <c:pt idx="508">
                  <c:v>41585</c:v>
                </c:pt>
                <c:pt idx="509">
                  <c:v>41584</c:v>
                </c:pt>
                <c:pt idx="510">
                  <c:v>41583</c:v>
                </c:pt>
                <c:pt idx="511">
                  <c:v>41582</c:v>
                </c:pt>
                <c:pt idx="512">
                  <c:v>41581</c:v>
                </c:pt>
                <c:pt idx="513">
                  <c:v>41580</c:v>
                </c:pt>
                <c:pt idx="514">
                  <c:v>41579</c:v>
                </c:pt>
                <c:pt idx="515">
                  <c:v>41578</c:v>
                </c:pt>
                <c:pt idx="516">
                  <c:v>41577</c:v>
                </c:pt>
                <c:pt idx="517">
                  <c:v>41576</c:v>
                </c:pt>
                <c:pt idx="518">
                  <c:v>41575</c:v>
                </c:pt>
                <c:pt idx="519">
                  <c:v>41574</c:v>
                </c:pt>
                <c:pt idx="520">
                  <c:v>41573</c:v>
                </c:pt>
                <c:pt idx="521">
                  <c:v>41572</c:v>
                </c:pt>
                <c:pt idx="522">
                  <c:v>41571</c:v>
                </c:pt>
                <c:pt idx="523">
                  <c:v>41570</c:v>
                </c:pt>
                <c:pt idx="524">
                  <c:v>41569</c:v>
                </c:pt>
                <c:pt idx="525">
                  <c:v>41568</c:v>
                </c:pt>
                <c:pt idx="526">
                  <c:v>41567</c:v>
                </c:pt>
                <c:pt idx="527">
                  <c:v>41566</c:v>
                </c:pt>
                <c:pt idx="528">
                  <c:v>41565</c:v>
                </c:pt>
                <c:pt idx="529">
                  <c:v>41564</c:v>
                </c:pt>
                <c:pt idx="530">
                  <c:v>41563</c:v>
                </c:pt>
                <c:pt idx="531">
                  <c:v>41562</c:v>
                </c:pt>
                <c:pt idx="532">
                  <c:v>41561</c:v>
                </c:pt>
                <c:pt idx="533">
                  <c:v>41560</c:v>
                </c:pt>
                <c:pt idx="534">
                  <c:v>41559</c:v>
                </c:pt>
                <c:pt idx="535">
                  <c:v>41558</c:v>
                </c:pt>
                <c:pt idx="536">
                  <c:v>41557</c:v>
                </c:pt>
                <c:pt idx="537">
                  <c:v>41556</c:v>
                </c:pt>
                <c:pt idx="538">
                  <c:v>41555</c:v>
                </c:pt>
                <c:pt idx="539">
                  <c:v>41554</c:v>
                </c:pt>
                <c:pt idx="540">
                  <c:v>41553</c:v>
                </c:pt>
                <c:pt idx="541">
                  <c:v>41552</c:v>
                </c:pt>
                <c:pt idx="542">
                  <c:v>41551</c:v>
                </c:pt>
                <c:pt idx="543">
                  <c:v>41550</c:v>
                </c:pt>
                <c:pt idx="544">
                  <c:v>41549</c:v>
                </c:pt>
                <c:pt idx="545">
                  <c:v>41548</c:v>
                </c:pt>
                <c:pt idx="546">
                  <c:v>41547</c:v>
                </c:pt>
                <c:pt idx="547">
                  <c:v>41546</c:v>
                </c:pt>
                <c:pt idx="548">
                  <c:v>41545</c:v>
                </c:pt>
                <c:pt idx="549">
                  <c:v>41544</c:v>
                </c:pt>
                <c:pt idx="550">
                  <c:v>41543</c:v>
                </c:pt>
                <c:pt idx="551">
                  <c:v>41542</c:v>
                </c:pt>
                <c:pt idx="552">
                  <c:v>41541</c:v>
                </c:pt>
                <c:pt idx="553">
                  <c:v>41540</c:v>
                </c:pt>
                <c:pt idx="554">
                  <c:v>41539</c:v>
                </c:pt>
                <c:pt idx="555">
                  <c:v>41538</c:v>
                </c:pt>
                <c:pt idx="556">
                  <c:v>41537</c:v>
                </c:pt>
                <c:pt idx="557">
                  <c:v>41536</c:v>
                </c:pt>
                <c:pt idx="558">
                  <c:v>41535</c:v>
                </c:pt>
                <c:pt idx="559">
                  <c:v>41534</c:v>
                </c:pt>
                <c:pt idx="560">
                  <c:v>41533</c:v>
                </c:pt>
                <c:pt idx="561">
                  <c:v>41532</c:v>
                </c:pt>
                <c:pt idx="562">
                  <c:v>41531</c:v>
                </c:pt>
                <c:pt idx="563">
                  <c:v>41530</c:v>
                </c:pt>
                <c:pt idx="564">
                  <c:v>41529</c:v>
                </c:pt>
                <c:pt idx="565">
                  <c:v>41528</c:v>
                </c:pt>
                <c:pt idx="566">
                  <c:v>41527</c:v>
                </c:pt>
                <c:pt idx="567">
                  <c:v>41526</c:v>
                </c:pt>
                <c:pt idx="568">
                  <c:v>41525</c:v>
                </c:pt>
                <c:pt idx="569">
                  <c:v>41524</c:v>
                </c:pt>
                <c:pt idx="570">
                  <c:v>41523</c:v>
                </c:pt>
                <c:pt idx="571">
                  <c:v>41522</c:v>
                </c:pt>
                <c:pt idx="572">
                  <c:v>41521</c:v>
                </c:pt>
                <c:pt idx="573">
                  <c:v>41520</c:v>
                </c:pt>
                <c:pt idx="574">
                  <c:v>41519</c:v>
                </c:pt>
                <c:pt idx="575">
                  <c:v>41518</c:v>
                </c:pt>
                <c:pt idx="576">
                  <c:v>41517</c:v>
                </c:pt>
                <c:pt idx="577">
                  <c:v>41516</c:v>
                </c:pt>
                <c:pt idx="578">
                  <c:v>41515</c:v>
                </c:pt>
                <c:pt idx="579">
                  <c:v>41514</c:v>
                </c:pt>
                <c:pt idx="580">
                  <c:v>41513</c:v>
                </c:pt>
                <c:pt idx="581">
                  <c:v>41512</c:v>
                </c:pt>
                <c:pt idx="582">
                  <c:v>41511</c:v>
                </c:pt>
                <c:pt idx="583">
                  <c:v>41510</c:v>
                </c:pt>
                <c:pt idx="584">
                  <c:v>41509</c:v>
                </c:pt>
                <c:pt idx="585">
                  <c:v>41508</c:v>
                </c:pt>
                <c:pt idx="586">
                  <c:v>41507</c:v>
                </c:pt>
                <c:pt idx="587">
                  <c:v>41506</c:v>
                </c:pt>
                <c:pt idx="588">
                  <c:v>41505</c:v>
                </c:pt>
                <c:pt idx="589">
                  <c:v>41504</c:v>
                </c:pt>
                <c:pt idx="590">
                  <c:v>41503</c:v>
                </c:pt>
                <c:pt idx="591">
                  <c:v>41502</c:v>
                </c:pt>
                <c:pt idx="592">
                  <c:v>41501</c:v>
                </c:pt>
                <c:pt idx="593">
                  <c:v>41500</c:v>
                </c:pt>
                <c:pt idx="594">
                  <c:v>41499</c:v>
                </c:pt>
                <c:pt idx="595">
                  <c:v>41498</c:v>
                </c:pt>
                <c:pt idx="596">
                  <c:v>41497</c:v>
                </c:pt>
                <c:pt idx="597">
                  <c:v>41496</c:v>
                </c:pt>
                <c:pt idx="598">
                  <c:v>41495</c:v>
                </c:pt>
                <c:pt idx="599">
                  <c:v>41494</c:v>
                </c:pt>
                <c:pt idx="600">
                  <c:v>41493</c:v>
                </c:pt>
                <c:pt idx="601">
                  <c:v>41492</c:v>
                </c:pt>
                <c:pt idx="602">
                  <c:v>41491</c:v>
                </c:pt>
                <c:pt idx="603">
                  <c:v>41490</c:v>
                </c:pt>
                <c:pt idx="604">
                  <c:v>41489</c:v>
                </c:pt>
                <c:pt idx="605">
                  <c:v>41488</c:v>
                </c:pt>
                <c:pt idx="606">
                  <c:v>41487</c:v>
                </c:pt>
                <c:pt idx="607">
                  <c:v>41486</c:v>
                </c:pt>
                <c:pt idx="608">
                  <c:v>41485</c:v>
                </c:pt>
                <c:pt idx="609">
                  <c:v>41484</c:v>
                </c:pt>
                <c:pt idx="610">
                  <c:v>41483</c:v>
                </c:pt>
                <c:pt idx="611">
                  <c:v>41482</c:v>
                </c:pt>
                <c:pt idx="612">
                  <c:v>41481</c:v>
                </c:pt>
                <c:pt idx="613">
                  <c:v>41480</c:v>
                </c:pt>
                <c:pt idx="614">
                  <c:v>41479</c:v>
                </c:pt>
                <c:pt idx="615">
                  <c:v>41478</c:v>
                </c:pt>
                <c:pt idx="616">
                  <c:v>41477</c:v>
                </c:pt>
                <c:pt idx="617">
                  <c:v>41476</c:v>
                </c:pt>
                <c:pt idx="618">
                  <c:v>41475</c:v>
                </c:pt>
                <c:pt idx="619">
                  <c:v>41474</c:v>
                </c:pt>
                <c:pt idx="620">
                  <c:v>41473</c:v>
                </c:pt>
                <c:pt idx="621">
                  <c:v>41472</c:v>
                </c:pt>
                <c:pt idx="622">
                  <c:v>41471</c:v>
                </c:pt>
                <c:pt idx="623">
                  <c:v>41470</c:v>
                </c:pt>
                <c:pt idx="624">
                  <c:v>41469</c:v>
                </c:pt>
                <c:pt idx="625">
                  <c:v>41468</c:v>
                </c:pt>
                <c:pt idx="626">
                  <c:v>41467</c:v>
                </c:pt>
                <c:pt idx="627">
                  <c:v>41466</c:v>
                </c:pt>
                <c:pt idx="628">
                  <c:v>41465</c:v>
                </c:pt>
                <c:pt idx="629">
                  <c:v>41464</c:v>
                </c:pt>
                <c:pt idx="630">
                  <c:v>41463</c:v>
                </c:pt>
                <c:pt idx="631">
                  <c:v>41462</c:v>
                </c:pt>
                <c:pt idx="632">
                  <c:v>41461</c:v>
                </c:pt>
                <c:pt idx="633">
                  <c:v>41460</c:v>
                </c:pt>
                <c:pt idx="634">
                  <c:v>41459</c:v>
                </c:pt>
                <c:pt idx="635">
                  <c:v>41458</c:v>
                </c:pt>
                <c:pt idx="636">
                  <c:v>41457</c:v>
                </c:pt>
                <c:pt idx="637">
                  <c:v>41456</c:v>
                </c:pt>
                <c:pt idx="638">
                  <c:v>41455</c:v>
                </c:pt>
                <c:pt idx="639">
                  <c:v>41454</c:v>
                </c:pt>
                <c:pt idx="640">
                  <c:v>41453</c:v>
                </c:pt>
                <c:pt idx="641">
                  <c:v>41452</c:v>
                </c:pt>
                <c:pt idx="642">
                  <c:v>41451</c:v>
                </c:pt>
                <c:pt idx="643">
                  <c:v>41450</c:v>
                </c:pt>
                <c:pt idx="644">
                  <c:v>41449</c:v>
                </c:pt>
                <c:pt idx="645">
                  <c:v>41448</c:v>
                </c:pt>
                <c:pt idx="646">
                  <c:v>41447</c:v>
                </c:pt>
                <c:pt idx="647">
                  <c:v>41446</c:v>
                </c:pt>
                <c:pt idx="648">
                  <c:v>41445</c:v>
                </c:pt>
                <c:pt idx="649">
                  <c:v>41444</c:v>
                </c:pt>
                <c:pt idx="650">
                  <c:v>41443</c:v>
                </c:pt>
                <c:pt idx="651">
                  <c:v>41442</c:v>
                </c:pt>
                <c:pt idx="652">
                  <c:v>41441</c:v>
                </c:pt>
                <c:pt idx="653">
                  <c:v>41440</c:v>
                </c:pt>
                <c:pt idx="654">
                  <c:v>41439</c:v>
                </c:pt>
                <c:pt idx="655">
                  <c:v>41438</c:v>
                </c:pt>
                <c:pt idx="656">
                  <c:v>41437</c:v>
                </c:pt>
                <c:pt idx="657">
                  <c:v>41436</c:v>
                </c:pt>
                <c:pt idx="658">
                  <c:v>41435</c:v>
                </c:pt>
                <c:pt idx="659">
                  <c:v>41434</c:v>
                </c:pt>
                <c:pt idx="660">
                  <c:v>41433</c:v>
                </c:pt>
                <c:pt idx="661">
                  <c:v>41432</c:v>
                </c:pt>
                <c:pt idx="662">
                  <c:v>41431</c:v>
                </c:pt>
                <c:pt idx="663">
                  <c:v>41430</c:v>
                </c:pt>
                <c:pt idx="664">
                  <c:v>41429</c:v>
                </c:pt>
                <c:pt idx="665">
                  <c:v>41428</c:v>
                </c:pt>
                <c:pt idx="666">
                  <c:v>41427</c:v>
                </c:pt>
                <c:pt idx="667">
                  <c:v>41426</c:v>
                </c:pt>
                <c:pt idx="668">
                  <c:v>41425</c:v>
                </c:pt>
                <c:pt idx="669">
                  <c:v>41424</c:v>
                </c:pt>
                <c:pt idx="670">
                  <c:v>41423</c:v>
                </c:pt>
                <c:pt idx="671">
                  <c:v>41422</c:v>
                </c:pt>
                <c:pt idx="672">
                  <c:v>41421</c:v>
                </c:pt>
                <c:pt idx="673">
                  <c:v>41420</c:v>
                </c:pt>
                <c:pt idx="674">
                  <c:v>41419</c:v>
                </c:pt>
                <c:pt idx="675">
                  <c:v>41418</c:v>
                </c:pt>
                <c:pt idx="676">
                  <c:v>41417</c:v>
                </c:pt>
                <c:pt idx="677">
                  <c:v>41416</c:v>
                </c:pt>
                <c:pt idx="678">
                  <c:v>41415</c:v>
                </c:pt>
                <c:pt idx="679">
                  <c:v>41414</c:v>
                </c:pt>
                <c:pt idx="680">
                  <c:v>41413</c:v>
                </c:pt>
                <c:pt idx="681">
                  <c:v>41412</c:v>
                </c:pt>
                <c:pt idx="682">
                  <c:v>41411</c:v>
                </c:pt>
                <c:pt idx="683">
                  <c:v>41410</c:v>
                </c:pt>
                <c:pt idx="684">
                  <c:v>41409</c:v>
                </c:pt>
                <c:pt idx="685">
                  <c:v>41408</c:v>
                </c:pt>
                <c:pt idx="686">
                  <c:v>41407</c:v>
                </c:pt>
                <c:pt idx="687">
                  <c:v>41406</c:v>
                </c:pt>
                <c:pt idx="688">
                  <c:v>41405</c:v>
                </c:pt>
                <c:pt idx="689">
                  <c:v>41404</c:v>
                </c:pt>
                <c:pt idx="690">
                  <c:v>41403</c:v>
                </c:pt>
                <c:pt idx="691">
                  <c:v>41402</c:v>
                </c:pt>
                <c:pt idx="692">
                  <c:v>41401</c:v>
                </c:pt>
                <c:pt idx="693">
                  <c:v>41400</c:v>
                </c:pt>
                <c:pt idx="694">
                  <c:v>41399</c:v>
                </c:pt>
                <c:pt idx="695">
                  <c:v>41398</c:v>
                </c:pt>
                <c:pt idx="696">
                  <c:v>41397</c:v>
                </c:pt>
                <c:pt idx="697">
                  <c:v>41396</c:v>
                </c:pt>
                <c:pt idx="698">
                  <c:v>41395</c:v>
                </c:pt>
                <c:pt idx="699">
                  <c:v>41394</c:v>
                </c:pt>
                <c:pt idx="700">
                  <c:v>41393</c:v>
                </c:pt>
                <c:pt idx="701">
                  <c:v>41392</c:v>
                </c:pt>
                <c:pt idx="702">
                  <c:v>41391</c:v>
                </c:pt>
                <c:pt idx="703">
                  <c:v>41390</c:v>
                </c:pt>
                <c:pt idx="704">
                  <c:v>41389</c:v>
                </c:pt>
                <c:pt idx="705">
                  <c:v>41388</c:v>
                </c:pt>
                <c:pt idx="706">
                  <c:v>41387</c:v>
                </c:pt>
                <c:pt idx="707">
                  <c:v>41386</c:v>
                </c:pt>
                <c:pt idx="708">
                  <c:v>41385</c:v>
                </c:pt>
                <c:pt idx="709">
                  <c:v>41384</c:v>
                </c:pt>
                <c:pt idx="710">
                  <c:v>41383</c:v>
                </c:pt>
                <c:pt idx="711">
                  <c:v>41382</c:v>
                </c:pt>
                <c:pt idx="712">
                  <c:v>41381</c:v>
                </c:pt>
                <c:pt idx="713">
                  <c:v>41380</c:v>
                </c:pt>
                <c:pt idx="714">
                  <c:v>41379</c:v>
                </c:pt>
                <c:pt idx="715">
                  <c:v>41378</c:v>
                </c:pt>
                <c:pt idx="716">
                  <c:v>41377</c:v>
                </c:pt>
                <c:pt idx="717">
                  <c:v>41376</c:v>
                </c:pt>
                <c:pt idx="718">
                  <c:v>41375</c:v>
                </c:pt>
                <c:pt idx="719">
                  <c:v>41374</c:v>
                </c:pt>
                <c:pt idx="720">
                  <c:v>41373</c:v>
                </c:pt>
                <c:pt idx="721">
                  <c:v>41372</c:v>
                </c:pt>
                <c:pt idx="722">
                  <c:v>41371</c:v>
                </c:pt>
                <c:pt idx="723">
                  <c:v>41370</c:v>
                </c:pt>
                <c:pt idx="724">
                  <c:v>41369</c:v>
                </c:pt>
                <c:pt idx="725">
                  <c:v>41368</c:v>
                </c:pt>
                <c:pt idx="726">
                  <c:v>41367</c:v>
                </c:pt>
                <c:pt idx="727">
                  <c:v>41366</c:v>
                </c:pt>
                <c:pt idx="728">
                  <c:v>41365</c:v>
                </c:pt>
                <c:pt idx="729">
                  <c:v>41364</c:v>
                </c:pt>
                <c:pt idx="730">
                  <c:v>41363</c:v>
                </c:pt>
                <c:pt idx="731">
                  <c:v>41362</c:v>
                </c:pt>
                <c:pt idx="732">
                  <c:v>41361</c:v>
                </c:pt>
                <c:pt idx="733">
                  <c:v>41360</c:v>
                </c:pt>
                <c:pt idx="734">
                  <c:v>41359</c:v>
                </c:pt>
                <c:pt idx="735">
                  <c:v>41358</c:v>
                </c:pt>
                <c:pt idx="736">
                  <c:v>41357</c:v>
                </c:pt>
                <c:pt idx="737">
                  <c:v>41356</c:v>
                </c:pt>
                <c:pt idx="738">
                  <c:v>41355</c:v>
                </c:pt>
                <c:pt idx="739">
                  <c:v>41354</c:v>
                </c:pt>
                <c:pt idx="740">
                  <c:v>41353</c:v>
                </c:pt>
                <c:pt idx="741">
                  <c:v>41352</c:v>
                </c:pt>
                <c:pt idx="742">
                  <c:v>41351</c:v>
                </c:pt>
                <c:pt idx="743">
                  <c:v>41350</c:v>
                </c:pt>
                <c:pt idx="744">
                  <c:v>41349</c:v>
                </c:pt>
                <c:pt idx="745">
                  <c:v>41348</c:v>
                </c:pt>
                <c:pt idx="746">
                  <c:v>41347</c:v>
                </c:pt>
                <c:pt idx="747">
                  <c:v>41346</c:v>
                </c:pt>
                <c:pt idx="748">
                  <c:v>41345</c:v>
                </c:pt>
                <c:pt idx="749">
                  <c:v>41344</c:v>
                </c:pt>
                <c:pt idx="750">
                  <c:v>41343</c:v>
                </c:pt>
                <c:pt idx="751">
                  <c:v>41342</c:v>
                </c:pt>
                <c:pt idx="752">
                  <c:v>41341</c:v>
                </c:pt>
                <c:pt idx="753">
                  <c:v>41340</c:v>
                </c:pt>
                <c:pt idx="754">
                  <c:v>41339</c:v>
                </c:pt>
                <c:pt idx="755">
                  <c:v>41338</c:v>
                </c:pt>
                <c:pt idx="756">
                  <c:v>41337</c:v>
                </c:pt>
                <c:pt idx="757">
                  <c:v>41336</c:v>
                </c:pt>
                <c:pt idx="758">
                  <c:v>41335</c:v>
                </c:pt>
                <c:pt idx="759">
                  <c:v>41334</c:v>
                </c:pt>
                <c:pt idx="760">
                  <c:v>41333</c:v>
                </c:pt>
                <c:pt idx="761">
                  <c:v>41332</c:v>
                </c:pt>
                <c:pt idx="762">
                  <c:v>41331</c:v>
                </c:pt>
                <c:pt idx="763">
                  <c:v>41330</c:v>
                </c:pt>
                <c:pt idx="764">
                  <c:v>41329</c:v>
                </c:pt>
                <c:pt idx="765">
                  <c:v>41328</c:v>
                </c:pt>
                <c:pt idx="766">
                  <c:v>41327</c:v>
                </c:pt>
                <c:pt idx="767">
                  <c:v>41326</c:v>
                </c:pt>
                <c:pt idx="768">
                  <c:v>41325</c:v>
                </c:pt>
                <c:pt idx="769">
                  <c:v>41324</c:v>
                </c:pt>
                <c:pt idx="770">
                  <c:v>41323</c:v>
                </c:pt>
                <c:pt idx="771">
                  <c:v>41322</c:v>
                </c:pt>
                <c:pt idx="772">
                  <c:v>41321</c:v>
                </c:pt>
                <c:pt idx="773">
                  <c:v>41320</c:v>
                </c:pt>
                <c:pt idx="774">
                  <c:v>41319</c:v>
                </c:pt>
                <c:pt idx="775">
                  <c:v>41318</c:v>
                </c:pt>
                <c:pt idx="776">
                  <c:v>41317</c:v>
                </c:pt>
                <c:pt idx="777">
                  <c:v>41316</c:v>
                </c:pt>
                <c:pt idx="778">
                  <c:v>41315</c:v>
                </c:pt>
                <c:pt idx="779">
                  <c:v>41314</c:v>
                </c:pt>
                <c:pt idx="780">
                  <c:v>41313</c:v>
                </c:pt>
                <c:pt idx="781">
                  <c:v>41312</c:v>
                </c:pt>
                <c:pt idx="782">
                  <c:v>41311</c:v>
                </c:pt>
                <c:pt idx="783">
                  <c:v>41310</c:v>
                </c:pt>
                <c:pt idx="784">
                  <c:v>41309</c:v>
                </c:pt>
                <c:pt idx="785">
                  <c:v>41308</c:v>
                </c:pt>
                <c:pt idx="786">
                  <c:v>41307</c:v>
                </c:pt>
                <c:pt idx="787">
                  <c:v>41306</c:v>
                </c:pt>
                <c:pt idx="788">
                  <c:v>41305</c:v>
                </c:pt>
                <c:pt idx="789">
                  <c:v>41304</c:v>
                </c:pt>
                <c:pt idx="790">
                  <c:v>41303</c:v>
                </c:pt>
                <c:pt idx="791">
                  <c:v>41302</c:v>
                </c:pt>
                <c:pt idx="792">
                  <c:v>41301</c:v>
                </c:pt>
                <c:pt idx="793">
                  <c:v>41300</c:v>
                </c:pt>
                <c:pt idx="794">
                  <c:v>41299</c:v>
                </c:pt>
                <c:pt idx="795">
                  <c:v>41298</c:v>
                </c:pt>
                <c:pt idx="796">
                  <c:v>41297</c:v>
                </c:pt>
                <c:pt idx="797">
                  <c:v>41296</c:v>
                </c:pt>
                <c:pt idx="798">
                  <c:v>41295</c:v>
                </c:pt>
                <c:pt idx="799">
                  <c:v>41294</c:v>
                </c:pt>
                <c:pt idx="800">
                  <c:v>41293</c:v>
                </c:pt>
                <c:pt idx="801">
                  <c:v>41292</c:v>
                </c:pt>
                <c:pt idx="802">
                  <c:v>41291</c:v>
                </c:pt>
                <c:pt idx="803">
                  <c:v>41290</c:v>
                </c:pt>
                <c:pt idx="804">
                  <c:v>41289</c:v>
                </c:pt>
                <c:pt idx="805">
                  <c:v>41288</c:v>
                </c:pt>
                <c:pt idx="806">
                  <c:v>41287</c:v>
                </c:pt>
                <c:pt idx="807">
                  <c:v>41286</c:v>
                </c:pt>
                <c:pt idx="808">
                  <c:v>41285</c:v>
                </c:pt>
                <c:pt idx="809">
                  <c:v>41284</c:v>
                </c:pt>
                <c:pt idx="810">
                  <c:v>41283</c:v>
                </c:pt>
                <c:pt idx="811">
                  <c:v>41282</c:v>
                </c:pt>
                <c:pt idx="812">
                  <c:v>41281</c:v>
                </c:pt>
                <c:pt idx="813">
                  <c:v>41280</c:v>
                </c:pt>
                <c:pt idx="814">
                  <c:v>41279</c:v>
                </c:pt>
                <c:pt idx="815">
                  <c:v>41278</c:v>
                </c:pt>
                <c:pt idx="816">
                  <c:v>41277</c:v>
                </c:pt>
                <c:pt idx="817">
                  <c:v>41276</c:v>
                </c:pt>
                <c:pt idx="818">
                  <c:v>41275</c:v>
                </c:pt>
                <c:pt idx="819">
                  <c:v>41274</c:v>
                </c:pt>
                <c:pt idx="820">
                  <c:v>41273</c:v>
                </c:pt>
                <c:pt idx="821">
                  <c:v>41272</c:v>
                </c:pt>
                <c:pt idx="822">
                  <c:v>41271</c:v>
                </c:pt>
                <c:pt idx="823">
                  <c:v>41270</c:v>
                </c:pt>
                <c:pt idx="824">
                  <c:v>41269</c:v>
                </c:pt>
                <c:pt idx="825">
                  <c:v>41268</c:v>
                </c:pt>
                <c:pt idx="826">
                  <c:v>41267</c:v>
                </c:pt>
                <c:pt idx="827">
                  <c:v>41266</c:v>
                </c:pt>
                <c:pt idx="828">
                  <c:v>41265</c:v>
                </c:pt>
                <c:pt idx="829">
                  <c:v>41264</c:v>
                </c:pt>
                <c:pt idx="830">
                  <c:v>41263</c:v>
                </c:pt>
                <c:pt idx="831">
                  <c:v>41262</c:v>
                </c:pt>
                <c:pt idx="832">
                  <c:v>41261</c:v>
                </c:pt>
                <c:pt idx="833">
                  <c:v>41260</c:v>
                </c:pt>
                <c:pt idx="834">
                  <c:v>41259</c:v>
                </c:pt>
                <c:pt idx="835">
                  <c:v>41258</c:v>
                </c:pt>
                <c:pt idx="836">
                  <c:v>41257</c:v>
                </c:pt>
                <c:pt idx="837">
                  <c:v>41256</c:v>
                </c:pt>
                <c:pt idx="838">
                  <c:v>41255</c:v>
                </c:pt>
                <c:pt idx="839">
                  <c:v>41254</c:v>
                </c:pt>
                <c:pt idx="840">
                  <c:v>41253</c:v>
                </c:pt>
                <c:pt idx="841">
                  <c:v>41252</c:v>
                </c:pt>
                <c:pt idx="842">
                  <c:v>41251</c:v>
                </c:pt>
                <c:pt idx="843">
                  <c:v>41250</c:v>
                </c:pt>
                <c:pt idx="844">
                  <c:v>41249</c:v>
                </c:pt>
                <c:pt idx="845">
                  <c:v>41248</c:v>
                </c:pt>
                <c:pt idx="846">
                  <c:v>41247</c:v>
                </c:pt>
                <c:pt idx="847">
                  <c:v>41246</c:v>
                </c:pt>
                <c:pt idx="848">
                  <c:v>41245</c:v>
                </c:pt>
                <c:pt idx="849">
                  <c:v>41244</c:v>
                </c:pt>
                <c:pt idx="850">
                  <c:v>41243</c:v>
                </c:pt>
                <c:pt idx="851">
                  <c:v>41242</c:v>
                </c:pt>
                <c:pt idx="852">
                  <c:v>41241</c:v>
                </c:pt>
                <c:pt idx="853">
                  <c:v>41240</c:v>
                </c:pt>
                <c:pt idx="854">
                  <c:v>41239</c:v>
                </c:pt>
                <c:pt idx="855">
                  <c:v>41238</c:v>
                </c:pt>
                <c:pt idx="856">
                  <c:v>41237</c:v>
                </c:pt>
                <c:pt idx="857">
                  <c:v>41236</c:v>
                </c:pt>
                <c:pt idx="858">
                  <c:v>41235</c:v>
                </c:pt>
                <c:pt idx="859">
                  <c:v>41234</c:v>
                </c:pt>
                <c:pt idx="860">
                  <c:v>41233</c:v>
                </c:pt>
                <c:pt idx="861">
                  <c:v>41232</c:v>
                </c:pt>
                <c:pt idx="862">
                  <c:v>41231</c:v>
                </c:pt>
                <c:pt idx="863">
                  <c:v>41230</c:v>
                </c:pt>
                <c:pt idx="864">
                  <c:v>41229</c:v>
                </c:pt>
                <c:pt idx="865">
                  <c:v>41228</c:v>
                </c:pt>
                <c:pt idx="866">
                  <c:v>41227</c:v>
                </c:pt>
                <c:pt idx="867">
                  <c:v>41226</c:v>
                </c:pt>
                <c:pt idx="868">
                  <c:v>41225</c:v>
                </c:pt>
                <c:pt idx="869">
                  <c:v>41224</c:v>
                </c:pt>
                <c:pt idx="870">
                  <c:v>41223</c:v>
                </c:pt>
                <c:pt idx="871">
                  <c:v>41222</c:v>
                </c:pt>
                <c:pt idx="872">
                  <c:v>41221</c:v>
                </c:pt>
                <c:pt idx="873">
                  <c:v>41220</c:v>
                </c:pt>
                <c:pt idx="874">
                  <c:v>41219</c:v>
                </c:pt>
                <c:pt idx="875">
                  <c:v>41218</c:v>
                </c:pt>
                <c:pt idx="876">
                  <c:v>41217</c:v>
                </c:pt>
                <c:pt idx="877">
                  <c:v>41216</c:v>
                </c:pt>
                <c:pt idx="878">
                  <c:v>41215</c:v>
                </c:pt>
                <c:pt idx="879">
                  <c:v>41214</c:v>
                </c:pt>
                <c:pt idx="880">
                  <c:v>41213</c:v>
                </c:pt>
                <c:pt idx="881">
                  <c:v>41212</c:v>
                </c:pt>
                <c:pt idx="882">
                  <c:v>41211</c:v>
                </c:pt>
                <c:pt idx="883">
                  <c:v>41210</c:v>
                </c:pt>
                <c:pt idx="884">
                  <c:v>41209</c:v>
                </c:pt>
                <c:pt idx="885">
                  <c:v>41208</c:v>
                </c:pt>
                <c:pt idx="886">
                  <c:v>41207</c:v>
                </c:pt>
                <c:pt idx="887">
                  <c:v>41206</c:v>
                </c:pt>
                <c:pt idx="888">
                  <c:v>41205</c:v>
                </c:pt>
                <c:pt idx="889">
                  <c:v>41204</c:v>
                </c:pt>
                <c:pt idx="890">
                  <c:v>41203</c:v>
                </c:pt>
                <c:pt idx="891">
                  <c:v>41202</c:v>
                </c:pt>
                <c:pt idx="892">
                  <c:v>41201</c:v>
                </c:pt>
                <c:pt idx="893">
                  <c:v>41200</c:v>
                </c:pt>
                <c:pt idx="894">
                  <c:v>41199</c:v>
                </c:pt>
                <c:pt idx="895">
                  <c:v>41198</c:v>
                </c:pt>
                <c:pt idx="896">
                  <c:v>41197</c:v>
                </c:pt>
                <c:pt idx="897">
                  <c:v>41196</c:v>
                </c:pt>
                <c:pt idx="898">
                  <c:v>41195</c:v>
                </c:pt>
                <c:pt idx="899">
                  <c:v>41194</c:v>
                </c:pt>
                <c:pt idx="900">
                  <c:v>41193</c:v>
                </c:pt>
                <c:pt idx="901">
                  <c:v>41192</c:v>
                </c:pt>
                <c:pt idx="902">
                  <c:v>41191</c:v>
                </c:pt>
                <c:pt idx="903">
                  <c:v>41190</c:v>
                </c:pt>
                <c:pt idx="904">
                  <c:v>41189</c:v>
                </c:pt>
                <c:pt idx="905">
                  <c:v>41188</c:v>
                </c:pt>
                <c:pt idx="906">
                  <c:v>41187</c:v>
                </c:pt>
                <c:pt idx="907">
                  <c:v>41186</c:v>
                </c:pt>
                <c:pt idx="908">
                  <c:v>41185</c:v>
                </c:pt>
                <c:pt idx="909">
                  <c:v>41184</c:v>
                </c:pt>
                <c:pt idx="910">
                  <c:v>41183</c:v>
                </c:pt>
                <c:pt idx="911">
                  <c:v>41182</c:v>
                </c:pt>
                <c:pt idx="912">
                  <c:v>41181</c:v>
                </c:pt>
                <c:pt idx="913">
                  <c:v>41180</c:v>
                </c:pt>
                <c:pt idx="914">
                  <c:v>41179</c:v>
                </c:pt>
                <c:pt idx="915">
                  <c:v>41178</c:v>
                </c:pt>
                <c:pt idx="916">
                  <c:v>41177</c:v>
                </c:pt>
                <c:pt idx="917">
                  <c:v>41176</c:v>
                </c:pt>
                <c:pt idx="918">
                  <c:v>41175</c:v>
                </c:pt>
                <c:pt idx="919">
                  <c:v>41174</c:v>
                </c:pt>
                <c:pt idx="920">
                  <c:v>41173</c:v>
                </c:pt>
                <c:pt idx="921">
                  <c:v>41172</c:v>
                </c:pt>
                <c:pt idx="922">
                  <c:v>41171</c:v>
                </c:pt>
                <c:pt idx="923">
                  <c:v>41170</c:v>
                </c:pt>
                <c:pt idx="924">
                  <c:v>41169</c:v>
                </c:pt>
                <c:pt idx="925">
                  <c:v>41168</c:v>
                </c:pt>
                <c:pt idx="926">
                  <c:v>41167</c:v>
                </c:pt>
                <c:pt idx="927">
                  <c:v>41166</c:v>
                </c:pt>
                <c:pt idx="928">
                  <c:v>41165</c:v>
                </c:pt>
                <c:pt idx="929">
                  <c:v>41164</c:v>
                </c:pt>
                <c:pt idx="930">
                  <c:v>41163</c:v>
                </c:pt>
                <c:pt idx="931">
                  <c:v>41162</c:v>
                </c:pt>
                <c:pt idx="932">
                  <c:v>41161</c:v>
                </c:pt>
                <c:pt idx="933">
                  <c:v>41160</c:v>
                </c:pt>
                <c:pt idx="934">
                  <c:v>41159</c:v>
                </c:pt>
                <c:pt idx="935">
                  <c:v>41158</c:v>
                </c:pt>
                <c:pt idx="936">
                  <c:v>41157</c:v>
                </c:pt>
                <c:pt idx="937">
                  <c:v>41156</c:v>
                </c:pt>
                <c:pt idx="938">
                  <c:v>41155</c:v>
                </c:pt>
                <c:pt idx="939">
                  <c:v>41154</c:v>
                </c:pt>
                <c:pt idx="940">
                  <c:v>41153</c:v>
                </c:pt>
                <c:pt idx="941">
                  <c:v>41152</c:v>
                </c:pt>
                <c:pt idx="942">
                  <c:v>41151</c:v>
                </c:pt>
                <c:pt idx="943">
                  <c:v>41150</c:v>
                </c:pt>
                <c:pt idx="944">
                  <c:v>41149</c:v>
                </c:pt>
                <c:pt idx="945">
                  <c:v>41148</c:v>
                </c:pt>
                <c:pt idx="946">
                  <c:v>41147</c:v>
                </c:pt>
                <c:pt idx="947">
                  <c:v>41146</c:v>
                </c:pt>
                <c:pt idx="948">
                  <c:v>41145</c:v>
                </c:pt>
                <c:pt idx="949">
                  <c:v>41144</c:v>
                </c:pt>
                <c:pt idx="950">
                  <c:v>41143</c:v>
                </c:pt>
                <c:pt idx="951">
                  <c:v>41142</c:v>
                </c:pt>
                <c:pt idx="952">
                  <c:v>41141</c:v>
                </c:pt>
                <c:pt idx="953">
                  <c:v>41140</c:v>
                </c:pt>
                <c:pt idx="954">
                  <c:v>41139</c:v>
                </c:pt>
                <c:pt idx="955">
                  <c:v>41138</c:v>
                </c:pt>
                <c:pt idx="956">
                  <c:v>41137</c:v>
                </c:pt>
                <c:pt idx="957">
                  <c:v>41136</c:v>
                </c:pt>
                <c:pt idx="958">
                  <c:v>41135</c:v>
                </c:pt>
                <c:pt idx="959">
                  <c:v>41134</c:v>
                </c:pt>
                <c:pt idx="960">
                  <c:v>41133</c:v>
                </c:pt>
                <c:pt idx="961">
                  <c:v>41132</c:v>
                </c:pt>
                <c:pt idx="962">
                  <c:v>41131</c:v>
                </c:pt>
                <c:pt idx="963">
                  <c:v>41130</c:v>
                </c:pt>
                <c:pt idx="964">
                  <c:v>41129</c:v>
                </c:pt>
                <c:pt idx="965">
                  <c:v>41128</c:v>
                </c:pt>
                <c:pt idx="966">
                  <c:v>41127</c:v>
                </c:pt>
                <c:pt idx="967">
                  <c:v>41126</c:v>
                </c:pt>
                <c:pt idx="968">
                  <c:v>41125</c:v>
                </c:pt>
                <c:pt idx="969">
                  <c:v>41124</c:v>
                </c:pt>
                <c:pt idx="970">
                  <c:v>41123</c:v>
                </c:pt>
                <c:pt idx="971">
                  <c:v>41122</c:v>
                </c:pt>
                <c:pt idx="972">
                  <c:v>41121</c:v>
                </c:pt>
                <c:pt idx="973">
                  <c:v>41120</c:v>
                </c:pt>
                <c:pt idx="974">
                  <c:v>41119</c:v>
                </c:pt>
                <c:pt idx="975">
                  <c:v>41118</c:v>
                </c:pt>
                <c:pt idx="976">
                  <c:v>41117</c:v>
                </c:pt>
                <c:pt idx="977">
                  <c:v>41116</c:v>
                </c:pt>
                <c:pt idx="978">
                  <c:v>41115</c:v>
                </c:pt>
                <c:pt idx="979">
                  <c:v>41114</c:v>
                </c:pt>
                <c:pt idx="980">
                  <c:v>41113</c:v>
                </c:pt>
                <c:pt idx="981">
                  <c:v>41112</c:v>
                </c:pt>
                <c:pt idx="982">
                  <c:v>41111</c:v>
                </c:pt>
                <c:pt idx="983">
                  <c:v>41110</c:v>
                </c:pt>
                <c:pt idx="984">
                  <c:v>41109</c:v>
                </c:pt>
                <c:pt idx="985">
                  <c:v>41108</c:v>
                </c:pt>
                <c:pt idx="986">
                  <c:v>41107</c:v>
                </c:pt>
                <c:pt idx="987">
                  <c:v>41106</c:v>
                </c:pt>
                <c:pt idx="988">
                  <c:v>41105</c:v>
                </c:pt>
                <c:pt idx="989">
                  <c:v>41104</c:v>
                </c:pt>
                <c:pt idx="990">
                  <c:v>41103</c:v>
                </c:pt>
                <c:pt idx="991">
                  <c:v>41102</c:v>
                </c:pt>
                <c:pt idx="992">
                  <c:v>41101</c:v>
                </c:pt>
                <c:pt idx="993">
                  <c:v>41100</c:v>
                </c:pt>
                <c:pt idx="994">
                  <c:v>41099</c:v>
                </c:pt>
                <c:pt idx="995">
                  <c:v>41098</c:v>
                </c:pt>
                <c:pt idx="996">
                  <c:v>41097</c:v>
                </c:pt>
                <c:pt idx="997">
                  <c:v>41096</c:v>
                </c:pt>
                <c:pt idx="998">
                  <c:v>41095</c:v>
                </c:pt>
                <c:pt idx="999">
                  <c:v>41094</c:v>
                </c:pt>
                <c:pt idx="1000">
                  <c:v>41093</c:v>
                </c:pt>
                <c:pt idx="1001">
                  <c:v>41092</c:v>
                </c:pt>
                <c:pt idx="1002">
                  <c:v>41091</c:v>
                </c:pt>
                <c:pt idx="1003">
                  <c:v>41090</c:v>
                </c:pt>
                <c:pt idx="1004">
                  <c:v>41089</c:v>
                </c:pt>
                <c:pt idx="1005">
                  <c:v>41088</c:v>
                </c:pt>
                <c:pt idx="1006">
                  <c:v>41087</c:v>
                </c:pt>
                <c:pt idx="1007">
                  <c:v>41086</c:v>
                </c:pt>
                <c:pt idx="1008">
                  <c:v>41085</c:v>
                </c:pt>
                <c:pt idx="1009">
                  <c:v>41084</c:v>
                </c:pt>
                <c:pt idx="1010">
                  <c:v>41083</c:v>
                </c:pt>
                <c:pt idx="1011">
                  <c:v>41082</c:v>
                </c:pt>
                <c:pt idx="1012">
                  <c:v>41081</c:v>
                </c:pt>
                <c:pt idx="1013">
                  <c:v>41080</c:v>
                </c:pt>
                <c:pt idx="1014">
                  <c:v>41079</c:v>
                </c:pt>
                <c:pt idx="1015">
                  <c:v>41078</c:v>
                </c:pt>
                <c:pt idx="1016">
                  <c:v>41077</c:v>
                </c:pt>
                <c:pt idx="1017">
                  <c:v>41076</c:v>
                </c:pt>
                <c:pt idx="1018">
                  <c:v>41075</c:v>
                </c:pt>
                <c:pt idx="1019">
                  <c:v>41074</c:v>
                </c:pt>
                <c:pt idx="1020">
                  <c:v>41073</c:v>
                </c:pt>
                <c:pt idx="1021">
                  <c:v>41072</c:v>
                </c:pt>
                <c:pt idx="1022">
                  <c:v>41071</c:v>
                </c:pt>
                <c:pt idx="1023">
                  <c:v>41070</c:v>
                </c:pt>
                <c:pt idx="1024">
                  <c:v>41069</c:v>
                </c:pt>
                <c:pt idx="1025">
                  <c:v>41068</c:v>
                </c:pt>
                <c:pt idx="1026">
                  <c:v>41067</c:v>
                </c:pt>
                <c:pt idx="1027">
                  <c:v>41066</c:v>
                </c:pt>
                <c:pt idx="1028">
                  <c:v>41065</c:v>
                </c:pt>
                <c:pt idx="1029">
                  <c:v>41064</c:v>
                </c:pt>
                <c:pt idx="1030">
                  <c:v>41063</c:v>
                </c:pt>
                <c:pt idx="1031">
                  <c:v>41062</c:v>
                </c:pt>
                <c:pt idx="1032">
                  <c:v>41061</c:v>
                </c:pt>
                <c:pt idx="1033">
                  <c:v>41060</c:v>
                </c:pt>
                <c:pt idx="1034">
                  <c:v>41059</c:v>
                </c:pt>
                <c:pt idx="1035">
                  <c:v>41058</c:v>
                </c:pt>
                <c:pt idx="1036">
                  <c:v>41057</c:v>
                </c:pt>
                <c:pt idx="1037">
                  <c:v>41056</c:v>
                </c:pt>
                <c:pt idx="1038">
                  <c:v>41055</c:v>
                </c:pt>
                <c:pt idx="1039">
                  <c:v>41054</c:v>
                </c:pt>
                <c:pt idx="1040">
                  <c:v>41053</c:v>
                </c:pt>
                <c:pt idx="1041">
                  <c:v>41052</c:v>
                </c:pt>
                <c:pt idx="1042">
                  <c:v>41051</c:v>
                </c:pt>
                <c:pt idx="1043">
                  <c:v>41050</c:v>
                </c:pt>
                <c:pt idx="1044">
                  <c:v>41049</c:v>
                </c:pt>
                <c:pt idx="1045">
                  <c:v>41048</c:v>
                </c:pt>
                <c:pt idx="1046">
                  <c:v>41047</c:v>
                </c:pt>
                <c:pt idx="1047">
                  <c:v>41046</c:v>
                </c:pt>
                <c:pt idx="1048">
                  <c:v>41045</c:v>
                </c:pt>
                <c:pt idx="1049">
                  <c:v>41044</c:v>
                </c:pt>
                <c:pt idx="1050">
                  <c:v>41043</c:v>
                </c:pt>
                <c:pt idx="1051">
                  <c:v>41042</c:v>
                </c:pt>
                <c:pt idx="1052">
                  <c:v>41041</c:v>
                </c:pt>
                <c:pt idx="1053">
                  <c:v>41040</c:v>
                </c:pt>
                <c:pt idx="1054">
                  <c:v>41039</c:v>
                </c:pt>
                <c:pt idx="1055">
                  <c:v>41038</c:v>
                </c:pt>
                <c:pt idx="1056">
                  <c:v>41037</c:v>
                </c:pt>
                <c:pt idx="1057">
                  <c:v>41036</c:v>
                </c:pt>
                <c:pt idx="1058">
                  <c:v>41034</c:v>
                </c:pt>
                <c:pt idx="1059">
                  <c:v>41033</c:v>
                </c:pt>
                <c:pt idx="1060">
                  <c:v>41032</c:v>
                </c:pt>
                <c:pt idx="1061">
                  <c:v>41031</c:v>
                </c:pt>
                <c:pt idx="1062">
                  <c:v>41030</c:v>
                </c:pt>
                <c:pt idx="1063">
                  <c:v>41029</c:v>
                </c:pt>
                <c:pt idx="1064">
                  <c:v>41028</c:v>
                </c:pt>
                <c:pt idx="1065">
                  <c:v>41027</c:v>
                </c:pt>
                <c:pt idx="1066">
                  <c:v>41026</c:v>
                </c:pt>
                <c:pt idx="1067">
                  <c:v>41025</c:v>
                </c:pt>
                <c:pt idx="1068">
                  <c:v>41024</c:v>
                </c:pt>
                <c:pt idx="1069">
                  <c:v>41023</c:v>
                </c:pt>
                <c:pt idx="1070">
                  <c:v>41022</c:v>
                </c:pt>
                <c:pt idx="1071">
                  <c:v>41021</c:v>
                </c:pt>
                <c:pt idx="1072">
                  <c:v>41020</c:v>
                </c:pt>
                <c:pt idx="1073">
                  <c:v>41019</c:v>
                </c:pt>
                <c:pt idx="1074">
                  <c:v>41018</c:v>
                </c:pt>
                <c:pt idx="1075">
                  <c:v>41017</c:v>
                </c:pt>
                <c:pt idx="1076">
                  <c:v>41016</c:v>
                </c:pt>
                <c:pt idx="1077">
                  <c:v>41015</c:v>
                </c:pt>
                <c:pt idx="1078">
                  <c:v>41014</c:v>
                </c:pt>
                <c:pt idx="1079">
                  <c:v>41013</c:v>
                </c:pt>
                <c:pt idx="1080">
                  <c:v>41012</c:v>
                </c:pt>
                <c:pt idx="1081">
                  <c:v>41011</c:v>
                </c:pt>
                <c:pt idx="1082">
                  <c:v>41010</c:v>
                </c:pt>
                <c:pt idx="1083">
                  <c:v>41009</c:v>
                </c:pt>
                <c:pt idx="1084">
                  <c:v>41008</c:v>
                </c:pt>
                <c:pt idx="1085">
                  <c:v>41007</c:v>
                </c:pt>
                <c:pt idx="1086">
                  <c:v>41006</c:v>
                </c:pt>
                <c:pt idx="1087">
                  <c:v>41005</c:v>
                </c:pt>
                <c:pt idx="1088">
                  <c:v>41004</c:v>
                </c:pt>
                <c:pt idx="1089">
                  <c:v>41003</c:v>
                </c:pt>
                <c:pt idx="1090">
                  <c:v>41002</c:v>
                </c:pt>
                <c:pt idx="1091">
                  <c:v>41001</c:v>
                </c:pt>
                <c:pt idx="1092">
                  <c:v>41000</c:v>
                </c:pt>
                <c:pt idx="1093">
                  <c:v>40999</c:v>
                </c:pt>
                <c:pt idx="1094">
                  <c:v>40998</c:v>
                </c:pt>
                <c:pt idx="1095">
                  <c:v>40997</c:v>
                </c:pt>
                <c:pt idx="1096">
                  <c:v>40996</c:v>
                </c:pt>
                <c:pt idx="1097">
                  <c:v>40995</c:v>
                </c:pt>
                <c:pt idx="1098">
                  <c:v>40994</c:v>
                </c:pt>
                <c:pt idx="1099">
                  <c:v>40992</c:v>
                </c:pt>
                <c:pt idx="1100">
                  <c:v>40991</c:v>
                </c:pt>
                <c:pt idx="1101">
                  <c:v>40990</c:v>
                </c:pt>
                <c:pt idx="1102">
                  <c:v>40989</c:v>
                </c:pt>
                <c:pt idx="1103">
                  <c:v>40988</c:v>
                </c:pt>
                <c:pt idx="1104">
                  <c:v>40987</c:v>
                </c:pt>
                <c:pt idx="1105">
                  <c:v>40986</c:v>
                </c:pt>
                <c:pt idx="1106">
                  <c:v>40985</c:v>
                </c:pt>
                <c:pt idx="1107">
                  <c:v>40984</c:v>
                </c:pt>
                <c:pt idx="1108">
                  <c:v>40983</c:v>
                </c:pt>
                <c:pt idx="1109">
                  <c:v>40982</c:v>
                </c:pt>
                <c:pt idx="1110">
                  <c:v>40981</c:v>
                </c:pt>
                <c:pt idx="1111">
                  <c:v>40980</c:v>
                </c:pt>
                <c:pt idx="1112">
                  <c:v>40979</c:v>
                </c:pt>
                <c:pt idx="1113">
                  <c:v>40978</c:v>
                </c:pt>
                <c:pt idx="1114">
                  <c:v>40977</c:v>
                </c:pt>
                <c:pt idx="1115">
                  <c:v>40976</c:v>
                </c:pt>
                <c:pt idx="1116">
                  <c:v>40975</c:v>
                </c:pt>
                <c:pt idx="1117">
                  <c:v>40974</c:v>
                </c:pt>
                <c:pt idx="1118">
                  <c:v>40973</c:v>
                </c:pt>
                <c:pt idx="1119">
                  <c:v>40972</c:v>
                </c:pt>
                <c:pt idx="1120">
                  <c:v>40971</c:v>
                </c:pt>
                <c:pt idx="1121">
                  <c:v>40970</c:v>
                </c:pt>
                <c:pt idx="1122">
                  <c:v>40969</c:v>
                </c:pt>
                <c:pt idx="1123">
                  <c:v>40968</c:v>
                </c:pt>
                <c:pt idx="1124">
                  <c:v>40967</c:v>
                </c:pt>
                <c:pt idx="1125">
                  <c:v>40966</c:v>
                </c:pt>
                <c:pt idx="1126">
                  <c:v>40965</c:v>
                </c:pt>
                <c:pt idx="1127">
                  <c:v>40964</c:v>
                </c:pt>
                <c:pt idx="1128">
                  <c:v>40963</c:v>
                </c:pt>
                <c:pt idx="1129">
                  <c:v>40962</c:v>
                </c:pt>
                <c:pt idx="1130">
                  <c:v>40961</c:v>
                </c:pt>
                <c:pt idx="1131">
                  <c:v>40960</c:v>
                </c:pt>
                <c:pt idx="1132">
                  <c:v>40959</c:v>
                </c:pt>
                <c:pt idx="1133">
                  <c:v>40958</c:v>
                </c:pt>
                <c:pt idx="1134">
                  <c:v>40957</c:v>
                </c:pt>
                <c:pt idx="1135">
                  <c:v>40956</c:v>
                </c:pt>
                <c:pt idx="1136">
                  <c:v>40955</c:v>
                </c:pt>
                <c:pt idx="1137">
                  <c:v>40954</c:v>
                </c:pt>
                <c:pt idx="1138">
                  <c:v>40953</c:v>
                </c:pt>
                <c:pt idx="1139">
                  <c:v>40952</c:v>
                </c:pt>
                <c:pt idx="1140">
                  <c:v>40951</c:v>
                </c:pt>
                <c:pt idx="1141">
                  <c:v>40950</c:v>
                </c:pt>
                <c:pt idx="1142">
                  <c:v>40949</c:v>
                </c:pt>
                <c:pt idx="1143">
                  <c:v>40948</c:v>
                </c:pt>
                <c:pt idx="1144">
                  <c:v>40947</c:v>
                </c:pt>
                <c:pt idx="1145">
                  <c:v>40946</c:v>
                </c:pt>
                <c:pt idx="1146">
                  <c:v>40945</c:v>
                </c:pt>
                <c:pt idx="1147">
                  <c:v>40944</c:v>
                </c:pt>
                <c:pt idx="1148">
                  <c:v>40943</c:v>
                </c:pt>
                <c:pt idx="1149">
                  <c:v>40942</c:v>
                </c:pt>
                <c:pt idx="1150">
                  <c:v>40941</c:v>
                </c:pt>
                <c:pt idx="1151">
                  <c:v>40940</c:v>
                </c:pt>
                <c:pt idx="1152">
                  <c:v>40939</c:v>
                </c:pt>
                <c:pt idx="1153">
                  <c:v>40938</c:v>
                </c:pt>
                <c:pt idx="1154">
                  <c:v>40937</c:v>
                </c:pt>
                <c:pt idx="1155">
                  <c:v>40936</c:v>
                </c:pt>
                <c:pt idx="1156">
                  <c:v>40935</c:v>
                </c:pt>
                <c:pt idx="1157">
                  <c:v>40934</c:v>
                </c:pt>
                <c:pt idx="1158">
                  <c:v>40933</c:v>
                </c:pt>
                <c:pt idx="1159">
                  <c:v>40932</c:v>
                </c:pt>
                <c:pt idx="1160">
                  <c:v>40931</c:v>
                </c:pt>
                <c:pt idx="1161">
                  <c:v>40930</c:v>
                </c:pt>
                <c:pt idx="1162">
                  <c:v>40929</c:v>
                </c:pt>
                <c:pt idx="1163">
                  <c:v>40928</c:v>
                </c:pt>
                <c:pt idx="1164">
                  <c:v>40927</c:v>
                </c:pt>
                <c:pt idx="1165">
                  <c:v>40926</c:v>
                </c:pt>
                <c:pt idx="1166">
                  <c:v>40925</c:v>
                </c:pt>
                <c:pt idx="1167">
                  <c:v>40924</c:v>
                </c:pt>
                <c:pt idx="1168">
                  <c:v>40923</c:v>
                </c:pt>
                <c:pt idx="1169">
                  <c:v>40922</c:v>
                </c:pt>
                <c:pt idx="1170">
                  <c:v>40921</c:v>
                </c:pt>
                <c:pt idx="1171">
                  <c:v>40920</c:v>
                </c:pt>
                <c:pt idx="1172">
                  <c:v>40919</c:v>
                </c:pt>
                <c:pt idx="1173">
                  <c:v>40918</c:v>
                </c:pt>
                <c:pt idx="1174">
                  <c:v>40917</c:v>
                </c:pt>
                <c:pt idx="1175">
                  <c:v>40916</c:v>
                </c:pt>
                <c:pt idx="1176">
                  <c:v>40915</c:v>
                </c:pt>
                <c:pt idx="1177">
                  <c:v>40914</c:v>
                </c:pt>
                <c:pt idx="1178">
                  <c:v>40913</c:v>
                </c:pt>
                <c:pt idx="1179">
                  <c:v>40912</c:v>
                </c:pt>
                <c:pt idx="1180">
                  <c:v>40911</c:v>
                </c:pt>
                <c:pt idx="1181">
                  <c:v>40910</c:v>
                </c:pt>
                <c:pt idx="1182">
                  <c:v>40909</c:v>
                </c:pt>
                <c:pt idx="1183">
                  <c:v>40908</c:v>
                </c:pt>
                <c:pt idx="1184">
                  <c:v>40907</c:v>
                </c:pt>
                <c:pt idx="1185">
                  <c:v>40906</c:v>
                </c:pt>
                <c:pt idx="1186">
                  <c:v>40905</c:v>
                </c:pt>
                <c:pt idx="1187">
                  <c:v>40904</c:v>
                </c:pt>
                <c:pt idx="1188">
                  <c:v>40903</c:v>
                </c:pt>
                <c:pt idx="1189">
                  <c:v>40902</c:v>
                </c:pt>
                <c:pt idx="1190">
                  <c:v>40901</c:v>
                </c:pt>
                <c:pt idx="1191">
                  <c:v>40900</c:v>
                </c:pt>
                <c:pt idx="1192">
                  <c:v>40899</c:v>
                </c:pt>
                <c:pt idx="1193">
                  <c:v>40898</c:v>
                </c:pt>
                <c:pt idx="1194">
                  <c:v>40897</c:v>
                </c:pt>
                <c:pt idx="1195">
                  <c:v>40896</c:v>
                </c:pt>
                <c:pt idx="1196">
                  <c:v>40895</c:v>
                </c:pt>
                <c:pt idx="1197">
                  <c:v>40894</c:v>
                </c:pt>
                <c:pt idx="1198">
                  <c:v>40893</c:v>
                </c:pt>
                <c:pt idx="1199">
                  <c:v>40892</c:v>
                </c:pt>
                <c:pt idx="1200">
                  <c:v>40891</c:v>
                </c:pt>
                <c:pt idx="1201">
                  <c:v>40890</c:v>
                </c:pt>
                <c:pt idx="1202">
                  <c:v>40889</c:v>
                </c:pt>
                <c:pt idx="1203">
                  <c:v>40888</c:v>
                </c:pt>
                <c:pt idx="1204">
                  <c:v>40887</c:v>
                </c:pt>
                <c:pt idx="1205">
                  <c:v>40886</c:v>
                </c:pt>
                <c:pt idx="1206">
                  <c:v>40885</c:v>
                </c:pt>
                <c:pt idx="1207">
                  <c:v>40884</c:v>
                </c:pt>
                <c:pt idx="1208">
                  <c:v>40883</c:v>
                </c:pt>
                <c:pt idx="1209">
                  <c:v>40882</c:v>
                </c:pt>
                <c:pt idx="1210">
                  <c:v>40881</c:v>
                </c:pt>
                <c:pt idx="1211">
                  <c:v>40880</c:v>
                </c:pt>
                <c:pt idx="1212">
                  <c:v>40879</c:v>
                </c:pt>
                <c:pt idx="1213">
                  <c:v>40878</c:v>
                </c:pt>
                <c:pt idx="1214">
                  <c:v>40877</c:v>
                </c:pt>
                <c:pt idx="1215">
                  <c:v>40876</c:v>
                </c:pt>
                <c:pt idx="1216">
                  <c:v>40875</c:v>
                </c:pt>
                <c:pt idx="1217">
                  <c:v>40874</c:v>
                </c:pt>
                <c:pt idx="1218">
                  <c:v>40873</c:v>
                </c:pt>
                <c:pt idx="1219">
                  <c:v>40872</c:v>
                </c:pt>
                <c:pt idx="1220">
                  <c:v>40871</c:v>
                </c:pt>
                <c:pt idx="1221">
                  <c:v>40870</c:v>
                </c:pt>
                <c:pt idx="1222">
                  <c:v>40869</c:v>
                </c:pt>
                <c:pt idx="1223">
                  <c:v>40868</c:v>
                </c:pt>
                <c:pt idx="1224">
                  <c:v>40867</c:v>
                </c:pt>
                <c:pt idx="1225">
                  <c:v>40866</c:v>
                </c:pt>
                <c:pt idx="1226">
                  <c:v>40865</c:v>
                </c:pt>
                <c:pt idx="1227">
                  <c:v>40864</c:v>
                </c:pt>
                <c:pt idx="1228">
                  <c:v>40863</c:v>
                </c:pt>
                <c:pt idx="1229">
                  <c:v>40862</c:v>
                </c:pt>
                <c:pt idx="1230">
                  <c:v>40861</c:v>
                </c:pt>
                <c:pt idx="1231">
                  <c:v>40860</c:v>
                </c:pt>
                <c:pt idx="1232">
                  <c:v>40859</c:v>
                </c:pt>
                <c:pt idx="1233">
                  <c:v>40858</c:v>
                </c:pt>
                <c:pt idx="1234">
                  <c:v>40857</c:v>
                </c:pt>
                <c:pt idx="1235">
                  <c:v>40856</c:v>
                </c:pt>
                <c:pt idx="1236">
                  <c:v>40855</c:v>
                </c:pt>
                <c:pt idx="1237">
                  <c:v>40854</c:v>
                </c:pt>
                <c:pt idx="1238">
                  <c:v>40853</c:v>
                </c:pt>
                <c:pt idx="1239">
                  <c:v>40852</c:v>
                </c:pt>
                <c:pt idx="1240">
                  <c:v>40851</c:v>
                </c:pt>
                <c:pt idx="1241">
                  <c:v>40850</c:v>
                </c:pt>
                <c:pt idx="1242">
                  <c:v>40849</c:v>
                </c:pt>
                <c:pt idx="1243">
                  <c:v>40848</c:v>
                </c:pt>
                <c:pt idx="1244">
                  <c:v>40847</c:v>
                </c:pt>
                <c:pt idx="1245">
                  <c:v>40846</c:v>
                </c:pt>
                <c:pt idx="1246">
                  <c:v>40845</c:v>
                </c:pt>
                <c:pt idx="1247">
                  <c:v>40844</c:v>
                </c:pt>
                <c:pt idx="1248">
                  <c:v>40843</c:v>
                </c:pt>
                <c:pt idx="1249">
                  <c:v>40842</c:v>
                </c:pt>
                <c:pt idx="1250">
                  <c:v>40841</c:v>
                </c:pt>
                <c:pt idx="1251">
                  <c:v>40840</c:v>
                </c:pt>
                <c:pt idx="1252">
                  <c:v>40839</c:v>
                </c:pt>
                <c:pt idx="1253">
                  <c:v>40838</c:v>
                </c:pt>
                <c:pt idx="1254">
                  <c:v>40837</c:v>
                </c:pt>
                <c:pt idx="1255">
                  <c:v>40836</c:v>
                </c:pt>
                <c:pt idx="1256">
                  <c:v>40835</c:v>
                </c:pt>
                <c:pt idx="1257">
                  <c:v>40834</c:v>
                </c:pt>
                <c:pt idx="1258">
                  <c:v>40833</c:v>
                </c:pt>
                <c:pt idx="1259">
                  <c:v>40832</c:v>
                </c:pt>
                <c:pt idx="1260">
                  <c:v>40831</c:v>
                </c:pt>
                <c:pt idx="1261">
                  <c:v>40830</c:v>
                </c:pt>
                <c:pt idx="1262">
                  <c:v>40829</c:v>
                </c:pt>
                <c:pt idx="1263">
                  <c:v>40828</c:v>
                </c:pt>
                <c:pt idx="1264">
                  <c:v>40827</c:v>
                </c:pt>
                <c:pt idx="1265">
                  <c:v>40826</c:v>
                </c:pt>
                <c:pt idx="1266">
                  <c:v>40825</c:v>
                </c:pt>
                <c:pt idx="1267">
                  <c:v>40824</c:v>
                </c:pt>
                <c:pt idx="1268">
                  <c:v>40823</c:v>
                </c:pt>
                <c:pt idx="1269">
                  <c:v>40822</c:v>
                </c:pt>
                <c:pt idx="1270">
                  <c:v>40821</c:v>
                </c:pt>
                <c:pt idx="1271">
                  <c:v>40820</c:v>
                </c:pt>
                <c:pt idx="1272">
                  <c:v>40819</c:v>
                </c:pt>
                <c:pt idx="1273">
                  <c:v>40818</c:v>
                </c:pt>
                <c:pt idx="1274">
                  <c:v>40817</c:v>
                </c:pt>
                <c:pt idx="1275">
                  <c:v>40816</c:v>
                </c:pt>
                <c:pt idx="1276">
                  <c:v>40815</c:v>
                </c:pt>
                <c:pt idx="1277">
                  <c:v>40814</c:v>
                </c:pt>
                <c:pt idx="1278">
                  <c:v>40813</c:v>
                </c:pt>
                <c:pt idx="1279">
                  <c:v>40812</c:v>
                </c:pt>
                <c:pt idx="1280">
                  <c:v>40811</c:v>
                </c:pt>
                <c:pt idx="1281">
                  <c:v>40810</c:v>
                </c:pt>
                <c:pt idx="1282">
                  <c:v>40809</c:v>
                </c:pt>
                <c:pt idx="1283">
                  <c:v>40808</c:v>
                </c:pt>
                <c:pt idx="1284">
                  <c:v>40807</c:v>
                </c:pt>
                <c:pt idx="1285">
                  <c:v>40806</c:v>
                </c:pt>
                <c:pt idx="1286">
                  <c:v>40805</c:v>
                </c:pt>
                <c:pt idx="1287">
                  <c:v>40804</c:v>
                </c:pt>
                <c:pt idx="1288">
                  <c:v>40803</c:v>
                </c:pt>
                <c:pt idx="1289">
                  <c:v>40802</c:v>
                </c:pt>
                <c:pt idx="1290">
                  <c:v>40801</c:v>
                </c:pt>
                <c:pt idx="1291">
                  <c:v>40800</c:v>
                </c:pt>
                <c:pt idx="1292">
                  <c:v>40799</c:v>
                </c:pt>
                <c:pt idx="1293">
                  <c:v>40798</c:v>
                </c:pt>
                <c:pt idx="1294">
                  <c:v>40797</c:v>
                </c:pt>
                <c:pt idx="1295">
                  <c:v>40796</c:v>
                </c:pt>
                <c:pt idx="1296">
                  <c:v>40795</c:v>
                </c:pt>
                <c:pt idx="1297">
                  <c:v>40794</c:v>
                </c:pt>
                <c:pt idx="1298">
                  <c:v>40793</c:v>
                </c:pt>
                <c:pt idx="1299">
                  <c:v>40792</c:v>
                </c:pt>
                <c:pt idx="1300">
                  <c:v>40791</c:v>
                </c:pt>
                <c:pt idx="1301">
                  <c:v>40790</c:v>
                </c:pt>
                <c:pt idx="1302">
                  <c:v>40789</c:v>
                </c:pt>
                <c:pt idx="1303">
                  <c:v>40788</c:v>
                </c:pt>
                <c:pt idx="1304">
                  <c:v>40787</c:v>
                </c:pt>
                <c:pt idx="1305">
                  <c:v>40786</c:v>
                </c:pt>
                <c:pt idx="1306">
                  <c:v>40785</c:v>
                </c:pt>
                <c:pt idx="1307">
                  <c:v>40784</c:v>
                </c:pt>
                <c:pt idx="1308">
                  <c:v>40783</c:v>
                </c:pt>
                <c:pt idx="1309">
                  <c:v>40782</c:v>
                </c:pt>
                <c:pt idx="1310">
                  <c:v>40781</c:v>
                </c:pt>
                <c:pt idx="1311">
                  <c:v>40780</c:v>
                </c:pt>
                <c:pt idx="1312">
                  <c:v>40779</c:v>
                </c:pt>
                <c:pt idx="1313">
                  <c:v>40778</c:v>
                </c:pt>
                <c:pt idx="1314">
                  <c:v>40777</c:v>
                </c:pt>
                <c:pt idx="1315">
                  <c:v>40776</c:v>
                </c:pt>
                <c:pt idx="1316">
                  <c:v>40775</c:v>
                </c:pt>
                <c:pt idx="1317">
                  <c:v>40774</c:v>
                </c:pt>
                <c:pt idx="1318">
                  <c:v>40773</c:v>
                </c:pt>
                <c:pt idx="1319">
                  <c:v>40772</c:v>
                </c:pt>
                <c:pt idx="1320">
                  <c:v>40771</c:v>
                </c:pt>
                <c:pt idx="1321">
                  <c:v>40770</c:v>
                </c:pt>
                <c:pt idx="1322">
                  <c:v>40769</c:v>
                </c:pt>
                <c:pt idx="1323">
                  <c:v>40768</c:v>
                </c:pt>
                <c:pt idx="1324">
                  <c:v>40767</c:v>
                </c:pt>
                <c:pt idx="1325">
                  <c:v>40766</c:v>
                </c:pt>
                <c:pt idx="1326">
                  <c:v>40765</c:v>
                </c:pt>
                <c:pt idx="1327">
                  <c:v>40764</c:v>
                </c:pt>
                <c:pt idx="1328">
                  <c:v>40763</c:v>
                </c:pt>
                <c:pt idx="1329">
                  <c:v>40762</c:v>
                </c:pt>
                <c:pt idx="1330">
                  <c:v>40761</c:v>
                </c:pt>
                <c:pt idx="1331">
                  <c:v>40760</c:v>
                </c:pt>
                <c:pt idx="1332">
                  <c:v>40759</c:v>
                </c:pt>
                <c:pt idx="1333">
                  <c:v>40758</c:v>
                </c:pt>
                <c:pt idx="1334">
                  <c:v>40757</c:v>
                </c:pt>
                <c:pt idx="1335">
                  <c:v>40756</c:v>
                </c:pt>
                <c:pt idx="1336">
                  <c:v>40755</c:v>
                </c:pt>
                <c:pt idx="1337">
                  <c:v>40754</c:v>
                </c:pt>
                <c:pt idx="1338">
                  <c:v>40753</c:v>
                </c:pt>
                <c:pt idx="1339">
                  <c:v>40752</c:v>
                </c:pt>
                <c:pt idx="1340">
                  <c:v>40751</c:v>
                </c:pt>
                <c:pt idx="1341">
                  <c:v>40750</c:v>
                </c:pt>
                <c:pt idx="1342">
                  <c:v>40749</c:v>
                </c:pt>
                <c:pt idx="1343">
                  <c:v>40748</c:v>
                </c:pt>
                <c:pt idx="1344">
                  <c:v>40747</c:v>
                </c:pt>
                <c:pt idx="1345">
                  <c:v>40746</c:v>
                </c:pt>
                <c:pt idx="1346">
                  <c:v>40745</c:v>
                </c:pt>
                <c:pt idx="1347">
                  <c:v>40744</c:v>
                </c:pt>
                <c:pt idx="1348">
                  <c:v>40743</c:v>
                </c:pt>
                <c:pt idx="1349">
                  <c:v>40742</c:v>
                </c:pt>
                <c:pt idx="1350">
                  <c:v>40741</c:v>
                </c:pt>
                <c:pt idx="1351">
                  <c:v>40740</c:v>
                </c:pt>
                <c:pt idx="1352">
                  <c:v>40739</c:v>
                </c:pt>
                <c:pt idx="1353">
                  <c:v>40738</c:v>
                </c:pt>
                <c:pt idx="1354">
                  <c:v>40737</c:v>
                </c:pt>
                <c:pt idx="1355">
                  <c:v>40736</c:v>
                </c:pt>
                <c:pt idx="1356">
                  <c:v>40735</c:v>
                </c:pt>
                <c:pt idx="1357">
                  <c:v>40734</c:v>
                </c:pt>
                <c:pt idx="1358">
                  <c:v>40733</c:v>
                </c:pt>
                <c:pt idx="1359">
                  <c:v>40732</c:v>
                </c:pt>
                <c:pt idx="1360">
                  <c:v>40731</c:v>
                </c:pt>
                <c:pt idx="1361">
                  <c:v>40730</c:v>
                </c:pt>
                <c:pt idx="1362">
                  <c:v>40729</c:v>
                </c:pt>
                <c:pt idx="1363">
                  <c:v>40728</c:v>
                </c:pt>
                <c:pt idx="1364">
                  <c:v>40727</c:v>
                </c:pt>
                <c:pt idx="1365">
                  <c:v>40726</c:v>
                </c:pt>
                <c:pt idx="1366">
                  <c:v>40725</c:v>
                </c:pt>
                <c:pt idx="1367">
                  <c:v>40724</c:v>
                </c:pt>
                <c:pt idx="1368">
                  <c:v>40723</c:v>
                </c:pt>
                <c:pt idx="1369">
                  <c:v>40722</c:v>
                </c:pt>
                <c:pt idx="1370">
                  <c:v>40721</c:v>
                </c:pt>
                <c:pt idx="1371">
                  <c:v>40720</c:v>
                </c:pt>
                <c:pt idx="1372">
                  <c:v>40719</c:v>
                </c:pt>
                <c:pt idx="1373">
                  <c:v>40718</c:v>
                </c:pt>
                <c:pt idx="1374">
                  <c:v>40717</c:v>
                </c:pt>
                <c:pt idx="1375">
                  <c:v>40716</c:v>
                </c:pt>
                <c:pt idx="1376">
                  <c:v>40715</c:v>
                </c:pt>
                <c:pt idx="1377">
                  <c:v>40714</c:v>
                </c:pt>
                <c:pt idx="1378">
                  <c:v>40713</c:v>
                </c:pt>
                <c:pt idx="1379">
                  <c:v>40712</c:v>
                </c:pt>
                <c:pt idx="1380">
                  <c:v>40711</c:v>
                </c:pt>
                <c:pt idx="1381">
                  <c:v>40710</c:v>
                </c:pt>
                <c:pt idx="1382">
                  <c:v>40709</c:v>
                </c:pt>
                <c:pt idx="1383">
                  <c:v>40708</c:v>
                </c:pt>
                <c:pt idx="1384">
                  <c:v>40707</c:v>
                </c:pt>
                <c:pt idx="1385">
                  <c:v>40706</c:v>
                </c:pt>
                <c:pt idx="1386">
                  <c:v>40705</c:v>
                </c:pt>
                <c:pt idx="1387">
                  <c:v>40704</c:v>
                </c:pt>
                <c:pt idx="1388">
                  <c:v>40703</c:v>
                </c:pt>
                <c:pt idx="1389">
                  <c:v>40702</c:v>
                </c:pt>
                <c:pt idx="1390">
                  <c:v>40701</c:v>
                </c:pt>
                <c:pt idx="1391">
                  <c:v>40700</c:v>
                </c:pt>
                <c:pt idx="1392">
                  <c:v>40699</c:v>
                </c:pt>
                <c:pt idx="1393">
                  <c:v>40698</c:v>
                </c:pt>
                <c:pt idx="1394">
                  <c:v>40697</c:v>
                </c:pt>
                <c:pt idx="1395">
                  <c:v>40696</c:v>
                </c:pt>
                <c:pt idx="1396">
                  <c:v>40695</c:v>
                </c:pt>
                <c:pt idx="1397">
                  <c:v>40694</c:v>
                </c:pt>
                <c:pt idx="1398">
                  <c:v>40693</c:v>
                </c:pt>
                <c:pt idx="1399">
                  <c:v>40692</c:v>
                </c:pt>
                <c:pt idx="1400">
                  <c:v>40691</c:v>
                </c:pt>
                <c:pt idx="1401">
                  <c:v>40690</c:v>
                </c:pt>
                <c:pt idx="1402">
                  <c:v>40689</c:v>
                </c:pt>
                <c:pt idx="1403">
                  <c:v>40688</c:v>
                </c:pt>
                <c:pt idx="1404">
                  <c:v>40687</c:v>
                </c:pt>
                <c:pt idx="1405">
                  <c:v>40686</c:v>
                </c:pt>
                <c:pt idx="1406">
                  <c:v>40685</c:v>
                </c:pt>
                <c:pt idx="1407">
                  <c:v>40684</c:v>
                </c:pt>
                <c:pt idx="1408">
                  <c:v>40683</c:v>
                </c:pt>
                <c:pt idx="1409">
                  <c:v>40682</c:v>
                </c:pt>
                <c:pt idx="1410">
                  <c:v>40681</c:v>
                </c:pt>
                <c:pt idx="1411">
                  <c:v>40680</c:v>
                </c:pt>
                <c:pt idx="1412">
                  <c:v>40679</c:v>
                </c:pt>
                <c:pt idx="1413">
                  <c:v>40678</c:v>
                </c:pt>
                <c:pt idx="1414">
                  <c:v>40677</c:v>
                </c:pt>
                <c:pt idx="1415">
                  <c:v>40676</c:v>
                </c:pt>
                <c:pt idx="1416">
                  <c:v>40675</c:v>
                </c:pt>
                <c:pt idx="1417">
                  <c:v>40674</c:v>
                </c:pt>
                <c:pt idx="1418">
                  <c:v>40673</c:v>
                </c:pt>
                <c:pt idx="1419">
                  <c:v>40672</c:v>
                </c:pt>
                <c:pt idx="1420">
                  <c:v>40671</c:v>
                </c:pt>
                <c:pt idx="1421">
                  <c:v>40670</c:v>
                </c:pt>
                <c:pt idx="1422">
                  <c:v>40669</c:v>
                </c:pt>
                <c:pt idx="1423">
                  <c:v>40668</c:v>
                </c:pt>
                <c:pt idx="1424">
                  <c:v>40667</c:v>
                </c:pt>
                <c:pt idx="1425">
                  <c:v>40666</c:v>
                </c:pt>
                <c:pt idx="1426">
                  <c:v>40665</c:v>
                </c:pt>
                <c:pt idx="1427">
                  <c:v>40664</c:v>
                </c:pt>
                <c:pt idx="1428">
                  <c:v>40663</c:v>
                </c:pt>
                <c:pt idx="1429">
                  <c:v>40662</c:v>
                </c:pt>
                <c:pt idx="1430">
                  <c:v>40661</c:v>
                </c:pt>
                <c:pt idx="1431">
                  <c:v>40660</c:v>
                </c:pt>
                <c:pt idx="1432">
                  <c:v>40659</c:v>
                </c:pt>
                <c:pt idx="1433">
                  <c:v>40658</c:v>
                </c:pt>
                <c:pt idx="1434">
                  <c:v>40657</c:v>
                </c:pt>
                <c:pt idx="1435">
                  <c:v>40656</c:v>
                </c:pt>
                <c:pt idx="1436">
                  <c:v>40655</c:v>
                </c:pt>
                <c:pt idx="1437">
                  <c:v>40654</c:v>
                </c:pt>
                <c:pt idx="1438">
                  <c:v>40653</c:v>
                </c:pt>
                <c:pt idx="1439">
                  <c:v>40652</c:v>
                </c:pt>
                <c:pt idx="1440">
                  <c:v>40651</c:v>
                </c:pt>
                <c:pt idx="1441">
                  <c:v>40650</c:v>
                </c:pt>
                <c:pt idx="1442">
                  <c:v>40649</c:v>
                </c:pt>
                <c:pt idx="1443">
                  <c:v>40648</c:v>
                </c:pt>
                <c:pt idx="1444">
                  <c:v>40647</c:v>
                </c:pt>
                <c:pt idx="1445">
                  <c:v>40646</c:v>
                </c:pt>
                <c:pt idx="1446">
                  <c:v>40645</c:v>
                </c:pt>
                <c:pt idx="1447">
                  <c:v>40644</c:v>
                </c:pt>
                <c:pt idx="1448">
                  <c:v>40643</c:v>
                </c:pt>
                <c:pt idx="1449">
                  <c:v>40642</c:v>
                </c:pt>
                <c:pt idx="1450">
                  <c:v>40641</c:v>
                </c:pt>
                <c:pt idx="1451">
                  <c:v>40640</c:v>
                </c:pt>
                <c:pt idx="1452">
                  <c:v>40639</c:v>
                </c:pt>
                <c:pt idx="1453">
                  <c:v>40638</c:v>
                </c:pt>
                <c:pt idx="1454">
                  <c:v>40637</c:v>
                </c:pt>
                <c:pt idx="1455">
                  <c:v>40636</c:v>
                </c:pt>
                <c:pt idx="1456">
                  <c:v>40635</c:v>
                </c:pt>
                <c:pt idx="1457">
                  <c:v>40634</c:v>
                </c:pt>
                <c:pt idx="1458">
                  <c:v>40633</c:v>
                </c:pt>
                <c:pt idx="1459">
                  <c:v>40632</c:v>
                </c:pt>
                <c:pt idx="1460">
                  <c:v>40631</c:v>
                </c:pt>
                <c:pt idx="1461">
                  <c:v>40630</c:v>
                </c:pt>
                <c:pt idx="1462">
                  <c:v>40629</c:v>
                </c:pt>
                <c:pt idx="1463">
                  <c:v>40628</c:v>
                </c:pt>
                <c:pt idx="1464">
                  <c:v>40627</c:v>
                </c:pt>
                <c:pt idx="1465">
                  <c:v>40626</c:v>
                </c:pt>
                <c:pt idx="1466">
                  <c:v>40625</c:v>
                </c:pt>
                <c:pt idx="1467">
                  <c:v>40624</c:v>
                </c:pt>
                <c:pt idx="1468">
                  <c:v>40623</c:v>
                </c:pt>
                <c:pt idx="1469">
                  <c:v>40622</c:v>
                </c:pt>
                <c:pt idx="1470">
                  <c:v>40621</c:v>
                </c:pt>
                <c:pt idx="1471">
                  <c:v>40620</c:v>
                </c:pt>
                <c:pt idx="1472">
                  <c:v>40619</c:v>
                </c:pt>
                <c:pt idx="1473">
                  <c:v>40618</c:v>
                </c:pt>
                <c:pt idx="1474">
                  <c:v>40617</c:v>
                </c:pt>
                <c:pt idx="1475">
                  <c:v>40616</c:v>
                </c:pt>
                <c:pt idx="1476">
                  <c:v>40615</c:v>
                </c:pt>
                <c:pt idx="1477">
                  <c:v>40614</c:v>
                </c:pt>
                <c:pt idx="1478">
                  <c:v>40613</c:v>
                </c:pt>
                <c:pt idx="1479">
                  <c:v>40612</c:v>
                </c:pt>
                <c:pt idx="1480">
                  <c:v>40611</c:v>
                </c:pt>
                <c:pt idx="1481">
                  <c:v>40610</c:v>
                </c:pt>
                <c:pt idx="1482">
                  <c:v>40609</c:v>
                </c:pt>
                <c:pt idx="1483">
                  <c:v>40608</c:v>
                </c:pt>
                <c:pt idx="1484">
                  <c:v>40607</c:v>
                </c:pt>
                <c:pt idx="1485">
                  <c:v>40606</c:v>
                </c:pt>
                <c:pt idx="1486">
                  <c:v>40605</c:v>
                </c:pt>
                <c:pt idx="1487">
                  <c:v>40604</c:v>
                </c:pt>
                <c:pt idx="1488">
                  <c:v>40603</c:v>
                </c:pt>
                <c:pt idx="1489">
                  <c:v>40602</c:v>
                </c:pt>
                <c:pt idx="1490">
                  <c:v>40601</c:v>
                </c:pt>
                <c:pt idx="1491">
                  <c:v>40600</c:v>
                </c:pt>
                <c:pt idx="1492">
                  <c:v>40599</c:v>
                </c:pt>
                <c:pt idx="1493">
                  <c:v>40598</c:v>
                </c:pt>
                <c:pt idx="1494">
                  <c:v>40597</c:v>
                </c:pt>
                <c:pt idx="1495">
                  <c:v>40596</c:v>
                </c:pt>
                <c:pt idx="1496">
                  <c:v>40595</c:v>
                </c:pt>
                <c:pt idx="1497">
                  <c:v>40594</c:v>
                </c:pt>
                <c:pt idx="1498">
                  <c:v>40593</c:v>
                </c:pt>
                <c:pt idx="1499">
                  <c:v>40592</c:v>
                </c:pt>
                <c:pt idx="1500">
                  <c:v>40591</c:v>
                </c:pt>
                <c:pt idx="1501">
                  <c:v>40590</c:v>
                </c:pt>
                <c:pt idx="1502">
                  <c:v>40589</c:v>
                </c:pt>
                <c:pt idx="1503">
                  <c:v>40588</c:v>
                </c:pt>
                <c:pt idx="1504">
                  <c:v>40587</c:v>
                </c:pt>
                <c:pt idx="1505">
                  <c:v>40585</c:v>
                </c:pt>
                <c:pt idx="1506">
                  <c:v>40584</c:v>
                </c:pt>
                <c:pt idx="1507">
                  <c:v>40583</c:v>
                </c:pt>
                <c:pt idx="1508">
                  <c:v>40582</c:v>
                </c:pt>
                <c:pt idx="1509">
                  <c:v>40581</c:v>
                </c:pt>
                <c:pt idx="1510">
                  <c:v>40579</c:v>
                </c:pt>
                <c:pt idx="1511">
                  <c:v>40578</c:v>
                </c:pt>
                <c:pt idx="1512">
                  <c:v>40577</c:v>
                </c:pt>
                <c:pt idx="1513">
                  <c:v>40576</c:v>
                </c:pt>
                <c:pt idx="1514">
                  <c:v>40575</c:v>
                </c:pt>
                <c:pt idx="1515">
                  <c:v>40574</c:v>
                </c:pt>
                <c:pt idx="1516">
                  <c:v>40573</c:v>
                </c:pt>
                <c:pt idx="1517">
                  <c:v>40572</c:v>
                </c:pt>
                <c:pt idx="1518">
                  <c:v>40571</c:v>
                </c:pt>
                <c:pt idx="1519">
                  <c:v>40570</c:v>
                </c:pt>
                <c:pt idx="1520">
                  <c:v>40569</c:v>
                </c:pt>
                <c:pt idx="1521">
                  <c:v>40568</c:v>
                </c:pt>
                <c:pt idx="1522">
                  <c:v>40567</c:v>
                </c:pt>
                <c:pt idx="1523">
                  <c:v>40565</c:v>
                </c:pt>
                <c:pt idx="1524">
                  <c:v>40564</c:v>
                </c:pt>
                <c:pt idx="1525">
                  <c:v>40563</c:v>
                </c:pt>
                <c:pt idx="1526">
                  <c:v>40562</c:v>
                </c:pt>
                <c:pt idx="1527">
                  <c:v>40561</c:v>
                </c:pt>
                <c:pt idx="1528">
                  <c:v>40560</c:v>
                </c:pt>
                <c:pt idx="1529">
                  <c:v>40559</c:v>
                </c:pt>
                <c:pt idx="1530">
                  <c:v>40558</c:v>
                </c:pt>
                <c:pt idx="1531">
                  <c:v>40557</c:v>
                </c:pt>
                <c:pt idx="1532">
                  <c:v>40556</c:v>
                </c:pt>
                <c:pt idx="1533">
                  <c:v>40555</c:v>
                </c:pt>
                <c:pt idx="1534">
                  <c:v>40554</c:v>
                </c:pt>
                <c:pt idx="1535">
                  <c:v>40553</c:v>
                </c:pt>
                <c:pt idx="1536">
                  <c:v>40552</c:v>
                </c:pt>
                <c:pt idx="1537">
                  <c:v>40551</c:v>
                </c:pt>
                <c:pt idx="1538">
                  <c:v>40550</c:v>
                </c:pt>
                <c:pt idx="1539">
                  <c:v>40549</c:v>
                </c:pt>
                <c:pt idx="1540">
                  <c:v>40548</c:v>
                </c:pt>
                <c:pt idx="1541">
                  <c:v>40547</c:v>
                </c:pt>
                <c:pt idx="1542">
                  <c:v>40546</c:v>
                </c:pt>
                <c:pt idx="1543">
                  <c:v>40545</c:v>
                </c:pt>
                <c:pt idx="1544">
                  <c:v>40544</c:v>
                </c:pt>
                <c:pt idx="1545">
                  <c:v>40543</c:v>
                </c:pt>
                <c:pt idx="1546">
                  <c:v>40542</c:v>
                </c:pt>
                <c:pt idx="1547">
                  <c:v>40541</c:v>
                </c:pt>
                <c:pt idx="1548">
                  <c:v>40540</c:v>
                </c:pt>
                <c:pt idx="1549">
                  <c:v>40539</c:v>
                </c:pt>
                <c:pt idx="1550">
                  <c:v>40538</c:v>
                </c:pt>
                <c:pt idx="1551">
                  <c:v>40537</c:v>
                </c:pt>
                <c:pt idx="1552">
                  <c:v>40536</c:v>
                </c:pt>
                <c:pt idx="1553">
                  <c:v>40535</c:v>
                </c:pt>
                <c:pt idx="1554">
                  <c:v>40534</c:v>
                </c:pt>
                <c:pt idx="1555">
                  <c:v>40533</c:v>
                </c:pt>
                <c:pt idx="1556">
                  <c:v>40532</c:v>
                </c:pt>
                <c:pt idx="1557">
                  <c:v>40531</c:v>
                </c:pt>
                <c:pt idx="1558">
                  <c:v>40530</c:v>
                </c:pt>
                <c:pt idx="1559">
                  <c:v>40529</c:v>
                </c:pt>
                <c:pt idx="1560">
                  <c:v>40528</c:v>
                </c:pt>
                <c:pt idx="1561">
                  <c:v>40527</c:v>
                </c:pt>
                <c:pt idx="1562">
                  <c:v>40526</c:v>
                </c:pt>
                <c:pt idx="1563">
                  <c:v>40525</c:v>
                </c:pt>
                <c:pt idx="1564">
                  <c:v>40523</c:v>
                </c:pt>
                <c:pt idx="1565">
                  <c:v>40522</c:v>
                </c:pt>
                <c:pt idx="1566">
                  <c:v>40521</c:v>
                </c:pt>
                <c:pt idx="1567">
                  <c:v>40520</c:v>
                </c:pt>
                <c:pt idx="1568">
                  <c:v>40519</c:v>
                </c:pt>
                <c:pt idx="1569">
                  <c:v>40518</c:v>
                </c:pt>
                <c:pt idx="1570">
                  <c:v>40516</c:v>
                </c:pt>
                <c:pt idx="1571">
                  <c:v>40515</c:v>
                </c:pt>
                <c:pt idx="1572">
                  <c:v>40514</c:v>
                </c:pt>
                <c:pt idx="1573">
                  <c:v>40513</c:v>
                </c:pt>
                <c:pt idx="1574">
                  <c:v>40512</c:v>
                </c:pt>
                <c:pt idx="1575">
                  <c:v>40511</c:v>
                </c:pt>
                <c:pt idx="1576">
                  <c:v>40510</c:v>
                </c:pt>
                <c:pt idx="1577">
                  <c:v>40508</c:v>
                </c:pt>
                <c:pt idx="1578">
                  <c:v>40507</c:v>
                </c:pt>
                <c:pt idx="1579">
                  <c:v>40506</c:v>
                </c:pt>
                <c:pt idx="1580">
                  <c:v>40505</c:v>
                </c:pt>
                <c:pt idx="1581">
                  <c:v>40504</c:v>
                </c:pt>
                <c:pt idx="1582">
                  <c:v>40502</c:v>
                </c:pt>
                <c:pt idx="1583">
                  <c:v>40501</c:v>
                </c:pt>
                <c:pt idx="1584">
                  <c:v>40500</c:v>
                </c:pt>
                <c:pt idx="1585">
                  <c:v>40499</c:v>
                </c:pt>
                <c:pt idx="1586">
                  <c:v>40498</c:v>
                </c:pt>
                <c:pt idx="1587">
                  <c:v>40497</c:v>
                </c:pt>
                <c:pt idx="1588">
                  <c:v>40495</c:v>
                </c:pt>
                <c:pt idx="1589">
                  <c:v>40494</c:v>
                </c:pt>
                <c:pt idx="1590">
                  <c:v>40493</c:v>
                </c:pt>
                <c:pt idx="1591">
                  <c:v>40492</c:v>
                </c:pt>
                <c:pt idx="1592">
                  <c:v>40491</c:v>
                </c:pt>
                <c:pt idx="1593">
                  <c:v>40490</c:v>
                </c:pt>
                <c:pt idx="1594">
                  <c:v>40489</c:v>
                </c:pt>
                <c:pt idx="1595">
                  <c:v>40488</c:v>
                </c:pt>
                <c:pt idx="1596">
                  <c:v>40487</c:v>
                </c:pt>
                <c:pt idx="1597">
                  <c:v>40486</c:v>
                </c:pt>
                <c:pt idx="1598">
                  <c:v>40485</c:v>
                </c:pt>
                <c:pt idx="1599">
                  <c:v>40484</c:v>
                </c:pt>
                <c:pt idx="1600">
                  <c:v>40483</c:v>
                </c:pt>
                <c:pt idx="1601">
                  <c:v>40482</c:v>
                </c:pt>
                <c:pt idx="1602">
                  <c:v>40481</c:v>
                </c:pt>
                <c:pt idx="1603">
                  <c:v>40480</c:v>
                </c:pt>
                <c:pt idx="1604">
                  <c:v>40479</c:v>
                </c:pt>
                <c:pt idx="1605">
                  <c:v>40478</c:v>
                </c:pt>
                <c:pt idx="1606">
                  <c:v>40477</c:v>
                </c:pt>
                <c:pt idx="1607">
                  <c:v>40476</c:v>
                </c:pt>
                <c:pt idx="1608">
                  <c:v>40475</c:v>
                </c:pt>
                <c:pt idx="1609">
                  <c:v>40473</c:v>
                </c:pt>
                <c:pt idx="1610">
                  <c:v>40472</c:v>
                </c:pt>
                <c:pt idx="1611">
                  <c:v>40471</c:v>
                </c:pt>
                <c:pt idx="1612">
                  <c:v>40470</c:v>
                </c:pt>
                <c:pt idx="1613">
                  <c:v>40469</c:v>
                </c:pt>
                <c:pt idx="1614">
                  <c:v>40467</c:v>
                </c:pt>
                <c:pt idx="1615">
                  <c:v>40466</c:v>
                </c:pt>
                <c:pt idx="1616">
                  <c:v>40465</c:v>
                </c:pt>
                <c:pt idx="1617">
                  <c:v>40464</c:v>
                </c:pt>
                <c:pt idx="1618">
                  <c:v>40463</c:v>
                </c:pt>
                <c:pt idx="1619">
                  <c:v>40462</c:v>
                </c:pt>
                <c:pt idx="1620">
                  <c:v>40461</c:v>
                </c:pt>
                <c:pt idx="1621">
                  <c:v>40460</c:v>
                </c:pt>
                <c:pt idx="1622">
                  <c:v>40459</c:v>
                </c:pt>
                <c:pt idx="1623">
                  <c:v>40458</c:v>
                </c:pt>
                <c:pt idx="1624">
                  <c:v>40457</c:v>
                </c:pt>
                <c:pt idx="1625">
                  <c:v>40456</c:v>
                </c:pt>
                <c:pt idx="1626">
                  <c:v>40455</c:v>
                </c:pt>
                <c:pt idx="1627">
                  <c:v>40454</c:v>
                </c:pt>
                <c:pt idx="1628">
                  <c:v>40452</c:v>
                </c:pt>
                <c:pt idx="1629">
                  <c:v>40451</c:v>
                </c:pt>
                <c:pt idx="1630">
                  <c:v>40450</c:v>
                </c:pt>
                <c:pt idx="1631">
                  <c:v>40449</c:v>
                </c:pt>
                <c:pt idx="1632">
                  <c:v>40448</c:v>
                </c:pt>
                <c:pt idx="1633">
                  <c:v>40447</c:v>
                </c:pt>
                <c:pt idx="1634">
                  <c:v>40446</c:v>
                </c:pt>
                <c:pt idx="1635">
                  <c:v>40445</c:v>
                </c:pt>
                <c:pt idx="1636">
                  <c:v>40444</c:v>
                </c:pt>
                <c:pt idx="1637">
                  <c:v>40443</c:v>
                </c:pt>
                <c:pt idx="1638">
                  <c:v>40442</c:v>
                </c:pt>
                <c:pt idx="1639">
                  <c:v>40441</c:v>
                </c:pt>
                <c:pt idx="1640">
                  <c:v>40438</c:v>
                </c:pt>
                <c:pt idx="1641">
                  <c:v>40437</c:v>
                </c:pt>
                <c:pt idx="1642">
                  <c:v>40436</c:v>
                </c:pt>
                <c:pt idx="1643">
                  <c:v>40435</c:v>
                </c:pt>
                <c:pt idx="1644">
                  <c:v>40434</c:v>
                </c:pt>
                <c:pt idx="1645">
                  <c:v>40431</c:v>
                </c:pt>
                <c:pt idx="1646">
                  <c:v>40430</c:v>
                </c:pt>
                <c:pt idx="1647">
                  <c:v>40429</c:v>
                </c:pt>
                <c:pt idx="1648">
                  <c:v>40428</c:v>
                </c:pt>
                <c:pt idx="1649">
                  <c:v>40427</c:v>
                </c:pt>
                <c:pt idx="1650">
                  <c:v>40424</c:v>
                </c:pt>
                <c:pt idx="1651">
                  <c:v>40423</c:v>
                </c:pt>
                <c:pt idx="1652">
                  <c:v>40422</c:v>
                </c:pt>
                <c:pt idx="1653">
                  <c:v>40421</c:v>
                </c:pt>
                <c:pt idx="1654">
                  <c:v>40420</c:v>
                </c:pt>
                <c:pt idx="1655">
                  <c:v>40417</c:v>
                </c:pt>
                <c:pt idx="1656">
                  <c:v>40416</c:v>
                </c:pt>
                <c:pt idx="1657">
                  <c:v>40415</c:v>
                </c:pt>
                <c:pt idx="1658">
                  <c:v>40414</c:v>
                </c:pt>
                <c:pt idx="1659">
                  <c:v>40413</c:v>
                </c:pt>
                <c:pt idx="1660">
                  <c:v>40410</c:v>
                </c:pt>
                <c:pt idx="1661">
                  <c:v>40409</c:v>
                </c:pt>
                <c:pt idx="1662">
                  <c:v>40408</c:v>
                </c:pt>
                <c:pt idx="1663">
                  <c:v>40407</c:v>
                </c:pt>
                <c:pt idx="1664">
                  <c:v>40406</c:v>
                </c:pt>
                <c:pt idx="1665">
                  <c:v>40403</c:v>
                </c:pt>
                <c:pt idx="1666">
                  <c:v>40402</c:v>
                </c:pt>
                <c:pt idx="1667">
                  <c:v>40401</c:v>
                </c:pt>
                <c:pt idx="1668">
                  <c:v>40400</c:v>
                </c:pt>
                <c:pt idx="1669">
                  <c:v>40399</c:v>
                </c:pt>
                <c:pt idx="1670">
                  <c:v>40396</c:v>
                </c:pt>
                <c:pt idx="1671">
                  <c:v>40395</c:v>
                </c:pt>
                <c:pt idx="1672">
                  <c:v>40394</c:v>
                </c:pt>
                <c:pt idx="1673">
                  <c:v>40393</c:v>
                </c:pt>
                <c:pt idx="1674">
                  <c:v>40392</c:v>
                </c:pt>
                <c:pt idx="1675">
                  <c:v>40389</c:v>
                </c:pt>
                <c:pt idx="1676">
                  <c:v>40388</c:v>
                </c:pt>
                <c:pt idx="1677">
                  <c:v>40387</c:v>
                </c:pt>
                <c:pt idx="1678">
                  <c:v>40386</c:v>
                </c:pt>
                <c:pt idx="1679">
                  <c:v>40385</c:v>
                </c:pt>
                <c:pt idx="1680">
                  <c:v>40382</c:v>
                </c:pt>
                <c:pt idx="1681">
                  <c:v>40381</c:v>
                </c:pt>
                <c:pt idx="1682">
                  <c:v>40380</c:v>
                </c:pt>
                <c:pt idx="1683">
                  <c:v>40379</c:v>
                </c:pt>
                <c:pt idx="1684">
                  <c:v>40378</c:v>
                </c:pt>
                <c:pt idx="1685">
                  <c:v>40375</c:v>
                </c:pt>
                <c:pt idx="1686">
                  <c:v>40374</c:v>
                </c:pt>
                <c:pt idx="1687">
                  <c:v>40373</c:v>
                </c:pt>
                <c:pt idx="1688">
                  <c:v>40372</c:v>
                </c:pt>
                <c:pt idx="1689">
                  <c:v>40371</c:v>
                </c:pt>
                <c:pt idx="1690">
                  <c:v>40368</c:v>
                </c:pt>
                <c:pt idx="1691">
                  <c:v>40367</c:v>
                </c:pt>
                <c:pt idx="1692">
                  <c:v>40366</c:v>
                </c:pt>
                <c:pt idx="1693">
                  <c:v>40365</c:v>
                </c:pt>
                <c:pt idx="1694">
                  <c:v>40364</c:v>
                </c:pt>
                <c:pt idx="1695">
                  <c:v>40363</c:v>
                </c:pt>
                <c:pt idx="1696">
                  <c:v>40362</c:v>
                </c:pt>
                <c:pt idx="1697">
                  <c:v>40361</c:v>
                </c:pt>
                <c:pt idx="1698">
                  <c:v>40360</c:v>
                </c:pt>
                <c:pt idx="1699">
                  <c:v>40359</c:v>
                </c:pt>
                <c:pt idx="1700">
                  <c:v>40358</c:v>
                </c:pt>
                <c:pt idx="1701">
                  <c:v>40357</c:v>
                </c:pt>
                <c:pt idx="1702">
                  <c:v>40356</c:v>
                </c:pt>
                <c:pt idx="1703">
                  <c:v>40355</c:v>
                </c:pt>
                <c:pt idx="1704">
                  <c:v>40354</c:v>
                </c:pt>
                <c:pt idx="1705">
                  <c:v>40353</c:v>
                </c:pt>
                <c:pt idx="1706">
                  <c:v>40352</c:v>
                </c:pt>
                <c:pt idx="1707">
                  <c:v>40351</c:v>
                </c:pt>
                <c:pt idx="1708">
                  <c:v>40350</c:v>
                </c:pt>
                <c:pt idx="1709">
                  <c:v>40349</c:v>
                </c:pt>
                <c:pt idx="1710">
                  <c:v>40348</c:v>
                </c:pt>
                <c:pt idx="1711">
                  <c:v>40347</c:v>
                </c:pt>
                <c:pt idx="1712">
                  <c:v>40346</c:v>
                </c:pt>
                <c:pt idx="1713">
                  <c:v>40345</c:v>
                </c:pt>
                <c:pt idx="1714">
                  <c:v>40344</c:v>
                </c:pt>
                <c:pt idx="1715">
                  <c:v>40343</c:v>
                </c:pt>
                <c:pt idx="1716">
                  <c:v>40342</c:v>
                </c:pt>
                <c:pt idx="1717">
                  <c:v>40341</c:v>
                </c:pt>
                <c:pt idx="1718">
                  <c:v>40340</c:v>
                </c:pt>
                <c:pt idx="1719">
                  <c:v>40339</c:v>
                </c:pt>
                <c:pt idx="1720">
                  <c:v>40338</c:v>
                </c:pt>
                <c:pt idx="1721">
                  <c:v>40337</c:v>
                </c:pt>
                <c:pt idx="1722">
                  <c:v>40336</c:v>
                </c:pt>
                <c:pt idx="1723">
                  <c:v>40335</c:v>
                </c:pt>
                <c:pt idx="1724">
                  <c:v>40334</c:v>
                </c:pt>
                <c:pt idx="1725">
                  <c:v>40333</c:v>
                </c:pt>
                <c:pt idx="1726">
                  <c:v>40332</c:v>
                </c:pt>
                <c:pt idx="1727">
                  <c:v>40331</c:v>
                </c:pt>
                <c:pt idx="1728">
                  <c:v>40330</c:v>
                </c:pt>
                <c:pt idx="1729">
                  <c:v>40329</c:v>
                </c:pt>
                <c:pt idx="1730">
                  <c:v>40328</c:v>
                </c:pt>
                <c:pt idx="1731">
                  <c:v>40327</c:v>
                </c:pt>
                <c:pt idx="1732">
                  <c:v>40326</c:v>
                </c:pt>
                <c:pt idx="1733">
                  <c:v>40325</c:v>
                </c:pt>
                <c:pt idx="1734">
                  <c:v>40324</c:v>
                </c:pt>
                <c:pt idx="1735">
                  <c:v>40323</c:v>
                </c:pt>
                <c:pt idx="1736">
                  <c:v>40322</c:v>
                </c:pt>
                <c:pt idx="1737">
                  <c:v>40321</c:v>
                </c:pt>
                <c:pt idx="1738">
                  <c:v>40320</c:v>
                </c:pt>
                <c:pt idx="1739">
                  <c:v>40319</c:v>
                </c:pt>
                <c:pt idx="1740">
                  <c:v>40318</c:v>
                </c:pt>
                <c:pt idx="1741">
                  <c:v>40317</c:v>
                </c:pt>
                <c:pt idx="1742">
                  <c:v>40316</c:v>
                </c:pt>
                <c:pt idx="1743">
                  <c:v>40315</c:v>
                </c:pt>
                <c:pt idx="1744">
                  <c:v>40314</c:v>
                </c:pt>
                <c:pt idx="1745">
                  <c:v>40313</c:v>
                </c:pt>
                <c:pt idx="1746">
                  <c:v>40312</c:v>
                </c:pt>
                <c:pt idx="1747">
                  <c:v>40311</c:v>
                </c:pt>
                <c:pt idx="1748">
                  <c:v>40310</c:v>
                </c:pt>
                <c:pt idx="1749">
                  <c:v>40309</c:v>
                </c:pt>
                <c:pt idx="1750">
                  <c:v>40308</c:v>
                </c:pt>
                <c:pt idx="1751">
                  <c:v>40305</c:v>
                </c:pt>
                <c:pt idx="1752">
                  <c:v>40304</c:v>
                </c:pt>
                <c:pt idx="1753">
                  <c:v>40303</c:v>
                </c:pt>
                <c:pt idx="1754">
                  <c:v>40302</c:v>
                </c:pt>
                <c:pt idx="1755">
                  <c:v>40301</c:v>
                </c:pt>
                <c:pt idx="1756">
                  <c:v>40300</c:v>
                </c:pt>
                <c:pt idx="1757">
                  <c:v>40299</c:v>
                </c:pt>
                <c:pt idx="1758">
                  <c:v>40298</c:v>
                </c:pt>
                <c:pt idx="1759">
                  <c:v>40297</c:v>
                </c:pt>
                <c:pt idx="1760">
                  <c:v>40296</c:v>
                </c:pt>
                <c:pt idx="1761">
                  <c:v>40295</c:v>
                </c:pt>
                <c:pt idx="1762">
                  <c:v>40294</c:v>
                </c:pt>
                <c:pt idx="1763">
                  <c:v>40293</c:v>
                </c:pt>
                <c:pt idx="1764">
                  <c:v>40292</c:v>
                </c:pt>
                <c:pt idx="1765">
                  <c:v>40291</c:v>
                </c:pt>
                <c:pt idx="1766">
                  <c:v>40290</c:v>
                </c:pt>
                <c:pt idx="1767">
                  <c:v>40289</c:v>
                </c:pt>
                <c:pt idx="1768">
                  <c:v>40288</c:v>
                </c:pt>
                <c:pt idx="1769">
                  <c:v>40287</c:v>
                </c:pt>
                <c:pt idx="1770">
                  <c:v>40286</c:v>
                </c:pt>
                <c:pt idx="1771">
                  <c:v>40284</c:v>
                </c:pt>
                <c:pt idx="1772">
                  <c:v>40283</c:v>
                </c:pt>
                <c:pt idx="1773">
                  <c:v>40282</c:v>
                </c:pt>
                <c:pt idx="1774">
                  <c:v>40281</c:v>
                </c:pt>
                <c:pt idx="1775">
                  <c:v>40280</c:v>
                </c:pt>
                <c:pt idx="1776">
                  <c:v>40279</c:v>
                </c:pt>
                <c:pt idx="1777">
                  <c:v>40278</c:v>
                </c:pt>
                <c:pt idx="1778">
                  <c:v>40277</c:v>
                </c:pt>
                <c:pt idx="1779">
                  <c:v>40276</c:v>
                </c:pt>
                <c:pt idx="1780">
                  <c:v>40275</c:v>
                </c:pt>
                <c:pt idx="1781">
                  <c:v>40274</c:v>
                </c:pt>
                <c:pt idx="1782">
                  <c:v>40273</c:v>
                </c:pt>
                <c:pt idx="1783">
                  <c:v>40272</c:v>
                </c:pt>
                <c:pt idx="1784">
                  <c:v>40271</c:v>
                </c:pt>
                <c:pt idx="1785">
                  <c:v>40270</c:v>
                </c:pt>
                <c:pt idx="1786">
                  <c:v>40269</c:v>
                </c:pt>
                <c:pt idx="1787">
                  <c:v>40268</c:v>
                </c:pt>
                <c:pt idx="1788">
                  <c:v>40267</c:v>
                </c:pt>
                <c:pt idx="1789">
                  <c:v>40266</c:v>
                </c:pt>
                <c:pt idx="1790">
                  <c:v>40265</c:v>
                </c:pt>
                <c:pt idx="1791">
                  <c:v>40264</c:v>
                </c:pt>
                <c:pt idx="1792">
                  <c:v>40263</c:v>
                </c:pt>
                <c:pt idx="1793">
                  <c:v>40262</c:v>
                </c:pt>
                <c:pt idx="1794">
                  <c:v>40261</c:v>
                </c:pt>
                <c:pt idx="1795">
                  <c:v>40260</c:v>
                </c:pt>
                <c:pt idx="1796">
                  <c:v>40259</c:v>
                </c:pt>
                <c:pt idx="1797">
                  <c:v>40258</c:v>
                </c:pt>
                <c:pt idx="1798">
                  <c:v>40257</c:v>
                </c:pt>
                <c:pt idx="1799">
                  <c:v>40256</c:v>
                </c:pt>
                <c:pt idx="1800">
                  <c:v>40255</c:v>
                </c:pt>
                <c:pt idx="1801">
                  <c:v>40254</c:v>
                </c:pt>
                <c:pt idx="1802">
                  <c:v>40253</c:v>
                </c:pt>
                <c:pt idx="1803">
                  <c:v>40252</c:v>
                </c:pt>
                <c:pt idx="1804">
                  <c:v>40251</c:v>
                </c:pt>
                <c:pt idx="1805">
                  <c:v>40250</c:v>
                </c:pt>
                <c:pt idx="1806">
                  <c:v>40249</c:v>
                </c:pt>
                <c:pt idx="1807">
                  <c:v>40248</c:v>
                </c:pt>
                <c:pt idx="1808">
                  <c:v>40247</c:v>
                </c:pt>
                <c:pt idx="1809">
                  <c:v>40246</c:v>
                </c:pt>
                <c:pt idx="1810">
                  <c:v>40245</c:v>
                </c:pt>
                <c:pt idx="1811">
                  <c:v>40244</c:v>
                </c:pt>
                <c:pt idx="1812">
                  <c:v>40243</c:v>
                </c:pt>
                <c:pt idx="1813">
                  <c:v>40242</c:v>
                </c:pt>
                <c:pt idx="1814">
                  <c:v>40241</c:v>
                </c:pt>
                <c:pt idx="1815">
                  <c:v>40240</c:v>
                </c:pt>
                <c:pt idx="1816">
                  <c:v>40239</c:v>
                </c:pt>
                <c:pt idx="1817">
                  <c:v>40238</c:v>
                </c:pt>
                <c:pt idx="1818">
                  <c:v>40237</c:v>
                </c:pt>
                <c:pt idx="1819">
                  <c:v>40236</c:v>
                </c:pt>
                <c:pt idx="1820">
                  <c:v>40235</c:v>
                </c:pt>
                <c:pt idx="1821">
                  <c:v>40234</c:v>
                </c:pt>
                <c:pt idx="1822">
                  <c:v>40233</c:v>
                </c:pt>
                <c:pt idx="1823">
                  <c:v>40232</c:v>
                </c:pt>
                <c:pt idx="1824">
                  <c:v>40231</c:v>
                </c:pt>
                <c:pt idx="1825">
                  <c:v>40230</c:v>
                </c:pt>
                <c:pt idx="1826">
                  <c:v>40228</c:v>
                </c:pt>
                <c:pt idx="1827">
                  <c:v>40227</c:v>
                </c:pt>
                <c:pt idx="1828">
                  <c:v>40226</c:v>
                </c:pt>
                <c:pt idx="1829">
                  <c:v>40225</c:v>
                </c:pt>
                <c:pt idx="1830">
                  <c:v>40224</c:v>
                </c:pt>
                <c:pt idx="1831">
                  <c:v>40223</c:v>
                </c:pt>
                <c:pt idx="1832">
                  <c:v>40222</c:v>
                </c:pt>
                <c:pt idx="1833">
                  <c:v>40221</c:v>
                </c:pt>
                <c:pt idx="1834">
                  <c:v>40220</c:v>
                </c:pt>
                <c:pt idx="1835">
                  <c:v>40219</c:v>
                </c:pt>
                <c:pt idx="1836">
                  <c:v>40218</c:v>
                </c:pt>
                <c:pt idx="1837">
                  <c:v>40217</c:v>
                </c:pt>
                <c:pt idx="1838">
                  <c:v>40216</c:v>
                </c:pt>
                <c:pt idx="1839">
                  <c:v>40215</c:v>
                </c:pt>
                <c:pt idx="1840">
                  <c:v>40214</c:v>
                </c:pt>
                <c:pt idx="1841">
                  <c:v>40213</c:v>
                </c:pt>
                <c:pt idx="1842">
                  <c:v>40212</c:v>
                </c:pt>
                <c:pt idx="1843">
                  <c:v>40211</c:v>
                </c:pt>
                <c:pt idx="1844">
                  <c:v>40210</c:v>
                </c:pt>
                <c:pt idx="1845">
                  <c:v>40209</c:v>
                </c:pt>
                <c:pt idx="1846">
                  <c:v>40208</c:v>
                </c:pt>
                <c:pt idx="1847">
                  <c:v>40207</c:v>
                </c:pt>
                <c:pt idx="1848">
                  <c:v>40206</c:v>
                </c:pt>
                <c:pt idx="1849">
                  <c:v>40205</c:v>
                </c:pt>
                <c:pt idx="1850">
                  <c:v>40204</c:v>
                </c:pt>
                <c:pt idx="1851">
                  <c:v>40203</c:v>
                </c:pt>
                <c:pt idx="1852">
                  <c:v>40202</c:v>
                </c:pt>
                <c:pt idx="1853">
                  <c:v>40201</c:v>
                </c:pt>
                <c:pt idx="1854">
                  <c:v>40200</c:v>
                </c:pt>
                <c:pt idx="1855">
                  <c:v>40199</c:v>
                </c:pt>
                <c:pt idx="1856">
                  <c:v>40198</c:v>
                </c:pt>
                <c:pt idx="1857">
                  <c:v>40197</c:v>
                </c:pt>
                <c:pt idx="1858">
                  <c:v>40196</c:v>
                </c:pt>
                <c:pt idx="1859">
                  <c:v>40195</c:v>
                </c:pt>
                <c:pt idx="1860">
                  <c:v>40193</c:v>
                </c:pt>
                <c:pt idx="1861">
                  <c:v>40192</c:v>
                </c:pt>
                <c:pt idx="1862">
                  <c:v>40191</c:v>
                </c:pt>
                <c:pt idx="1863">
                  <c:v>40190</c:v>
                </c:pt>
                <c:pt idx="1864">
                  <c:v>40189</c:v>
                </c:pt>
                <c:pt idx="1865">
                  <c:v>40188</c:v>
                </c:pt>
                <c:pt idx="1866">
                  <c:v>40187</c:v>
                </c:pt>
                <c:pt idx="1867">
                  <c:v>40186</c:v>
                </c:pt>
                <c:pt idx="1868">
                  <c:v>40185</c:v>
                </c:pt>
                <c:pt idx="1869">
                  <c:v>40184</c:v>
                </c:pt>
                <c:pt idx="1870">
                  <c:v>40183</c:v>
                </c:pt>
                <c:pt idx="1871">
                  <c:v>40182</c:v>
                </c:pt>
                <c:pt idx="1872">
                  <c:v>40181</c:v>
                </c:pt>
                <c:pt idx="1873">
                  <c:v>40179</c:v>
                </c:pt>
                <c:pt idx="1874">
                  <c:v>40178</c:v>
                </c:pt>
                <c:pt idx="1875">
                  <c:v>40177</c:v>
                </c:pt>
                <c:pt idx="1876">
                  <c:v>40176</c:v>
                </c:pt>
                <c:pt idx="1877">
                  <c:v>40175</c:v>
                </c:pt>
                <c:pt idx="1878">
                  <c:v>40174</c:v>
                </c:pt>
                <c:pt idx="1879">
                  <c:v>40172</c:v>
                </c:pt>
                <c:pt idx="1880">
                  <c:v>40171</c:v>
                </c:pt>
                <c:pt idx="1881">
                  <c:v>40170</c:v>
                </c:pt>
                <c:pt idx="1882">
                  <c:v>40169</c:v>
                </c:pt>
                <c:pt idx="1883">
                  <c:v>40168</c:v>
                </c:pt>
                <c:pt idx="1884">
                  <c:v>40167</c:v>
                </c:pt>
                <c:pt idx="1885">
                  <c:v>40166</c:v>
                </c:pt>
                <c:pt idx="1886">
                  <c:v>40165</c:v>
                </c:pt>
                <c:pt idx="1887">
                  <c:v>40164</c:v>
                </c:pt>
                <c:pt idx="1888">
                  <c:v>40163</c:v>
                </c:pt>
                <c:pt idx="1889">
                  <c:v>40162</c:v>
                </c:pt>
                <c:pt idx="1890">
                  <c:v>40161</c:v>
                </c:pt>
                <c:pt idx="1891">
                  <c:v>40160</c:v>
                </c:pt>
                <c:pt idx="1892">
                  <c:v>40159</c:v>
                </c:pt>
                <c:pt idx="1893">
                  <c:v>40158</c:v>
                </c:pt>
                <c:pt idx="1894">
                  <c:v>40157</c:v>
                </c:pt>
                <c:pt idx="1895">
                  <c:v>40156</c:v>
                </c:pt>
                <c:pt idx="1896">
                  <c:v>40155</c:v>
                </c:pt>
                <c:pt idx="1897">
                  <c:v>40154</c:v>
                </c:pt>
                <c:pt idx="1898">
                  <c:v>40153</c:v>
                </c:pt>
                <c:pt idx="1899">
                  <c:v>40152</c:v>
                </c:pt>
                <c:pt idx="1900">
                  <c:v>40151</c:v>
                </c:pt>
                <c:pt idx="1901">
                  <c:v>40150</c:v>
                </c:pt>
                <c:pt idx="1902">
                  <c:v>40149</c:v>
                </c:pt>
                <c:pt idx="1903">
                  <c:v>40148</c:v>
                </c:pt>
                <c:pt idx="1904">
                  <c:v>40147</c:v>
                </c:pt>
                <c:pt idx="1905">
                  <c:v>40146</c:v>
                </c:pt>
                <c:pt idx="1906">
                  <c:v>40145</c:v>
                </c:pt>
                <c:pt idx="1907">
                  <c:v>40144</c:v>
                </c:pt>
                <c:pt idx="1908">
                  <c:v>40143</c:v>
                </c:pt>
                <c:pt idx="1909">
                  <c:v>40142</c:v>
                </c:pt>
                <c:pt idx="1910">
                  <c:v>40141</c:v>
                </c:pt>
                <c:pt idx="1911">
                  <c:v>40140</c:v>
                </c:pt>
                <c:pt idx="1912">
                  <c:v>40139</c:v>
                </c:pt>
                <c:pt idx="1913">
                  <c:v>40138</c:v>
                </c:pt>
                <c:pt idx="1914">
                  <c:v>40137</c:v>
                </c:pt>
                <c:pt idx="1915">
                  <c:v>40136</c:v>
                </c:pt>
                <c:pt idx="1916">
                  <c:v>40135</c:v>
                </c:pt>
                <c:pt idx="1917">
                  <c:v>40134</c:v>
                </c:pt>
                <c:pt idx="1918">
                  <c:v>40133</c:v>
                </c:pt>
                <c:pt idx="1919">
                  <c:v>40132</c:v>
                </c:pt>
                <c:pt idx="1920">
                  <c:v>40131</c:v>
                </c:pt>
                <c:pt idx="1921">
                  <c:v>40130</c:v>
                </c:pt>
                <c:pt idx="1922">
                  <c:v>40129</c:v>
                </c:pt>
                <c:pt idx="1923">
                  <c:v>40128</c:v>
                </c:pt>
                <c:pt idx="1924">
                  <c:v>40127</c:v>
                </c:pt>
                <c:pt idx="1925">
                  <c:v>40126</c:v>
                </c:pt>
                <c:pt idx="1926">
                  <c:v>40125</c:v>
                </c:pt>
                <c:pt idx="1927">
                  <c:v>40124</c:v>
                </c:pt>
                <c:pt idx="1928">
                  <c:v>40123</c:v>
                </c:pt>
                <c:pt idx="1929">
                  <c:v>40122</c:v>
                </c:pt>
                <c:pt idx="1930">
                  <c:v>40121</c:v>
                </c:pt>
                <c:pt idx="1931">
                  <c:v>40120</c:v>
                </c:pt>
                <c:pt idx="1932">
                  <c:v>40119</c:v>
                </c:pt>
                <c:pt idx="1933">
                  <c:v>40118</c:v>
                </c:pt>
                <c:pt idx="1934">
                  <c:v>40116</c:v>
                </c:pt>
                <c:pt idx="1935">
                  <c:v>40115</c:v>
                </c:pt>
                <c:pt idx="1936">
                  <c:v>40114</c:v>
                </c:pt>
                <c:pt idx="1937">
                  <c:v>40113</c:v>
                </c:pt>
                <c:pt idx="1938">
                  <c:v>40112</c:v>
                </c:pt>
                <c:pt idx="1939">
                  <c:v>40111</c:v>
                </c:pt>
                <c:pt idx="1940">
                  <c:v>40109</c:v>
                </c:pt>
                <c:pt idx="1941">
                  <c:v>40108</c:v>
                </c:pt>
                <c:pt idx="1942">
                  <c:v>40107</c:v>
                </c:pt>
                <c:pt idx="1943">
                  <c:v>40106</c:v>
                </c:pt>
                <c:pt idx="1944">
                  <c:v>40105</c:v>
                </c:pt>
                <c:pt idx="1945">
                  <c:v>40104</c:v>
                </c:pt>
                <c:pt idx="1946">
                  <c:v>40102</c:v>
                </c:pt>
                <c:pt idx="1947">
                  <c:v>40101</c:v>
                </c:pt>
                <c:pt idx="1948">
                  <c:v>40100</c:v>
                </c:pt>
                <c:pt idx="1949">
                  <c:v>40099</c:v>
                </c:pt>
                <c:pt idx="1950">
                  <c:v>40098</c:v>
                </c:pt>
                <c:pt idx="1951">
                  <c:v>40097</c:v>
                </c:pt>
                <c:pt idx="1952">
                  <c:v>40095</c:v>
                </c:pt>
                <c:pt idx="1953">
                  <c:v>40094</c:v>
                </c:pt>
                <c:pt idx="1954">
                  <c:v>40093</c:v>
                </c:pt>
                <c:pt idx="1955">
                  <c:v>40092</c:v>
                </c:pt>
                <c:pt idx="1956">
                  <c:v>40091</c:v>
                </c:pt>
                <c:pt idx="1957">
                  <c:v>40090</c:v>
                </c:pt>
                <c:pt idx="1958">
                  <c:v>40088</c:v>
                </c:pt>
                <c:pt idx="1959">
                  <c:v>40087</c:v>
                </c:pt>
                <c:pt idx="1960">
                  <c:v>40086</c:v>
                </c:pt>
                <c:pt idx="1961">
                  <c:v>40085</c:v>
                </c:pt>
                <c:pt idx="1962">
                  <c:v>40084</c:v>
                </c:pt>
                <c:pt idx="1963">
                  <c:v>40083</c:v>
                </c:pt>
                <c:pt idx="1964">
                  <c:v>40081</c:v>
                </c:pt>
                <c:pt idx="1965">
                  <c:v>40080</c:v>
                </c:pt>
                <c:pt idx="1966">
                  <c:v>40079</c:v>
                </c:pt>
                <c:pt idx="1967">
                  <c:v>40078</c:v>
                </c:pt>
                <c:pt idx="1968">
                  <c:v>40077</c:v>
                </c:pt>
                <c:pt idx="1969">
                  <c:v>40074</c:v>
                </c:pt>
                <c:pt idx="1970">
                  <c:v>40073</c:v>
                </c:pt>
                <c:pt idx="1971">
                  <c:v>40072</c:v>
                </c:pt>
                <c:pt idx="1972">
                  <c:v>40071</c:v>
                </c:pt>
                <c:pt idx="1973">
                  <c:v>40070</c:v>
                </c:pt>
                <c:pt idx="1974">
                  <c:v>40069</c:v>
                </c:pt>
                <c:pt idx="1975">
                  <c:v>40067</c:v>
                </c:pt>
                <c:pt idx="1976">
                  <c:v>40066</c:v>
                </c:pt>
                <c:pt idx="1977">
                  <c:v>40065</c:v>
                </c:pt>
                <c:pt idx="1978">
                  <c:v>40064</c:v>
                </c:pt>
                <c:pt idx="1979">
                  <c:v>40063</c:v>
                </c:pt>
                <c:pt idx="1980">
                  <c:v>40060</c:v>
                </c:pt>
                <c:pt idx="1981">
                  <c:v>40059</c:v>
                </c:pt>
                <c:pt idx="1982">
                  <c:v>40058</c:v>
                </c:pt>
                <c:pt idx="1983">
                  <c:v>40057</c:v>
                </c:pt>
                <c:pt idx="1984">
                  <c:v>40056</c:v>
                </c:pt>
                <c:pt idx="1985">
                  <c:v>40053</c:v>
                </c:pt>
                <c:pt idx="1986">
                  <c:v>40052</c:v>
                </c:pt>
                <c:pt idx="1987">
                  <c:v>40051</c:v>
                </c:pt>
                <c:pt idx="1988">
                  <c:v>40050</c:v>
                </c:pt>
                <c:pt idx="1989">
                  <c:v>40049</c:v>
                </c:pt>
                <c:pt idx="1990">
                  <c:v>40046</c:v>
                </c:pt>
                <c:pt idx="1991">
                  <c:v>40045</c:v>
                </c:pt>
                <c:pt idx="1992">
                  <c:v>40044</c:v>
                </c:pt>
                <c:pt idx="1993">
                  <c:v>40043</c:v>
                </c:pt>
                <c:pt idx="1994">
                  <c:v>40042</c:v>
                </c:pt>
                <c:pt idx="1995">
                  <c:v>40039</c:v>
                </c:pt>
                <c:pt idx="1996">
                  <c:v>40038</c:v>
                </c:pt>
                <c:pt idx="1997">
                  <c:v>40037</c:v>
                </c:pt>
                <c:pt idx="1998">
                  <c:v>40036</c:v>
                </c:pt>
                <c:pt idx="1999">
                  <c:v>40035</c:v>
                </c:pt>
                <c:pt idx="2000">
                  <c:v>40032</c:v>
                </c:pt>
                <c:pt idx="2001">
                  <c:v>40031</c:v>
                </c:pt>
                <c:pt idx="2002">
                  <c:v>40030</c:v>
                </c:pt>
                <c:pt idx="2003">
                  <c:v>40029</c:v>
                </c:pt>
                <c:pt idx="2004">
                  <c:v>40028</c:v>
                </c:pt>
                <c:pt idx="2005">
                  <c:v>40025</c:v>
                </c:pt>
                <c:pt idx="2006">
                  <c:v>40024</c:v>
                </c:pt>
                <c:pt idx="2007">
                  <c:v>40023</c:v>
                </c:pt>
                <c:pt idx="2008">
                  <c:v>40022</c:v>
                </c:pt>
                <c:pt idx="2009">
                  <c:v>40021</c:v>
                </c:pt>
                <c:pt idx="2010">
                  <c:v>40018</c:v>
                </c:pt>
                <c:pt idx="2011">
                  <c:v>40017</c:v>
                </c:pt>
                <c:pt idx="2012">
                  <c:v>40016</c:v>
                </c:pt>
                <c:pt idx="2013">
                  <c:v>40015</c:v>
                </c:pt>
                <c:pt idx="2014">
                  <c:v>40014</c:v>
                </c:pt>
                <c:pt idx="2015">
                  <c:v>40011</c:v>
                </c:pt>
                <c:pt idx="2016">
                  <c:v>40010</c:v>
                </c:pt>
                <c:pt idx="2017">
                  <c:v>40009</c:v>
                </c:pt>
                <c:pt idx="2018">
                  <c:v>40008</c:v>
                </c:pt>
                <c:pt idx="2019">
                  <c:v>40007</c:v>
                </c:pt>
                <c:pt idx="2020">
                  <c:v>40004</c:v>
                </c:pt>
                <c:pt idx="2021">
                  <c:v>40003</c:v>
                </c:pt>
                <c:pt idx="2022">
                  <c:v>40002</c:v>
                </c:pt>
                <c:pt idx="2023">
                  <c:v>40001</c:v>
                </c:pt>
                <c:pt idx="2024">
                  <c:v>40000</c:v>
                </c:pt>
                <c:pt idx="2025">
                  <c:v>39997</c:v>
                </c:pt>
                <c:pt idx="2026">
                  <c:v>39996</c:v>
                </c:pt>
                <c:pt idx="2027">
                  <c:v>39995</c:v>
                </c:pt>
                <c:pt idx="2028">
                  <c:v>39994</c:v>
                </c:pt>
                <c:pt idx="2029">
                  <c:v>39993</c:v>
                </c:pt>
                <c:pt idx="2030">
                  <c:v>39990</c:v>
                </c:pt>
                <c:pt idx="2031">
                  <c:v>39989</c:v>
                </c:pt>
                <c:pt idx="2032">
                  <c:v>39988</c:v>
                </c:pt>
                <c:pt idx="2033">
                  <c:v>39987</c:v>
                </c:pt>
                <c:pt idx="2034">
                  <c:v>39986</c:v>
                </c:pt>
                <c:pt idx="2035">
                  <c:v>39983</c:v>
                </c:pt>
                <c:pt idx="2036">
                  <c:v>39982</c:v>
                </c:pt>
                <c:pt idx="2037">
                  <c:v>39981</c:v>
                </c:pt>
                <c:pt idx="2038">
                  <c:v>39980</c:v>
                </c:pt>
                <c:pt idx="2039">
                  <c:v>39979</c:v>
                </c:pt>
                <c:pt idx="2040">
                  <c:v>39976</c:v>
                </c:pt>
                <c:pt idx="2041">
                  <c:v>39975</c:v>
                </c:pt>
                <c:pt idx="2042">
                  <c:v>39974</c:v>
                </c:pt>
                <c:pt idx="2043">
                  <c:v>39973</c:v>
                </c:pt>
                <c:pt idx="2044">
                  <c:v>39972</c:v>
                </c:pt>
                <c:pt idx="2045">
                  <c:v>39969</c:v>
                </c:pt>
                <c:pt idx="2046">
                  <c:v>39968</c:v>
                </c:pt>
                <c:pt idx="2047">
                  <c:v>39967</c:v>
                </c:pt>
                <c:pt idx="2048">
                  <c:v>39966</c:v>
                </c:pt>
                <c:pt idx="2049">
                  <c:v>39965</c:v>
                </c:pt>
                <c:pt idx="2050">
                  <c:v>39962</c:v>
                </c:pt>
                <c:pt idx="2051">
                  <c:v>39961</c:v>
                </c:pt>
                <c:pt idx="2052">
                  <c:v>39960</c:v>
                </c:pt>
                <c:pt idx="2053">
                  <c:v>39959</c:v>
                </c:pt>
                <c:pt idx="2054">
                  <c:v>39958</c:v>
                </c:pt>
                <c:pt idx="2055">
                  <c:v>39955</c:v>
                </c:pt>
                <c:pt idx="2056">
                  <c:v>39954</c:v>
                </c:pt>
                <c:pt idx="2057">
                  <c:v>39953</c:v>
                </c:pt>
                <c:pt idx="2058">
                  <c:v>39952</c:v>
                </c:pt>
                <c:pt idx="2059">
                  <c:v>39951</c:v>
                </c:pt>
                <c:pt idx="2060">
                  <c:v>39948</c:v>
                </c:pt>
                <c:pt idx="2061">
                  <c:v>39947</c:v>
                </c:pt>
                <c:pt idx="2062">
                  <c:v>39946</c:v>
                </c:pt>
                <c:pt idx="2063">
                  <c:v>39945</c:v>
                </c:pt>
                <c:pt idx="2064">
                  <c:v>39944</c:v>
                </c:pt>
                <c:pt idx="2065">
                  <c:v>39941</c:v>
                </c:pt>
                <c:pt idx="2066">
                  <c:v>39940</c:v>
                </c:pt>
                <c:pt idx="2067">
                  <c:v>39939</c:v>
                </c:pt>
                <c:pt idx="2068">
                  <c:v>39938</c:v>
                </c:pt>
                <c:pt idx="2069">
                  <c:v>39937</c:v>
                </c:pt>
                <c:pt idx="2070">
                  <c:v>39934</c:v>
                </c:pt>
                <c:pt idx="2071">
                  <c:v>39933</c:v>
                </c:pt>
                <c:pt idx="2072">
                  <c:v>39932</c:v>
                </c:pt>
                <c:pt idx="2073">
                  <c:v>39931</c:v>
                </c:pt>
                <c:pt idx="2074">
                  <c:v>39930</c:v>
                </c:pt>
                <c:pt idx="2075">
                  <c:v>39927</c:v>
                </c:pt>
                <c:pt idx="2076">
                  <c:v>39926</c:v>
                </c:pt>
                <c:pt idx="2077">
                  <c:v>39925</c:v>
                </c:pt>
                <c:pt idx="2078">
                  <c:v>39924</c:v>
                </c:pt>
                <c:pt idx="2079">
                  <c:v>39923</c:v>
                </c:pt>
                <c:pt idx="2080">
                  <c:v>39920</c:v>
                </c:pt>
                <c:pt idx="2081">
                  <c:v>39919</c:v>
                </c:pt>
                <c:pt idx="2082">
                  <c:v>39918</c:v>
                </c:pt>
                <c:pt idx="2083">
                  <c:v>39917</c:v>
                </c:pt>
                <c:pt idx="2084">
                  <c:v>39916</c:v>
                </c:pt>
                <c:pt idx="2085">
                  <c:v>39913</c:v>
                </c:pt>
                <c:pt idx="2086">
                  <c:v>39912</c:v>
                </c:pt>
                <c:pt idx="2087">
                  <c:v>39911</c:v>
                </c:pt>
                <c:pt idx="2088">
                  <c:v>39910</c:v>
                </c:pt>
                <c:pt idx="2089">
                  <c:v>39909</c:v>
                </c:pt>
                <c:pt idx="2090">
                  <c:v>39906</c:v>
                </c:pt>
                <c:pt idx="2091">
                  <c:v>39905</c:v>
                </c:pt>
                <c:pt idx="2092">
                  <c:v>39904</c:v>
                </c:pt>
                <c:pt idx="2093">
                  <c:v>39903</c:v>
                </c:pt>
                <c:pt idx="2094">
                  <c:v>39902</c:v>
                </c:pt>
                <c:pt idx="2095">
                  <c:v>39899</c:v>
                </c:pt>
                <c:pt idx="2096">
                  <c:v>39898</c:v>
                </c:pt>
                <c:pt idx="2097">
                  <c:v>39897</c:v>
                </c:pt>
                <c:pt idx="2098">
                  <c:v>39896</c:v>
                </c:pt>
                <c:pt idx="2099">
                  <c:v>39895</c:v>
                </c:pt>
                <c:pt idx="2100">
                  <c:v>39892</c:v>
                </c:pt>
                <c:pt idx="2101">
                  <c:v>39891</c:v>
                </c:pt>
                <c:pt idx="2102">
                  <c:v>39890</c:v>
                </c:pt>
                <c:pt idx="2103">
                  <c:v>39889</c:v>
                </c:pt>
                <c:pt idx="2104">
                  <c:v>39888</c:v>
                </c:pt>
                <c:pt idx="2105">
                  <c:v>39885</c:v>
                </c:pt>
                <c:pt idx="2106">
                  <c:v>39884</c:v>
                </c:pt>
                <c:pt idx="2107">
                  <c:v>39883</c:v>
                </c:pt>
                <c:pt idx="2108">
                  <c:v>39882</c:v>
                </c:pt>
                <c:pt idx="2109">
                  <c:v>39881</c:v>
                </c:pt>
                <c:pt idx="2110">
                  <c:v>39878</c:v>
                </c:pt>
                <c:pt idx="2111">
                  <c:v>39877</c:v>
                </c:pt>
                <c:pt idx="2112">
                  <c:v>39876</c:v>
                </c:pt>
                <c:pt idx="2113">
                  <c:v>39875</c:v>
                </c:pt>
                <c:pt idx="2114">
                  <c:v>39874</c:v>
                </c:pt>
                <c:pt idx="2115">
                  <c:v>39871</c:v>
                </c:pt>
                <c:pt idx="2116">
                  <c:v>39870</c:v>
                </c:pt>
                <c:pt idx="2117">
                  <c:v>39869</c:v>
                </c:pt>
                <c:pt idx="2118">
                  <c:v>39868</c:v>
                </c:pt>
                <c:pt idx="2119">
                  <c:v>39867</c:v>
                </c:pt>
                <c:pt idx="2120">
                  <c:v>39864</c:v>
                </c:pt>
                <c:pt idx="2121">
                  <c:v>39863</c:v>
                </c:pt>
                <c:pt idx="2122">
                  <c:v>39862</c:v>
                </c:pt>
                <c:pt idx="2123">
                  <c:v>39861</c:v>
                </c:pt>
                <c:pt idx="2124">
                  <c:v>39860</c:v>
                </c:pt>
                <c:pt idx="2125">
                  <c:v>39857</c:v>
                </c:pt>
                <c:pt idx="2126">
                  <c:v>39856</c:v>
                </c:pt>
                <c:pt idx="2127">
                  <c:v>39855</c:v>
                </c:pt>
                <c:pt idx="2128">
                  <c:v>39854</c:v>
                </c:pt>
                <c:pt idx="2129">
                  <c:v>39853</c:v>
                </c:pt>
                <c:pt idx="2130">
                  <c:v>39850</c:v>
                </c:pt>
                <c:pt idx="2131">
                  <c:v>39849</c:v>
                </c:pt>
                <c:pt idx="2132">
                  <c:v>39848</c:v>
                </c:pt>
                <c:pt idx="2133">
                  <c:v>39847</c:v>
                </c:pt>
                <c:pt idx="2134">
                  <c:v>39846</c:v>
                </c:pt>
                <c:pt idx="2135">
                  <c:v>39843</c:v>
                </c:pt>
                <c:pt idx="2136">
                  <c:v>39842</c:v>
                </c:pt>
                <c:pt idx="2137">
                  <c:v>39841</c:v>
                </c:pt>
                <c:pt idx="2138">
                  <c:v>39840</c:v>
                </c:pt>
                <c:pt idx="2139">
                  <c:v>39839</c:v>
                </c:pt>
                <c:pt idx="2140">
                  <c:v>39836</c:v>
                </c:pt>
                <c:pt idx="2141">
                  <c:v>39835</c:v>
                </c:pt>
                <c:pt idx="2142">
                  <c:v>39834</c:v>
                </c:pt>
                <c:pt idx="2143">
                  <c:v>39833</c:v>
                </c:pt>
                <c:pt idx="2144">
                  <c:v>39832</c:v>
                </c:pt>
                <c:pt idx="2145">
                  <c:v>39829</c:v>
                </c:pt>
                <c:pt idx="2146">
                  <c:v>39828</c:v>
                </c:pt>
                <c:pt idx="2147">
                  <c:v>39827</c:v>
                </c:pt>
                <c:pt idx="2148">
                  <c:v>39826</c:v>
                </c:pt>
                <c:pt idx="2149">
                  <c:v>39825</c:v>
                </c:pt>
                <c:pt idx="2150">
                  <c:v>39822</c:v>
                </c:pt>
                <c:pt idx="2151">
                  <c:v>39821</c:v>
                </c:pt>
                <c:pt idx="2152">
                  <c:v>39820</c:v>
                </c:pt>
                <c:pt idx="2153">
                  <c:v>39819</c:v>
                </c:pt>
                <c:pt idx="2154">
                  <c:v>39818</c:v>
                </c:pt>
                <c:pt idx="2155">
                  <c:v>39815</c:v>
                </c:pt>
                <c:pt idx="2156">
                  <c:v>39814</c:v>
                </c:pt>
                <c:pt idx="2157">
                  <c:v>39813</c:v>
                </c:pt>
                <c:pt idx="2158">
                  <c:v>39812</c:v>
                </c:pt>
                <c:pt idx="2159">
                  <c:v>39811</c:v>
                </c:pt>
                <c:pt idx="2160">
                  <c:v>39808</c:v>
                </c:pt>
                <c:pt idx="2161">
                  <c:v>39807</c:v>
                </c:pt>
                <c:pt idx="2162">
                  <c:v>39806</c:v>
                </c:pt>
                <c:pt idx="2163">
                  <c:v>39805</c:v>
                </c:pt>
                <c:pt idx="2164">
                  <c:v>39804</c:v>
                </c:pt>
                <c:pt idx="2165">
                  <c:v>39801</c:v>
                </c:pt>
                <c:pt idx="2166">
                  <c:v>39800</c:v>
                </c:pt>
                <c:pt idx="2167">
                  <c:v>39799</c:v>
                </c:pt>
                <c:pt idx="2168">
                  <c:v>39798</c:v>
                </c:pt>
                <c:pt idx="2169">
                  <c:v>39797</c:v>
                </c:pt>
                <c:pt idx="2170">
                  <c:v>39794</c:v>
                </c:pt>
                <c:pt idx="2171">
                  <c:v>39793</c:v>
                </c:pt>
                <c:pt idx="2172">
                  <c:v>39792</c:v>
                </c:pt>
                <c:pt idx="2173">
                  <c:v>39791</c:v>
                </c:pt>
                <c:pt idx="2174">
                  <c:v>39790</c:v>
                </c:pt>
                <c:pt idx="2175">
                  <c:v>39787</c:v>
                </c:pt>
                <c:pt idx="2176">
                  <c:v>39786</c:v>
                </c:pt>
                <c:pt idx="2177">
                  <c:v>39785</c:v>
                </c:pt>
                <c:pt idx="2178">
                  <c:v>39784</c:v>
                </c:pt>
                <c:pt idx="2179">
                  <c:v>39783</c:v>
                </c:pt>
                <c:pt idx="2180">
                  <c:v>39780</c:v>
                </c:pt>
                <c:pt idx="2181">
                  <c:v>39779</c:v>
                </c:pt>
                <c:pt idx="2182">
                  <c:v>39778</c:v>
                </c:pt>
                <c:pt idx="2183">
                  <c:v>39777</c:v>
                </c:pt>
                <c:pt idx="2184">
                  <c:v>39776</c:v>
                </c:pt>
                <c:pt idx="2185">
                  <c:v>39773</c:v>
                </c:pt>
                <c:pt idx="2186">
                  <c:v>39772</c:v>
                </c:pt>
                <c:pt idx="2187">
                  <c:v>39771</c:v>
                </c:pt>
                <c:pt idx="2188">
                  <c:v>39770</c:v>
                </c:pt>
                <c:pt idx="2189">
                  <c:v>39769</c:v>
                </c:pt>
                <c:pt idx="2190">
                  <c:v>39766</c:v>
                </c:pt>
                <c:pt idx="2191">
                  <c:v>39765</c:v>
                </c:pt>
                <c:pt idx="2192">
                  <c:v>39764</c:v>
                </c:pt>
                <c:pt idx="2193">
                  <c:v>39763</c:v>
                </c:pt>
                <c:pt idx="2194">
                  <c:v>39762</c:v>
                </c:pt>
                <c:pt idx="2195">
                  <c:v>39759</c:v>
                </c:pt>
                <c:pt idx="2196">
                  <c:v>39758</c:v>
                </c:pt>
                <c:pt idx="2197">
                  <c:v>39757</c:v>
                </c:pt>
                <c:pt idx="2198">
                  <c:v>39756</c:v>
                </c:pt>
                <c:pt idx="2199">
                  <c:v>39755</c:v>
                </c:pt>
                <c:pt idx="2200">
                  <c:v>39752</c:v>
                </c:pt>
                <c:pt idx="2201">
                  <c:v>39751</c:v>
                </c:pt>
                <c:pt idx="2202">
                  <c:v>39750</c:v>
                </c:pt>
                <c:pt idx="2203">
                  <c:v>39749</c:v>
                </c:pt>
                <c:pt idx="2204">
                  <c:v>39748</c:v>
                </c:pt>
                <c:pt idx="2205">
                  <c:v>39745</c:v>
                </c:pt>
                <c:pt idx="2206">
                  <c:v>39744</c:v>
                </c:pt>
                <c:pt idx="2207">
                  <c:v>39743</c:v>
                </c:pt>
                <c:pt idx="2208">
                  <c:v>39742</c:v>
                </c:pt>
                <c:pt idx="2209">
                  <c:v>39741</c:v>
                </c:pt>
                <c:pt idx="2210">
                  <c:v>39738</c:v>
                </c:pt>
                <c:pt idx="2211">
                  <c:v>39737</c:v>
                </c:pt>
                <c:pt idx="2212">
                  <c:v>39736</c:v>
                </c:pt>
                <c:pt idx="2213">
                  <c:v>39735</c:v>
                </c:pt>
                <c:pt idx="2214">
                  <c:v>39734</c:v>
                </c:pt>
                <c:pt idx="2215">
                  <c:v>39731</c:v>
                </c:pt>
                <c:pt idx="2216">
                  <c:v>39730</c:v>
                </c:pt>
                <c:pt idx="2217">
                  <c:v>39729</c:v>
                </c:pt>
                <c:pt idx="2218">
                  <c:v>39728</c:v>
                </c:pt>
                <c:pt idx="2219">
                  <c:v>39727</c:v>
                </c:pt>
                <c:pt idx="2220">
                  <c:v>39724</c:v>
                </c:pt>
                <c:pt idx="2221">
                  <c:v>39723</c:v>
                </c:pt>
                <c:pt idx="2222">
                  <c:v>39722</c:v>
                </c:pt>
                <c:pt idx="2223">
                  <c:v>39721</c:v>
                </c:pt>
                <c:pt idx="2224">
                  <c:v>39720</c:v>
                </c:pt>
                <c:pt idx="2225">
                  <c:v>39717</c:v>
                </c:pt>
                <c:pt idx="2226">
                  <c:v>39716</c:v>
                </c:pt>
                <c:pt idx="2227">
                  <c:v>39715</c:v>
                </c:pt>
                <c:pt idx="2228">
                  <c:v>39714</c:v>
                </c:pt>
                <c:pt idx="2229">
                  <c:v>39713</c:v>
                </c:pt>
                <c:pt idx="2230">
                  <c:v>39710</c:v>
                </c:pt>
                <c:pt idx="2231">
                  <c:v>39709</c:v>
                </c:pt>
                <c:pt idx="2232">
                  <c:v>39708</c:v>
                </c:pt>
                <c:pt idx="2233">
                  <c:v>39707</c:v>
                </c:pt>
                <c:pt idx="2234">
                  <c:v>39706</c:v>
                </c:pt>
                <c:pt idx="2235">
                  <c:v>39703</c:v>
                </c:pt>
                <c:pt idx="2236">
                  <c:v>39702</c:v>
                </c:pt>
                <c:pt idx="2237">
                  <c:v>39701</c:v>
                </c:pt>
                <c:pt idx="2238">
                  <c:v>39700</c:v>
                </c:pt>
                <c:pt idx="2239">
                  <c:v>39699</c:v>
                </c:pt>
                <c:pt idx="2240">
                  <c:v>39696</c:v>
                </c:pt>
                <c:pt idx="2241">
                  <c:v>39695</c:v>
                </c:pt>
                <c:pt idx="2242">
                  <c:v>39694</c:v>
                </c:pt>
                <c:pt idx="2243">
                  <c:v>39693</c:v>
                </c:pt>
                <c:pt idx="2244">
                  <c:v>39692</c:v>
                </c:pt>
                <c:pt idx="2245">
                  <c:v>39689</c:v>
                </c:pt>
                <c:pt idx="2246">
                  <c:v>39688</c:v>
                </c:pt>
                <c:pt idx="2247">
                  <c:v>39687</c:v>
                </c:pt>
                <c:pt idx="2248">
                  <c:v>39686</c:v>
                </c:pt>
                <c:pt idx="2249">
                  <c:v>39685</c:v>
                </c:pt>
                <c:pt idx="2250">
                  <c:v>39682</c:v>
                </c:pt>
                <c:pt idx="2251">
                  <c:v>39681</c:v>
                </c:pt>
                <c:pt idx="2252">
                  <c:v>39680</c:v>
                </c:pt>
                <c:pt idx="2253">
                  <c:v>39679</c:v>
                </c:pt>
                <c:pt idx="2254">
                  <c:v>39678</c:v>
                </c:pt>
                <c:pt idx="2255">
                  <c:v>39675</c:v>
                </c:pt>
                <c:pt idx="2256">
                  <c:v>39674</c:v>
                </c:pt>
                <c:pt idx="2257">
                  <c:v>39673</c:v>
                </c:pt>
                <c:pt idx="2258">
                  <c:v>39672</c:v>
                </c:pt>
                <c:pt idx="2259">
                  <c:v>39671</c:v>
                </c:pt>
                <c:pt idx="2260">
                  <c:v>39668</c:v>
                </c:pt>
                <c:pt idx="2261">
                  <c:v>39667</c:v>
                </c:pt>
                <c:pt idx="2262">
                  <c:v>39666</c:v>
                </c:pt>
                <c:pt idx="2263">
                  <c:v>39665</c:v>
                </c:pt>
                <c:pt idx="2264">
                  <c:v>39664</c:v>
                </c:pt>
                <c:pt idx="2265">
                  <c:v>39661</c:v>
                </c:pt>
                <c:pt idx="2266">
                  <c:v>39660</c:v>
                </c:pt>
                <c:pt idx="2267">
                  <c:v>39659</c:v>
                </c:pt>
                <c:pt idx="2268">
                  <c:v>39658</c:v>
                </c:pt>
                <c:pt idx="2269">
                  <c:v>39657</c:v>
                </c:pt>
                <c:pt idx="2270">
                  <c:v>39654</c:v>
                </c:pt>
                <c:pt idx="2271">
                  <c:v>39653</c:v>
                </c:pt>
                <c:pt idx="2272">
                  <c:v>39652</c:v>
                </c:pt>
                <c:pt idx="2273">
                  <c:v>39651</c:v>
                </c:pt>
                <c:pt idx="2274">
                  <c:v>39650</c:v>
                </c:pt>
                <c:pt idx="2275">
                  <c:v>39647</c:v>
                </c:pt>
                <c:pt idx="2276">
                  <c:v>39646</c:v>
                </c:pt>
                <c:pt idx="2277">
                  <c:v>39645</c:v>
                </c:pt>
                <c:pt idx="2278">
                  <c:v>39644</c:v>
                </c:pt>
                <c:pt idx="2279">
                  <c:v>39643</c:v>
                </c:pt>
                <c:pt idx="2280">
                  <c:v>39640</c:v>
                </c:pt>
                <c:pt idx="2281">
                  <c:v>39639</c:v>
                </c:pt>
                <c:pt idx="2282">
                  <c:v>39638</c:v>
                </c:pt>
                <c:pt idx="2283">
                  <c:v>39637</c:v>
                </c:pt>
                <c:pt idx="2284">
                  <c:v>39636</c:v>
                </c:pt>
                <c:pt idx="2285">
                  <c:v>39633</c:v>
                </c:pt>
                <c:pt idx="2286">
                  <c:v>39632</c:v>
                </c:pt>
                <c:pt idx="2287">
                  <c:v>39631</c:v>
                </c:pt>
                <c:pt idx="2288">
                  <c:v>39630</c:v>
                </c:pt>
                <c:pt idx="2289">
                  <c:v>39629</c:v>
                </c:pt>
                <c:pt idx="2290">
                  <c:v>39626</c:v>
                </c:pt>
                <c:pt idx="2291">
                  <c:v>39625</c:v>
                </c:pt>
                <c:pt idx="2292">
                  <c:v>39624</c:v>
                </c:pt>
                <c:pt idx="2293">
                  <c:v>39623</c:v>
                </c:pt>
                <c:pt idx="2294">
                  <c:v>39622</c:v>
                </c:pt>
                <c:pt idx="2295">
                  <c:v>39619</c:v>
                </c:pt>
                <c:pt idx="2296">
                  <c:v>39618</c:v>
                </c:pt>
                <c:pt idx="2297">
                  <c:v>39617</c:v>
                </c:pt>
                <c:pt idx="2298">
                  <c:v>39616</c:v>
                </c:pt>
                <c:pt idx="2299">
                  <c:v>39615</c:v>
                </c:pt>
                <c:pt idx="2300">
                  <c:v>39612</c:v>
                </c:pt>
                <c:pt idx="2301">
                  <c:v>39611</c:v>
                </c:pt>
                <c:pt idx="2302">
                  <c:v>39610</c:v>
                </c:pt>
                <c:pt idx="2303">
                  <c:v>39609</c:v>
                </c:pt>
                <c:pt idx="2304">
                  <c:v>39608</c:v>
                </c:pt>
                <c:pt idx="2305">
                  <c:v>39605</c:v>
                </c:pt>
                <c:pt idx="2306">
                  <c:v>39604</c:v>
                </c:pt>
                <c:pt idx="2307">
                  <c:v>39603</c:v>
                </c:pt>
                <c:pt idx="2308">
                  <c:v>39602</c:v>
                </c:pt>
                <c:pt idx="2309">
                  <c:v>39601</c:v>
                </c:pt>
                <c:pt idx="2310">
                  <c:v>39598</c:v>
                </c:pt>
                <c:pt idx="2311">
                  <c:v>39597</c:v>
                </c:pt>
                <c:pt idx="2312">
                  <c:v>39596</c:v>
                </c:pt>
                <c:pt idx="2313">
                  <c:v>39595</c:v>
                </c:pt>
                <c:pt idx="2314">
                  <c:v>39594</c:v>
                </c:pt>
                <c:pt idx="2315">
                  <c:v>39591</c:v>
                </c:pt>
                <c:pt idx="2316">
                  <c:v>39590</c:v>
                </c:pt>
                <c:pt idx="2317">
                  <c:v>39589</c:v>
                </c:pt>
                <c:pt idx="2318">
                  <c:v>39588</c:v>
                </c:pt>
                <c:pt idx="2319">
                  <c:v>39587</c:v>
                </c:pt>
                <c:pt idx="2320">
                  <c:v>39584</c:v>
                </c:pt>
                <c:pt idx="2321">
                  <c:v>39583</c:v>
                </c:pt>
                <c:pt idx="2322">
                  <c:v>39582</c:v>
                </c:pt>
                <c:pt idx="2323">
                  <c:v>39581</c:v>
                </c:pt>
                <c:pt idx="2324">
                  <c:v>39580</c:v>
                </c:pt>
                <c:pt idx="2325">
                  <c:v>39577</c:v>
                </c:pt>
                <c:pt idx="2326">
                  <c:v>39576</c:v>
                </c:pt>
                <c:pt idx="2327">
                  <c:v>39575</c:v>
                </c:pt>
                <c:pt idx="2328">
                  <c:v>39574</c:v>
                </c:pt>
                <c:pt idx="2329">
                  <c:v>39573</c:v>
                </c:pt>
                <c:pt idx="2330">
                  <c:v>39570</c:v>
                </c:pt>
                <c:pt idx="2331">
                  <c:v>39569</c:v>
                </c:pt>
                <c:pt idx="2332">
                  <c:v>39568</c:v>
                </c:pt>
                <c:pt idx="2333">
                  <c:v>39567</c:v>
                </c:pt>
                <c:pt idx="2334">
                  <c:v>39566</c:v>
                </c:pt>
                <c:pt idx="2335">
                  <c:v>39563</c:v>
                </c:pt>
                <c:pt idx="2336">
                  <c:v>39562</c:v>
                </c:pt>
                <c:pt idx="2337">
                  <c:v>39561</c:v>
                </c:pt>
                <c:pt idx="2338">
                  <c:v>39560</c:v>
                </c:pt>
                <c:pt idx="2339">
                  <c:v>39559</c:v>
                </c:pt>
                <c:pt idx="2340">
                  <c:v>39556</c:v>
                </c:pt>
                <c:pt idx="2341">
                  <c:v>39555</c:v>
                </c:pt>
                <c:pt idx="2342">
                  <c:v>39554</c:v>
                </c:pt>
                <c:pt idx="2343">
                  <c:v>39553</c:v>
                </c:pt>
                <c:pt idx="2344">
                  <c:v>39552</c:v>
                </c:pt>
                <c:pt idx="2345">
                  <c:v>39549</c:v>
                </c:pt>
                <c:pt idx="2346">
                  <c:v>39548</c:v>
                </c:pt>
                <c:pt idx="2347">
                  <c:v>39547</c:v>
                </c:pt>
                <c:pt idx="2348">
                  <c:v>39546</c:v>
                </c:pt>
                <c:pt idx="2349">
                  <c:v>39545</c:v>
                </c:pt>
                <c:pt idx="2350">
                  <c:v>39542</c:v>
                </c:pt>
                <c:pt idx="2351">
                  <c:v>39541</c:v>
                </c:pt>
                <c:pt idx="2352">
                  <c:v>39540</c:v>
                </c:pt>
                <c:pt idx="2353">
                  <c:v>39539</c:v>
                </c:pt>
                <c:pt idx="2354">
                  <c:v>39538</c:v>
                </c:pt>
                <c:pt idx="2355">
                  <c:v>39535</c:v>
                </c:pt>
                <c:pt idx="2356">
                  <c:v>39534</c:v>
                </c:pt>
                <c:pt idx="2357">
                  <c:v>39533</c:v>
                </c:pt>
                <c:pt idx="2358">
                  <c:v>39532</c:v>
                </c:pt>
                <c:pt idx="2359">
                  <c:v>39531</c:v>
                </c:pt>
                <c:pt idx="2360">
                  <c:v>39528</c:v>
                </c:pt>
                <c:pt idx="2361">
                  <c:v>39527</c:v>
                </c:pt>
                <c:pt idx="2362">
                  <c:v>39526</c:v>
                </c:pt>
                <c:pt idx="2363">
                  <c:v>39525</c:v>
                </c:pt>
                <c:pt idx="2364">
                  <c:v>39524</c:v>
                </c:pt>
                <c:pt idx="2365">
                  <c:v>39521</c:v>
                </c:pt>
                <c:pt idx="2366">
                  <c:v>39520</c:v>
                </c:pt>
                <c:pt idx="2367">
                  <c:v>39519</c:v>
                </c:pt>
                <c:pt idx="2368">
                  <c:v>39518</c:v>
                </c:pt>
                <c:pt idx="2369">
                  <c:v>39517</c:v>
                </c:pt>
                <c:pt idx="2370">
                  <c:v>39514</c:v>
                </c:pt>
                <c:pt idx="2371">
                  <c:v>39513</c:v>
                </c:pt>
                <c:pt idx="2372">
                  <c:v>39512</c:v>
                </c:pt>
                <c:pt idx="2373">
                  <c:v>39511</c:v>
                </c:pt>
                <c:pt idx="2374">
                  <c:v>39510</c:v>
                </c:pt>
                <c:pt idx="2375">
                  <c:v>39507</c:v>
                </c:pt>
                <c:pt idx="2376">
                  <c:v>39506</c:v>
                </c:pt>
                <c:pt idx="2377">
                  <c:v>39505</c:v>
                </c:pt>
                <c:pt idx="2378">
                  <c:v>39504</c:v>
                </c:pt>
                <c:pt idx="2379">
                  <c:v>39503</c:v>
                </c:pt>
                <c:pt idx="2380">
                  <c:v>39500</c:v>
                </c:pt>
                <c:pt idx="2381">
                  <c:v>39499</c:v>
                </c:pt>
                <c:pt idx="2382">
                  <c:v>39498</c:v>
                </c:pt>
                <c:pt idx="2383">
                  <c:v>39497</c:v>
                </c:pt>
                <c:pt idx="2384">
                  <c:v>39496</c:v>
                </c:pt>
                <c:pt idx="2385">
                  <c:v>39493</c:v>
                </c:pt>
                <c:pt idx="2386">
                  <c:v>39492</c:v>
                </c:pt>
                <c:pt idx="2387">
                  <c:v>39491</c:v>
                </c:pt>
                <c:pt idx="2388">
                  <c:v>39490</c:v>
                </c:pt>
                <c:pt idx="2389">
                  <c:v>39489</c:v>
                </c:pt>
                <c:pt idx="2390">
                  <c:v>39486</c:v>
                </c:pt>
                <c:pt idx="2391">
                  <c:v>39485</c:v>
                </c:pt>
                <c:pt idx="2392">
                  <c:v>39484</c:v>
                </c:pt>
                <c:pt idx="2393">
                  <c:v>39483</c:v>
                </c:pt>
                <c:pt idx="2394">
                  <c:v>39482</c:v>
                </c:pt>
                <c:pt idx="2395">
                  <c:v>39479</c:v>
                </c:pt>
                <c:pt idx="2396">
                  <c:v>39478</c:v>
                </c:pt>
                <c:pt idx="2397">
                  <c:v>39477</c:v>
                </c:pt>
                <c:pt idx="2398">
                  <c:v>39476</c:v>
                </c:pt>
                <c:pt idx="2399">
                  <c:v>39475</c:v>
                </c:pt>
                <c:pt idx="2400">
                  <c:v>39472</c:v>
                </c:pt>
                <c:pt idx="2401">
                  <c:v>39471</c:v>
                </c:pt>
                <c:pt idx="2402">
                  <c:v>39470</c:v>
                </c:pt>
                <c:pt idx="2403">
                  <c:v>39469</c:v>
                </c:pt>
                <c:pt idx="2404">
                  <c:v>39468</c:v>
                </c:pt>
                <c:pt idx="2405">
                  <c:v>39465</c:v>
                </c:pt>
                <c:pt idx="2406">
                  <c:v>39464</c:v>
                </c:pt>
                <c:pt idx="2407">
                  <c:v>39463</c:v>
                </c:pt>
                <c:pt idx="2408">
                  <c:v>39462</c:v>
                </c:pt>
                <c:pt idx="2409">
                  <c:v>39461</c:v>
                </c:pt>
                <c:pt idx="2410">
                  <c:v>39458</c:v>
                </c:pt>
                <c:pt idx="2411">
                  <c:v>39457</c:v>
                </c:pt>
                <c:pt idx="2412">
                  <c:v>39456</c:v>
                </c:pt>
                <c:pt idx="2413">
                  <c:v>39455</c:v>
                </c:pt>
                <c:pt idx="2414">
                  <c:v>39454</c:v>
                </c:pt>
                <c:pt idx="2415">
                  <c:v>39451</c:v>
                </c:pt>
                <c:pt idx="2416">
                  <c:v>39450</c:v>
                </c:pt>
                <c:pt idx="2417">
                  <c:v>39449</c:v>
                </c:pt>
                <c:pt idx="2418">
                  <c:v>39448</c:v>
                </c:pt>
                <c:pt idx="2419">
                  <c:v>39447</c:v>
                </c:pt>
                <c:pt idx="2420">
                  <c:v>39444</c:v>
                </c:pt>
                <c:pt idx="2421">
                  <c:v>39443</c:v>
                </c:pt>
                <c:pt idx="2422">
                  <c:v>39442</c:v>
                </c:pt>
                <c:pt idx="2423">
                  <c:v>39441</c:v>
                </c:pt>
                <c:pt idx="2424">
                  <c:v>39440</c:v>
                </c:pt>
                <c:pt idx="2425">
                  <c:v>39437</c:v>
                </c:pt>
                <c:pt idx="2426">
                  <c:v>39436</c:v>
                </c:pt>
                <c:pt idx="2427">
                  <c:v>39435</c:v>
                </c:pt>
                <c:pt idx="2428">
                  <c:v>39434</c:v>
                </c:pt>
                <c:pt idx="2429">
                  <c:v>39433</c:v>
                </c:pt>
                <c:pt idx="2430">
                  <c:v>39430</c:v>
                </c:pt>
                <c:pt idx="2431">
                  <c:v>39429</c:v>
                </c:pt>
                <c:pt idx="2432">
                  <c:v>39428</c:v>
                </c:pt>
                <c:pt idx="2433">
                  <c:v>39427</c:v>
                </c:pt>
                <c:pt idx="2434">
                  <c:v>39426</c:v>
                </c:pt>
                <c:pt idx="2435">
                  <c:v>39423</c:v>
                </c:pt>
                <c:pt idx="2436">
                  <c:v>39422</c:v>
                </c:pt>
                <c:pt idx="2437">
                  <c:v>39421</c:v>
                </c:pt>
                <c:pt idx="2438">
                  <c:v>39420</c:v>
                </c:pt>
                <c:pt idx="2439">
                  <c:v>39419</c:v>
                </c:pt>
                <c:pt idx="2440">
                  <c:v>39416</c:v>
                </c:pt>
                <c:pt idx="2441">
                  <c:v>39415</c:v>
                </c:pt>
                <c:pt idx="2442">
                  <c:v>39414</c:v>
                </c:pt>
                <c:pt idx="2443">
                  <c:v>39413</c:v>
                </c:pt>
                <c:pt idx="2444">
                  <c:v>39412</c:v>
                </c:pt>
                <c:pt idx="2445">
                  <c:v>39409</c:v>
                </c:pt>
                <c:pt idx="2446">
                  <c:v>39408</c:v>
                </c:pt>
                <c:pt idx="2447">
                  <c:v>39407</c:v>
                </c:pt>
                <c:pt idx="2448">
                  <c:v>39406</c:v>
                </c:pt>
                <c:pt idx="2449">
                  <c:v>39405</c:v>
                </c:pt>
                <c:pt idx="2450">
                  <c:v>39402</c:v>
                </c:pt>
                <c:pt idx="2451">
                  <c:v>39401</c:v>
                </c:pt>
                <c:pt idx="2452">
                  <c:v>39400</c:v>
                </c:pt>
                <c:pt idx="2453">
                  <c:v>39399</c:v>
                </c:pt>
                <c:pt idx="2454">
                  <c:v>39398</c:v>
                </c:pt>
                <c:pt idx="2455">
                  <c:v>39395</c:v>
                </c:pt>
                <c:pt idx="2456">
                  <c:v>39394</c:v>
                </c:pt>
                <c:pt idx="2457">
                  <c:v>39393</c:v>
                </c:pt>
                <c:pt idx="2458">
                  <c:v>39392</c:v>
                </c:pt>
                <c:pt idx="2459">
                  <c:v>39391</c:v>
                </c:pt>
                <c:pt idx="2460">
                  <c:v>39388</c:v>
                </c:pt>
                <c:pt idx="2461">
                  <c:v>39387</c:v>
                </c:pt>
                <c:pt idx="2462">
                  <c:v>39386</c:v>
                </c:pt>
                <c:pt idx="2463">
                  <c:v>39385</c:v>
                </c:pt>
                <c:pt idx="2464">
                  <c:v>39384</c:v>
                </c:pt>
                <c:pt idx="2465">
                  <c:v>39381</c:v>
                </c:pt>
                <c:pt idx="2466">
                  <c:v>39380</c:v>
                </c:pt>
                <c:pt idx="2467">
                  <c:v>39379</c:v>
                </c:pt>
                <c:pt idx="2468">
                  <c:v>39378</c:v>
                </c:pt>
                <c:pt idx="2469">
                  <c:v>39377</c:v>
                </c:pt>
                <c:pt idx="2470">
                  <c:v>39374</c:v>
                </c:pt>
                <c:pt idx="2471">
                  <c:v>39373</c:v>
                </c:pt>
                <c:pt idx="2472">
                  <c:v>39372</c:v>
                </c:pt>
                <c:pt idx="2473">
                  <c:v>39371</c:v>
                </c:pt>
                <c:pt idx="2474">
                  <c:v>39370</c:v>
                </c:pt>
                <c:pt idx="2475">
                  <c:v>39367</c:v>
                </c:pt>
                <c:pt idx="2476">
                  <c:v>39366</c:v>
                </c:pt>
                <c:pt idx="2477">
                  <c:v>39365</c:v>
                </c:pt>
                <c:pt idx="2478">
                  <c:v>39364</c:v>
                </c:pt>
                <c:pt idx="2479">
                  <c:v>39363</c:v>
                </c:pt>
                <c:pt idx="2480">
                  <c:v>39360</c:v>
                </c:pt>
                <c:pt idx="2481">
                  <c:v>39359</c:v>
                </c:pt>
                <c:pt idx="2482">
                  <c:v>39358</c:v>
                </c:pt>
                <c:pt idx="2483">
                  <c:v>39357</c:v>
                </c:pt>
                <c:pt idx="2484">
                  <c:v>39356</c:v>
                </c:pt>
                <c:pt idx="2485">
                  <c:v>39353</c:v>
                </c:pt>
                <c:pt idx="2486">
                  <c:v>39352</c:v>
                </c:pt>
                <c:pt idx="2487">
                  <c:v>39351</c:v>
                </c:pt>
                <c:pt idx="2488">
                  <c:v>39350</c:v>
                </c:pt>
                <c:pt idx="2489">
                  <c:v>39349</c:v>
                </c:pt>
                <c:pt idx="2490">
                  <c:v>39346</c:v>
                </c:pt>
                <c:pt idx="2491">
                  <c:v>39345</c:v>
                </c:pt>
                <c:pt idx="2492">
                  <c:v>39344</c:v>
                </c:pt>
                <c:pt idx="2493">
                  <c:v>39343</c:v>
                </c:pt>
                <c:pt idx="2494">
                  <c:v>39342</c:v>
                </c:pt>
                <c:pt idx="2495">
                  <c:v>39339</c:v>
                </c:pt>
                <c:pt idx="2496">
                  <c:v>39338</c:v>
                </c:pt>
                <c:pt idx="2497">
                  <c:v>39337</c:v>
                </c:pt>
                <c:pt idx="2498">
                  <c:v>39336</c:v>
                </c:pt>
                <c:pt idx="2499">
                  <c:v>39335</c:v>
                </c:pt>
                <c:pt idx="2500">
                  <c:v>39332</c:v>
                </c:pt>
                <c:pt idx="2501">
                  <c:v>39331</c:v>
                </c:pt>
                <c:pt idx="2502">
                  <c:v>39330</c:v>
                </c:pt>
                <c:pt idx="2503">
                  <c:v>39329</c:v>
                </c:pt>
                <c:pt idx="2504">
                  <c:v>39328</c:v>
                </c:pt>
                <c:pt idx="2505">
                  <c:v>39325</c:v>
                </c:pt>
                <c:pt idx="2506">
                  <c:v>39324</c:v>
                </c:pt>
                <c:pt idx="2507">
                  <c:v>39323</c:v>
                </c:pt>
                <c:pt idx="2508">
                  <c:v>39322</c:v>
                </c:pt>
                <c:pt idx="2509">
                  <c:v>39321</c:v>
                </c:pt>
                <c:pt idx="2510">
                  <c:v>39318</c:v>
                </c:pt>
                <c:pt idx="2511">
                  <c:v>39317</c:v>
                </c:pt>
                <c:pt idx="2512">
                  <c:v>39316</c:v>
                </c:pt>
                <c:pt idx="2513">
                  <c:v>39315</c:v>
                </c:pt>
                <c:pt idx="2514">
                  <c:v>39314</c:v>
                </c:pt>
                <c:pt idx="2515">
                  <c:v>39311</c:v>
                </c:pt>
                <c:pt idx="2516">
                  <c:v>39310</c:v>
                </c:pt>
                <c:pt idx="2517">
                  <c:v>39309</c:v>
                </c:pt>
                <c:pt idx="2518">
                  <c:v>39308</c:v>
                </c:pt>
                <c:pt idx="2519">
                  <c:v>39307</c:v>
                </c:pt>
                <c:pt idx="2520">
                  <c:v>39304</c:v>
                </c:pt>
                <c:pt idx="2521">
                  <c:v>39303</c:v>
                </c:pt>
                <c:pt idx="2522">
                  <c:v>39302</c:v>
                </c:pt>
                <c:pt idx="2523">
                  <c:v>39301</c:v>
                </c:pt>
                <c:pt idx="2524">
                  <c:v>39300</c:v>
                </c:pt>
                <c:pt idx="2525">
                  <c:v>39297</c:v>
                </c:pt>
                <c:pt idx="2526">
                  <c:v>39296</c:v>
                </c:pt>
                <c:pt idx="2527">
                  <c:v>39295</c:v>
                </c:pt>
                <c:pt idx="2528">
                  <c:v>39294</c:v>
                </c:pt>
                <c:pt idx="2529">
                  <c:v>39293</c:v>
                </c:pt>
                <c:pt idx="2530">
                  <c:v>39290</c:v>
                </c:pt>
                <c:pt idx="2531">
                  <c:v>39289</c:v>
                </c:pt>
                <c:pt idx="2532">
                  <c:v>39288</c:v>
                </c:pt>
                <c:pt idx="2533">
                  <c:v>39287</c:v>
                </c:pt>
                <c:pt idx="2534">
                  <c:v>39286</c:v>
                </c:pt>
                <c:pt idx="2535">
                  <c:v>39283</c:v>
                </c:pt>
                <c:pt idx="2536">
                  <c:v>39282</c:v>
                </c:pt>
                <c:pt idx="2537">
                  <c:v>39281</c:v>
                </c:pt>
                <c:pt idx="2538">
                  <c:v>39280</c:v>
                </c:pt>
                <c:pt idx="2539">
                  <c:v>39279</c:v>
                </c:pt>
                <c:pt idx="2540">
                  <c:v>39276</c:v>
                </c:pt>
                <c:pt idx="2541">
                  <c:v>39275</c:v>
                </c:pt>
                <c:pt idx="2542">
                  <c:v>39274</c:v>
                </c:pt>
                <c:pt idx="2543">
                  <c:v>39273</c:v>
                </c:pt>
                <c:pt idx="2544">
                  <c:v>39272</c:v>
                </c:pt>
                <c:pt idx="2545">
                  <c:v>39269</c:v>
                </c:pt>
                <c:pt idx="2546">
                  <c:v>39268</c:v>
                </c:pt>
                <c:pt idx="2547">
                  <c:v>39267</c:v>
                </c:pt>
                <c:pt idx="2548">
                  <c:v>39266</c:v>
                </c:pt>
                <c:pt idx="2549">
                  <c:v>39265</c:v>
                </c:pt>
                <c:pt idx="2550">
                  <c:v>39262</c:v>
                </c:pt>
                <c:pt idx="2551">
                  <c:v>39261</c:v>
                </c:pt>
                <c:pt idx="2552">
                  <c:v>39260</c:v>
                </c:pt>
                <c:pt idx="2553">
                  <c:v>39259</c:v>
                </c:pt>
                <c:pt idx="2554">
                  <c:v>39258</c:v>
                </c:pt>
                <c:pt idx="2555">
                  <c:v>39255</c:v>
                </c:pt>
                <c:pt idx="2556">
                  <c:v>39254</c:v>
                </c:pt>
                <c:pt idx="2557">
                  <c:v>39253</c:v>
                </c:pt>
                <c:pt idx="2558">
                  <c:v>39252</c:v>
                </c:pt>
                <c:pt idx="2559">
                  <c:v>39251</c:v>
                </c:pt>
                <c:pt idx="2560">
                  <c:v>39248</c:v>
                </c:pt>
                <c:pt idx="2561">
                  <c:v>39247</c:v>
                </c:pt>
                <c:pt idx="2562">
                  <c:v>39246</c:v>
                </c:pt>
                <c:pt idx="2563">
                  <c:v>39245</c:v>
                </c:pt>
                <c:pt idx="2564">
                  <c:v>39244</c:v>
                </c:pt>
                <c:pt idx="2565">
                  <c:v>39241</c:v>
                </c:pt>
                <c:pt idx="2566">
                  <c:v>39240</c:v>
                </c:pt>
                <c:pt idx="2567">
                  <c:v>39239</c:v>
                </c:pt>
                <c:pt idx="2568">
                  <c:v>39238</c:v>
                </c:pt>
                <c:pt idx="2569">
                  <c:v>39237</c:v>
                </c:pt>
                <c:pt idx="2570">
                  <c:v>39234</c:v>
                </c:pt>
                <c:pt idx="2571">
                  <c:v>39233</c:v>
                </c:pt>
                <c:pt idx="2572">
                  <c:v>39232</c:v>
                </c:pt>
                <c:pt idx="2573">
                  <c:v>39231</c:v>
                </c:pt>
                <c:pt idx="2574">
                  <c:v>39230</c:v>
                </c:pt>
                <c:pt idx="2575">
                  <c:v>39227</c:v>
                </c:pt>
                <c:pt idx="2576">
                  <c:v>39226</c:v>
                </c:pt>
                <c:pt idx="2577">
                  <c:v>39225</c:v>
                </c:pt>
                <c:pt idx="2578">
                  <c:v>39224</c:v>
                </c:pt>
                <c:pt idx="2579">
                  <c:v>39223</c:v>
                </c:pt>
                <c:pt idx="2580">
                  <c:v>39220</c:v>
                </c:pt>
                <c:pt idx="2581">
                  <c:v>39219</c:v>
                </c:pt>
                <c:pt idx="2582">
                  <c:v>39218</c:v>
                </c:pt>
                <c:pt idx="2583">
                  <c:v>39217</c:v>
                </c:pt>
                <c:pt idx="2584">
                  <c:v>39216</c:v>
                </c:pt>
                <c:pt idx="2585">
                  <c:v>39213</c:v>
                </c:pt>
                <c:pt idx="2586">
                  <c:v>39212</c:v>
                </c:pt>
                <c:pt idx="2587">
                  <c:v>39211</c:v>
                </c:pt>
                <c:pt idx="2588">
                  <c:v>39210</c:v>
                </c:pt>
                <c:pt idx="2589">
                  <c:v>39209</c:v>
                </c:pt>
                <c:pt idx="2590">
                  <c:v>39206</c:v>
                </c:pt>
                <c:pt idx="2591">
                  <c:v>39205</c:v>
                </c:pt>
                <c:pt idx="2592">
                  <c:v>39204</c:v>
                </c:pt>
                <c:pt idx="2593">
                  <c:v>39203</c:v>
                </c:pt>
                <c:pt idx="2594">
                  <c:v>39202</c:v>
                </c:pt>
                <c:pt idx="2595">
                  <c:v>39199</c:v>
                </c:pt>
                <c:pt idx="2596">
                  <c:v>39198</c:v>
                </c:pt>
                <c:pt idx="2597">
                  <c:v>39197</c:v>
                </c:pt>
                <c:pt idx="2598">
                  <c:v>39196</c:v>
                </c:pt>
                <c:pt idx="2599">
                  <c:v>39195</c:v>
                </c:pt>
                <c:pt idx="2600">
                  <c:v>39192</c:v>
                </c:pt>
                <c:pt idx="2601">
                  <c:v>39191</c:v>
                </c:pt>
                <c:pt idx="2602">
                  <c:v>39190</c:v>
                </c:pt>
                <c:pt idx="2603">
                  <c:v>39189</c:v>
                </c:pt>
                <c:pt idx="2604">
                  <c:v>39188</c:v>
                </c:pt>
                <c:pt idx="2605">
                  <c:v>39185</c:v>
                </c:pt>
                <c:pt idx="2606">
                  <c:v>39184</c:v>
                </c:pt>
                <c:pt idx="2607">
                  <c:v>39183</c:v>
                </c:pt>
                <c:pt idx="2608">
                  <c:v>39182</c:v>
                </c:pt>
                <c:pt idx="2609">
                  <c:v>39181</c:v>
                </c:pt>
                <c:pt idx="2610">
                  <c:v>39178</c:v>
                </c:pt>
                <c:pt idx="2611">
                  <c:v>39177</c:v>
                </c:pt>
                <c:pt idx="2612">
                  <c:v>39176</c:v>
                </c:pt>
                <c:pt idx="2613">
                  <c:v>39175</c:v>
                </c:pt>
                <c:pt idx="2614">
                  <c:v>39174</c:v>
                </c:pt>
                <c:pt idx="2615">
                  <c:v>39171</c:v>
                </c:pt>
                <c:pt idx="2616">
                  <c:v>39170</c:v>
                </c:pt>
                <c:pt idx="2617">
                  <c:v>39169</c:v>
                </c:pt>
                <c:pt idx="2618">
                  <c:v>39168</c:v>
                </c:pt>
                <c:pt idx="2619">
                  <c:v>39167</c:v>
                </c:pt>
                <c:pt idx="2620">
                  <c:v>39164</c:v>
                </c:pt>
                <c:pt idx="2621">
                  <c:v>39163</c:v>
                </c:pt>
                <c:pt idx="2622">
                  <c:v>39162</c:v>
                </c:pt>
                <c:pt idx="2623">
                  <c:v>39161</c:v>
                </c:pt>
                <c:pt idx="2624">
                  <c:v>39160</c:v>
                </c:pt>
                <c:pt idx="2625">
                  <c:v>39157</c:v>
                </c:pt>
                <c:pt idx="2626">
                  <c:v>39156</c:v>
                </c:pt>
                <c:pt idx="2627">
                  <c:v>39155</c:v>
                </c:pt>
                <c:pt idx="2628">
                  <c:v>39154</c:v>
                </c:pt>
                <c:pt idx="2629">
                  <c:v>39153</c:v>
                </c:pt>
                <c:pt idx="2630">
                  <c:v>39150</c:v>
                </c:pt>
                <c:pt idx="2631">
                  <c:v>39149</c:v>
                </c:pt>
                <c:pt idx="2632">
                  <c:v>39148</c:v>
                </c:pt>
                <c:pt idx="2633">
                  <c:v>39147</c:v>
                </c:pt>
                <c:pt idx="2634">
                  <c:v>39146</c:v>
                </c:pt>
                <c:pt idx="2635">
                  <c:v>39143</c:v>
                </c:pt>
                <c:pt idx="2636">
                  <c:v>39142</c:v>
                </c:pt>
                <c:pt idx="2637">
                  <c:v>39141</c:v>
                </c:pt>
                <c:pt idx="2638">
                  <c:v>39140</c:v>
                </c:pt>
                <c:pt idx="2639">
                  <c:v>39139</c:v>
                </c:pt>
                <c:pt idx="2640">
                  <c:v>39136</c:v>
                </c:pt>
                <c:pt idx="2641">
                  <c:v>39135</c:v>
                </c:pt>
                <c:pt idx="2642">
                  <c:v>39134</c:v>
                </c:pt>
                <c:pt idx="2643">
                  <c:v>39133</c:v>
                </c:pt>
                <c:pt idx="2644">
                  <c:v>39132</c:v>
                </c:pt>
                <c:pt idx="2645">
                  <c:v>39129</c:v>
                </c:pt>
                <c:pt idx="2646">
                  <c:v>39128</c:v>
                </c:pt>
                <c:pt idx="2647">
                  <c:v>39127</c:v>
                </c:pt>
                <c:pt idx="2648">
                  <c:v>39126</c:v>
                </c:pt>
                <c:pt idx="2649">
                  <c:v>39125</c:v>
                </c:pt>
                <c:pt idx="2650">
                  <c:v>39122</c:v>
                </c:pt>
                <c:pt idx="2651">
                  <c:v>39121</c:v>
                </c:pt>
                <c:pt idx="2652">
                  <c:v>39120</c:v>
                </c:pt>
                <c:pt idx="2653">
                  <c:v>39119</c:v>
                </c:pt>
                <c:pt idx="2654">
                  <c:v>39118</c:v>
                </c:pt>
                <c:pt idx="2655">
                  <c:v>39115</c:v>
                </c:pt>
                <c:pt idx="2656">
                  <c:v>39114</c:v>
                </c:pt>
                <c:pt idx="2657">
                  <c:v>39113</c:v>
                </c:pt>
                <c:pt idx="2658">
                  <c:v>39112</c:v>
                </c:pt>
                <c:pt idx="2659">
                  <c:v>39111</c:v>
                </c:pt>
                <c:pt idx="2660">
                  <c:v>39108</c:v>
                </c:pt>
                <c:pt idx="2661">
                  <c:v>39107</c:v>
                </c:pt>
                <c:pt idx="2662">
                  <c:v>39106</c:v>
                </c:pt>
                <c:pt idx="2663">
                  <c:v>39105</c:v>
                </c:pt>
                <c:pt idx="2664">
                  <c:v>39104</c:v>
                </c:pt>
                <c:pt idx="2665">
                  <c:v>39101</c:v>
                </c:pt>
                <c:pt idx="2666">
                  <c:v>39100</c:v>
                </c:pt>
                <c:pt idx="2667">
                  <c:v>39099</c:v>
                </c:pt>
                <c:pt idx="2668">
                  <c:v>39098</c:v>
                </c:pt>
                <c:pt idx="2669">
                  <c:v>39097</c:v>
                </c:pt>
                <c:pt idx="2670">
                  <c:v>39094</c:v>
                </c:pt>
                <c:pt idx="2671">
                  <c:v>39093</c:v>
                </c:pt>
                <c:pt idx="2672">
                  <c:v>39092</c:v>
                </c:pt>
                <c:pt idx="2673">
                  <c:v>39091</c:v>
                </c:pt>
                <c:pt idx="2674">
                  <c:v>39090</c:v>
                </c:pt>
                <c:pt idx="2675">
                  <c:v>39087</c:v>
                </c:pt>
                <c:pt idx="2676">
                  <c:v>39086</c:v>
                </c:pt>
                <c:pt idx="2677">
                  <c:v>39085</c:v>
                </c:pt>
                <c:pt idx="2678">
                  <c:v>39084</c:v>
                </c:pt>
                <c:pt idx="2679">
                  <c:v>39083</c:v>
                </c:pt>
                <c:pt idx="2680">
                  <c:v>39080</c:v>
                </c:pt>
                <c:pt idx="2681">
                  <c:v>39079</c:v>
                </c:pt>
                <c:pt idx="2682">
                  <c:v>39078</c:v>
                </c:pt>
                <c:pt idx="2683">
                  <c:v>39077</c:v>
                </c:pt>
                <c:pt idx="2684">
                  <c:v>39076</c:v>
                </c:pt>
                <c:pt idx="2685">
                  <c:v>39073</c:v>
                </c:pt>
                <c:pt idx="2686">
                  <c:v>39072</c:v>
                </c:pt>
                <c:pt idx="2687">
                  <c:v>39071</c:v>
                </c:pt>
                <c:pt idx="2688">
                  <c:v>39070</c:v>
                </c:pt>
                <c:pt idx="2689">
                  <c:v>39069</c:v>
                </c:pt>
                <c:pt idx="2690">
                  <c:v>39066</c:v>
                </c:pt>
                <c:pt idx="2691">
                  <c:v>39065</c:v>
                </c:pt>
                <c:pt idx="2692">
                  <c:v>39064</c:v>
                </c:pt>
                <c:pt idx="2693">
                  <c:v>39063</c:v>
                </c:pt>
                <c:pt idx="2694">
                  <c:v>39062</c:v>
                </c:pt>
                <c:pt idx="2695">
                  <c:v>39059</c:v>
                </c:pt>
                <c:pt idx="2696">
                  <c:v>39058</c:v>
                </c:pt>
                <c:pt idx="2697">
                  <c:v>39057</c:v>
                </c:pt>
                <c:pt idx="2698">
                  <c:v>39056</c:v>
                </c:pt>
                <c:pt idx="2699">
                  <c:v>39055</c:v>
                </c:pt>
                <c:pt idx="2700">
                  <c:v>39052</c:v>
                </c:pt>
                <c:pt idx="2701">
                  <c:v>39051</c:v>
                </c:pt>
                <c:pt idx="2702">
                  <c:v>39050</c:v>
                </c:pt>
                <c:pt idx="2703">
                  <c:v>39049</c:v>
                </c:pt>
                <c:pt idx="2704">
                  <c:v>39048</c:v>
                </c:pt>
                <c:pt idx="2705">
                  <c:v>39045</c:v>
                </c:pt>
                <c:pt idx="2706">
                  <c:v>39044</c:v>
                </c:pt>
                <c:pt idx="2707">
                  <c:v>39043</c:v>
                </c:pt>
                <c:pt idx="2708">
                  <c:v>39042</c:v>
                </c:pt>
                <c:pt idx="2709">
                  <c:v>39041</c:v>
                </c:pt>
                <c:pt idx="2710">
                  <c:v>39038</c:v>
                </c:pt>
                <c:pt idx="2711">
                  <c:v>39037</c:v>
                </c:pt>
                <c:pt idx="2712">
                  <c:v>39036</c:v>
                </c:pt>
                <c:pt idx="2713">
                  <c:v>39035</c:v>
                </c:pt>
                <c:pt idx="2714">
                  <c:v>39034</c:v>
                </c:pt>
                <c:pt idx="2715">
                  <c:v>39031</c:v>
                </c:pt>
                <c:pt idx="2716">
                  <c:v>39030</c:v>
                </c:pt>
                <c:pt idx="2717">
                  <c:v>39029</c:v>
                </c:pt>
                <c:pt idx="2718">
                  <c:v>39028</c:v>
                </c:pt>
                <c:pt idx="2719">
                  <c:v>39027</c:v>
                </c:pt>
                <c:pt idx="2720">
                  <c:v>39024</c:v>
                </c:pt>
                <c:pt idx="2721">
                  <c:v>39023</c:v>
                </c:pt>
                <c:pt idx="2722">
                  <c:v>39022</c:v>
                </c:pt>
                <c:pt idx="2723">
                  <c:v>39021</c:v>
                </c:pt>
                <c:pt idx="2724">
                  <c:v>39020</c:v>
                </c:pt>
                <c:pt idx="2725">
                  <c:v>39017</c:v>
                </c:pt>
                <c:pt idx="2726">
                  <c:v>39016</c:v>
                </c:pt>
                <c:pt idx="2727">
                  <c:v>39015</c:v>
                </c:pt>
                <c:pt idx="2728">
                  <c:v>39014</c:v>
                </c:pt>
                <c:pt idx="2729">
                  <c:v>39013</c:v>
                </c:pt>
                <c:pt idx="2730">
                  <c:v>39010</c:v>
                </c:pt>
                <c:pt idx="2731">
                  <c:v>39009</c:v>
                </c:pt>
                <c:pt idx="2732">
                  <c:v>39008</c:v>
                </c:pt>
                <c:pt idx="2733">
                  <c:v>39007</c:v>
                </c:pt>
                <c:pt idx="2734">
                  <c:v>39006</c:v>
                </c:pt>
                <c:pt idx="2735">
                  <c:v>39003</c:v>
                </c:pt>
                <c:pt idx="2736">
                  <c:v>39002</c:v>
                </c:pt>
                <c:pt idx="2737">
                  <c:v>39001</c:v>
                </c:pt>
                <c:pt idx="2738">
                  <c:v>39000</c:v>
                </c:pt>
                <c:pt idx="2739">
                  <c:v>38999</c:v>
                </c:pt>
                <c:pt idx="2740">
                  <c:v>38996</c:v>
                </c:pt>
                <c:pt idx="2741">
                  <c:v>38995</c:v>
                </c:pt>
                <c:pt idx="2742">
                  <c:v>38994</c:v>
                </c:pt>
                <c:pt idx="2743">
                  <c:v>38993</c:v>
                </c:pt>
                <c:pt idx="2744">
                  <c:v>38992</c:v>
                </c:pt>
                <c:pt idx="2745">
                  <c:v>38989</c:v>
                </c:pt>
                <c:pt idx="2746">
                  <c:v>38988</c:v>
                </c:pt>
                <c:pt idx="2747">
                  <c:v>38987</c:v>
                </c:pt>
                <c:pt idx="2748">
                  <c:v>38986</c:v>
                </c:pt>
                <c:pt idx="2749">
                  <c:v>38985</c:v>
                </c:pt>
                <c:pt idx="2750">
                  <c:v>38982</c:v>
                </c:pt>
                <c:pt idx="2751">
                  <c:v>38981</c:v>
                </c:pt>
                <c:pt idx="2752">
                  <c:v>38980</c:v>
                </c:pt>
                <c:pt idx="2753">
                  <c:v>38979</c:v>
                </c:pt>
                <c:pt idx="2754">
                  <c:v>38978</c:v>
                </c:pt>
                <c:pt idx="2755">
                  <c:v>38975</c:v>
                </c:pt>
                <c:pt idx="2756">
                  <c:v>38974</c:v>
                </c:pt>
                <c:pt idx="2757">
                  <c:v>38973</c:v>
                </c:pt>
                <c:pt idx="2758">
                  <c:v>38972</c:v>
                </c:pt>
                <c:pt idx="2759">
                  <c:v>38971</c:v>
                </c:pt>
                <c:pt idx="2760">
                  <c:v>38968</c:v>
                </c:pt>
                <c:pt idx="2761">
                  <c:v>38967</c:v>
                </c:pt>
                <c:pt idx="2762">
                  <c:v>38966</c:v>
                </c:pt>
                <c:pt idx="2763">
                  <c:v>38965</c:v>
                </c:pt>
                <c:pt idx="2764">
                  <c:v>38964</c:v>
                </c:pt>
                <c:pt idx="2765">
                  <c:v>38961</c:v>
                </c:pt>
                <c:pt idx="2766">
                  <c:v>38960</c:v>
                </c:pt>
                <c:pt idx="2767">
                  <c:v>38959</c:v>
                </c:pt>
                <c:pt idx="2768">
                  <c:v>38958</c:v>
                </c:pt>
                <c:pt idx="2769">
                  <c:v>38957</c:v>
                </c:pt>
                <c:pt idx="2770">
                  <c:v>38954</c:v>
                </c:pt>
                <c:pt idx="2771">
                  <c:v>38953</c:v>
                </c:pt>
                <c:pt idx="2772">
                  <c:v>38952</c:v>
                </c:pt>
                <c:pt idx="2773">
                  <c:v>38951</c:v>
                </c:pt>
                <c:pt idx="2774">
                  <c:v>38950</c:v>
                </c:pt>
                <c:pt idx="2775">
                  <c:v>38947</c:v>
                </c:pt>
                <c:pt idx="2776">
                  <c:v>38946</c:v>
                </c:pt>
                <c:pt idx="2777">
                  <c:v>38945</c:v>
                </c:pt>
                <c:pt idx="2778">
                  <c:v>38944</c:v>
                </c:pt>
                <c:pt idx="2779">
                  <c:v>38943</c:v>
                </c:pt>
                <c:pt idx="2780">
                  <c:v>38940</c:v>
                </c:pt>
                <c:pt idx="2781">
                  <c:v>38939</c:v>
                </c:pt>
                <c:pt idx="2782">
                  <c:v>38938</c:v>
                </c:pt>
                <c:pt idx="2783">
                  <c:v>38937</c:v>
                </c:pt>
                <c:pt idx="2784">
                  <c:v>38936</c:v>
                </c:pt>
                <c:pt idx="2785">
                  <c:v>38933</c:v>
                </c:pt>
                <c:pt idx="2786">
                  <c:v>38932</c:v>
                </c:pt>
                <c:pt idx="2787">
                  <c:v>38931</c:v>
                </c:pt>
                <c:pt idx="2788">
                  <c:v>38930</c:v>
                </c:pt>
                <c:pt idx="2789">
                  <c:v>38929</c:v>
                </c:pt>
                <c:pt idx="2790">
                  <c:v>38926</c:v>
                </c:pt>
                <c:pt idx="2791">
                  <c:v>38925</c:v>
                </c:pt>
                <c:pt idx="2792">
                  <c:v>38924</c:v>
                </c:pt>
                <c:pt idx="2793">
                  <c:v>38923</c:v>
                </c:pt>
                <c:pt idx="2794">
                  <c:v>38922</c:v>
                </c:pt>
                <c:pt idx="2795">
                  <c:v>38919</c:v>
                </c:pt>
                <c:pt idx="2796">
                  <c:v>38918</c:v>
                </c:pt>
                <c:pt idx="2797">
                  <c:v>38917</c:v>
                </c:pt>
                <c:pt idx="2798">
                  <c:v>38916</c:v>
                </c:pt>
                <c:pt idx="2799">
                  <c:v>38915</c:v>
                </c:pt>
                <c:pt idx="2800">
                  <c:v>38912</c:v>
                </c:pt>
                <c:pt idx="2801">
                  <c:v>38911</c:v>
                </c:pt>
                <c:pt idx="2802">
                  <c:v>38910</c:v>
                </c:pt>
                <c:pt idx="2803">
                  <c:v>38909</c:v>
                </c:pt>
                <c:pt idx="2804">
                  <c:v>38908</c:v>
                </c:pt>
                <c:pt idx="2805">
                  <c:v>38905</c:v>
                </c:pt>
                <c:pt idx="2806">
                  <c:v>38904</c:v>
                </c:pt>
                <c:pt idx="2807">
                  <c:v>38903</c:v>
                </c:pt>
                <c:pt idx="2808">
                  <c:v>38902</c:v>
                </c:pt>
                <c:pt idx="2809">
                  <c:v>38901</c:v>
                </c:pt>
                <c:pt idx="2810">
                  <c:v>38898</c:v>
                </c:pt>
                <c:pt idx="2811">
                  <c:v>38897</c:v>
                </c:pt>
                <c:pt idx="2812">
                  <c:v>38896</c:v>
                </c:pt>
                <c:pt idx="2813">
                  <c:v>38895</c:v>
                </c:pt>
                <c:pt idx="2814">
                  <c:v>38894</c:v>
                </c:pt>
                <c:pt idx="2815">
                  <c:v>38891</c:v>
                </c:pt>
                <c:pt idx="2816">
                  <c:v>38890</c:v>
                </c:pt>
                <c:pt idx="2817">
                  <c:v>38889</c:v>
                </c:pt>
                <c:pt idx="2818">
                  <c:v>38888</c:v>
                </c:pt>
                <c:pt idx="2819">
                  <c:v>38887</c:v>
                </c:pt>
                <c:pt idx="2820">
                  <c:v>38884</c:v>
                </c:pt>
                <c:pt idx="2821">
                  <c:v>38883</c:v>
                </c:pt>
                <c:pt idx="2822">
                  <c:v>38882</c:v>
                </c:pt>
                <c:pt idx="2823">
                  <c:v>38881</c:v>
                </c:pt>
                <c:pt idx="2824">
                  <c:v>38880</c:v>
                </c:pt>
                <c:pt idx="2825">
                  <c:v>38877</c:v>
                </c:pt>
                <c:pt idx="2826">
                  <c:v>38876</c:v>
                </c:pt>
                <c:pt idx="2827">
                  <c:v>38875</c:v>
                </c:pt>
                <c:pt idx="2828">
                  <c:v>38874</c:v>
                </c:pt>
                <c:pt idx="2829">
                  <c:v>38873</c:v>
                </c:pt>
                <c:pt idx="2830">
                  <c:v>38870</c:v>
                </c:pt>
                <c:pt idx="2831">
                  <c:v>38869</c:v>
                </c:pt>
                <c:pt idx="2832">
                  <c:v>38868</c:v>
                </c:pt>
                <c:pt idx="2833">
                  <c:v>38867</c:v>
                </c:pt>
                <c:pt idx="2834">
                  <c:v>38866</c:v>
                </c:pt>
                <c:pt idx="2835">
                  <c:v>38863</c:v>
                </c:pt>
                <c:pt idx="2836">
                  <c:v>38862</c:v>
                </c:pt>
                <c:pt idx="2837">
                  <c:v>38861</c:v>
                </c:pt>
                <c:pt idx="2838">
                  <c:v>38860</c:v>
                </c:pt>
                <c:pt idx="2839">
                  <c:v>38859</c:v>
                </c:pt>
                <c:pt idx="2840">
                  <c:v>38856</c:v>
                </c:pt>
                <c:pt idx="2841">
                  <c:v>38855</c:v>
                </c:pt>
                <c:pt idx="2842">
                  <c:v>38854</c:v>
                </c:pt>
                <c:pt idx="2843">
                  <c:v>38853</c:v>
                </c:pt>
                <c:pt idx="2844">
                  <c:v>38852</c:v>
                </c:pt>
                <c:pt idx="2845">
                  <c:v>38849</c:v>
                </c:pt>
                <c:pt idx="2846">
                  <c:v>38848</c:v>
                </c:pt>
                <c:pt idx="2847">
                  <c:v>38847</c:v>
                </c:pt>
                <c:pt idx="2848">
                  <c:v>38846</c:v>
                </c:pt>
                <c:pt idx="2849">
                  <c:v>38845</c:v>
                </c:pt>
                <c:pt idx="2850">
                  <c:v>38842</c:v>
                </c:pt>
                <c:pt idx="2851">
                  <c:v>38841</c:v>
                </c:pt>
                <c:pt idx="2852">
                  <c:v>38840</c:v>
                </c:pt>
                <c:pt idx="2853">
                  <c:v>38839</c:v>
                </c:pt>
                <c:pt idx="2854">
                  <c:v>38838</c:v>
                </c:pt>
                <c:pt idx="2855">
                  <c:v>38835</c:v>
                </c:pt>
                <c:pt idx="2856">
                  <c:v>38834</c:v>
                </c:pt>
                <c:pt idx="2857">
                  <c:v>38833</c:v>
                </c:pt>
                <c:pt idx="2858">
                  <c:v>38832</c:v>
                </c:pt>
                <c:pt idx="2859">
                  <c:v>38831</c:v>
                </c:pt>
                <c:pt idx="2860">
                  <c:v>38828</c:v>
                </c:pt>
                <c:pt idx="2861">
                  <c:v>38827</c:v>
                </c:pt>
                <c:pt idx="2862">
                  <c:v>38826</c:v>
                </c:pt>
                <c:pt idx="2863">
                  <c:v>38825</c:v>
                </c:pt>
                <c:pt idx="2864">
                  <c:v>38824</c:v>
                </c:pt>
                <c:pt idx="2865">
                  <c:v>38821</c:v>
                </c:pt>
                <c:pt idx="2866">
                  <c:v>38820</c:v>
                </c:pt>
                <c:pt idx="2867">
                  <c:v>38819</c:v>
                </c:pt>
                <c:pt idx="2868">
                  <c:v>38818</c:v>
                </c:pt>
                <c:pt idx="2869">
                  <c:v>38817</c:v>
                </c:pt>
                <c:pt idx="2870">
                  <c:v>38814</c:v>
                </c:pt>
                <c:pt idx="2871">
                  <c:v>38813</c:v>
                </c:pt>
                <c:pt idx="2872">
                  <c:v>38812</c:v>
                </c:pt>
                <c:pt idx="2873">
                  <c:v>38811</c:v>
                </c:pt>
                <c:pt idx="2874">
                  <c:v>38810</c:v>
                </c:pt>
                <c:pt idx="2875">
                  <c:v>38807</c:v>
                </c:pt>
                <c:pt idx="2876">
                  <c:v>38806</c:v>
                </c:pt>
                <c:pt idx="2877">
                  <c:v>38805</c:v>
                </c:pt>
                <c:pt idx="2878">
                  <c:v>38804</c:v>
                </c:pt>
                <c:pt idx="2879">
                  <c:v>38803</c:v>
                </c:pt>
                <c:pt idx="2880">
                  <c:v>38800</c:v>
                </c:pt>
                <c:pt idx="2881">
                  <c:v>38799</c:v>
                </c:pt>
                <c:pt idx="2882">
                  <c:v>38798</c:v>
                </c:pt>
                <c:pt idx="2883">
                  <c:v>38797</c:v>
                </c:pt>
                <c:pt idx="2884">
                  <c:v>38796</c:v>
                </c:pt>
                <c:pt idx="2885">
                  <c:v>38793</c:v>
                </c:pt>
                <c:pt idx="2886">
                  <c:v>38792</c:v>
                </c:pt>
                <c:pt idx="2887">
                  <c:v>38791</c:v>
                </c:pt>
                <c:pt idx="2888">
                  <c:v>38790</c:v>
                </c:pt>
                <c:pt idx="2889">
                  <c:v>38789</c:v>
                </c:pt>
                <c:pt idx="2890">
                  <c:v>38786</c:v>
                </c:pt>
                <c:pt idx="2891">
                  <c:v>38785</c:v>
                </c:pt>
                <c:pt idx="2892">
                  <c:v>38784</c:v>
                </c:pt>
                <c:pt idx="2893">
                  <c:v>38783</c:v>
                </c:pt>
                <c:pt idx="2894">
                  <c:v>38782</c:v>
                </c:pt>
                <c:pt idx="2895">
                  <c:v>38779</c:v>
                </c:pt>
                <c:pt idx="2896">
                  <c:v>38778</c:v>
                </c:pt>
                <c:pt idx="2897">
                  <c:v>38777</c:v>
                </c:pt>
                <c:pt idx="2898">
                  <c:v>38776</c:v>
                </c:pt>
                <c:pt idx="2899">
                  <c:v>38775</c:v>
                </c:pt>
                <c:pt idx="2900">
                  <c:v>38772</c:v>
                </c:pt>
                <c:pt idx="2901">
                  <c:v>38771</c:v>
                </c:pt>
                <c:pt idx="2902">
                  <c:v>38770</c:v>
                </c:pt>
                <c:pt idx="2903">
                  <c:v>38769</c:v>
                </c:pt>
                <c:pt idx="2904">
                  <c:v>38768</c:v>
                </c:pt>
                <c:pt idx="2905">
                  <c:v>38765</c:v>
                </c:pt>
                <c:pt idx="2906">
                  <c:v>38764</c:v>
                </c:pt>
                <c:pt idx="2907">
                  <c:v>38763</c:v>
                </c:pt>
                <c:pt idx="2908">
                  <c:v>38762</c:v>
                </c:pt>
                <c:pt idx="2909">
                  <c:v>38761</c:v>
                </c:pt>
                <c:pt idx="2910">
                  <c:v>38758</c:v>
                </c:pt>
                <c:pt idx="2911">
                  <c:v>38757</c:v>
                </c:pt>
                <c:pt idx="2912">
                  <c:v>38756</c:v>
                </c:pt>
                <c:pt idx="2913">
                  <c:v>38755</c:v>
                </c:pt>
                <c:pt idx="2914">
                  <c:v>38754</c:v>
                </c:pt>
                <c:pt idx="2915">
                  <c:v>38751</c:v>
                </c:pt>
                <c:pt idx="2916">
                  <c:v>38750</c:v>
                </c:pt>
                <c:pt idx="2917">
                  <c:v>38749</c:v>
                </c:pt>
                <c:pt idx="2918">
                  <c:v>38748</c:v>
                </c:pt>
                <c:pt idx="2919">
                  <c:v>38747</c:v>
                </c:pt>
                <c:pt idx="2920">
                  <c:v>38744</c:v>
                </c:pt>
                <c:pt idx="2921">
                  <c:v>38743</c:v>
                </c:pt>
                <c:pt idx="2922">
                  <c:v>38742</c:v>
                </c:pt>
                <c:pt idx="2923">
                  <c:v>38741</c:v>
                </c:pt>
                <c:pt idx="2924">
                  <c:v>38740</c:v>
                </c:pt>
                <c:pt idx="2925">
                  <c:v>38737</c:v>
                </c:pt>
                <c:pt idx="2926">
                  <c:v>38736</c:v>
                </c:pt>
                <c:pt idx="2927">
                  <c:v>38735</c:v>
                </c:pt>
                <c:pt idx="2928">
                  <c:v>38734</c:v>
                </c:pt>
                <c:pt idx="2929">
                  <c:v>38733</c:v>
                </c:pt>
                <c:pt idx="2930">
                  <c:v>38730</c:v>
                </c:pt>
                <c:pt idx="2931">
                  <c:v>38729</c:v>
                </c:pt>
                <c:pt idx="2932">
                  <c:v>38728</c:v>
                </c:pt>
                <c:pt idx="2933">
                  <c:v>38727</c:v>
                </c:pt>
                <c:pt idx="2934">
                  <c:v>38726</c:v>
                </c:pt>
                <c:pt idx="2935">
                  <c:v>38723</c:v>
                </c:pt>
                <c:pt idx="2936">
                  <c:v>38722</c:v>
                </c:pt>
                <c:pt idx="2937">
                  <c:v>38721</c:v>
                </c:pt>
                <c:pt idx="2938">
                  <c:v>38720</c:v>
                </c:pt>
                <c:pt idx="2939">
                  <c:v>38719</c:v>
                </c:pt>
                <c:pt idx="2940">
                  <c:v>38716</c:v>
                </c:pt>
                <c:pt idx="2941">
                  <c:v>38715</c:v>
                </c:pt>
                <c:pt idx="2942">
                  <c:v>38714</c:v>
                </c:pt>
                <c:pt idx="2943">
                  <c:v>38713</c:v>
                </c:pt>
                <c:pt idx="2944">
                  <c:v>38712</c:v>
                </c:pt>
                <c:pt idx="2945">
                  <c:v>38709</c:v>
                </c:pt>
                <c:pt idx="2946">
                  <c:v>38708</c:v>
                </c:pt>
                <c:pt idx="2947">
                  <c:v>38707</c:v>
                </c:pt>
                <c:pt idx="2948">
                  <c:v>38706</c:v>
                </c:pt>
                <c:pt idx="2949">
                  <c:v>38705</c:v>
                </c:pt>
                <c:pt idx="2950">
                  <c:v>38702</c:v>
                </c:pt>
                <c:pt idx="2951">
                  <c:v>38701</c:v>
                </c:pt>
                <c:pt idx="2952">
                  <c:v>38700</c:v>
                </c:pt>
                <c:pt idx="2953">
                  <c:v>38699</c:v>
                </c:pt>
                <c:pt idx="2954">
                  <c:v>38698</c:v>
                </c:pt>
                <c:pt idx="2955">
                  <c:v>38695</c:v>
                </c:pt>
                <c:pt idx="2956">
                  <c:v>38694</c:v>
                </c:pt>
                <c:pt idx="2957">
                  <c:v>38693</c:v>
                </c:pt>
                <c:pt idx="2958">
                  <c:v>38692</c:v>
                </c:pt>
                <c:pt idx="2959">
                  <c:v>38691</c:v>
                </c:pt>
                <c:pt idx="2960">
                  <c:v>38688</c:v>
                </c:pt>
                <c:pt idx="2961">
                  <c:v>38687</c:v>
                </c:pt>
                <c:pt idx="2962">
                  <c:v>38686</c:v>
                </c:pt>
                <c:pt idx="2963">
                  <c:v>38685</c:v>
                </c:pt>
                <c:pt idx="2964">
                  <c:v>38684</c:v>
                </c:pt>
                <c:pt idx="2965">
                  <c:v>38681</c:v>
                </c:pt>
                <c:pt idx="2966">
                  <c:v>38680</c:v>
                </c:pt>
                <c:pt idx="2967">
                  <c:v>38679</c:v>
                </c:pt>
                <c:pt idx="2968">
                  <c:v>38678</c:v>
                </c:pt>
                <c:pt idx="2969">
                  <c:v>38677</c:v>
                </c:pt>
                <c:pt idx="2970">
                  <c:v>38674</c:v>
                </c:pt>
                <c:pt idx="2971">
                  <c:v>38673</c:v>
                </c:pt>
                <c:pt idx="2972">
                  <c:v>38672</c:v>
                </c:pt>
                <c:pt idx="2973">
                  <c:v>38671</c:v>
                </c:pt>
                <c:pt idx="2974">
                  <c:v>38670</c:v>
                </c:pt>
                <c:pt idx="2975">
                  <c:v>38667</c:v>
                </c:pt>
                <c:pt idx="2976">
                  <c:v>38666</c:v>
                </c:pt>
                <c:pt idx="2977">
                  <c:v>38665</c:v>
                </c:pt>
                <c:pt idx="2978">
                  <c:v>38664</c:v>
                </c:pt>
                <c:pt idx="2979">
                  <c:v>38663</c:v>
                </c:pt>
                <c:pt idx="2980">
                  <c:v>38660</c:v>
                </c:pt>
                <c:pt idx="2981">
                  <c:v>38659</c:v>
                </c:pt>
                <c:pt idx="2982">
                  <c:v>38658</c:v>
                </c:pt>
                <c:pt idx="2983">
                  <c:v>38657</c:v>
                </c:pt>
                <c:pt idx="2984">
                  <c:v>38656</c:v>
                </c:pt>
                <c:pt idx="2985">
                  <c:v>38653</c:v>
                </c:pt>
                <c:pt idx="2986">
                  <c:v>38652</c:v>
                </c:pt>
                <c:pt idx="2987">
                  <c:v>38651</c:v>
                </c:pt>
                <c:pt idx="2988">
                  <c:v>38650</c:v>
                </c:pt>
                <c:pt idx="2989">
                  <c:v>38649</c:v>
                </c:pt>
                <c:pt idx="2990">
                  <c:v>38646</c:v>
                </c:pt>
                <c:pt idx="2991">
                  <c:v>38645</c:v>
                </c:pt>
                <c:pt idx="2992">
                  <c:v>38644</c:v>
                </c:pt>
                <c:pt idx="2993">
                  <c:v>38643</c:v>
                </c:pt>
                <c:pt idx="2994">
                  <c:v>38642</c:v>
                </c:pt>
                <c:pt idx="2995">
                  <c:v>38639</c:v>
                </c:pt>
                <c:pt idx="2996">
                  <c:v>38638</c:v>
                </c:pt>
                <c:pt idx="2997">
                  <c:v>38637</c:v>
                </c:pt>
                <c:pt idx="2998">
                  <c:v>38636</c:v>
                </c:pt>
                <c:pt idx="2999">
                  <c:v>38635</c:v>
                </c:pt>
                <c:pt idx="3000">
                  <c:v>38632</c:v>
                </c:pt>
                <c:pt idx="3001">
                  <c:v>38631</c:v>
                </c:pt>
                <c:pt idx="3002">
                  <c:v>38630</c:v>
                </c:pt>
                <c:pt idx="3003">
                  <c:v>38629</c:v>
                </c:pt>
                <c:pt idx="3004">
                  <c:v>38628</c:v>
                </c:pt>
                <c:pt idx="3005">
                  <c:v>38625</c:v>
                </c:pt>
                <c:pt idx="3006">
                  <c:v>38624</c:v>
                </c:pt>
                <c:pt idx="3007">
                  <c:v>38623</c:v>
                </c:pt>
                <c:pt idx="3008">
                  <c:v>38622</c:v>
                </c:pt>
                <c:pt idx="3009">
                  <c:v>38621</c:v>
                </c:pt>
                <c:pt idx="3010">
                  <c:v>38618</c:v>
                </c:pt>
                <c:pt idx="3011">
                  <c:v>38617</c:v>
                </c:pt>
                <c:pt idx="3012">
                  <c:v>38616</c:v>
                </c:pt>
                <c:pt idx="3013">
                  <c:v>38615</c:v>
                </c:pt>
                <c:pt idx="3014">
                  <c:v>38614</c:v>
                </c:pt>
                <c:pt idx="3015">
                  <c:v>38611</c:v>
                </c:pt>
                <c:pt idx="3016">
                  <c:v>38610</c:v>
                </c:pt>
                <c:pt idx="3017">
                  <c:v>38609</c:v>
                </c:pt>
                <c:pt idx="3018">
                  <c:v>38608</c:v>
                </c:pt>
                <c:pt idx="3019">
                  <c:v>38607</c:v>
                </c:pt>
                <c:pt idx="3020">
                  <c:v>38604</c:v>
                </c:pt>
                <c:pt idx="3021">
                  <c:v>38603</c:v>
                </c:pt>
                <c:pt idx="3022">
                  <c:v>38602</c:v>
                </c:pt>
                <c:pt idx="3023">
                  <c:v>38601</c:v>
                </c:pt>
                <c:pt idx="3024">
                  <c:v>38600</c:v>
                </c:pt>
                <c:pt idx="3025">
                  <c:v>38597</c:v>
                </c:pt>
                <c:pt idx="3026">
                  <c:v>38596</c:v>
                </c:pt>
                <c:pt idx="3027">
                  <c:v>38595</c:v>
                </c:pt>
                <c:pt idx="3028">
                  <c:v>38594</c:v>
                </c:pt>
                <c:pt idx="3029">
                  <c:v>38593</c:v>
                </c:pt>
                <c:pt idx="3030">
                  <c:v>38590</c:v>
                </c:pt>
                <c:pt idx="3031">
                  <c:v>38589</c:v>
                </c:pt>
                <c:pt idx="3032">
                  <c:v>38588</c:v>
                </c:pt>
                <c:pt idx="3033">
                  <c:v>38587</c:v>
                </c:pt>
                <c:pt idx="3034">
                  <c:v>38586</c:v>
                </c:pt>
                <c:pt idx="3035">
                  <c:v>38583</c:v>
                </c:pt>
                <c:pt idx="3036">
                  <c:v>38582</c:v>
                </c:pt>
                <c:pt idx="3037">
                  <c:v>38581</c:v>
                </c:pt>
                <c:pt idx="3038">
                  <c:v>38580</c:v>
                </c:pt>
                <c:pt idx="3039">
                  <c:v>38579</c:v>
                </c:pt>
                <c:pt idx="3040">
                  <c:v>38576</c:v>
                </c:pt>
                <c:pt idx="3041">
                  <c:v>38575</c:v>
                </c:pt>
                <c:pt idx="3042">
                  <c:v>38574</c:v>
                </c:pt>
                <c:pt idx="3043">
                  <c:v>38573</c:v>
                </c:pt>
                <c:pt idx="3044">
                  <c:v>38572</c:v>
                </c:pt>
                <c:pt idx="3045">
                  <c:v>38569</c:v>
                </c:pt>
                <c:pt idx="3046">
                  <c:v>38568</c:v>
                </c:pt>
                <c:pt idx="3047">
                  <c:v>38567</c:v>
                </c:pt>
                <c:pt idx="3048">
                  <c:v>38566</c:v>
                </c:pt>
                <c:pt idx="3049">
                  <c:v>38565</c:v>
                </c:pt>
                <c:pt idx="3050">
                  <c:v>38562</c:v>
                </c:pt>
                <c:pt idx="3051">
                  <c:v>38561</c:v>
                </c:pt>
                <c:pt idx="3052">
                  <c:v>38560</c:v>
                </c:pt>
                <c:pt idx="3053">
                  <c:v>38559</c:v>
                </c:pt>
                <c:pt idx="3054">
                  <c:v>38558</c:v>
                </c:pt>
                <c:pt idx="3055">
                  <c:v>38555</c:v>
                </c:pt>
                <c:pt idx="3056">
                  <c:v>38554</c:v>
                </c:pt>
                <c:pt idx="3057">
                  <c:v>38553</c:v>
                </c:pt>
                <c:pt idx="3058">
                  <c:v>38552</c:v>
                </c:pt>
                <c:pt idx="3059">
                  <c:v>38551</c:v>
                </c:pt>
                <c:pt idx="3060">
                  <c:v>38548</c:v>
                </c:pt>
                <c:pt idx="3061">
                  <c:v>38547</c:v>
                </c:pt>
                <c:pt idx="3062">
                  <c:v>38546</c:v>
                </c:pt>
                <c:pt idx="3063">
                  <c:v>38545</c:v>
                </c:pt>
                <c:pt idx="3064">
                  <c:v>38544</c:v>
                </c:pt>
                <c:pt idx="3065">
                  <c:v>38541</c:v>
                </c:pt>
                <c:pt idx="3066">
                  <c:v>38540</c:v>
                </c:pt>
                <c:pt idx="3067">
                  <c:v>38539</c:v>
                </c:pt>
                <c:pt idx="3068">
                  <c:v>38538</c:v>
                </c:pt>
                <c:pt idx="3069">
                  <c:v>38537</c:v>
                </c:pt>
                <c:pt idx="3070">
                  <c:v>38534</c:v>
                </c:pt>
                <c:pt idx="3071">
                  <c:v>38533</c:v>
                </c:pt>
                <c:pt idx="3072">
                  <c:v>38532</c:v>
                </c:pt>
                <c:pt idx="3073">
                  <c:v>38531</c:v>
                </c:pt>
                <c:pt idx="3074">
                  <c:v>38530</c:v>
                </c:pt>
                <c:pt idx="3075">
                  <c:v>38527</c:v>
                </c:pt>
                <c:pt idx="3076">
                  <c:v>38526</c:v>
                </c:pt>
                <c:pt idx="3077">
                  <c:v>38525</c:v>
                </c:pt>
                <c:pt idx="3078">
                  <c:v>38524</c:v>
                </c:pt>
                <c:pt idx="3079">
                  <c:v>38523</c:v>
                </c:pt>
                <c:pt idx="3080">
                  <c:v>38520</c:v>
                </c:pt>
                <c:pt idx="3081">
                  <c:v>38519</c:v>
                </c:pt>
                <c:pt idx="3082">
                  <c:v>38518</c:v>
                </c:pt>
                <c:pt idx="3083">
                  <c:v>38517</c:v>
                </c:pt>
                <c:pt idx="3084">
                  <c:v>38516</c:v>
                </c:pt>
                <c:pt idx="3085">
                  <c:v>38513</c:v>
                </c:pt>
                <c:pt idx="3086">
                  <c:v>38512</c:v>
                </c:pt>
                <c:pt idx="3087">
                  <c:v>38511</c:v>
                </c:pt>
                <c:pt idx="3088">
                  <c:v>38510</c:v>
                </c:pt>
                <c:pt idx="3089">
                  <c:v>38509</c:v>
                </c:pt>
                <c:pt idx="3090">
                  <c:v>38506</c:v>
                </c:pt>
                <c:pt idx="3091">
                  <c:v>38505</c:v>
                </c:pt>
                <c:pt idx="3092">
                  <c:v>38504</c:v>
                </c:pt>
                <c:pt idx="3093">
                  <c:v>38503</c:v>
                </c:pt>
                <c:pt idx="3094">
                  <c:v>38502</c:v>
                </c:pt>
                <c:pt idx="3095">
                  <c:v>38499</c:v>
                </c:pt>
                <c:pt idx="3096">
                  <c:v>38498</c:v>
                </c:pt>
                <c:pt idx="3097">
                  <c:v>38497</c:v>
                </c:pt>
                <c:pt idx="3098">
                  <c:v>38496</c:v>
                </c:pt>
                <c:pt idx="3099">
                  <c:v>38495</c:v>
                </c:pt>
                <c:pt idx="3100">
                  <c:v>38492</c:v>
                </c:pt>
                <c:pt idx="3101">
                  <c:v>38491</c:v>
                </c:pt>
                <c:pt idx="3102">
                  <c:v>38490</c:v>
                </c:pt>
                <c:pt idx="3103">
                  <c:v>38489</c:v>
                </c:pt>
                <c:pt idx="3104">
                  <c:v>38488</c:v>
                </c:pt>
                <c:pt idx="3105">
                  <c:v>38485</c:v>
                </c:pt>
                <c:pt idx="3106">
                  <c:v>38484</c:v>
                </c:pt>
                <c:pt idx="3107">
                  <c:v>38483</c:v>
                </c:pt>
                <c:pt idx="3108">
                  <c:v>38482</c:v>
                </c:pt>
                <c:pt idx="3109">
                  <c:v>38481</c:v>
                </c:pt>
                <c:pt idx="3110">
                  <c:v>38478</c:v>
                </c:pt>
                <c:pt idx="3111">
                  <c:v>38477</c:v>
                </c:pt>
                <c:pt idx="3112">
                  <c:v>38476</c:v>
                </c:pt>
                <c:pt idx="3113">
                  <c:v>38475</c:v>
                </c:pt>
                <c:pt idx="3114">
                  <c:v>38474</c:v>
                </c:pt>
                <c:pt idx="3115">
                  <c:v>38471</c:v>
                </c:pt>
                <c:pt idx="3116">
                  <c:v>38470</c:v>
                </c:pt>
                <c:pt idx="3117">
                  <c:v>38469</c:v>
                </c:pt>
                <c:pt idx="3118">
                  <c:v>38468</c:v>
                </c:pt>
                <c:pt idx="3119">
                  <c:v>38467</c:v>
                </c:pt>
                <c:pt idx="3120">
                  <c:v>38464</c:v>
                </c:pt>
                <c:pt idx="3121">
                  <c:v>38463</c:v>
                </c:pt>
                <c:pt idx="3122">
                  <c:v>38462</c:v>
                </c:pt>
                <c:pt idx="3123">
                  <c:v>38461</c:v>
                </c:pt>
                <c:pt idx="3124">
                  <c:v>38460</c:v>
                </c:pt>
                <c:pt idx="3125">
                  <c:v>38457</c:v>
                </c:pt>
                <c:pt idx="3126">
                  <c:v>38456</c:v>
                </c:pt>
                <c:pt idx="3127">
                  <c:v>38455</c:v>
                </c:pt>
                <c:pt idx="3128">
                  <c:v>38454</c:v>
                </c:pt>
                <c:pt idx="3129">
                  <c:v>38453</c:v>
                </c:pt>
                <c:pt idx="3130">
                  <c:v>38450</c:v>
                </c:pt>
                <c:pt idx="3131">
                  <c:v>38449</c:v>
                </c:pt>
                <c:pt idx="3132">
                  <c:v>38448</c:v>
                </c:pt>
                <c:pt idx="3133">
                  <c:v>38447</c:v>
                </c:pt>
                <c:pt idx="3134">
                  <c:v>38446</c:v>
                </c:pt>
                <c:pt idx="3135">
                  <c:v>38443</c:v>
                </c:pt>
                <c:pt idx="3136">
                  <c:v>38442</c:v>
                </c:pt>
                <c:pt idx="3137">
                  <c:v>38441</c:v>
                </c:pt>
                <c:pt idx="3138">
                  <c:v>38440</c:v>
                </c:pt>
                <c:pt idx="3139">
                  <c:v>38439</c:v>
                </c:pt>
                <c:pt idx="3140">
                  <c:v>38436</c:v>
                </c:pt>
                <c:pt idx="3141">
                  <c:v>38435</c:v>
                </c:pt>
                <c:pt idx="3142">
                  <c:v>38434</c:v>
                </c:pt>
                <c:pt idx="3143">
                  <c:v>38433</c:v>
                </c:pt>
                <c:pt idx="3144">
                  <c:v>38432</c:v>
                </c:pt>
                <c:pt idx="3145">
                  <c:v>38429</c:v>
                </c:pt>
                <c:pt idx="3146">
                  <c:v>38428</c:v>
                </c:pt>
                <c:pt idx="3147">
                  <c:v>38427</c:v>
                </c:pt>
                <c:pt idx="3148">
                  <c:v>38426</c:v>
                </c:pt>
                <c:pt idx="3149">
                  <c:v>38425</c:v>
                </c:pt>
                <c:pt idx="3150">
                  <c:v>38422</c:v>
                </c:pt>
                <c:pt idx="3151">
                  <c:v>38421</c:v>
                </c:pt>
                <c:pt idx="3152">
                  <c:v>38420</c:v>
                </c:pt>
                <c:pt idx="3153">
                  <c:v>38419</c:v>
                </c:pt>
                <c:pt idx="3154">
                  <c:v>38418</c:v>
                </c:pt>
                <c:pt idx="3155">
                  <c:v>38415</c:v>
                </c:pt>
                <c:pt idx="3156">
                  <c:v>38414</c:v>
                </c:pt>
                <c:pt idx="3157">
                  <c:v>38413</c:v>
                </c:pt>
                <c:pt idx="3158">
                  <c:v>38412</c:v>
                </c:pt>
                <c:pt idx="3159">
                  <c:v>38411</c:v>
                </c:pt>
                <c:pt idx="3160">
                  <c:v>38408</c:v>
                </c:pt>
                <c:pt idx="3161">
                  <c:v>38407</c:v>
                </c:pt>
                <c:pt idx="3162">
                  <c:v>38406</c:v>
                </c:pt>
                <c:pt idx="3163">
                  <c:v>38405</c:v>
                </c:pt>
                <c:pt idx="3164">
                  <c:v>38404</c:v>
                </c:pt>
                <c:pt idx="3165">
                  <c:v>38401</c:v>
                </c:pt>
                <c:pt idx="3166">
                  <c:v>38400</c:v>
                </c:pt>
                <c:pt idx="3167">
                  <c:v>38399</c:v>
                </c:pt>
                <c:pt idx="3168">
                  <c:v>38398</c:v>
                </c:pt>
                <c:pt idx="3169">
                  <c:v>38397</c:v>
                </c:pt>
                <c:pt idx="3170">
                  <c:v>38394</c:v>
                </c:pt>
                <c:pt idx="3171">
                  <c:v>38393</c:v>
                </c:pt>
                <c:pt idx="3172">
                  <c:v>38392</c:v>
                </c:pt>
                <c:pt idx="3173">
                  <c:v>38391</c:v>
                </c:pt>
                <c:pt idx="3174">
                  <c:v>38390</c:v>
                </c:pt>
                <c:pt idx="3175">
                  <c:v>38387</c:v>
                </c:pt>
                <c:pt idx="3176">
                  <c:v>38386</c:v>
                </c:pt>
                <c:pt idx="3177">
                  <c:v>38385</c:v>
                </c:pt>
                <c:pt idx="3178">
                  <c:v>38384</c:v>
                </c:pt>
                <c:pt idx="3179">
                  <c:v>38383</c:v>
                </c:pt>
                <c:pt idx="3180">
                  <c:v>38380</c:v>
                </c:pt>
                <c:pt idx="3181">
                  <c:v>38379</c:v>
                </c:pt>
                <c:pt idx="3182">
                  <c:v>38378</c:v>
                </c:pt>
                <c:pt idx="3183">
                  <c:v>38377</c:v>
                </c:pt>
                <c:pt idx="3184">
                  <c:v>38376</c:v>
                </c:pt>
                <c:pt idx="3185">
                  <c:v>38373</c:v>
                </c:pt>
                <c:pt idx="3186">
                  <c:v>38372</c:v>
                </c:pt>
                <c:pt idx="3187">
                  <c:v>38371</c:v>
                </c:pt>
                <c:pt idx="3188">
                  <c:v>38370</c:v>
                </c:pt>
                <c:pt idx="3189">
                  <c:v>38369</c:v>
                </c:pt>
                <c:pt idx="3190">
                  <c:v>38366</c:v>
                </c:pt>
                <c:pt idx="3191">
                  <c:v>38365</c:v>
                </c:pt>
                <c:pt idx="3192">
                  <c:v>38364</c:v>
                </c:pt>
                <c:pt idx="3193">
                  <c:v>38363</c:v>
                </c:pt>
                <c:pt idx="3194">
                  <c:v>38362</c:v>
                </c:pt>
                <c:pt idx="3195">
                  <c:v>38359</c:v>
                </c:pt>
                <c:pt idx="3196">
                  <c:v>38358</c:v>
                </c:pt>
                <c:pt idx="3197">
                  <c:v>38357</c:v>
                </c:pt>
                <c:pt idx="3198">
                  <c:v>38356</c:v>
                </c:pt>
                <c:pt idx="3199">
                  <c:v>38355</c:v>
                </c:pt>
                <c:pt idx="3200">
                  <c:v>38352</c:v>
                </c:pt>
                <c:pt idx="3201">
                  <c:v>38351</c:v>
                </c:pt>
                <c:pt idx="3202">
                  <c:v>38350</c:v>
                </c:pt>
                <c:pt idx="3203">
                  <c:v>38349</c:v>
                </c:pt>
                <c:pt idx="3204">
                  <c:v>38348</c:v>
                </c:pt>
                <c:pt idx="3205">
                  <c:v>38345</c:v>
                </c:pt>
                <c:pt idx="3206">
                  <c:v>38344</c:v>
                </c:pt>
                <c:pt idx="3207">
                  <c:v>38343</c:v>
                </c:pt>
                <c:pt idx="3208">
                  <c:v>38342</c:v>
                </c:pt>
                <c:pt idx="3209">
                  <c:v>38341</c:v>
                </c:pt>
                <c:pt idx="3210">
                  <c:v>38338</c:v>
                </c:pt>
                <c:pt idx="3211">
                  <c:v>38337</c:v>
                </c:pt>
                <c:pt idx="3212">
                  <c:v>38336</c:v>
                </c:pt>
                <c:pt idx="3213">
                  <c:v>38335</c:v>
                </c:pt>
                <c:pt idx="3214">
                  <c:v>38334</c:v>
                </c:pt>
                <c:pt idx="3215">
                  <c:v>38331</c:v>
                </c:pt>
                <c:pt idx="3216">
                  <c:v>38330</c:v>
                </c:pt>
                <c:pt idx="3217">
                  <c:v>38329</c:v>
                </c:pt>
                <c:pt idx="3218">
                  <c:v>38328</c:v>
                </c:pt>
                <c:pt idx="3219">
                  <c:v>38327</c:v>
                </c:pt>
                <c:pt idx="3220">
                  <c:v>38324</c:v>
                </c:pt>
                <c:pt idx="3221">
                  <c:v>38323</c:v>
                </c:pt>
                <c:pt idx="3222">
                  <c:v>38322</c:v>
                </c:pt>
                <c:pt idx="3223">
                  <c:v>38321</c:v>
                </c:pt>
                <c:pt idx="3224">
                  <c:v>38320</c:v>
                </c:pt>
                <c:pt idx="3225">
                  <c:v>38317</c:v>
                </c:pt>
                <c:pt idx="3226">
                  <c:v>38316</c:v>
                </c:pt>
                <c:pt idx="3227">
                  <c:v>38315</c:v>
                </c:pt>
                <c:pt idx="3228">
                  <c:v>38314</c:v>
                </c:pt>
                <c:pt idx="3229">
                  <c:v>38313</c:v>
                </c:pt>
                <c:pt idx="3230">
                  <c:v>38310</c:v>
                </c:pt>
                <c:pt idx="3231">
                  <c:v>38309</c:v>
                </c:pt>
                <c:pt idx="3232">
                  <c:v>38308</c:v>
                </c:pt>
                <c:pt idx="3233">
                  <c:v>38307</c:v>
                </c:pt>
                <c:pt idx="3234">
                  <c:v>38306</c:v>
                </c:pt>
                <c:pt idx="3235">
                  <c:v>38303</c:v>
                </c:pt>
                <c:pt idx="3236">
                  <c:v>38302</c:v>
                </c:pt>
                <c:pt idx="3237">
                  <c:v>38301</c:v>
                </c:pt>
                <c:pt idx="3238">
                  <c:v>38300</c:v>
                </c:pt>
                <c:pt idx="3239">
                  <c:v>38299</c:v>
                </c:pt>
                <c:pt idx="3240">
                  <c:v>38296</c:v>
                </c:pt>
                <c:pt idx="3241">
                  <c:v>38295</c:v>
                </c:pt>
                <c:pt idx="3242">
                  <c:v>38294</c:v>
                </c:pt>
                <c:pt idx="3243">
                  <c:v>38293</c:v>
                </c:pt>
                <c:pt idx="3244">
                  <c:v>38292</c:v>
                </c:pt>
                <c:pt idx="3245">
                  <c:v>38289</c:v>
                </c:pt>
                <c:pt idx="3246">
                  <c:v>38288</c:v>
                </c:pt>
                <c:pt idx="3247">
                  <c:v>38287</c:v>
                </c:pt>
                <c:pt idx="3248">
                  <c:v>38286</c:v>
                </c:pt>
                <c:pt idx="3249">
                  <c:v>38285</c:v>
                </c:pt>
                <c:pt idx="3250">
                  <c:v>38282</c:v>
                </c:pt>
                <c:pt idx="3251">
                  <c:v>38281</c:v>
                </c:pt>
                <c:pt idx="3252">
                  <c:v>38280</c:v>
                </c:pt>
                <c:pt idx="3253">
                  <c:v>38279</c:v>
                </c:pt>
                <c:pt idx="3254">
                  <c:v>38278</c:v>
                </c:pt>
                <c:pt idx="3255">
                  <c:v>38275</c:v>
                </c:pt>
                <c:pt idx="3256">
                  <c:v>38274</c:v>
                </c:pt>
                <c:pt idx="3257">
                  <c:v>38273</c:v>
                </c:pt>
                <c:pt idx="3258">
                  <c:v>38272</c:v>
                </c:pt>
                <c:pt idx="3259">
                  <c:v>38271</c:v>
                </c:pt>
                <c:pt idx="3260">
                  <c:v>38268</c:v>
                </c:pt>
                <c:pt idx="3261">
                  <c:v>38267</c:v>
                </c:pt>
                <c:pt idx="3262">
                  <c:v>38266</c:v>
                </c:pt>
                <c:pt idx="3263">
                  <c:v>38265</c:v>
                </c:pt>
                <c:pt idx="3264">
                  <c:v>38264</c:v>
                </c:pt>
                <c:pt idx="3265">
                  <c:v>38261</c:v>
                </c:pt>
                <c:pt idx="3266">
                  <c:v>38260</c:v>
                </c:pt>
                <c:pt idx="3267">
                  <c:v>38259</c:v>
                </c:pt>
                <c:pt idx="3268">
                  <c:v>38258</c:v>
                </c:pt>
                <c:pt idx="3269">
                  <c:v>38257</c:v>
                </c:pt>
                <c:pt idx="3270">
                  <c:v>38254</c:v>
                </c:pt>
                <c:pt idx="3271">
                  <c:v>38253</c:v>
                </c:pt>
                <c:pt idx="3272">
                  <c:v>38252</c:v>
                </c:pt>
                <c:pt idx="3273">
                  <c:v>38251</c:v>
                </c:pt>
                <c:pt idx="3274">
                  <c:v>38250</c:v>
                </c:pt>
                <c:pt idx="3275">
                  <c:v>38247</c:v>
                </c:pt>
                <c:pt idx="3276">
                  <c:v>38246</c:v>
                </c:pt>
                <c:pt idx="3277">
                  <c:v>38245</c:v>
                </c:pt>
                <c:pt idx="3278">
                  <c:v>38244</c:v>
                </c:pt>
                <c:pt idx="3279">
                  <c:v>38243</c:v>
                </c:pt>
                <c:pt idx="3280">
                  <c:v>38240</c:v>
                </c:pt>
                <c:pt idx="3281">
                  <c:v>38239</c:v>
                </c:pt>
                <c:pt idx="3282">
                  <c:v>38238</c:v>
                </c:pt>
                <c:pt idx="3283">
                  <c:v>38237</c:v>
                </c:pt>
                <c:pt idx="3284">
                  <c:v>38236</c:v>
                </c:pt>
                <c:pt idx="3285">
                  <c:v>38233</c:v>
                </c:pt>
                <c:pt idx="3286">
                  <c:v>38232</c:v>
                </c:pt>
                <c:pt idx="3287">
                  <c:v>38231</c:v>
                </c:pt>
                <c:pt idx="3288">
                  <c:v>38230</c:v>
                </c:pt>
                <c:pt idx="3289">
                  <c:v>38229</c:v>
                </c:pt>
                <c:pt idx="3290">
                  <c:v>38226</c:v>
                </c:pt>
                <c:pt idx="3291">
                  <c:v>38225</c:v>
                </c:pt>
                <c:pt idx="3292">
                  <c:v>38224</c:v>
                </c:pt>
                <c:pt idx="3293">
                  <c:v>38223</c:v>
                </c:pt>
                <c:pt idx="3294">
                  <c:v>38222</c:v>
                </c:pt>
                <c:pt idx="3295">
                  <c:v>38219</c:v>
                </c:pt>
                <c:pt idx="3296">
                  <c:v>38218</c:v>
                </c:pt>
                <c:pt idx="3297">
                  <c:v>38217</c:v>
                </c:pt>
                <c:pt idx="3298">
                  <c:v>38216</c:v>
                </c:pt>
                <c:pt idx="3299">
                  <c:v>38215</c:v>
                </c:pt>
                <c:pt idx="3300">
                  <c:v>38212</c:v>
                </c:pt>
                <c:pt idx="3301">
                  <c:v>38211</c:v>
                </c:pt>
                <c:pt idx="3302">
                  <c:v>38210</c:v>
                </c:pt>
                <c:pt idx="3303">
                  <c:v>38209</c:v>
                </c:pt>
                <c:pt idx="3304">
                  <c:v>38208</c:v>
                </c:pt>
                <c:pt idx="3305">
                  <c:v>38205</c:v>
                </c:pt>
                <c:pt idx="3306">
                  <c:v>38204</c:v>
                </c:pt>
                <c:pt idx="3307">
                  <c:v>38203</c:v>
                </c:pt>
                <c:pt idx="3308">
                  <c:v>38202</c:v>
                </c:pt>
                <c:pt idx="3309">
                  <c:v>38201</c:v>
                </c:pt>
                <c:pt idx="3310">
                  <c:v>38198</c:v>
                </c:pt>
                <c:pt idx="3311">
                  <c:v>38197</c:v>
                </c:pt>
                <c:pt idx="3312">
                  <c:v>38196</c:v>
                </c:pt>
                <c:pt idx="3313">
                  <c:v>38195</c:v>
                </c:pt>
                <c:pt idx="3314">
                  <c:v>38194</c:v>
                </c:pt>
                <c:pt idx="3315">
                  <c:v>38191</c:v>
                </c:pt>
                <c:pt idx="3316">
                  <c:v>38190</c:v>
                </c:pt>
                <c:pt idx="3317">
                  <c:v>38189</c:v>
                </c:pt>
                <c:pt idx="3318">
                  <c:v>38188</c:v>
                </c:pt>
                <c:pt idx="3319">
                  <c:v>38187</c:v>
                </c:pt>
                <c:pt idx="3320">
                  <c:v>38184</c:v>
                </c:pt>
                <c:pt idx="3321">
                  <c:v>38183</c:v>
                </c:pt>
                <c:pt idx="3322">
                  <c:v>38182</c:v>
                </c:pt>
                <c:pt idx="3323">
                  <c:v>38181</c:v>
                </c:pt>
                <c:pt idx="3324">
                  <c:v>38180</c:v>
                </c:pt>
                <c:pt idx="3325">
                  <c:v>38177</c:v>
                </c:pt>
                <c:pt idx="3326">
                  <c:v>38176</c:v>
                </c:pt>
                <c:pt idx="3327">
                  <c:v>38175</c:v>
                </c:pt>
                <c:pt idx="3328">
                  <c:v>38174</c:v>
                </c:pt>
                <c:pt idx="3329">
                  <c:v>38173</c:v>
                </c:pt>
                <c:pt idx="3330">
                  <c:v>38170</c:v>
                </c:pt>
                <c:pt idx="3331">
                  <c:v>38169</c:v>
                </c:pt>
                <c:pt idx="3332">
                  <c:v>38168</c:v>
                </c:pt>
                <c:pt idx="3333">
                  <c:v>38167</c:v>
                </c:pt>
                <c:pt idx="3334">
                  <c:v>38166</c:v>
                </c:pt>
                <c:pt idx="3335">
                  <c:v>38163</c:v>
                </c:pt>
                <c:pt idx="3336">
                  <c:v>38162</c:v>
                </c:pt>
                <c:pt idx="3337">
                  <c:v>38161</c:v>
                </c:pt>
                <c:pt idx="3338">
                  <c:v>38160</c:v>
                </c:pt>
                <c:pt idx="3339">
                  <c:v>38159</c:v>
                </c:pt>
                <c:pt idx="3340">
                  <c:v>38156</c:v>
                </c:pt>
                <c:pt idx="3341">
                  <c:v>38155</c:v>
                </c:pt>
                <c:pt idx="3342">
                  <c:v>38154</c:v>
                </c:pt>
                <c:pt idx="3343">
                  <c:v>38153</c:v>
                </c:pt>
                <c:pt idx="3344">
                  <c:v>38152</c:v>
                </c:pt>
                <c:pt idx="3345">
                  <c:v>38149</c:v>
                </c:pt>
                <c:pt idx="3346">
                  <c:v>38148</c:v>
                </c:pt>
                <c:pt idx="3347">
                  <c:v>38147</c:v>
                </c:pt>
                <c:pt idx="3348">
                  <c:v>38146</c:v>
                </c:pt>
                <c:pt idx="3349">
                  <c:v>38145</c:v>
                </c:pt>
                <c:pt idx="3350">
                  <c:v>38142</c:v>
                </c:pt>
                <c:pt idx="3351">
                  <c:v>38141</c:v>
                </c:pt>
                <c:pt idx="3352">
                  <c:v>38140</c:v>
                </c:pt>
                <c:pt idx="3353">
                  <c:v>38139</c:v>
                </c:pt>
                <c:pt idx="3354">
                  <c:v>38138</c:v>
                </c:pt>
                <c:pt idx="3355">
                  <c:v>38135</c:v>
                </c:pt>
                <c:pt idx="3356">
                  <c:v>38134</c:v>
                </c:pt>
                <c:pt idx="3357">
                  <c:v>38133</c:v>
                </c:pt>
                <c:pt idx="3358">
                  <c:v>38132</c:v>
                </c:pt>
                <c:pt idx="3359">
                  <c:v>38131</c:v>
                </c:pt>
                <c:pt idx="3360">
                  <c:v>38128</c:v>
                </c:pt>
                <c:pt idx="3361">
                  <c:v>38127</c:v>
                </c:pt>
                <c:pt idx="3362">
                  <c:v>38126</c:v>
                </c:pt>
                <c:pt idx="3363">
                  <c:v>38125</c:v>
                </c:pt>
                <c:pt idx="3364">
                  <c:v>38124</c:v>
                </c:pt>
                <c:pt idx="3365">
                  <c:v>38121</c:v>
                </c:pt>
                <c:pt idx="3366">
                  <c:v>38120</c:v>
                </c:pt>
                <c:pt idx="3367">
                  <c:v>38119</c:v>
                </c:pt>
                <c:pt idx="3368">
                  <c:v>38118</c:v>
                </c:pt>
                <c:pt idx="3369">
                  <c:v>38117</c:v>
                </c:pt>
                <c:pt idx="3370">
                  <c:v>38114</c:v>
                </c:pt>
                <c:pt idx="3371">
                  <c:v>38113</c:v>
                </c:pt>
                <c:pt idx="3372">
                  <c:v>38112</c:v>
                </c:pt>
                <c:pt idx="3373">
                  <c:v>38111</c:v>
                </c:pt>
                <c:pt idx="3374">
                  <c:v>38110</c:v>
                </c:pt>
                <c:pt idx="3375">
                  <c:v>38107</c:v>
                </c:pt>
                <c:pt idx="3376">
                  <c:v>38106</c:v>
                </c:pt>
                <c:pt idx="3377">
                  <c:v>38105</c:v>
                </c:pt>
                <c:pt idx="3378">
                  <c:v>38104</c:v>
                </c:pt>
                <c:pt idx="3379">
                  <c:v>38103</c:v>
                </c:pt>
                <c:pt idx="3380">
                  <c:v>38100</c:v>
                </c:pt>
                <c:pt idx="3381">
                  <c:v>38099</c:v>
                </c:pt>
                <c:pt idx="3382">
                  <c:v>38098</c:v>
                </c:pt>
                <c:pt idx="3383">
                  <c:v>38097</c:v>
                </c:pt>
                <c:pt idx="3384">
                  <c:v>38096</c:v>
                </c:pt>
                <c:pt idx="3385">
                  <c:v>38093</c:v>
                </c:pt>
                <c:pt idx="3386">
                  <c:v>38092</c:v>
                </c:pt>
                <c:pt idx="3387">
                  <c:v>38091</c:v>
                </c:pt>
                <c:pt idx="3388">
                  <c:v>38090</c:v>
                </c:pt>
                <c:pt idx="3389">
                  <c:v>38089</c:v>
                </c:pt>
                <c:pt idx="3390">
                  <c:v>38086</c:v>
                </c:pt>
                <c:pt idx="3391">
                  <c:v>38085</c:v>
                </c:pt>
                <c:pt idx="3392">
                  <c:v>38084</c:v>
                </c:pt>
                <c:pt idx="3393">
                  <c:v>38083</c:v>
                </c:pt>
                <c:pt idx="3394">
                  <c:v>38082</c:v>
                </c:pt>
                <c:pt idx="3395">
                  <c:v>38079</c:v>
                </c:pt>
                <c:pt idx="3396">
                  <c:v>38078</c:v>
                </c:pt>
                <c:pt idx="3397">
                  <c:v>38077</c:v>
                </c:pt>
                <c:pt idx="3398">
                  <c:v>38076</c:v>
                </c:pt>
                <c:pt idx="3399">
                  <c:v>38075</c:v>
                </c:pt>
                <c:pt idx="3400">
                  <c:v>38072</c:v>
                </c:pt>
                <c:pt idx="3401">
                  <c:v>38071</c:v>
                </c:pt>
                <c:pt idx="3402">
                  <c:v>38070</c:v>
                </c:pt>
                <c:pt idx="3403">
                  <c:v>38069</c:v>
                </c:pt>
                <c:pt idx="3404">
                  <c:v>38068</c:v>
                </c:pt>
                <c:pt idx="3405">
                  <c:v>38065</c:v>
                </c:pt>
                <c:pt idx="3406">
                  <c:v>38064</c:v>
                </c:pt>
                <c:pt idx="3407">
                  <c:v>38063</c:v>
                </c:pt>
                <c:pt idx="3408">
                  <c:v>38062</c:v>
                </c:pt>
                <c:pt idx="3409">
                  <c:v>38061</c:v>
                </c:pt>
                <c:pt idx="3410">
                  <c:v>38058</c:v>
                </c:pt>
                <c:pt idx="3411">
                  <c:v>38057</c:v>
                </c:pt>
                <c:pt idx="3412">
                  <c:v>38056</c:v>
                </c:pt>
                <c:pt idx="3413">
                  <c:v>38055</c:v>
                </c:pt>
                <c:pt idx="3414">
                  <c:v>38054</c:v>
                </c:pt>
                <c:pt idx="3415">
                  <c:v>38051</c:v>
                </c:pt>
                <c:pt idx="3416">
                  <c:v>38050</c:v>
                </c:pt>
                <c:pt idx="3417">
                  <c:v>38049</c:v>
                </c:pt>
                <c:pt idx="3418">
                  <c:v>38048</c:v>
                </c:pt>
                <c:pt idx="3419">
                  <c:v>38047</c:v>
                </c:pt>
                <c:pt idx="3420">
                  <c:v>38044</c:v>
                </c:pt>
                <c:pt idx="3421">
                  <c:v>38043</c:v>
                </c:pt>
                <c:pt idx="3422">
                  <c:v>38042</c:v>
                </c:pt>
                <c:pt idx="3423">
                  <c:v>38041</c:v>
                </c:pt>
                <c:pt idx="3424">
                  <c:v>38040</c:v>
                </c:pt>
                <c:pt idx="3425">
                  <c:v>38037</c:v>
                </c:pt>
                <c:pt idx="3426">
                  <c:v>38036</c:v>
                </c:pt>
                <c:pt idx="3427">
                  <c:v>38035</c:v>
                </c:pt>
                <c:pt idx="3428">
                  <c:v>38034</c:v>
                </c:pt>
                <c:pt idx="3429">
                  <c:v>38033</c:v>
                </c:pt>
                <c:pt idx="3430">
                  <c:v>38030</c:v>
                </c:pt>
                <c:pt idx="3431">
                  <c:v>38029</c:v>
                </c:pt>
                <c:pt idx="3432">
                  <c:v>38028</c:v>
                </c:pt>
                <c:pt idx="3433">
                  <c:v>38027</c:v>
                </c:pt>
                <c:pt idx="3434">
                  <c:v>38026</c:v>
                </c:pt>
                <c:pt idx="3435">
                  <c:v>38023</c:v>
                </c:pt>
                <c:pt idx="3436">
                  <c:v>38022</c:v>
                </c:pt>
                <c:pt idx="3437">
                  <c:v>38021</c:v>
                </c:pt>
                <c:pt idx="3438">
                  <c:v>38020</c:v>
                </c:pt>
                <c:pt idx="3439">
                  <c:v>38019</c:v>
                </c:pt>
                <c:pt idx="3440">
                  <c:v>38016</c:v>
                </c:pt>
                <c:pt idx="3441">
                  <c:v>38015</c:v>
                </c:pt>
                <c:pt idx="3442">
                  <c:v>38014</c:v>
                </c:pt>
                <c:pt idx="3443">
                  <c:v>38013</c:v>
                </c:pt>
                <c:pt idx="3444">
                  <c:v>38012</c:v>
                </c:pt>
                <c:pt idx="3445">
                  <c:v>38009</c:v>
                </c:pt>
                <c:pt idx="3446">
                  <c:v>38008</c:v>
                </c:pt>
                <c:pt idx="3447">
                  <c:v>38007</c:v>
                </c:pt>
                <c:pt idx="3448">
                  <c:v>38006</c:v>
                </c:pt>
                <c:pt idx="3449">
                  <c:v>38005</c:v>
                </c:pt>
                <c:pt idx="3450">
                  <c:v>38002</c:v>
                </c:pt>
                <c:pt idx="3451">
                  <c:v>38001</c:v>
                </c:pt>
                <c:pt idx="3452">
                  <c:v>38000</c:v>
                </c:pt>
                <c:pt idx="3453">
                  <c:v>37999</c:v>
                </c:pt>
                <c:pt idx="3454">
                  <c:v>37998</c:v>
                </c:pt>
                <c:pt idx="3455">
                  <c:v>37995</c:v>
                </c:pt>
                <c:pt idx="3456">
                  <c:v>37994</c:v>
                </c:pt>
                <c:pt idx="3457">
                  <c:v>37993</c:v>
                </c:pt>
                <c:pt idx="3458">
                  <c:v>37992</c:v>
                </c:pt>
                <c:pt idx="3459">
                  <c:v>37991</c:v>
                </c:pt>
                <c:pt idx="3460">
                  <c:v>37988</c:v>
                </c:pt>
                <c:pt idx="3461">
                  <c:v>37987</c:v>
                </c:pt>
                <c:pt idx="3462">
                  <c:v>37986</c:v>
                </c:pt>
                <c:pt idx="3463">
                  <c:v>37985</c:v>
                </c:pt>
                <c:pt idx="3464">
                  <c:v>37984</c:v>
                </c:pt>
                <c:pt idx="3465">
                  <c:v>37981</c:v>
                </c:pt>
                <c:pt idx="3466">
                  <c:v>37980</c:v>
                </c:pt>
                <c:pt idx="3467">
                  <c:v>37979</c:v>
                </c:pt>
                <c:pt idx="3468">
                  <c:v>37978</c:v>
                </c:pt>
                <c:pt idx="3469">
                  <c:v>37977</c:v>
                </c:pt>
                <c:pt idx="3470">
                  <c:v>37974</c:v>
                </c:pt>
                <c:pt idx="3471">
                  <c:v>37973</c:v>
                </c:pt>
                <c:pt idx="3472">
                  <c:v>37972</c:v>
                </c:pt>
                <c:pt idx="3473">
                  <c:v>37971</c:v>
                </c:pt>
                <c:pt idx="3474">
                  <c:v>37970</c:v>
                </c:pt>
                <c:pt idx="3475">
                  <c:v>37967</c:v>
                </c:pt>
                <c:pt idx="3476">
                  <c:v>37966</c:v>
                </c:pt>
                <c:pt idx="3477">
                  <c:v>37965</c:v>
                </c:pt>
                <c:pt idx="3478">
                  <c:v>37964</c:v>
                </c:pt>
                <c:pt idx="3479">
                  <c:v>37963</c:v>
                </c:pt>
                <c:pt idx="3480">
                  <c:v>37960</c:v>
                </c:pt>
                <c:pt idx="3481">
                  <c:v>37959</c:v>
                </c:pt>
                <c:pt idx="3482">
                  <c:v>37958</c:v>
                </c:pt>
                <c:pt idx="3483">
                  <c:v>37957</c:v>
                </c:pt>
                <c:pt idx="3484">
                  <c:v>37956</c:v>
                </c:pt>
                <c:pt idx="3485">
                  <c:v>37953</c:v>
                </c:pt>
                <c:pt idx="3486">
                  <c:v>37952</c:v>
                </c:pt>
                <c:pt idx="3487">
                  <c:v>37951</c:v>
                </c:pt>
                <c:pt idx="3488">
                  <c:v>37950</c:v>
                </c:pt>
                <c:pt idx="3489">
                  <c:v>37949</c:v>
                </c:pt>
                <c:pt idx="3490">
                  <c:v>37946</c:v>
                </c:pt>
                <c:pt idx="3491">
                  <c:v>37945</c:v>
                </c:pt>
                <c:pt idx="3492">
                  <c:v>37944</c:v>
                </c:pt>
                <c:pt idx="3493">
                  <c:v>37943</c:v>
                </c:pt>
                <c:pt idx="3494">
                  <c:v>37942</c:v>
                </c:pt>
                <c:pt idx="3495">
                  <c:v>37939</c:v>
                </c:pt>
                <c:pt idx="3496">
                  <c:v>37938</c:v>
                </c:pt>
                <c:pt idx="3497">
                  <c:v>37937</c:v>
                </c:pt>
                <c:pt idx="3498">
                  <c:v>37936</c:v>
                </c:pt>
                <c:pt idx="3499">
                  <c:v>37935</c:v>
                </c:pt>
                <c:pt idx="3500">
                  <c:v>37932</c:v>
                </c:pt>
                <c:pt idx="3501">
                  <c:v>37931</c:v>
                </c:pt>
                <c:pt idx="3502">
                  <c:v>37930</c:v>
                </c:pt>
                <c:pt idx="3503">
                  <c:v>37929</c:v>
                </c:pt>
                <c:pt idx="3504">
                  <c:v>37928</c:v>
                </c:pt>
                <c:pt idx="3505">
                  <c:v>37925</c:v>
                </c:pt>
                <c:pt idx="3506">
                  <c:v>37924</c:v>
                </c:pt>
                <c:pt idx="3507">
                  <c:v>37923</c:v>
                </c:pt>
                <c:pt idx="3508">
                  <c:v>37922</c:v>
                </c:pt>
                <c:pt idx="3509">
                  <c:v>37921</c:v>
                </c:pt>
                <c:pt idx="3510">
                  <c:v>37918</c:v>
                </c:pt>
                <c:pt idx="3511">
                  <c:v>37917</c:v>
                </c:pt>
                <c:pt idx="3512">
                  <c:v>37916</c:v>
                </c:pt>
                <c:pt idx="3513">
                  <c:v>37915</c:v>
                </c:pt>
                <c:pt idx="3514">
                  <c:v>37914</c:v>
                </c:pt>
                <c:pt idx="3515">
                  <c:v>37911</c:v>
                </c:pt>
                <c:pt idx="3516">
                  <c:v>37910</c:v>
                </c:pt>
                <c:pt idx="3517">
                  <c:v>37909</c:v>
                </c:pt>
                <c:pt idx="3518">
                  <c:v>37908</c:v>
                </c:pt>
                <c:pt idx="3519">
                  <c:v>37907</c:v>
                </c:pt>
                <c:pt idx="3520">
                  <c:v>37904</c:v>
                </c:pt>
                <c:pt idx="3521">
                  <c:v>37903</c:v>
                </c:pt>
                <c:pt idx="3522">
                  <c:v>37902</c:v>
                </c:pt>
                <c:pt idx="3523">
                  <c:v>37901</c:v>
                </c:pt>
                <c:pt idx="3524">
                  <c:v>37900</c:v>
                </c:pt>
                <c:pt idx="3525">
                  <c:v>37897</c:v>
                </c:pt>
                <c:pt idx="3526">
                  <c:v>37896</c:v>
                </c:pt>
                <c:pt idx="3527">
                  <c:v>37895</c:v>
                </c:pt>
                <c:pt idx="3528">
                  <c:v>37894</c:v>
                </c:pt>
                <c:pt idx="3529">
                  <c:v>37893</c:v>
                </c:pt>
                <c:pt idx="3530">
                  <c:v>37890</c:v>
                </c:pt>
                <c:pt idx="3531">
                  <c:v>37889</c:v>
                </c:pt>
                <c:pt idx="3532">
                  <c:v>37888</c:v>
                </c:pt>
                <c:pt idx="3533">
                  <c:v>37887</c:v>
                </c:pt>
                <c:pt idx="3534">
                  <c:v>37886</c:v>
                </c:pt>
                <c:pt idx="3535">
                  <c:v>37883</c:v>
                </c:pt>
                <c:pt idx="3536">
                  <c:v>37882</c:v>
                </c:pt>
                <c:pt idx="3537">
                  <c:v>37881</c:v>
                </c:pt>
                <c:pt idx="3538">
                  <c:v>37880</c:v>
                </c:pt>
                <c:pt idx="3539">
                  <c:v>37879</c:v>
                </c:pt>
                <c:pt idx="3540">
                  <c:v>37876</c:v>
                </c:pt>
                <c:pt idx="3541">
                  <c:v>37875</c:v>
                </c:pt>
                <c:pt idx="3542">
                  <c:v>37874</c:v>
                </c:pt>
                <c:pt idx="3543">
                  <c:v>37873</c:v>
                </c:pt>
                <c:pt idx="3544">
                  <c:v>37872</c:v>
                </c:pt>
                <c:pt idx="3545">
                  <c:v>37869</c:v>
                </c:pt>
                <c:pt idx="3546">
                  <c:v>37868</c:v>
                </c:pt>
                <c:pt idx="3547">
                  <c:v>37867</c:v>
                </c:pt>
                <c:pt idx="3548">
                  <c:v>37866</c:v>
                </c:pt>
                <c:pt idx="3549">
                  <c:v>37865</c:v>
                </c:pt>
                <c:pt idx="3550">
                  <c:v>37862</c:v>
                </c:pt>
                <c:pt idx="3551">
                  <c:v>37861</c:v>
                </c:pt>
                <c:pt idx="3552">
                  <c:v>37860</c:v>
                </c:pt>
                <c:pt idx="3553">
                  <c:v>37859</c:v>
                </c:pt>
                <c:pt idx="3554">
                  <c:v>37858</c:v>
                </c:pt>
                <c:pt idx="3555">
                  <c:v>37855</c:v>
                </c:pt>
                <c:pt idx="3556">
                  <c:v>37854</c:v>
                </c:pt>
                <c:pt idx="3557">
                  <c:v>37853</c:v>
                </c:pt>
                <c:pt idx="3558">
                  <c:v>37852</c:v>
                </c:pt>
                <c:pt idx="3559">
                  <c:v>37851</c:v>
                </c:pt>
                <c:pt idx="3560">
                  <c:v>37848</c:v>
                </c:pt>
                <c:pt idx="3561">
                  <c:v>37847</c:v>
                </c:pt>
                <c:pt idx="3562">
                  <c:v>37846</c:v>
                </c:pt>
                <c:pt idx="3563">
                  <c:v>37845</c:v>
                </c:pt>
                <c:pt idx="3564">
                  <c:v>37844</c:v>
                </c:pt>
                <c:pt idx="3565">
                  <c:v>37841</c:v>
                </c:pt>
                <c:pt idx="3566">
                  <c:v>37840</c:v>
                </c:pt>
                <c:pt idx="3567">
                  <c:v>37839</c:v>
                </c:pt>
                <c:pt idx="3568">
                  <c:v>37838</c:v>
                </c:pt>
                <c:pt idx="3569">
                  <c:v>37837</c:v>
                </c:pt>
                <c:pt idx="3570">
                  <c:v>37834</c:v>
                </c:pt>
                <c:pt idx="3571">
                  <c:v>37833</c:v>
                </c:pt>
                <c:pt idx="3572">
                  <c:v>37832</c:v>
                </c:pt>
                <c:pt idx="3573">
                  <c:v>37831</c:v>
                </c:pt>
                <c:pt idx="3574">
                  <c:v>37830</c:v>
                </c:pt>
                <c:pt idx="3575">
                  <c:v>37827</c:v>
                </c:pt>
                <c:pt idx="3576">
                  <c:v>37826</c:v>
                </c:pt>
                <c:pt idx="3577">
                  <c:v>37825</c:v>
                </c:pt>
                <c:pt idx="3578">
                  <c:v>37824</c:v>
                </c:pt>
                <c:pt idx="3579">
                  <c:v>37823</c:v>
                </c:pt>
                <c:pt idx="3580">
                  <c:v>37820</c:v>
                </c:pt>
                <c:pt idx="3581">
                  <c:v>37819</c:v>
                </c:pt>
                <c:pt idx="3582">
                  <c:v>37818</c:v>
                </c:pt>
                <c:pt idx="3583">
                  <c:v>37817</c:v>
                </c:pt>
                <c:pt idx="3584">
                  <c:v>37816</c:v>
                </c:pt>
                <c:pt idx="3585">
                  <c:v>37813</c:v>
                </c:pt>
                <c:pt idx="3586">
                  <c:v>37812</c:v>
                </c:pt>
                <c:pt idx="3587">
                  <c:v>37811</c:v>
                </c:pt>
                <c:pt idx="3588">
                  <c:v>37810</c:v>
                </c:pt>
                <c:pt idx="3589">
                  <c:v>37809</c:v>
                </c:pt>
                <c:pt idx="3590">
                  <c:v>37806</c:v>
                </c:pt>
                <c:pt idx="3591">
                  <c:v>37805</c:v>
                </c:pt>
                <c:pt idx="3592">
                  <c:v>37804</c:v>
                </c:pt>
                <c:pt idx="3593">
                  <c:v>37803</c:v>
                </c:pt>
                <c:pt idx="3594">
                  <c:v>37802</c:v>
                </c:pt>
                <c:pt idx="3595">
                  <c:v>37799</c:v>
                </c:pt>
                <c:pt idx="3596">
                  <c:v>37798</c:v>
                </c:pt>
                <c:pt idx="3597">
                  <c:v>37797</c:v>
                </c:pt>
                <c:pt idx="3598">
                  <c:v>37796</c:v>
                </c:pt>
                <c:pt idx="3599">
                  <c:v>37795</c:v>
                </c:pt>
                <c:pt idx="3600">
                  <c:v>37792</c:v>
                </c:pt>
                <c:pt idx="3601">
                  <c:v>37791</c:v>
                </c:pt>
                <c:pt idx="3602">
                  <c:v>37790</c:v>
                </c:pt>
                <c:pt idx="3603">
                  <c:v>37789</c:v>
                </c:pt>
                <c:pt idx="3604">
                  <c:v>37788</c:v>
                </c:pt>
                <c:pt idx="3605">
                  <c:v>37785</c:v>
                </c:pt>
                <c:pt idx="3606">
                  <c:v>37784</c:v>
                </c:pt>
                <c:pt idx="3607">
                  <c:v>37783</c:v>
                </c:pt>
                <c:pt idx="3608">
                  <c:v>37782</c:v>
                </c:pt>
                <c:pt idx="3609">
                  <c:v>37781</c:v>
                </c:pt>
                <c:pt idx="3610">
                  <c:v>37778</c:v>
                </c:pt>
                <c:pt idx="3611">
                  <c:v>37777</c:v>
                </c:pt>
                <c:pt idx="3612">
                  <c:v>37776</c:v>
                </c:pt>
                <c:pt idx="3613">
                  <c:v>37775</c:v>
                </c:pt>
                <c:pt idx="3614">
                  <c:v>37774</c:v>
                </c:pt>
                <c:pt idx="3615">
                  <c:v>37771</c:v>
                </c:pt>
                <c:pt idx="3616">
                  <c:v>37770</c:v>
                </c:pt>
                <c:pt idx="3617">
                  <c:v>37769</c:v>
                </c:pt>
                <c:pt idx="3618">
                  <c:v>37768</c:v>
                </c:pt>
                <c:pt idx="3619">
                  <c:v>37767</c:v>
                </c:pt>
                <c:pt idx="3620">
                  <c:v>37764</c:v>
                </c:pt>
                <c:pt idx="3621">
                  <c:v>37763</c:v>
                </c:pt>
                <c:pt idx="3622">
                  <c:v>37762</c:v>
                </c:pt>
                <c:pt idx="3623">
                  <c:v>37761</c:v>
                </c:pt>
                <c:pt idx="3624">
                  <c:v>37760</c:v>
                </c:pt>
                <c:pt idx="3625">
                  <c:v>37757</c:v>
                </c:pt>
                <c:pt idx="3626">
                  <c:v>37756</c:v>
                </c:pt>
                <c:pt idx="3627">
                  <c:v>37755</c:v>
                </c:pt>
                <c:pt idx="3628">
                  <c:v>37754</c:v>
                </c:pt>
                <c:pt idx="3629">
                  <c:v>37753</c:v>
                </c:pt>
                <c:pt idx="3630">
                  <c:v>37750</c:v>
                </c:pt>
                <c:pt idx="3631">
                  <c:v>37749</c:v>
                </c:pt>
                <c:pt idx="3632">
                  <c:v>37748</c:v>
                </c:pt>
                <c:pt idx="3633">
                  <c:v>37747</c:v>
                </c:pt>
                <c:pt idx="3634">
                  <c:v>37746</c:v>
                </c:pt>
                <c:pt idx="3635">
                  <c:v>37743</c:v>
                </c:pt>
                <c:pt idx="3636">
                  <c:v>37742</c:v>
                </c:pt>
                <c:pt idx="3637">
                  <c:v>37741</c:v>
                </c:pt>
                <c:pt idx="3638">
                  <c:v>37740</c:v>
                </c:pt>
                <c:pt idx="3639">
                  <c:v>37739</c:v>
                </c:pt>
                <c:pt idx="3640">
                  <c:v>37736</c:v>
                </c:pt>
                <c:pt idx="3641">
                  <c:v>37735</c:v>
                </c:pt>
                <c:pt idx="3642">
                  <c:v>37734</c:v>
                </c:pt>
                <c:pt idx="3643">
                  <c:v>37733</c:v>
                </c:pt>
                <c:pt idx="3644">
                  <c:v>37732</c:v>
                </c:pt>
                <c:pt idx="3645">
                  <c:v>37729</c:v>
                </c:pt>
                <c:pt idx="3646">
                  <c:v>37728</c:v>
                </c:pt>
                <c:pt idx="3647">
                  <c:v>37727</c:v>
                </c:pt>
                <c:pt idx="3648">
                  <c:v>37726</c:v>
                </c:pt>
                <c:pt idx="3649">
                  <c:v>37725</c:v>
                </c:pt>
                <c:pt idx="3650">
                  <c:v>37722</c:v>
                </c:pt>
                <c:pt idx="3651">
                  <c:v>37721</c:v>
                </c:pt>
                <c:pt idx="3652">
                  <c:v>37720</c:v>
                </c:pt>
                <c:pt idx="3653">
                  <c:v>37719</c:v>
                </c:pt>
                <c:pt idx="3654">
                  <c:v>37718</c:v>
                </c:pt>
                <c:pt idx="3655">
                  <c:v>37715</c:v>
                </c:pt>
                <c:pt idx="3656">
                  <c:v>37714</c:v>
                </c:pt>
                <c:pt idx="3657">
                  <c:v>37713</c:v>
                </c:pt>
                <c:pt idx="3658">
                  <c:v>37712</c:v>
                </c:pt>
                <c:pt idx="3659">
                  <c:v>37711</c:v>
                </c:pt>
                <c:pt idx="3660">
                  <c:v>37708</c:v>
                </c:pt>
                <c:pt idx="3661">
                  <c:v>37707</c:v>
                </c:pt>
                <c:pt idx="3662">
                  <c:v>37706</c:v>
                </c:pt>
                <c:pt idx="3663">
                  <c:v>37705</c:v>
                </c:pt>
                <c:pt idx="3664">
                  <c:v>37704</c:v>
                </c:pt>
                <c:pt idx="3665">
                  <c:v>37701</c:v>
                </c:pt>
                <c:pt idx="3666">
                  <c:v>37700</c:v>
                </c:pt>
                <c:pt idx="3667">
                  <c:v>37699</c:v>
                </c:pt>
                <c:pt idx="3668">
                  <c:v>37698</c:v>
                </c:pt>
                <c:pt idx="3669">
                  <c:v>37697</c:v>
                </c:pt>
                <c:pt idx="3670">
                  <c:v>37694</c:v>
                </c:pt>
                <c:pt idx="3671">
                  <c:v>37693</c:v>
                </c:pt>
                <c:pt idx="3672">
                  <c:v>37692</c:v>
                </c:pt>
                <c:pt idx="3673">
                  <c:v>37691</c:v>
                </c:pt>
                <c:pt idx="3674">
                  <c:v>37690</c:v>
                </c:pt>
                <c:pt idx="3675">
                  <c:v>37687</c:v>
                </c:pt>
                <c:pt idx="3676">
                  <c:v>37686</c:v>
                </c:pt>
                <c:pt idx="3677">
                  <c:v>37685</c:v>
                </c:pt>
                <c:pt idx="3678">
                  <c:v>37684</c:v>
                </c:pt>
                <c:pt idx="3679">
                  <c:v>37683</c:v>
                </c:pt>
                <c:pt idx="3680">
                  <c:v>37680</c:v>
                </c:pt>
                <c:pt idx="3681">
                  <c:v>37679</c:v>
                </c:pt>
                <c:pt idx="3682">
                  <c:v>37678</c:v>
                </c:pt>
                <c:pt idx="3683">
                  <c:v>37677</c:v>
                </c:pt>
                <c:pt idx="3684">
                  <c:v>37676</c:v>
                </c:pt>
                <c:pt idx="3685">
                  <c:v>37673</c:v>
                </c:pt>
                <c:pt idx="3686">
                  <c:v>37672</c:v>
                </c:pt>
                <c:pt idx="3687">
                  <c:v>37671</c:v>
                </c:pt>
                <c:pt idx="3688">
                  <c:v>37670</c:v>
                </c:pt>
                <c:pt idx="3689">
                  <c:v>37669</c:v>
                </c:pt>
                <c:pt idx="3690">
                  <c:v>37666</c:v>
                </c:pt>
                <c:pt idx="3691">
                  <c:v>37665</c:v>
                </c:pt>
                <c:pt idx="3692">
                  <c:v>37664</c:v>
                </c:pt>
                <c:pt idx="3693">
                  <c:v>37663</c:v>
                </c:pt>
                <c:pt idx="3694">
                  <c:v>37662</c:v>
                </c:pt>
                <c:pt idx="3695">
                  <c:v>37659</c:v>
                </c:pt>
                <c:pt idx="3696">
                  <c:v>37658</c:v>
                </c:pt>
                <c:pt idx="3697">
                  <c:v>37657</c:v>
                </c:pt>
                <c:pt idx="3698">
                  <c:v>37656</c:v>
                </c:pt>
                <c:pt idx="3699">
                  <c:v>37655</c:v>
                </c:pt>
                <c:pt idx="3700">
                  <c:v>37652</c:v>
                </c:pt>
                <c:pt idx="3701">
                  <c:v>37651</c:v>
                </c:pt>
                <c:pt idx="3702">
                  <c:v>37650</c:v>
                </c:pt>
                <c:pt idx="3703">
                  <c:v>37649</c:v>
                </c:pt>
                <c:pt idx="3704">
                  <c:v>37648</c:v>
                </c:pt>
                <c:pt idx="3705">
                  <c:v>37645</c:v>
                </c:pt>
                <c:pt idx="3706">
                  <c:v>37644</c:v>
                </c:pt>
                <c:pt idx="3707">
                  <c:v>37643</c:v>
                </c:pt>
                <c:pt idx="3708">
                  <c:v>37642</c:v>
                </c:pt>
                <c:pt idx="3709">
                  <c:v>37641</c:v>
                </c:pt>
                <c:pt idx="3710">
                  <c:v>37638</c:v>
                </c:pt>
                <c:pt idx="3711">
                  <c:v>37637</c:v>
                </c:pt>
                <c:pt idx="3712">
                  <c:v>37636</c:v>
                </c:pt>
                <c:pt idx="3713">
                  <c:v>37635</c:v>
                </c:pt>
                <c:pt idx="3714">
                  <c:v>37634</c:v>
                </c:pt>
                <c:pt idx="3715">
                  <c:v>37631</c:v>
                </c:pt>
                <c:pt idx="3716">
                  <c:v>37630</c:v>
                </c:pt>
                <c:pt idx="3717">
                  <c:v>37629</c:v>
                </c:pt>
                <c:pt idx="3718">
                  <c:v>37628</c:v>
                </c:pt>
                <c:pt idx="3719">
                  <c:v>37627</c:v>
                </c:pt>
                <c:pt idx="3720">
                  <c:v>37624</c:v>
                </c:pt>
                <c:pt idx="3721">
                  <c:v>37623</c:v>
                </c:pt>
                <c:pt idx="3722">
                  <c:v>37622</c:v>
                </c:pt>
                <c:pt idx="3723">
                  <c:v>37621</c:v>
                </c:pt>
                <c:pt idx="3724">
                  <c:v>37620</c:v>
                </c:pt>
                <c:pt idx="3725">
                  <c:v>37617</c:v>
                </c:pt>
                <c:pt idx="3726">
                  <c:v>37616</c:v>
                </c:pt>
                <c:pt idx="3727">
                  <c:v>37615</c:v>
                </c:pt>
                <c:pt idx="3728">
                  <c:v>37614</c:v>
                </c:pt>
                <c:pt idx="3729">
                  <c:v>37613</c:v>
                </c:pt>
                <c:pt idx="3730">
                  <c:v>37610</c:v>
                </c:pt>
                <c:pt idx="3731">
                  <c:v>37609</c:v>
                </c:pt>
                <c:pt idx="3732">
                  <c:v>37608</c:v>
                </c:pt>
                <c:pt idx="3733">
                  <c:v>37607</c:v>
                </c:pt>
                <c:pt idx="3734">
                  <c:v>37606</c:v>
                </c:pt>
                <c:pt idx="3735">
                  <c:v>37603</c:v>
                </c:pt>
                <c:pt idx="3736">
                  <c:v>37602</c:v>
                </c:pt>
                <c:pt idx="3737">
                  <c:v>37601</c:v>
                </c:pt>
                <c:pt idx="3738">
                  <c:v>37600</c:v>
                </c:pt>
                <c:pt idx="3739">
                  <c:v>37599</c:v>
                </c:pt>
                <c:pt idx="3740">
                  <c:v>37596</c:v>
                </c:pt>
                <c:pt idx="3741">
                  <c:v>37595</c:v>
                </c:pt>
                <c:pt idx="3742">
                  <c:v>37594</c:v>
                </c:pt>
                <c:pt idx="3743">
                  <c:v>37593</c:v>
                </c:pt>
                <c:pt idx="3744">
                  <c:v>37592</c:v>
                </c:pt>
                <c:pt idx="3745">
                  <c:v>37589</c:v>
                </c:pt>
                <c:pt idx="3746">
                  <c:v>37588</c:v>
                </c:pt>
                <c:pt idx="3747">
                  <c:v>37587</c:v>
                </c:pt>
                <c:pt idx="3748">
                  <c:v>37586</c:v>
                </c:pt>
                <c:pt idx="3749">
                  <c:v>37585</c:v>
                </c:pt>
                <c:pt idx="3750">
                  <c:v>37582</c:v>
                </c:pt>
                <c:pt idx="3751">
                  <c:v>37581</c:v>
                </c:pt>
                <c:pt idx="3752">
                  <c:v>37580</c:v>
                </c:pt>
                <c:pt idx="3753">
                  <c:v>37579</c:v>
                </c:pt>
                <c:pt idx="3754">
                  <c:v>37578</c:v>
                </c:pt>
                <c:pt idx="3755">
                  <c:v>37575</c:v>
                </c:pt>
                <c:pt idx="3756">
                  <c:v>37574</c:v>
                </c:pt>
                <c:pt idx="3757">
                  <c:v>37573</c:v>
                </c:pt>
                <c:pt idx="3758">
                  <c:v>37572</c:v>
                </c:pt>
                <c:pt idx="3759">
                  <c:v>37571</c:v>
                </c:pt>
                <c:pt idx="3760">
                  <c:v>37568</c:v>
                </c:pt>
                <c:pt idx="3761">
                  <c:v>37567</c:v>
                </c:pt>
                <c:pt idx="3762">
                  <c:v>37566</c:v>
                </c:pt>
                <c:pt idx="3763">
                  <c:v>37565</c:v>
                </c:pt>
                <c:pt idx="3764">
                  <c:v>37564</c:v>
                </c:pt>
                <c:pt idx="3765">
                  <c:v>37561</c:v>
                </c:pt>
                <c:pt idx="3766">
                  <c:v>37560</c:v>
                </c:pt>
                <c:pt idx="3767">
                  <c:v>37559</c:v>
                </c:pt>
                <c:pt idx="3768">
                  <c:v>37558</c:v>
                </c:pt>
                <c:pt idx="3769">
                  <c:v>37557</c:v>
                </c:pt>
                <c:pt idx="3770">
                  <c:v>37554</c:v>
                </c:pt>
                <c:pt idx="3771">
                  <c:v>37553</c:v>
                </c:pt>
                <c:pt idx="3772">
                  <c:v>37552</c:v>
                </c:pt>
                <c:pt idx="3773">
                  <c:v>37551</c:v>
                </c:pt>
                <c:pt idx="3774">
                  <c:v>37550</c:v>
                </c:pt>
                <c:pt idx="3775">
                  <c:v>37547</c:v>
                </c:pt>
                <c:pt idx="3776">
                  <c:v>37546</c:v>
                </c:pt>
                <c:pt idx="3777">
                  <c:v>37545</c:v>
                </c:pt>
                <c:pt idx="3778">
                  <c:v>37544</c:v>
                </c:pt>
                <c:pt idx="3779">
                  <c:v>37543</c:v>
                </c:pt>
                <c:pt idx="3780">
                  <c:v>37540</c:v>
                </c:pt>
                <c:pt idx="3781">
                  <c:v>37539</c:v>
                </c:pt>
                <c:pt idx="3782">
                  <c:v>37538</c:v>
                </c:pt>
                <c:pt idx="3783">
                  <c:v>37537</c:v>
                </c:pt>
                <c:pt idx="3784">
                  <c:v>37536</c:v>
                </c:pt>
                <c:pt idx="3785">
                  <c:v>37533</c:v>
                </c:pt>
                <c:pt idx="3786">
                  <c:v>37532</c:v>
                </c:pt>
                <c:pt idx="3787">
                  <c:v>37531</c:v>
                </c:pt>
                <c:pt idx="3788">
                  <c:v>37530</c:v>
                </c:pt>
                <c:pt idx="3789">
                  <c:v>37529</c:v>
                </c:pt>
                <c:pt idx="3790">
                  <c:v>37526</c:v>
                </c:pt>
                <c:pt idx="3791">
                  <c:v>37525</c:v>
                </c:pt>
                <c:pt idx="3792">
                  <c:v>37524</c:v>
                </c:pt>
                <c:pt idx="3793">
                  <c:v>37523</c:v>
                </c:pt>
                <c:pt idx="3794">
                  <c:v>37522</c:v>
                </c:pt>
                <c:pt idx="3795">
                  <c:v>37519</c:v>
                </c:pt>
                <c:pt idx="3796">
                  <c:v>37518</c:v>
                </c:pt>
                <c:pt idx="3797">
                  <c:v>37517</c:v>
                </c:pt>
                <c:pt idx="3798">
                  <c:v>37516</c:v>
                </c:pt>
                <c:pt idx="3799">
                  <c:v>37515</c:v>
                </c:pt>
                <c:pt idx="3800">
                  <c:v>37512</c:v>
                </c:pt>
                <c:pt idx="3801">
                  <c:v>37511</c:v>
                </c:pt>
                <c:pt idx="3802">
                  <c:v>37510</c:v>
                </c:pt>
                <c:pt idx="3803">
                  <c:v>37509</c:v>
                </c:pt>
                <c:pt idx="3804">
                  <c:v>37508</c:v>
                </c:pt>
                <c:pt idx="3805">
                  <c:v>37505</c:v>
                </c:pt>
                <c:pt idx="3806">
                  <c:v>37504</c:v>
                </c:pt>
                <c:pt idx="3807">
                  <c:v>37503</c:v>
                </c:pt>
                <c:pt idx="3808">
                  <c:v>37502</c:v>
                </c:pt>
                <c:pt idx="3809">
                  <c:v>37501</c:v>
                </c:pt>
                <c:pt idx="3810">
                  <c:v>37498</c:v>
                </c:pt>
                <c:pt idx="3811">
                  <c:v>37497</c:v>
                </c:pt>
                <c:pt idx="3812">
                  <c:v>37496</c:v>
                </c:pt>
                <c:pt idx="3813">
                  <c:v>37495</c:v>
                </c:pt>
                <c:pt idx="3814">
                  <c:v>37494</c:v>
                </c:pt>
                <c:pt idx="3815">
                  <c:v>37491</c:v>
                </c:pt>
                <c:pt idx="3816">
                  <c:v>37490</c:v>
                </c:pt>
                <c:pt idx="3817">
                  <c:v>37489</c:v>
                </c:pt>
                <c:pt idx="3818">
                  <c:v>37488</c:v>
                </c:pt>
                <c:pt idx="3819">
                  <c:v>37487</c:v>
                </c:pt>
                <c:pt idx="3820">
                  <c:v>37484</c:v>
                </c:pt>
                <c:pt idx="3821">
                  <c:v>37483</c:v>
                </c:pt>
                <c:pt idx="3822">
                  <c:v>37482</c:v>
                </c:pt>
                <c:pt idx="3823">
                  <c:v>37481</c:v>
                </c:pt>
                <c:pt idx="3824">
                  <c:v>37480</c:v>
                </c:pt>
                <c:pt idx="3825">
                  <c:v>37477</c:v>
                </c:pt>
                <c:pt idx="3826">
                  <c:v>37476</c:v>
                </c:pt>
                <c:pt idx="3827">
                  <c:v>37475</c:v>
                </c:pt>
                <c:pt idx="3828">
                  <c:v>37474</c:v>
                </c:pt>
                <c:pt idx="3829">
                  <c:v>37473</c:v>
                </c:pt>
                <c:pt idx="3830">
                  <c:v>37470</c:v>
                </c:pt>
                <c:pt idx="3831">
                  <c:v>37469</c:v>
                </c:pt>
                <c:pt idx="3832">
                  <c:v>37468</c:v>
                </c:pt>
                <c:pt idx="3833">
                  <c:v>37467</c:v>
                </c:pt>
                <c:pt idx="3834">
                  <c:v>37466</c:v>
                </c:pt>
                <c:pt idx="3835">
                  <c:v>37463</c:v>
                </c:pt>
                <c:pt idx="3836">
                  <c:v>37462</c:v>
                </c:pt>
                <c:pt idx="3837">
                  <c:v>37461</c:v>
                </c:pt>
                <c:pt idx="3838">
                  <c:v>37460</c:v>
                </c:pt>
                <c:pt idx="3839">
                  <c:v>37459</c:v>
                </c:pt>
                <c:pt idx="3840">
                  <c:v>37456</c:v>
                </c:pt>
                <c:pt idx="3841">
                  <c:v>37455</c:v>
                </c:pt>
                <c:pt idx="3842">
                  <c:v>37454</c:v>
                </c:pt>
                <c:pt idx="3843">
                  <c:v>37453</c:v>
                </c:pt>
                <c:pt idx="3844">
                  <c:v>37452</c:v>
                </c:pt>
                <c:pt idx="3845">
                  <c:v>37449</c:v>
                </c:pt>
                <c:pt idx="3846">
                  <c:v>37448</c:v>
                </c:pt>
                <c:pt idx="3847">
                  <c:v>37447</c:v>
                </c:pt>
                <c:pt idx="3848">
                  <c:v>37446</c:v>
                </c:pt>
                <c:pt idx="3849">
                  <c:v>37445</c:v>
                </c:pt>
                <c:pt idx="3850">
                  <c:v>37442</c:v>
                </c:pt>
                <c:pt idx="3851">
                  <c:v>37441</c:v>
                </c:pt>
                <c:pt idx="3852">
                  <c:v>37440</c:v>
                </c:pt>
                <c:pt idx="3853">
                  <c:v>37439</c:v>
                </c:pt>
                <c:pt idx="3854">
                  <c:v>37438</c:v>
                </c:pt>
                <c:pt idx="3855">
                  <c:v>37435</c:v>
                </c:pt>
                <c:pt idx="3856">
                  <c:v>37434</c:v>
                </c:pt>
                <c:pt idx="3857">
                  <c:v>37433</c:v>
                </c:pt>
                <c:pt idx="3858">
                  <c:v>37432</c:v>
                </c:pt>
                <c:pt idx="3859">
                  <c:v>37431</c:v>
                </c:pt>
                <c:pt idx="3860">
                  <c:v>37428</c:v>
                </c:pt>
                <c:pt idx="3861">
                  <c:v>37427</c:v>
                </c:pt>
                <c:pt idx="3862">
                  <c:v>37426</c:v>
                </c:pt>
                <c:pt idx="3863">
                  <c:v>37425</c:v>
                </c:pt>
                <c:pt idx="3864">
                  <c:v>37424</c:v>
                </c:pt>
                <c:pt idx="3865">
                  <c:v>37421</c:v>
                </c:pt>
                <c:pt idx="3866">
                  <c:v>37420</c:v>
                </c:pt>
                <c:pt idx="3867">
                  <c:v>37419</c:v>
                </c:pt>
                <c:pt idx="3868">
                  <c:v>37418</c:v>
                </c:pt>
                <c:pt idx="3869">
                  <c:v>37417</c:v>
                </c:pt>
                <c:pt idx="3870">
                  <c:v>37414</c:v>
                </c:pt>
                <c:pt idx="3871">
                  <c:v>37413</c:v>
                </c:pt>
                <c:pt idx="3872">
                  <c:v>37412</c:v>
                </c:pt>
                <c:pt idx="3873">
                  <c:v>37411</c:v>
                </c:pt>
                <c:pt idx="3874">
                  <c:v>37410</c:v>
                </c:pt>
                <c:pt idx="3875">
                  <c:v>37407</c:v>
                </c:pt>
                <c:pt idx="3876">
                  <c:v>37406</c:v>
                </c:pt>
                <c:pt idx="3877">
                  <c:v>37405</c:v>
                </c:pt>
                <c:pt idx="3878">
                  <c:v>37404</c:v>
                </c:pt>
                <c:pt idx="3879">
                  <c:v>37403</c:v>
                </c:pt>
                <c:pt idx="3880">
                  <c:v>37400</c:v>
                </c:pt>
                <c:pt idx="3881">
                  <c:v>37399</c:v>
                </c:pt>
                <c:pt idx="3882">
                  <c:v>37398</c:v>
                </c:pt>
                <c:pt idx="3883">
                  <c:v>37397</c:v>
                </c:pt>
                <c:pt idx="3884">
                  <c:v>37396</c:v>
                </c:pt>
                <c:pt idx="3885">
                  <c:v>37393</c:v>
                </c:pt>
                <c:pt idx="3886">
                  <c:v>37392</c:v>
                </c:pt>
                <c:pt idx="3887">
                  <c:v>37391</c:v>
                </c:pt>
                <c:pt idx="3888">
                  <c:v>37390</c:v>
                </c:pt>
                <c:pt idx="3889">
                  <c:v>37389</c:v>
                </c:pt>
                <c:pt idx="3890">
                  <c:v>37386</c:v>
                </c:pt>
                <c:pt idx="3891">
                  <c:v>37385</c:v>
                </c:pt>
                <c:pt idx="3892">
                  <c:v>37384</c:v>
                </c:pt>
                <c:pt idx="3893">
                  <c:v>37383</c:v>
                </c:pt>
                <c:pt idx="3894">
                  <c:v>37382</c:v>
                </c:pt>
                <c:pt idx="3895">
                  <c:v>37379</c:v>
                </c:pt>
                <c:pt idx="3896">
                  <c:v>37378</c:v>
                </c:pt>
                <c:pt idx="3897">
                  <c:v>37377</c:v>
                </c:pt>
                <c:pt idx="3898">
                  <c:v>37376</c:v>
                </c:pt>
                <c:pt idx="3899">
                  <c:v>37375</c:v>
                </c:pt>
                <c:pt idx="3900">
                  <c:v>37372</c:v>
                </c:pt>
                <c:pt idx="3901">
                  <c:v>37371</c:v>
                </c:pt>
                <c:pt idx="3902">
                  <c:v>37370</c:v>
                </c:pt>
                <c:pt idx="3903">
                  <c:v>37369</c:v>
                </c:pt>
                <c:pt idx="3904">
                  <c:v>37368</c:v>
                </c:pt>
                <c:pt idx="3905">
                  <c:v>37365</c:v>
                </c:pt>
                <c:pt idx="3906">
                  <c:v>37364</c:v>
                </c:pt>
                <c:pt idx="3907">
                  <c:v>37363</c:v>
                </c:pt>
                <c:pt idx="3908">
                  <c:v>37362</c:v>
                </c:pt>
                <c:pt idx="3909">
                  <c:v>37361</c:v>
                </c:pt>
                <c:pt idx="3910">
                  <c:v>37358</c:v>
                </c:pt>
                <c:pt idx="3911">
                  <c:v>37357</c:v>
                </c:pt>
                <c:pt idx="3912">
                  <c:v>37356</c:v>
                </c:pt>
                <c:pt idx="3913">
                  <c:v>37355</c:v>
                </c:pt>
                <c:pt idx="3914">
                  <c:v>37354</c:v>
                </c:pt>
                <c:pt idx="3915">
                  <c:v>37351</c:v>
                </c:pt>
                <c:pt idx="3916">
                  <c:v>37350</c:v>
                </c:pt>
                <c:pt idx="3917">
                  <c:v>37349</c:v>
                </c:pt>
                <c:pt idx="3918">
                  <c:v>37348</c:v>
                </c:pt>
                <c:pt idx="3919">
                  <c:v>37347</c:v>
                </c:pt>
                <c:pt idx="3920">
                  <c:v>37344</c:v>
                </c:pt>
                <c:pt idx="3921">
                  <c:v>37343</c:v>
                </c:pt>
                <c:pt idx="3922">
                  <c:v>37342</c:v>
                </c:pt>
                <c:pt idx="3923">
                  <c:v>37341</c:v>
                </c:pt>
                <c:pt idx="3924">
                  <c:v>37340</c:v>
                </c:pt>
                <c:pt idx="3925">
                  <c:v>37337</c:v>
                </c:pt>
                <c:pt idx="3926">
                  <c:v>37336</c:v>
                </c:pt>
                <c:pt idx="3927">
                  <c:v>37335</c:v>
                </c:pt>
                <c:pt idx="3928">
                  <c:v>37334</c:v>
                </c:pt>
                <c:pt idx="3929">
                  <c:v>37333</c:v>
                </c:pt>
                <c:pt idx="3930">
                  <c:v>37330</c:v>
                </c:pt>
                <c:pt idx="3931">
                  <c:v>37329</c:v>
                </c:pt>
                <c:pt idx="3932">
                  <c:v>37328</c:v>
                </c:pt>
                <c:pt idx="3933">
                  <c:v>37327</c:v>
                </c:pt>
                <c:pt idx="3934">
                  <c:v>37326</c:v>
                </c:pt>
                <c:pt idx="3935">
                  <c:v>37323</c:v>
                </c:pt>
                <c:pt idx="3936">
                  <c:v>37322</c:v>
                </c:pt>
                <c:pt idx="3937">
                  <c:v>37321</c:v>
                </c:pt>
                <c:pt idx="3938">
                  <c:v>37320</c:v>
                </c:pt>
                <c:pt idx="3939">
                  <c:v>37319</c:v>
                </c:pt>
                <c:pt idx="3940">
                  <c:v>37316</c:v>
                </c:pt>
                <c:pt idx="3941">
                  <c:v>37315</c:v>
                </c:pt>
                <c:pt idx="3942">
                  <c:v>37314</c:v>
                </c:pt>
                <c:pt idx="3943">
                  <c:v>37313</c:v>
                </c:pt>
                <c:pt idx="3944">
                  <c:v>37312</c:v>
                </c:pt>
                <c:pt idx="3945">
                  <c:v>37309</c:v>
                </c:pt>
                <c:pt idx="3946">
                  <c:v>37308</c:v>
                </c:pt>
                <c:pt idx="3947">
                  <c:v>37307</c:v>
                </c:pt>
                <c:pt idx="3948">
                  <c:v>37306</c:v>
                </c:pt>
                <c:pt idx="3949">
                  <c:v>37305</c:v>
                </c:pt>
                <c:pt idx="3950">
                  <c:v>37302</c:v>
                </c:pt>
                <c:pt idx="3951">
                  <c:v>37301</c:v>
                </c:pt>
                <c:pt idx="3952">
                  <c:v>37300</c:v>
                </c:pt>
                <c:pt idx="3953">
                  <c:v>37299</c:v>
                </c:pt>
                <c:pt idx="3954">
                  <c:v>37298</c:v>
                </c:pt>
                <c:pt idx="3955">
                  <c:v>37295</c:v>
                </c:pt>
                <c:pt idx="3956">
                  <c:v>37294</c:v>
                </c:pt>
                <c:pt idx="3957">
                  <c:v>37293</c:v>
                </c:pt>
                <c:pt idx="3958">
                  <c:v>37292</c:v>
                </c:pt>
                <c:pt idx="3959">
                  <c:v>37291</c:v>
                </c:pt>
                <c:pt idx="3960">
                  <c:v>37288</c:v>
                </c:pt>
                <c:pt idx="3961">
                  <c:v>37287</c:v>
                </c:pt>
                <c:pt idx="3962">
                  <c:v>37286</c:v>
                </c:pt>
                <c:pt idx="3963">
                  <c:v>37285</c:v>
                </c:pt>
                <c:pt idx="3964">
                  <c:v>37284</c:v>
                </c:pt>
                <c:pt idx="3965">
                  <c:v>37281</c:v>
                </c:pt>
                <c:pt idx="3966">
                  <c:v>37280</c:v>
                </c:pt>
                <c:pt idx="3967">
                  <c:v>37279</c:v>
                </c:pt>
                <c:pt idx="3968">
                  <c:v>37278</c:v>
                </c:pt>
                <c:pt idx="3969">
                  <c:v>37277</c:v>
                </c:pt>
                <c:pt idx="3970">
                  <c:v>37274</c:v>
                </c:pt>
                <c:pt idx="3971">
                  <c:v>37273</c:v>
                </c:pt>
                <c:pt idx="3972">
                  <c:v>37272</c:v>
                </c:pt>
                <c:pt idx="3973">
                  <c:v>37271</c:v>
                </c:pt>
                <c:pt idx="3974">
                  <c:v>37270</c:v>
                </c:pt>
                <c:pt idx="3975">
                  <c:v>37267</c:v>
                </c:pt>
                <c:pt idx="3976">
                  <c:v>37266</c:v>
                </c:pt>
                <c:pt idx="3977">
                  <c:v>37265</c:v>
                </c:pt>
                <c:pt idx="3978">
                  <c:v>37264</c:v>
                </c:pt>
                <c:pt idx="3979">
                  <c:v>37263</c:v>
                </c:pt>
                <c:pt idx="3980">
                  <c:v>37260</c:v>
                </c:pt>
                <c:pt idx="3981">
                  <c:v>37259</c:v>
                </c:pt>
                <c:pt idx="3982">
                  <c:v>37258</c:v>
                </c:pt>
                <c:pt idx="3983">
                  <c:v>37257</c:v>
                </c:pt>
                <c:pt idx="3984">
                  <c:v>37256</c:v>
                </c:pt>
                <c:pt idx="3985">
                  <c:v>37253</c:v>
                </c:pt>
                <c:pt idx="3986">
                  <c:v>37252</c:v>
                </c:pt>
                <c:pt idx="3987">
                  <c:v>37251</c:v>
                </c:pt>
                <c:pt idx="3988">
                  <c:v>37250</c:v>
                </c:pt>
                <c:pt idx="3989">
                  <c:v>37249</c:v>
                </c:pt>
                <c:pt idx="3990">
                  <c:v>37246</c:v>
                </c:pt>
                <c:pt idx="3991">
                  <c:v>37245</c:v>
                </c:pt>
                <c:pt idx="3992">
                  <c:v>37244</c:v>
                </c:pt>
                <c:pt idx="3993">
                  <c:v>37243</c:v>
                </c:pt>
                <c:pt idx="3994">
                  <c:v>37242</c:v>
                </c:pt>
                <c:pt idx="3995">
                  <c:v>37239</c:v>
                </c:pt>
                <c:pt idx="3996">
                  <c:v>37238</c:v>
                </c:pt>
                <c:pt idx="3997">
                  <c:v>37237</c:v>
                </c:pt>
                <c:pt idx="3998">
                  <c:v>37236</c:v>
                </c:pt>
                <c:pt idx="3999">
                  <c:v>37235</c:v>
                </c:pt>
                <c:pt idx="4000">
                  <c:v>37232</c:v>
                </c:pt>
                <c:pt idx="4001">
                  <c:v>37231</c:v>
                </c:pt>
                <c:pt idx="4002">
                  <c:v>37230</c:v>
                </c:pt>
                <c:pt idx="4003">
                  <c:v>37229</c:v>
                </c:pt>
                <c:pt idx="4004">
                  <c:v>37228</c:v>
                </c:pt>
                <c:pt idx="4005">
                  <c:v>37225</c:v>
                </c:pt>
                <c:pt idx="4006">
                  <c:v>37224</c:v>
                </c:pt>
                <c:pt idx="4007">
                  <c:v>37223</c:v>
                </c:pt>
                <c:pt idx="4008">
                  <c:v>37222</c:v>
                </c:pt>
                <c:pt idx="4009">
                  <c:v>37221</c:v>
                </c:pt>
                <c:pt idx="4010">
                  <c:v>37218</c:v>
                </c:pt>
                <c:pt idx="4011">
                  <c:v>37217</c:v>
                </c:pt>
                <c:pt idx="4012">
                  <c:v>37216</c:v>
                </c:pt>
                <c:pt idx="4013">
                  <c:v>37215</c:v>
                </c:pt>
                <c:pt idx="4014">
                  <c:v>37214</c:v>
                </c:pt>
                <c:pt idx="4015">
                  <c:v>37211</c:v>
                </c:pt>
                <c:pt idx="4016">
                  <c:v>37210</c:v>
                </c:pt>
                <c:pt idx="4017">
                  <c:v>37209</c:v>
                </c:pt>
                <c:pt idx="4018">
                  <c:v>37208</c:v>
                </c:pt>
                <c:pt idx="4019">
                  <c:v>37207</c:v>
                </c:pt>
                <c:pt idx="4020">
                  <c:v>37204</c:v>
                </c:pt>
                <c:pt idx="4021">
                  <c:v>37203</c:v>
                </c:pt>
                <c:pt idx="4022">
                  <c:v>37202</c:v>
                </c:pt>
                <c:pt idx="4023">
                  <c:v>37201</c:v>
                </c:pt>
                <c:pt idx="4024">
                  <c:v>37200</c:v>
                </c:pt>
                <c:pt idx="4025">
                  <c:v>37197</c:v>
                </c:pt>
                <c:pt idx="4026">
                  <c:v>37196</c:v>
                </c:pt>
                <c:pt idx="4027">
                  <c:v>37195</c:v>
                </c:pt>
                <c:pt idx="4028">
                  <c:v>37194</c:v>
                </c:pt>
                <c:pt idx="4029">
                  <c:v>37193</c:v>
                </c:pt>
                <c:pt idx="4030">
                  <c:v>37190</c:v>
                </c:pt>
                <c:pt idx="4031">
                  <c:v>37189</c:v>
                </c:pt>
                <c:pt idx="4032">
                  <c:v>37188</c:v>
                </c:pt>
                <c:pt idx="4033">
                  <c:v>37187</c:v>
                </c:pt>
                <c:pt idx="4034">
                  <c:v>37186</c:v>
                </c:pt>
                <c:pt idx="4035">
                  <c:v>37183</c:v>
                </c:pt>
                <c:pt idx="4036">
                  <c:v>37182</c:v>
                </c:pt>
                <c:pt idx="4037">
                  <c:v>37181</c:v>
                </c:pt>
                <c:pt idx="4038">
                  <c:v>37180</c:v>
                </c:pt>
                <c:pt idx="4039">
                  <c:v>37179</c:v>
                </c:pt>
                <c:pt idx="4040">
                  <c:v>37176</c:v>
                </c:pt>
                <c:pt idx="4041">
                  <c:v>37175</c:v>
                </c:pt>
                <c:pt idx="4042">
                  <c:v>37174</c:v>
                </c:pt>
                <c:pt idx="4043">
                  <c:v>37173</c:v>
                </c:pt>
                <c:pt idx="4044">
                  <c:v>37172</c:v>
                </c:pt>
                <c:pt idx="4045">
                  <c:v>37169</c:v>
                </c:pt>
                <c:pt idx="4046">
                  <c:v>37168</c:v>
                </c:pt>
                <c:pt idx="4047">
                  <c:v>37167</c:v>
                </c:pt>
                <c:pt idx="4048">
                  <c:v>37166</c:v>
                </c:pt>
                <c:pt idx="4049">
                  <c:v>37165</c:v>
                </c:pt>
                <c:pt idx="4050">
                  <c:v>37162</c:v>
                </c:pt>
                <c:pt idx="4051">
                  <c:v>37161</c:v>
                </c:pt>
                <c:pt idx="4052">
                  <c:v>37160</c:v>
                </c:pt>
                <c:pt idx="4053">
                  <c:v>37159</c:v>
                </c:pt>
                <c:pt idx="4054">
                  <c:v>37158</c:v>
                </c:pt>
                <c:pt idx="4055">
                  <c:v>37155</c:v>
                </c:pt>
                <c:pt idx="4056">
                  <c:v>37154</c:v>
                </c:pt>
                <c:pt idx="4057">
                  <c:v>37153</c:v>
                </c:pt>
                <c:pt idx="4058">
                  <c:v>37152</c:v>
                </c:pt>
                <c:pt idx="4059">
                  <c:v>37151</c:v>
                </c:pt>
                <c:pt idx="4060">
                  <c:v>37148</c:v>
                </c:pt>
                <c:pt idx="4061">
                  <c:v>37147</c:v>
                </c:pt>
                <c:pt idx="4062">
                  <c:v>37146</c:v>
                </c:pt>
                <c:pt idx="4063">
                  <c:v>37145</c:v>
                </c:pt>
                <c:pt idx="4064">
                  <c:v>37144</c:v>
                </c:pt>
                <c:pt idx="4065">
                  <c:v>37141</c:v>
                </c:pt>
                <c:pt idx="4066">
                  <c:v>37140</c:v>
                </c:pt>
                <c:pt idx="4067">
                  <c:v>37139</c:v>
                </c:pt>
                <c:pt idx="4068">
                  <c:v>37138</c:v>
                </c:pt>
                <c:pt idx="4069">
                  <c:v>37137</c:v>
                </c:pt>
                <c:pt idx="4070">
                  <c:v>37134</c:v>
                </c:pt>
                <c:pt idx="4071">
                  <c:v>37133</c:v>
                </c:pt>
                <c:pt idx="4072">
                  <c:v>37132</c:v>
                </c:pt>
                <c:pt idx="4073">
                  <c:v>37131</c:v>
                </c:pt>
                <c:pt idx="4074">
                  <c:v>37130</c:v>
                </c:pt>
                <c:pt idx="4075">
                  <c:v>37127</c:v>
                </c:pt>
                <c:pt idx="4076">
                  <c:v>37126</c:v>
                </c:pt>
                <c:pt idx="4077">
                  <c:v>37125</c:v>
                </c:pt>
                <c:pt idx="4078">
                  <c:v>37124</c:v>
                </c:pt>
                <c:pt idx="4079">
                  <c:v>37123</c:v>
                </c:pt>
                <c:pt idx="4080">
                  <c:v>37120</c:v>
                </c:pt>
                <c:pt idx="4081">
                  <c:v>37119</c:v>
                </c:pt>
                <c:pt idx="4082">
                  <c:v>37118</c:v>
                </c:pt>
                <c:pt idx="4083">
                  <c:v>37117</c:v>
                </c:pt>
                <c:pt idx="4084">
                  <c:v>37116</c:v>
                </c:pt>
                <c:pt idx="4085">
                  <c:v>37113</c:v>
                </c:pt>
                <c:pt idx="4086">
                  <c:v>37112</c:v>
                </c:pt>
                <c:pt idx="4087">
                  <c:v>37111</c:v>
                </c:pt>
                <c:pt idx="4088">
                  <c:v>37110</c:v>
                </c:pt>
                <c:pt idx="4089">
                  <c:v>37109</c:v>
                </c:pt>
                <c:pt idx="4090">
                  <c:v>37106</c:v>
                </c:pt>
                <c:pt idx="4091">
                  <c:v>37105</c:v>
                </c:pt>
                <c:pt idx="4092">
                  <c:v>37104</c:v>
                </c:pt>
                <c:pt idx="4093">
                  <c:v>37103</c:v>
                </c:pt>
                <c:pt idx="4094">
                  <c:v>37102</c:v>
                </c:pt>
                <c:pt idx="4095">
                  <c:v>37099</c:v>
                </c:pt>
                <c:pt idx="4096">
                  <c:v>37098</c:v>
                </c:pt>
                <c:pt idx="4097">
                  <c:v>37097</c:v>
                </c:pt>
                <c:pt idx="4098">
                  <c:v>37096</c:v>
                </c:pt>
                <c:pt idx="4099">
                  <c:v>37095</c:v>
                </c:pt>
                <c:pt idx="4100">
                  <c:v>37092</c:v>
                </c:pt>
                <c:pt idx="4101">
                  <c:v>37091</c:v>
                </c:pt>
                <c:pt idx="4102">
                  <c:v>37090</c:v>
                </c:pt>
                <c:pt idx="4103">
                  <c:v>37089</c:v>
                </c:pt>
                <c:pt idx="4104">
                  <c:v>37088</c:v>
                </c:pt>
                <c:pt idx="4105">
                  <c:v>37085</c:v>
                </c:pt>
                <c:pt idx="4106">
                  <c:v>37084</c:v>
                </c:pt>
                <c:pt idx="4107">
                  <c:v>37083</c:v>
                </c:pt>
                <c:pt idx="4108">
                  <c:v>37082</c:v>
                </c:pt>
                <c:pt idx="4109">
                  <c:v>37081</c:v>
                </c:pt>
                <c:pt idx="4110">
                  <c:v>37078</c:v>
                </c:pt>
                <c:pt idx="4111">
                  <c:v>37077</c:v>
                </c:pt>
                <c:pt idx="4112">
                  <c:v>37076</c:v>
                </c:pt>
                <c:pt idx="4113">
                  <c:v>37075</c:v>
                </c:pt>
                <c:pt idx="4114">
                  <c:v>37074</c:v>
                </c:pt>
                <c:pt idx="4115">
                  <c:v>37071</c:v>
                </c:pt>
                <c:pt idx="4116">
                  <c:v>37070</c:v>
                </c:pt>
                <c:pt idx="4117">
                  <c:v>37069</c:v>
                </c:pt>
                <c:pt idx="4118">
                  <c:v>37068</c:v>
                </c:pt>
                <c:pt idx="4119">
                  <c:v>37067</c:v>
                </c:pt>
                <c:pt idx="4120">
                  <c:v>37064</c:v>
                </c:pt>
                <c:pt idx="4121">
                  <c:v>37063</c:v>
                </c:pt>
                <c:pt idx="4122">
                  <c:v>37062</c:v>
                </c:pt>
                <c:pt idx="4123">
                  <c:v>37061</c:v>
                </c:pt>
                <c:pt idx="4124">
                  <c:v>37060</c:v>
                </c:pt>
                <c:pt idx="4125">
                  <c:v>37057</c:v>
                </c:pt>
                <c:pt idx="4126">
                  <c:v>37056</c:v>
                </c:pt>
                <c:pt idx="4127">
                  <c:v>37055</c:v>
                </c:pt>
                <c:pt idx="4128">
                  <c:v>37054</c:v>
                </c:pt>
                <c:pt idx="4129">
                  <c:v>37053</c:v>
                </c:pt>
                <c:pt idx="4130">
                  <c:v>37050</c:v>
                </c:pt>
                <c:pt idx="4131">
                  <c:v>37049</c:v>
                </c:pt>
                <c:pt idx="4132">
                  <c:v>37048</c:v>
                </c:pt>
                <c:pt idx="4133">
                  <c:v>37047</c:v>
                </c:pt>
                <c:pt idx="4134">
                  <c:v>37046</c:v>
                </c:pt>
                <c:pt idx="4135">
                  <c:v>37043</c:v>
                </c:pt>
                <c:pt idx="4136">
                  <c:v>37042</c:v>
                </c:pt>
                <c:pt idx="4137">
                  <c:v>37041</c:v>
                </c:pt>
                <c:pt idx="4138">
                  <c:v>37040</c:v>
                </c:pt>
                <c:pt idx="4139">
                  <c:v>37039</c:v>
                </c:pt>
                <c:pt idx="4140">
                  <c:v>37036</c:v>
                </c:pt>
                <c:pt idx="4141">
                  <c:v>37035</c:v>
                </c:pt>
                <c:pt idx="4142">
                  <c:v>37034</c:v>
                </c:pt>
                <c:pt idx="4143">
                  <c:v>37033</c:v>
                </c:pt>
                <c:pt idx="4144">
                  <c:v>37032</c:v>
                </c:pt>
                <c:pt idx="4145">
                  <c:v>37029</c:v>
                </c:pt>
                <c:pt idx="4146">
                  <c:v>37028</c:v>
                </c:pt>
                <c:pt idx="4147">
                  <c:v>37027</c:v>
                </c:pt>
                <c:pt idx="4148">
                  <c:v>37026</c:v>
                </c:pt>
                <c:pt idx="4149">
                  <c:v>37025</c:v>
                </c:pt>
                <c:pt idx="4150">
                  <c:v>37022</c:v>
                </c:pt>
                <c:pt idx="4151">
                  <c:v>37021</c:v>
                </c:pt>
                <c:pt idx="4152">
                  <c:v>37020</c:v>
                </c:pt>
                <c:pt idx="4153">
                  <c:v>37019</c:v>
                </c:pt>
                <c:pt idx="4154">
                  <c:v>37018</c:v>
                </c:pt>
                <c:pt idx="4155">
                  <c:v>37015</c:v>
                </c:pt>
                <c:pt idx="4156">
                  <c:v>37014</c:v>
                </c:pt>
                <c:pt idx="4157">
                  <c:v>37013</c:v>
                </c:pt>
                <c:pt idx="4158">
                  <c:v>37012</c:v>
                </c:pt>
                <c:pt idx="4159">
                  <c:v>37011</c:v>
                </c:pt>
                <c:pt idx="4160">
                  <c:v>37008</c:v>
                </c:pt>
                <c:pt idx="4161">
                  <c:v>37007</c:v>
                </c:pt>
                <c:pt idx="4162">
                  <c:v>37006</c:v>
                </c:pt>
                <c:pt idx="4163">
                  <c:v>37005</c:v>
                </c:pt>
                <c:pt idx="4164">
                  <c:v>37004</c:v>
                </c:pt>
                <c:pt idx="4165">
                  <c:v>37001</c:v>
                </c:pt>
                <c:pt idx="4166">
                  <c:v>37000</c:v>
                </c:pt>
                <c:pt idx="4167">
                  <c:v>36999</c:v>
                </c:pt>
                <c:pt idx="4168">
                  <c:v>36998</c:v>
                </c:pt>
                <c:pt idx="4169">
                  <c:v>36997</c:v>
                </c:pt>
                <c:pt idx="4170">
                  <c:v>36994</c:v>
                </c:pt>
                <c:pt idx="4171">
                  <c:v>36993</c:v>
                </c:pt>
                <c:pt idx="4172">
                  <c:v>36992</c:v>
                </c:pt>
                <c:pt idx="4173">
                  <c:v>36991</c:v>
                </c:pt>
                <c:pt idx="4174">
                  <c:v>36990</c:v>
                </c:pt>
                <c:pt idx="4175">
                  <c:v>36987</c:v>
                </c:pt>
                <c:pt idx="4176">
                  <c:v>36986</c:v>
                </c:pt>
                <c:pt idx="4177">
                  <c:v>36985</c:v>
                </c:pt>
                <c:pt idx="4178">
                  <c:v>36984</c:v>
                </c:pt>
                <c:pt idx="4179">
                  <c:v>36983</c:v>
                </c:pt>
                <c:pt idx="4180">
                  <c:v>36980</c:v>
                </c:pt>
                <c:pt idx="4181">
                  <c:v>36979</c:v>
                </c:pt>
                <c:pt idx="4182">
                  <c:v>36978</c:v>
                </c:pt>
                <c:pt idx="4183">
                  <c:v>36977</c:v>
                </c:pt>
                <c:pt idx="4184">
                  <c:v>36976</c:v>
                </c:pt>
                <c:pt idx="4185">
                  <c:v>36973</c:v>
                </c:pt>
                <c:pt idx="4186">
                  <c:v>36972</c:v>
                </c:pt>
                <c:pt idx="4187">
                  <c:v>36971</c:v>
                </c:pt>
                <c:pt idx="4188">
                  <c:v>36970</c:v>
                </c:pt>
                <c:pt idx="4189">
                  <c:v>36969</c:v>
                </c:pt>
                <c:pt idx="4190">
                  <c:v>36966</c:v>
                </c:pt>
                <c:pt idx="4191">
                  <c:v>36965</c:v>
                </c:pt>
                <c:pt idx="4192">
                  <c:v>36964</c:v>
                </c:pt>
                <c:pt idx="4193">
                  <c:v>36963</c:v>
                </c:pt>
                <c:pt idx="4194">
                  <c:v>36962</c:v>
                </c:pt>
                <c:pt idx="4195">
                  <c:v>36959</c:v>
                </c:pt>
                <c:pt idx="4196">
                  <c:v>36958</c:v>
                </c:pt>
                <c:pt idx="4197">
                  <c:v>36957</c:v>
                </c:pt>
                <c:pt idx="4198">
                  <c:v>36956</c:v>
                </c:pt>
                <c:pt idx="4199">
                  <c:v>36955</c:v>
                </c:pt>
                <c:pt idx="4200">
                  <c:v>36952</c:v>
                </c:pt>
                <c:pt idx="4201">
                  <c:v>36951</c:v>
                </c:pt>
                <c:pt idx="4202">
                  <c:v>36950</c:v>
                </c:pt>
                <c:pt idx="4203">
                  <c:v>36949</c:v>
                </c:pt>
                <c:pt idx="4204">
                  <c:v>36948</c:v>
                </c:pt>
                <c:pt idx="4205">
                  <c:v>36945</c:v>
                </c:pt>
                <c:pt idx="4206">
                  <c:v>36944</c:v>
                </c:pt>
                <c:pt idx="4207">
                  <c:v>36943</c:v>
                </c:pt>
                <c:pt idx="4208">
                  <c:v>36942</c:v>
                </c:pt>
                <c:pt idx="4209">
                  <c:v>36941</c:v>
                </c:pt>
                <c:pt idx="4210">
                  <c:v>36938</c:v>
                </c:pt>
                <c:pt idx="4211">
                  <c:v>36937</c:v>
                </c:pt>
                <c:pt idx="4212">
                  <c:v>36936</c:v>
                </c:pt>
                <c:pt idx="4213">
                  <c:v>36935</c:v>
                </c:pt>
                <c:pt idx="4214">
                  <c:v>36934</c:v>
                </c:pt>
                <c:pt idx="4215">
                  <c:v>36931</c:v>
                </c:pt>
                <c:pt idx="4216">
                  <c:v>36930</c:v>
                </c:pt>
                <c:pt idx="4217">
                  <c:v>36929</c:v>
                </c:pt>
                <c:pt idx="4218">
                  <c:v>36928</c:v>
                </c:pt>
                <c:pt idx="4219">
                  <c:v>36927</c:v>
                </c:pt>
                <c:pt idx="4220">
                  <c:v>36924</c:v>
                </c:pt>
                <c:pt idx="4221">
                  <c:v>36923</c:v>
                </c:pt>
                <c:pt idx="4222">
                  <c:v>36922</c:v>
                </c:pt>
                <c:pt idx="4223">
                  <c:v>36921</c:v>
                </c:pt>
                <c:pt idx="4224">
                  <c:v>36920</c:v>
                </c:pt>
                <c:pt idx="4225">
                  <c:v>36917</c:v>
                </c:pt>
                <c:pt idx="4226">
                  <c:v>36916</c:v>
                </c:pt>
                <c:pt idx="4227">
                  <c:v>36915</c:v>
                </c:pt>
                <c:pt idx="4228">
                  <c:v>36914</c:v>
                </c:pt>
                <c:pt idx="4229">
                  <c:v>36913</c:v>
                </c:pt>
                <c:pt idx="4230">
                  <c:v>36910</c:v>
                </c:pt>
                <c:pt idx="4231">
                  <c:v>36909</c:v>
                </c:pt>
                <c:pt idx="4232">
                  <c:v>36908</c:v>
                </c:pt>
                <c:pt idx="4233">
                  <c:v>36907</c:v>
                </c:pt>
                <c:pt idx="4234">
                  <c:v>36906</c:v>
                </c:pt>
                <c:pt idx="4235">
                  <c:v>36903</c:v>
                </c:pt>
                <c:pt idx="4236">
                  <c:v>36902</c:v>
                </c:pt>
                <c:pt idx="4237">
                  <c:v>36901</c:v>
                </c:pt>
                <c:pt idx="4238">
                  <c:v>36900</c:v>
                </c:pt>
                <c:pt idx="4239">
                  <c:v>36899</c:v>
                </c:pt>
                <c:pt idx="4240">
                  <c:v>36896</c:v>
                </c:pt>
                <c:pt idx="4241">
                  <c:v>36895</c:v>
                </c:pt>
                <c:pt idx="4242">
                  <c:v>36894</c:v>
                </c:pt>
                <c:pt idx="4243">
                  <c:v>36893</c:v>
                </c:pt>
                <c:pt idx="4244">
                  <c:v>36892</c:v>
                </c:pt>
                <c:pt idx="4245">
                  <c:v>36889</c:v>
                </c:pt>
                <c:pt idx="4246">
                  <c:v>36888</c:v>
                </c:pt>
                <c:pt idx="4247">
                  <c:v>36887</c:v>
                </c:pt>
                <c:pt idx="4248">
                  <c:v>36886</c:v>
                </c:pt>
                <c:pt idx="4249">
                  <c:v>36885</c:v>
                </c:pt>
                <c:pt idx="4250">
                  <c:v>36882</c:v>
                </c:pt>
                <c:pt idx="4251">
                  <c:v>36881</c:v>
                </c:pt>
                <c:pt idx="4252">
                  <c:v>36880</c:v>
                </c:pt>
                <c:pt idx="4253">
                  <c:v>36879</c:v>
                </c:pt>
                <c:pt idx="4254">
                  <c:v>36878</c:v>
                </c:pt>
                <c:pt idx="4255">
                  <c:v>36875</c:v>
                </c:pt>
                <c:pt idx="4256">
                  <c:v>36874</c:v>
                </c:pt>
                <c:pt idx="4257">
                  <c:v>36873</c:v>
                </c:pt>
                <c:pt idx="4258">
                  <c:v>36872</c:v>
                </c:pt>
                <c:pt idx="4259">
                  <c:v>36871</c:v>
                </c:pt>
                <c:pt idx="4260">
                  <c:v>36868</c:v>
                </c:pt>
                <c:pt idx="4261">
                  <c:v>36867</c:v>
                </c:pt>
                <c:pt idx="4262">
                  <c:v>36866</c:v>
                </c:pt>
                <c:pt idx="4263">
                  <c:v>36865</c:v>
                </c:pt>
                <c:pt idx="4264">
                  <c:v>36864</c:v>
                </c:pt>
                <c:pt idx="4265">
                  <c:v>36861</c:v>
                </c:pt>
                <c:pt idx="4266">
                  <c:v>36860</c:v>
                </c:pt>
                <c:pt idx="4267">
                  <c:v>36859</c:v>
                </c:pt>
                <c:pt idx="4268">
                  <c:v>36858</c:v>
                </c:pt>
                <c:pt idx="4269">
                  <c:v>36857</c:v>
                </c:pt>
                <c:pt idx="4270">
                  <c:v>36854</c:v>
                </c:pt>
                <c:pt idx="4271">
                  <c:v>36853</c:v>
                </c:pt>
                <c:pt idx="4272">
                  <c:v>36852</c:v>
                </c:pt>
                <c:pt idx="4273">
                  <c:v>36851</c:v>
                </c:pt>
                <c:pt idx="4274">
                  <c:v>36850</c:v>
                </c:pt>
                <c:pt idx="4275">
                  <c:v>36847</c:v>
                </c:pt>
                <c:pt idx="4276">
                  <c:v>36846</c:v>
                </c:pt>
                <c:pt idx="4277">
                  <c:v>36845</c:v>
                </c:pt>
                <c:pt idx="4278">
                  <c:v>36844</c:v>
                </c:pt>
                <c:pt idx="4279">
                  <c:v>36843</c:v>
                </c:pt>
                <c:pt idx="4280">
                  <c:v>36840</c:v>
                </c:pt>
                <c:pt idx="4281">
                  <c:v>36839</c:v>
                </c:pt>
                <c:pt idx="4282">
                  <c:v>36838</c:v>
                </c:pt>
                <c:pt idx="4283">
                  <c:v>36837</c:v>
                </c:pt>
                <c:pt idx="4284">
                  <c:v>36836</c:v>
                </c:pt>
                <c:pt idx="4285">
                  <c:v>36833</c:v>
                </c:pt>
                <c:pt idx="4286">
                  <c:v>36832</c:v>
                </c:pt>
                <c:pt idx="4287">
                  <c:v>36831</c:v>
                </c:pt>
                <c:pt idx="4288">
                  <c:v>36830</c:v>
                </c:pt>
                <c:pt idx="4289">
                  <c:v>36829</c:v>
                </c:pt>
                <c:pt idx="4290">
                  <c:v>36826</c:v>
                </c:pt>
                <c:pt idx="4291">
                  <c:v>36825</c:v>
                </c:pt>
                <c:pt idx="4292">
                  <c:v>36824</c:v>
                </c:pt>
                <c:pt idx="4293">
                  <c:v>36823</c:v>
                </c:pt>
                <c:pt idx="4294">
                  <c:v>36822</c:v>
                </c:pt>
                <c:pt idx="4295">
                  <c:v>36819</c:v>
                </c:pt>
                <c:pt idx="4296">
                  <c:v>36818</c:v>
                </c:pt>
                <c:pt idx="4297">
                  <c:v>36817</c:v>
                </c:pt>
                <c:pt idx="4298">
                  <c:v>36816</c:v>
                </c:pt>
                <c:pt idx="4299">
                  <c:v>36815</c:v>
                </c:pt>
                <c:pt idx="4300">
                  <c:v>36812</c:v>
                </c:pt>
                <c:pt idx="4301">
                  <c:v>36811</c:v>
                </c:pt>
                <c:pt idx="4302">
                  <c:v>36810</c:v>
                </c:pt>
                <c:pt idx="4303">
                  <c:v>36809</c:v>
                </c:pt>
                <c:pt idx="4304">
                  <c:v>36808</c:v>
                </c:pt>
                <c:pt idx="4305">
                  <c:v>36805</c:v>
                </c:pt>
                <c:pt idx="4306">
                  <c:v>36804</c:v>
                </c:pt>
                <c:pt idx="4307">
                  <c:v>36803</c:v>
                </c:pt>
                <c:pt idx="4308">
                  <c:v>36802</c:v>
                </c:pt>
                <c:pt idx="4309">
                  <c:v>36801</c:v>
                </c:pt>
                <c:pt idx="4310">
                  <c:v>36798</c:v>
                </c:pt>
                <c:pt idx="4311">
                  <c:v>36797</c:v>
                </c:pt>
                <c:pt idx="4312">
                  <c:v>36796</c:v>
                </c:pt>
                <c:pt idx="4313">
                  <c:v>36795</c:v>
                </c:pt>
                <c:pt idx="4314">
                  <c:v>36794</c:v>
                </c:pt>
                <c:pt idx="4315">
                  <c:v>36791</c:v>
                </c:pt>
                <c:pt idx="4316">
                  <c:v>36790</c:v>
                </c:pt>
                <c:pt idx="4317">
                  <c:v>36789</c:v>
                </c:pt>
                <c:pt idx="4318">
                  <c:v>36788</c:v>
                </c:pt>
                <c:pt idx="4319">
                  <c:v>36787</c:v>
                </c:pt>
                <c:pt idx="4320">
                  <c:v>36784</c:v>
                </c:pt>
                <c:pt idx="4321">
                  <c:v>36783</c:v>
                </c:pt>
                <c:pt idx="4322">
                  <c:v>36782</c:v>
                </c:pt>
                <c:pt idx="4323">
                  <c:v>36781</c:v>
                </c:pt>
                <c:pt idx="4324">
                  <c:v>36780</c:v>
                </c:pt>
                <c:pt idx="4325">
                  <c:v>36777</c:v>
                </c:pt>
                <c:pt idx="4326">
                  <c:v>36776</c:v>
                </c:pt>
                <c:pt idx="4327">
                  <c:v>36775</c:v>
                </c:pt>
                <c:pt idx="4328">
                  <c:v>36774</c:v>
                </c:pt>
                <c:pt idx="4329">
                  <c:v>36773</c:v>
                </c:pt>
                <c:pt idx="4330">
                  <c:v>36770</c:v>
                </c:pt>
                <c:pt idx="4331">
                  <c:v>36769</c:v>
                </c:pt>
                <c:pt idx="4332">
                  <c:v>36768</c:v>
                </c:pt>
                <c:pt idx="4333">
                  <c:v>36767</c:v>
                </c:pt>
                <c:pt idx="4334">
                  <c:v>36766</c:v>
                </c:pt>
                <c:pt idx="4335">
                  <c:v>36763</c:v>
                </c:pt>
                <c:pt idx="4336">
                  <c:v>36762</c:v>
                </c:pt>
                <c:pt idx="4337">
                  <c:v>36761</c:v>
                </c:pt>
                <c:pt idx="4338">
                  <c:v>36760</c:v>
                </c:pt>
                <c:pt idx="4339">
                  <c:v>36759</c:v>
                </c:pt>
                <c:pt idx="4340">
                  <c:v>36756</c:v>
                </c:pt>
                <c:pt idx="4341">
                  <c:v>36755</c:v>
                </c:pt>
                <c:pt idx="4342">
                  <c:v>36754</c:v>
                </c:pt>
                <c:pt idx="4343">
                  <c:v>36753</c:v>
                </c:pt>
                <c:pt idx="4344">
                  <c:v>36752</c:v>
                </c:pt>
                <c:pt idx="4345">
                  <c:v>36749</c:v>
                </c:pt>
                <c:pt idx="4346">
                  <c:v>36748</c:v>
                </c:pt>
                <c:pt idx="4347">
                  <c:v>36747</c:v>
                </c:pt>
                <c:pt idx="4348">
                  <c:v>36746</c:v>
                </c:pt>
                <c:pt idx="4349">
                  <c:v>36745</c:v>
                </c:pt>
                <c:pt idx="4350">
                  <c:v>36742</c:v>
                </c:pt>
                <c:pt idx="4351">
                  <c:v>36741</c:v>
                </c:pt>
                <c:pt idx="4352">
                  <c:v>36740</c:v>
                </c:pt>
                <c:pt idx="4353">
                  <c:v>36739</c:v>
                </c:pt>
                <c:pt idx="4354">
                  <c:v>36738</c:v>
                </c:pt>
                <c:pt idx="4355">
                  <c:v>36735</c:v>
                </c:pt>
                <c:pt idx="4356">
                  <c:v>36734</c:v>
                </c:pt>
                <c:pt idx="4357">
                  <c:v>36733</c:v>
                </c:pt>
                <c:pt idx="4358">
                  <c:v>36732</c:v>
                </c:pt>
                <c:pt idx="4359">
                  <c:v>36731</c:v>
                </c:pt>
                <c:pt idx="4360">
                  <c:v>36728</c:v>
                </c:pt>
                <c:pt idx="4361">
                  <c:v>36727</c:v>
                </c:pt>
                <c:pt idx="4362">
                  <c:v>36726</c:v>
                </c:pt>
                <c:pt idx="4363">
                  <c:v>36725</c:v>
                </c:pt>
                <c:pt idx="4364">
                  <c:v>36724</c:v>
                </c:pt>
                <c:pt idx="4365">
                  <c:v>36721</c:v>
                </c:pt>
                <c:pt idx="4366">
                  <c:v>36720</c:v>
                </c:pt>
                <c:pt idx="4367">
                  <c:v>36719</c:v>
                </c:pt>
                <c:pt idx="4368">
                  <c:v>36718</c:v>
                </c:pt>
                <c:pt idx="4369">
                  <c:v>36717</c:v>
                </c:pt>
                <c:pt idx="4370">
                  <c:v>36714</c:v>
                </c:pt>
                <c:pt idx="4371">
                  <c:v>36713</c:v>
                </c:pt>
                <c:pt idx="4372">
                  <c:v>36712</c:v>
                </c:pt>
                <c:pt idx="4373">
                  <c:v>36711</c:v>
                </c:pt>
                <c:pt idx="4374">
                  <c:v>36710</c:v>
                </c:pt>
                <c:pt idx="4375">
                  <c:v>36707</c:v>
                </c:pt>
                <c:pt idx="4376">
                  <c:v>36706</c:v>
                </c:pt>
                <c:pt idx="4377">
                  <c:v>36705</c:v>
                </c:pt>
                <c:pt idx="4378">
                  <c:v>36704</c:v>
                </c:pt>
                <c:pt idx="4379">
                  <c:v>36703</c:v>
                </c:pt>
                <c:pt idx="4380">
                  <c:v>36700</c:v>
                </c:pt>
                <c:pt idx="4381">
                  <c:v>36699</c:v>
                </c:pt>
                <c:pt idx="4382">
                  <c:v>36698</c:v>
                </c:pt>
                <c:pt idx="4383">
                  <c:v>36697</c:v>
                </c:pt>
                <c:pt idx="4384">
                  <c:v>36696</c:v>
                </c:pt>
                <c:pt idx="4385">
                  <c:v>36693</c:v>
                </c:pt>
                <c:pt idx="4386">
                  <c:v>36692</c:v>
                </c:pt>
                <c:pt idx="4387">
                  <c:v>36691</c:v>
                </c:pt>
                <c:pt idx="4388">
                  <c:v>36690</c:v>
                </c:pt>
                <c:pt idx="4389">
                  <c:v>36689</c:v>
                </c:pt>
                <c:pt idx="4390">
                  <c:v>36686</c:v>
                </c:pt>
                <c:pt idx="4391">
                  <c:v>36685</c:v>
                </c:pt>
                <c:pt idx="4392">
                  <c:v>36684</c:v>
                </c:pt>
                <c:pt idx="4393">
                  <c:v>36683</c:v>
                </c:pt>
                <c:pt idx="4394">
                  <c:v>36682</c:v>
                </c:pt>
                <c:pt idx="4395">
                  <c:v>36679</c:v>
                </c:pt>
                <c:pt idx="4396">
                  <c:v>36678</c:v>
                </c:pt>
                <c:pt idx="4397">
                  <c:v>36677</c:v>
                </c:pt>
                <c:pt idx="4398">
                  <c:v>36676</c:v>
                </c:pt>
                <c:pt idx="4399">
                  <c:v>36675</c:v>
                </c:pt>
                <c:pt idx="4400">
                  <c:v>36672</c:v>
                </c:pt>
                <c:pt idx="4401">
                  <c:v>36671</c:v>
                </c:pt>
                <c:pt idx="4402">
                  <c:v>36670</c:v>
                </c:pt>
                <c:pt idx="4403">
                  <c:v>36669</c:v>
                </c:pt>
                <c:pt idx="4404">
                  <c:v>36668</c:v>
                </c:pt>
                <c:pt idx="4405">
                  <c:v>36665</c:v>
                </c:pt>
                <c:pt idx="4406">
                  <c:v>36664</c:v>
                </c:pt>
                <c:pt idx="4407">
                  <c:v>36663</c:v>
                </c:pt>
                <c:pt idx="4408">
                  <c:v>36662</c:v>
                </c:pt>
                <c:pt idx="4409">
                  <c:v>36661</c:v>
                </c:pt>
                <c:pt idx="4410">
                  <c:v>36658</c:v>
                </c:pt>
                <c:pt idx="4411">
                  <c:v>36657</c:v>
                </c:pt>
                <c:pt idx="4412">
                  <c:v>36656</c:v>
                </c:pt>
                <c:pt idx="4413">
                  <c:v>36655</c:v>
                </c:pt>
                <c:pt idx="4414">
                  <c:v>36654</c:v>
                </c:pt>
                <c:pt idx="4415">
                  <c:v>36651</c:v>
                </c:pt>
                <c:pt idx="4416">
                  <c:v>36650</c:v>
                </c:pt>
                <c:pt idx="4417">
                  <c:v>36649</c:v>
                </c:pt>
                <c:pt idx="4418">
                  <c:v>36648</c:v>
                </c:pt>
                <c:pt idx="4419">
                  <c:v>36647</c:v>
                </c:pt>
                <c:pt idx="4420">
                  <c:v>36644</c:v>
                </c:pt>
                <c:pt idx="4421">
                  <c:v>36643</c:v>
                </c:pt>
                <c:pt idx="4422">
                  <c:v>36642</c:v>
                </c:pt>
                <c:pt idx="4423">
                  <c:v>36641</c:v>
                </c:pt>
                <c:pt idx="4424">
                  <c:v>36640</c:v>
                </c:pt>
                <c:pt idx="4425">
                  <c:v>36637</c:v>
                </c:pt>
                <c:pt idx="4426">
                  <c:v>36636</c:v>
                </c:pt>
                <c:pt idx="4427">
                  <c:v>36635</c:v>
                </c:pt>
                <c:pt idx="4428">
                  <c:v>36634</c:v>
                </c:pt>
                <c:pt idx="4429">
                  <c:v>36633</c:v>
                </c:pt>
                <c:pt idx="4430">
                  <c:v>36630</c:v>
                </c:pt>
                <c:pt idx="4431">
                  <c:v>36629</c:v>
                </c:pt>
                <c:pt idx="4432">
                  <c:v>36628</c:v>
                </c:pt>
                <c:pt idx="4433">
                  <c:v>36627</c:v>
                </c:pt>
                <c:pt idx="4434">
                  <c:v>36626</c:v>
                </c:pt>
                <c:pt idx="4435">
                  <c:v>36623</c:v>
                </c:pt>
                <c:pt idx="4436">
                  <c:v>36622</c:v>
                </c:pt>
                <c:pt idx="4437">
                  <c:v>36621</c:v>
                </c:pt>
                <c:pt idx="4438">
                  <c:v>36620</c:v>
                </c:pt>
                <c:pt idx="4439">
                  <c:v>36619</c:v>
                </c:pt>
                <c:pt idx="4440">
                  <c:v>36616</c:v>
                </c:pt>
                <c:pt idx="4441">
                  <c:v>36615</c:v>
                </c:pt>
                <c:pt idx="4442">
                  <c:v>36614</c:v>
                </c:pt>
                <c:pt idx="4443">
                  <c:v>36613</c:v>
                </c:pt>
                <c:pt idx="4444">
                  <c:v>36612</c:v>
                </c:pt>
                <c:pt idx="4445">
                  <c:v>36609</c:v>
                </c:pt>
                <c:pt idx="4446">
                  <c:v>36608</c:v>
                </c:pt>
                <c:pt idx="4447">
                  <c:v>36607</c:v>
                </c:pt>
                <c:pt idx="4448">
                  <c:v>36606</c:v>
                </c:pt>
                <c:pt idx="4449">
                  <c:v>36605</c:v>
                </c:pt>
                <c:pt idx="4450">
                  <c:v>36602</c:v>
                </c:pt>
                <c:pt idx="4451">
                  <c:v>36601</c:v>
                </c:pt>
                <c:pt idx="4452">
                  <c:v>36600</c:v>
                </c:pt>
                <c:pt idx="4453">
                  <c:v>36599</c:v>
                </c:pt>
                <c:pt idx="4454">
                  <c:v>36598</c:v>
                </c:pt>
                <c:pt idx="4455">
                  <c:v>36595</c:v>
                </c:pt>
                <c:pt idx="4456">
                  <c:v>36594</c:v>
                </c:pt>
                <c:pt idx="4457">
                  <c:v>36593</c:v>
                </c:pt>
                <c:pt idx="4458">
                  <c:v>36592</c:v>
                </c:pt>
                <c:pt idx="4459">
                  <c:v>36591</c:v>
                </c:pt>
                <c:pt idx="4460">
                  <c:v>36588</c:v>
                </c:pt>
                <c:pt idx="4461">
                  <c:v>36587</c:v>
                </c:pt>
                <c:pt idx="4462">
                  <c:v>36586</c:v>
                </c:pt>
                <c:pt idx="4463">
                  <c:v>36585</c:v>
                </c:pt>
                <c:pt idx="4464">
                  <c:v>36584</c:v>
                </c:pt>
                <c:pt idx="4465">
                  <c:v>36581</c:v>
                </c:pt>
                <c:pt idx="4466">
                  <c:v>36580</c:v>
                </c:pt>
                <c:pt idx="4467">
                  <c:v>36579</c:v>
                </c:pt>
                <c:pt idx="4468">
                  <c:v>36578</c:v>
                </c:pt>
                <c:pt idx="4469">
                  <c:v>36577</c:v>
                </c:pt>
                <c:pt idx="4470">
                  <c:v>36574</c:v>
                </c:pt>
                <c:pt idx="4471">
                  <c:v>36573</c:v>
                </c:pt>
                <c:pt idx="4472">
                  <c:v>36572</c:v>
                </c:pt>
                <c:pt idx="4473">
                  <c:v>36571</c:v>
                </c:pt>
                <c:pt idx="4474">
                  <c:v>36570</c:v>
                </c:pt>
                <c:pt idx="4475">
                  <c:v>36567</c:v>
                </c:pt>
                <c:pt idx="4476">
                  <c:v>36566</c:v>
                </c:pt>
                <c:pt idx="4477">
                  <c:v>36565</c:v>
                </c:pt>
                <c:pt idx="4478">
                  <c:v>36564</c:v>
                </c:pt>
                <c:pt idx="4479">
                  <c:v>36563</c:v>
                </c:pt>
                <c:pt idx="4480">
                  <c:v>36560</c:v>
                </c:pt>
                <c:pt idx="4481">
                  <c:v>36559</c:v>
                </c:pt>
                <c:pt idx="4482">
                  <c:v>36558</c:v>
                </c:pt>
                <c:pt idx="4483">
                  <c:v>36557</c:v>
                </c:pt>
                <c:pt idx="4484">
                  <c:v>36556</c:v>
                </c:pt>
                <c:pt idx="4485">
                  <c:v>36553</c:v>
                </c:pt>
                <c:pt idx="4486">
                  <c:v>36552</c:v>
                </c:pt>
                <c:pt idx="4487">
                  <c:v>36551</c:v>
                </c:pt>
                <c:pt idx="4488">
                  <c:v>36550</c:v>
                </c:pt>
                <c:pt idx="4489">
                  <c:v>36549</c:v>
                </c:pt>
                <c:pt idx="4490">
                  <c:v>36546</c:v>
                </c:pt>
                <c:pt idx="4491">
                  <c:v>36545</c:v>
                </c:pt>
                <c:pt idx="4492">
                  <c:v>36544</c:v>
                </c:pt>
                <c:pt idx="4493">
                  <c:v>36543</c:v>
                </c:pt>
                <c:pt idx="4494">
                  <c:v>36542</c:v>
                </c:pt>
                <c:pt idx="4495">
                  <c:v>36539</c:v>
                </c:pt>
                <c:pt idx="4496">
                  <c:v>36538</c:v>
                </c:pt>
                <c:pt idx="4497">
                  <c:v>36537</c:v>
                </c:pt>
                <c:pt idx="4498">
                  <c:v>36536</c:v>
                </c:pt>
                <c:pt idx="4499">
                  <c:v>36535</c:v>
                </c:pt>
                <c:pt idx="4500">
                  <c:v>36532</c:v>
                </c:pt>
                <c:pt idx="4501">
                  <c:v>36531</c:v>
                </c:pt>
                <c:pt idx="4502">
                  <c:v>36530</c:v>
                </c:pt>
                <c:pt idx="4503">
                  <c:v>36529</c:v>
                </c:pt>
                <c:pt idx="4504">
                  <c:v>36528</c:v>
                </c:pt>
                <c:pt idx="4505">
                  <c:v>36525</c:v>
                </c:pt>
                <c:pt idx="4506">
                  <c:v>36524</c:v>
                </c:pt>
                <c:pt idx="4507">
                  <c:v>36523</c:v>
                </c:pt>
                <c:pt idx="4508">
                  <c:v>36522</c:v>
                </c:pt>
                <c:pt idx="4509">
                  <c:v>36521</c:v>
                </c:pt>
                <c:pt idx="4510">
                  <c:v>36518</c:v>
                </c:pt>
                <c:pt idx="4511">
                  <c:v>36517</c:v>
                </c:pt>
                <c:pt idx="4512">
                  <c:v>36516</c:v>
                </c:pt>
                <c:pt idx="4513">
                  <c:v>36515</c:v>
                </c:pt>
                <c:pt idx="4514">
                  <c:v>36514</c:v>
                </c:pt>
                <c:pt idx="4515">
                  <c:v>36511</c:v>
                </c:pt>
                <c:pt idx="4516">
                  <c:v>36510</c:v>
                </c:pt>
                <c:pt idx="4517">
                  <c:v>36509</c:v>
                </c:pt>
                <c:pt idx="4518">
                  <c:v>36508</c:v>
                </c:pt>
                <c:pt idx="4519">
                  <c:v>36507</c:v>
                </c:pt>
                <c:pt idx="4520">
                  <c:v>36504</c:v>
                </c:pt>
                <c:pt idx="4521">
                  <c:v>36503</c:v>
                </c:pt>
                <c:pt idx="4522">
                  <c:v>36502</c:v>
                </c:pt>
                <c:pt idx="4523">
                  <c:v>36501</c:v>
                </c:pt>
                <c:pt idx="4524">
                  <c:v>36500</c:v>
                </c:pt>
                <c:pt idx="4525">
                  <c:v>36497</c:v>
                </c:pt>
                <c:pt idx="4526">
                  <c:v>36496</c:v>
                </c:pt>
                <c:pt idx="4527">
                  <c:v>36495</c:v>
                </c:pt>
                <c:pt idx="4528">
                  <c:v>36494</c:v>
                </c:pt>
                <c:pt idx="4529">
                  <c:v>36493</c:v>
                </c:pt>
                <c:pt idx="4530">
                  <c:v>36490</c:v>
                </c:pt>
                <c:pt idx="4531">
                  <c:v>36489</c:v>
                </c:pt>
                <c:pt idx="4532">
                  <c:v>36488</c:v>
                </c:pt>
                <c:pt idx="4533">
                  <c:v>36487</c:v>
                </c:pt>
                <c:pt idx="4534">
                  <c:v>36486</c:v>
                </c:pt>
                <c:pt idx="4535">
                  <c:v>36483</c:v>
                </c:pt>
                <c:pt idx="4536">
                  <c:v>36482</c:v>
                </c:pt>
                <c:pt idx="4537">
                  <c:v>36481</c:v>
                </c:pt>
                <c:pt idx="4538">
                  <c:v>36480</c:v>
                </c:pt>
                <c:pt idx="4539">
                  <c:v>36479</c:v>
                </c:pt>
                <c:pt idx="4540">
                  <c:v>36476</c:v>
                </c:pt>
                <c:pt idx="4541">
                  <c:v>36475</c:v>
                </c:pt>
                <c:pt idx="4542">
                  <c:v>36474</c:v>
                </c:pt>
                <c:pt idx="4543">
                  <c:v>36473</c:v>
                </c:pt>
                <c:pt idx="4544">
                  <c:v>36472</c:v>
                </c:pt>
                <c:pt idx="4545">
                  <c:v>36469</c:v>
                </c:pt>
                <c:pt idx="4546">
                  <c:v>36468</c:v>
                </c:pt>
                <c:pt idx="4547">
                  <c:v>36467</c:v>
                </c:pt>
                <c:pt idx="4548">
                  <c:v>36466</c:v>
                </c:pt>
                <c:pt idx="4549">
                  <c:v>36465</c:v>
                </c:pt>
                <c:pt idx="4550">
                  <c:v>36462</c:v>
                </c:pt>
                <c:pt idx="4551">
                  <c:v>36461</c:v>
                </c:pt>
                <c:pt idx="4552">
                  <c:v>36460</c:v>
                </c:pt>
                <c:pt idx="4553">
                  <c:v>36459</c:v>
                </c:pt>
                <c:pt idx="4554">
                  <c:v>36458</c:v>
                </c:pt>
                <c:pt idx="4555">
                  <c:v>36455</c:v>
                </c:pt>
                <c:pt idx="4556">
                  <c:v>36454</c:v>
                </c:pt>
                <c:pt idx="4557">
                  <c:v>36453</c:v>
                </c:pt>
                <c:pt idx="4558">
                  <c:v>36452</c:v>
                </c:pt>
                <c:pt idx="4559">
                  <c:v>36451</c:v>
                </c:pt>
                <c:pt idx="4560">
                  <c:v>36448</c:v>
                </c:pt>
                <c:pt idx="4561">
                  <c:v>36447</c:v>
                </c:pt>
                <c:pt idx="4562">
                  <c:v>36446</c:v>
                </c:pt>
                <c:pt idx="4563">
                  <c:v>36445</c:v>
                </c:pt>
                <c:pt idx="4564">
                  <c:v>36444</c:v>
                </c:pt>
                <c:pt idx="4565">
                  <c:v>36441</c:v>
                </c:pt>
                <c:pt idx="4566">
                  <c:v>36440</c:v>
                </c:pt>
                <c:pt idx="4567">
                  <c:v>36439</c:v>
                </c:pt>
                <c:pt idx="4568">
                  <c:v>36438</c:v>
                </c:pt>
                <c:pt idx="4569">
                  <c:v>36437</c:v>
                </c:pt>
                <c:pt idx="4570">
                  <c:v>36434</c:v>
                </c:pt>
                <c:pt idx="4571">
                  <c:v>36433</c:v>
                </c:pt>
                <c:pt idx="4572">
                  <c:v>36432</c:v>
                </c:pt>
                <c:pt idx="4573">
                  <c:v>36431</c:v>
                </c:pt>
                <c:pt idx="4574">
                  <c:v>36430</c:v>
                </c:pt>
                <c:pt idx="4575">
                  <c:v>36427</c:v>
                </c:pt>
                <c:pt idx="4576">
                  <c:v>36426</c:v>
                </c:pt>
                <c:pt idx="4577">
                  <c:v>36425</c:v>
                </c:pt>
                <c:pt idx="4578">
                  <c:v>36424</c:v>
                </c:pt>
                <c:pt idx="4579">
                  <c:v>36423</c:v>
                </c:pt>
                <c:pt idx="4580">
                  <c:v>36420</c:v>
                </c:pt>
                <c:pt idx="4581">
                  <c:v>36419</c:v>
                </c:pt>
                <c:pt idx="4582">
                  <c:v>36418</c:v>
                </c:pt>
                <c:pt idx="4583">
                  <c:v>36417</c:v>
                </c:pt>
                <c:pt idx="4584">
                  <c:v>36416</c:v>
                </c:pt>
                <c:pt idx="4585">
                  <c:v>36413</c:v>
                </c:pt>
                <c:pt idx="4586">
                  <c:v>36412</c:v>
                </c:pt>
                <c:pt idx="4587">
                  <c:v>36411</c:v>
                </c:pt>
                <c:pt idx="4588">
                  <c:v>36410</c:v>
                </c:pt>
                <c:pt idx="4589">
                  <c:v>36409</c:v>
                </c:pt>
                <c:pt idx="4590">
                  <c:v>36406</c:v>
                </c:pt>
                <c:pt idx="4591">
                  <c:v>36405</c:v>
                </c:pt>
                <c:pt idx="4592">
                  <c:v>36404</c:v>
                </c:pt>
                <c:pt idx="4593">
                  <c:v>36403</c:v>
                </c:pt>
                <c:pt idx="4594">
                  <c:v>36402</c:v>
                </c:pt>
                <c:pt idx="4595">
                  <c:v>36399</c:v>
                </c:pt>
                <c:pt idx="4596">
                  <c:v>36398</c:v>
                </c:pt>
                <c:pt idx="4597">
                  <c:v>36397</c:v>
                </c:pt>
                <c:pt idx="4598">
                  <c:v>36396</c:v>
                </c:pt>
                <c:pt idx="4599">
                  <c:v>36395</c:v>
                </c:pt>
                <c:pt idx="4600">
                  <c:v>36392</c:v>
                </c:pt>
                <c:pt idx="4601">
                  <c:v>36391</c:v>
                </c:pt>
                <c:pt idx="4602">
                  <c:v>36390</c:v>
                </c:pt>
                <c:pt idx="4603">
                  <c:v>36389</c:v>
                </c:pt>
                <c:pt idx="4604">
                  <c:v>36388</c:v>
                </c:pt>
                <c:pt idx="4605">
                  <c:v>36385</c:v>
                </c:pt>
                <c:pt idx="4606">
                  <c:v>36384</c:v>
                </c:pt>
                <c:pt idx="4607">
                  <c:v>36383</c:v>
                </c:pt>
                <c:pt idx="4608">
                  <c:v>36382</c:v>
                </c:pt>
                <c:pt idx="4609">
                  <c:v>36381</c:v>
                </c:pt>
                <c:pt idx="4610">
                  <c:v>36378</c:v>
                </c:pt>
                <c:pt idx="4611">
                  <c:v>36377</c:v>
                </c:pt>
                <c:pt idx="4612">
                  <c:v>36376</c:v>
                </c:pt>
                <c:pt idx="4613">
                  <c:v>36375</c:v>
                </c:pt>
                <c:pt idx="4614">
                  <c:v>36374</c:v>
                </c:pt>
                <c:pt idx="4615">
                  <c:v>36371</c:v>
                </c:pt>
                <c:pt idx="4616">
                  <c:v>36370</c:v>
                </c:pt>
                <c:pt idx="4617">
                  <c:v>36369</c:v>
                </c:pt>
                <c:pt idx="4618">
                  <c:v>36368</c:v>
                </c:pt>
                <c:pt idx="4619">
                  <c:v>36367</c:v>
                </c:pt>
                <c:pt idx="4620">
                  <c:v>36364</c:v>
                </c:pt>
                <c:pt idx="4621">
                  <c:v>36363</c:v>
                </c:pt>
                <c:pt idx="4622">
                  <c:v>36362</c:v>
                </c:pt>
                <c:pt idx="4623">
                  <c:v>36361</c:v>
                </c:pt>
                <c:pt idx="4624">
                  <c:v>36360</c:v>
                </c:pt>
                <c:pt idx="4625">
                  <c:v>36357</c:v>
                </c:pt>
                <c:pt idx="4626">
                  <c:v>36356</c:v>
                </c:pt>
                <c:pt idx="4627">
                  <c:v>36355</c:v>
                </c:pt>
                <c:pt idx="4628">
                  <c:v>36354</c:v>
                </c:pt>
                <c:pt idx="4629">
                  <c:v>36353</c:v>
                </c:pt>
                <c:pt idx="4630">
                  <c:v>36350</c:v>
                </c:pt>
                <c:pt idx="4631">
                  <c:v>36349</c:v>
                </c:pt>
                <c:pt idx="4632">
                  <c:v>36348</c:v>
                </c:pt>
                <c:pt idx="4633">
                  <c:v>36347</c:v>
                </c:pt>
                <c:pt idx="4634">
                  <c:v>36346</c:v>
                </c:pt>
                <c:pt idx="4635">
                  <c:v>36343</c:v>
                </c:pt>
                <c:pt idx="4636">
                  <c:v>36342</c:v>
                </c:pt>
                <c:pt idx="4637">
                  <c:v>36341</c:v>
                </c:pt>
                <c:pt idx="4638">
                  <c:v>36340</c:v>
                </c:pt>
                <c:pt idx="4639">
                  <c:v>36339</c:v>
                </c:pt>
                <c:pt idx="4640">
                  <c:v>36336</c:v>
                </c:pt>
                <c:pt idx="4641">
                  <c:v>36335</c:v>
                </c:pt>
                <c:pt idx="4642">
                  <c:v>36334</c:v>
                </c:pt>
                <c:pt idx="4643">
                  <c:v>36333</c:v>
                </c:pt>
                <c:pt idx="4644">
                  <c:v>36332</c:v>
                </c:pt>
                <c:pt idx="4645">
                  <c:v>36329</c:v>
                </c:pt>
                <c:pt idx="4646">
                  <c:v>36328</c:v>
                </c:pt>
                <c:pt idx="4647">
                  <c:v>36327</c:v>
                </c:pt>
                <c:pt idx="4648">
                  <c:v>36326</c:v>
                </c:pt>
                <c:pt idx="4649">
                  <c:v>36325</c:v>
                </c:pt>
                <c:pt idx="4650">
                  <c:v>36322</c:v>
                </c:pt>
                <c:pt idx="4651">
                  <c:v>36321</c:v>
                </c:pt>
                <c:pt idx="4652">
                  <c:v>36320</c:v>
                </c:pt>
                <c:pt idx="4653">
                  <c:v>36319</c:v>
                </c:pt>
                <c:pt idx="4654">
                  <c:v>36318</c:v>
                </c:pt>
                <c:pt idx="4655">
                  <c:v>36315</c:v>
                </c:pt>
                <c:pt idx="4656">
                  <c:v>36314</c:v>
                </c:pt>
                <c:pt idx="4657">
                  <c:v>36313</c:v>
                </c:pt>
                <c:pt idx="4658">
                  <c:v>36312</c:v>
                </c:pt>
                <c:pt idx="4659">
                  <c:v>36311</c:v>
                </c:pt>
                <c:pt idx="4660">
                  <c:v>36308</c:v>
                </c:pt>
                <c:pt idx="4661">
                  <c:v>36307</c:v>
                </c:pt>
                <c:pt idx="4662">
                  <c:v>36306</c:v>
                </c:pt>
                <c:pt idx="4663">
                  <c:v>36305</c:v>
                </c:pt>
                <c:pt idx="4664">
                  <c:v>36304</c:v>
                </c:pt>
                <c:pt idx="4665">
                  <c:v>36301</c:v>
                </c:pt>
                <c:pt idx="4666">
                  <c:v>36300</c:v>
                </c:pt>
                <c:pt idx="4667">
                  <c:v>36299</c:v>
                </c:pt>
                <c:pt idx="4668">
                  <c:v>36298</c:v>
                </c:pt>
                <c:pt idx="4669">
                  <c:v>36297</c:v>
                </c:pt>
                <c:pt idx="4670">
                  <c:v>36294</c:v>
                </c:pt>
                <c:pt idx="4671">
                  <c:v>36293</c:v>
                </c:pt>
                <c:pt idx="4672">
                  <c:v>36292</c:v>
                </c:pt>
                <c:pt idx="4673">
                  <c:v>36291</c:v>
                </c:pt>
                <c:pt idx="4674">
                  <c:v>36290</c:v>
                </c:pt>
                <c:pt idx="4675">
                  <c:v>36287</c:v>
                </c:pt>
                <c:pt idx="4676">
                  <c:v>36286</c:v>
                </c:pt>
                <c:pt idx="4677">
                  <c:v>36285</c:v>
                </c:pt>
                <c:pt idx="4678">
                  <c:v>36284</c:v>
                </c:pt>
                <c:pt idx="4679">
                  <c:v>36283</c:v>
                </c:pt>
                <c:pt idx="4680">
                  <c:v>36280</c:v>
                </c:pt>
                <c:pt idx="4681">
                  <c:v>36279</c:v>
                </c:pt>
                <c:pt idx="4682">
                  <c:v>36278</c:v>
                </c:pt>
                <c:pt idx="4683">
                  <c:v>36277</c:v>
                </c:pt>
                <c:pt idx="4684">
                  <c:v>36276</c:v>
                </c:pt>
                <c:pt idx="4685">
                  <c:v>36273</c:v>
                </c:pt>
                <c:pt idx="4686">
                  <c:v>36272</c:v>
                </c:pt>
                <c:pt idx="4687">
                  <c:v>36271</c:v>
                </c:pt>
                <c:pt idx="4688">
                  <c:v>36270</c:v>
                </c:pt>
                <c:pt idx="4689">
                  <c:v>36269</c:v>
                </c:pt>
                <c:pt idx="4690">
                  <c:v>36266</c:v>
                </c:pt>
                <c:pt idx="4691">
                  <c:v>36265</c:v>
                </c:pt>
                <c:pt idx="4692">
                  <c:v>36264</c:v>
                </c:pt>
                <c:pt idx="4693">
                  <c:v>36263</c:v>
                </c:pt>
                <c:pt idx="4694">
                  <c:v>36262</c:v>
                </c:pt>
                <c:pt idx="4695">
                  <c:v>36259</c:v>
                </c:pt>
                <c:pt idx="4696">
                  <c:v>36258</c:v>
                </c:pt>
                <c:pt idx="4697">
                  <c:v>36257</c:v>
                </c:pt>
                <c:pt idx="4698">
                  <c:v>36256</c:v>
                </c:pt>
                <c:pt idx="4699">
                  <c:v>36255</c:v>
                </c:pt>
                <c:pt idx="4700">
                  <c:v>36252</c:v>
                </c:pt>
                <c:pt idx="4701">
                  <c:v>36251</c:v>
                </c:pt>
                <c:pt idx="4702">
                  <c:v>36250</c:v>
                </c:pt>
                <c:pt idx="4703">
                  <c:v>36249</c:v>
                </c:pt>
                <c:pt idx="4704">
                  <c:v>36248</c:v>
                </c:pt>
                <c:pt idx="4705">
                  <c:v>36245</c:v>
                </c:pt>
                <c:pt idx="4706">
                  <c:v>36244</c:v>
                </c:pt>
                <c:pt idx="4707">
                  <c:v>36243</c:v>
                </c:pt>
                <c:pt idx="4708">
                  <c:v>36242</c:v>
                </c:pt>
                <c:pt idx="4709">
                  <c:v>36241</c:v>
                </c:pt>
                <c:pt idx="4710">
                  <c:v>36238</c:v>
                </c:pt>
                <c:pt idx="4711">
                  <c:v>36237</c:v>
                </c:pt>
                <c:pt idx="4712">
                  <c:v>36236</c:v>
                </c:pt>
                <c:pt idx="4713">
                  <c:v>36235</c:v>
                </c:pt>
                <c:pt idx="4714">
                  <c:v>36234</c:v>
                </c:pt>
                <c:pt idx="4715">
                  <c:v>36231</c:v>
                </c:pt>
                <c:pt idx="4716">
                  <c:v>36230</c:v>
                </c:pt>
                <c:pt idx="4717">
                  <c:v>36229</c:v>
                </c:pt>
                <c:pt idx="4718">
                  <c:v>36228</c:v>
                </c:pt>
                <c:pt idx="4719">
                  <c:v>36227</c:v>
                </c:pt>
                <c:pt idx="4720">
                  <c:v>36224</c:v>
                </c:pt>
                <c:pt idx="4721">
                  <c:v>36223</c:v>
                </c:pt>
                <c:pt idx="4722">
                  <c:v>36222</c:v>
                </c:pt>
                <c:pt idx="4723">
                  <c:v>36221</c:v>
                </c:pt>
                <c:pt idx="4724">
                  <c:v>36220</c:v>
                </c:pt>
                <c:pt idx="4725">
                  <c:v>36217</c:v>
                </c:pt>
                <c:pt idx="4726">
                  <c:v>36216</c:v>
                </c:pt>
                <c:pt idx="4727">
                  <c:v>36215</c:v>
                </c:pt>
                <c:pt idx="4728">
                  <c:v>36214</c:v>
                </c:pt>
                <c:pt idx="4729">
                  <c:v>36213</c:v>
                </c:pt>
                <c:pt idx="4730">
                  <c:v>36210</c:v>
                </c:pt>
                <c:pt idx="4731">
                  <c:v>36209</c:v>
                </c:pt>
                <c:pt idx="4732">
                  <c:v>36208</c:v>
                </c:pt>
                <c:pt idx="4733">
                  <c:v>36207</c:v>
                </c:pt>
                <c:pt idx="4734">
                  <c:v>36206</c:v>
                </c:pt>
                <c:pt idx="4735">
                  <c:v>36203</c:v>
                </c:pt>
                <c:pt idx="4736">
                  <c:v>36202</c:v>
                </c:pt>
                <c:pt idx="4737">
                  <c:v>36201</c:v>
                </c:pt>
                <c:pt idx="4738">
                  <c:v>36200</c:v>
                </c:pt>
                <c:pt idx="4739">
                  <c:v>36199</c:v>
                </c:pt>
                <c:pt idx="4740">
                  <c:v>36196</c:v>
                </c:pt>
                <c:pt idx="4741">
                  <c:v>36195</c:v>
                </c:pt>
                <c:pt idx="4742">
                  <c:v>36194</c:v>
                </c:pt>
                <c:pt idx="4743">
                  <c:v>36193</c:v>
                </c:pt>
                <c:pt idx="4744">
                  <c:v>36192</c:v>
                </c:pt>
                <c:pt idx="4745">
                  <c:v>36189</c:v>
                </c:pt>
                <c:pt idx="4746">
                  <c:v>36188</c:v>
                </c:pt>
                <c:pt idx="4747">
                  <c:v>36187</c:v>
                </c:pt>
                <c:pt idx="4748">
                  <c:v>36186</c:v>
                </c:pt>
                <c:pt idx="4749">
                  <c:v>36185</c:v>
                </c:pt>
                <c:pt idx="4750">
                  <c:v>36182</c:v>
                </c:pt>
                <c:pt idx="4751">
                  <c:v>36181</c:v>
                </c:pt>
                <c:pt idx="4752">
                  <c:v>36180</c:v>
                </c:pt>
                <c:pt idx="4753">
                  <c:v>36179</c:v>
                </c:pt>
                <c:pt idx="4754">
                  <c:v>36178</c:v>
                </c:pt>
                <c:pt idx="4755">
                  <c:v>36175</c:v>
                </c:pt>
                <c:pt idx="4756">
                  <c:v>36174</c:v>
                </c:pt>
                <c:pt idx="4757">
                  <c:v>36173</c:v>
                </c:pt>
                <c:pt idx="4758">
                  <c:v>36172</c:v>
                </c:pt>
                <c:pt idx="4759">
                  <c:v>36171</c:v>
                </c:pt>
                <c:pt idx="4760">
                  <c:v>36168</c:v>
                </c:pt>
                <c:pt idx="4761">
                  <c:v>36167</c:v>
                </c:pt>
                <c:pt idx="4762">
                  <c:v>36166</c:v>
                </c:pt>
                <c:pt idx="4763">
                  <c:v>36165</c:v>
                </c:pt>
                <c:pt idx="4764">
                  <c:v>36164</c:v>
                </c:pt>
                <c:pt idx="4765">
                  <c:v>36161</c:v>
                </c:pt>
                <c:pt idx="4766">
                  <c:v>36160</c:v>
                </c:pt>
                <c:pt idx="4767">
                  <c:v>36159</c:v>
                </c:pt>
                <c:pt idx="4768">
                  <c:v>36158</c:v>
                </c:pt>
                <c:pt idx="4769">
                  <c:v>36157</c:v>
                </c:pt>
                <c:pt idx="4770">
                  <c:v>36154</c:v>
                </c:pt>
                <c:pt idx="4771">
                  <c:v>36153</c:v>
                </c:pt>
                <c:pt idx="4772">
                  <c:v>36152</c:v>
                </c:pt>
                <c:pt idx="4773">
                  <c:v>36151</c:v>
                </c:pt>
                <c:pt idx="4774">
                  <c:v>36150</c:v>
                </c:pt>
                <c:pt idx="4775">
                  <c:v>36147</c:v>
                </c:pt>
                <c:pt idx="4776">
                  <c:v>36146</c:v>
                </c:pt>
                <c:pt idx="4777">
                  <c:v>36145</c:v>
                </c:pt>
                <c:pt idx="4778">
                  <c:v>36144</c:v>
                </c:pt>
                <c:pt idx="4779">
                  <c:v>36143</c:v>
                </c:pt>
                <c:pt idx="4780">
                  <c:v>36140</c:v>
                </c:pt>
                <c:pt idx="4781">
                  <c:v>36139</c:v>
                </c:pt>
                <c:pt idx="4782">
                  <c:v>36138</c:v>
                </c:pt>
                <c:pt idx="4783">
                  <c:v>36137</c:v>
                </c:pt>
                <c:pt idx="4784">
                  <c:v>36136</c:v>
                </c:pt>
                <c:pt idx="4785">
                  <c:v>36133</c:v>
                </c:pt>
                <c:pt idx="4786">
                  <c:v>36132</c:v>
                </c:pt>
                <c:pt idx="4787">
                  <c:v>36131</c:v>
                </c:pt>
                <c:pt idx="4788">
                  <c:v>36130</c:v>
                </c:pt>
                <c:pt idx="4789">
                  <c:v>36129</c:v>
                </c:pt>
                <c:pt idx="4790">
                  <c:v>36126</c:v>
                </c:pt>
                <c:pt idx="4791">
                  <c:v>36125</c:v>
                </c:pt>
                <c:pt idx="4792">
                  <c:v>36124</c:v>
                </c:pt>
                <c:pt idx="4793">
                  <c:v>36123</c:v>
                </c:pt>
                <c:pt idx="4794">
                  <c:v>36122</c:v>
                </c:pt>
                <c:pt idx="4795">
                  <c:v>36119</c:v>
                </c:pt>
                <c:pt idx="4796">
                  <c:v>36118</c:v>
                </c:pt>
                <c:pt idx="4797">
                  <c:v>36117</c:v>
                </c:pt>
                <c:pt idx="4798">
                  <c:v>36116</c:v>
                </c:pt>
                <c:pt idx="4799">
                  <c:v>36115</c:v>
                </c:pt>
                <c:pt idx="4800">
                  <c:v>36112</c:v>
                </c:pt>
                <c:pt idx="4801">
                  <c:v>36111</c:v>
                </c:pt>
                <c:pt idx="4802">
                  <c:v>36110</c:v>
                </c:pt>
                <c:pt idx="4803">
                  <c:v>36109</c:v>
                </c:pt>
                <c:pt idx="4804">
                  <c:v>36108</c:v>
                </c:pt>
                <c:pt idx="4805">
                  <c:v>36105</c:v>
                </c:pt>
                <c:pt idx="4806">
                  <c:v>36104</c:v>
                </c:pt>
                <c:pt idx="4807">
                  <c:v>36103</c:v>
                </c:pt>
                <c:pt idx="4808">
                  <c:v>36102</c:v>
                </c:pt>
                <c:pt idx="4809">
                  <c:v>36101</c:v>
                </c:pt>
                <c:pt idx="4810">
                  <c:v>36098</c:v>
                </c:pt>
                <c:pt idx="4811">
                  <c:v>36097</c:v>
                </c:pt>
                <c:pt idx="4812">
                  <c:v>36096</c:v>
                </c:pt>
                <c:pt idx="4813">
                  <c:v>36095</c:v>
                </c:pt>
                <c:pt idx="4814">
                  <c:v>36094</c:v>
                </c:pt>
                <c:pt idx="4815">
                  <c:v>36091</c:v>
                </c:pt>
                <c:pt idx="4816">
                  <c:v>36090</c:v>
                </c:pt>
                <c:pt idx="4817">
                  <c:v>36089</c:v>
                </c:pt>
                <c:pt idx="4818">
                  <c:v>36088</c:v>
                </c:pt>
                <c:pt idx="4819">
                  <c:v>36087</c:v>
                </c:pt>
                <c:pt idx="4820">
                  <c:v>36084</c:v>
                </c:pt>
                <c:pt idx="4821">
                  <c:v>36083</c:v>
                </c:pt>
                <c:pt idx="4822">
                  <c:v>36082</c:v>
                </c:pt>
                <c:pt idx="4823">
                  <c:v>36081</c:v>
                </c:pt>
                <c:pt idx="4824">
                  <c:v>36080</c:v>
                </c:pt>
                <c:pt idx="4825">
                  <c:v>36077</c:v>
                </c:pt>
                <c:pt idx="4826">
                  <c:v>36076</c:v>
                </c:pt>
                <c:pt idx="4827">
                  <c:v>36075</c:v>
                </c:pt>
                <c:pt idx="4828">
                  <c:v>36074</c:v>
                </c:pt>
                <c:pt idx="4829">
                  <c:v>36073</c:v>
                </c:pt>
                <c:pt idx="4830">
                  <c:v>36070</c:v>
                </c:pt>
                <c:pt idx="4831">
                  <c:v>36069</c:v>
                </c:pt>
                <c:pt idx="4832">
                  <c:v>36068</c:v>
                </c:pt>
                <c:pt idx="4833">
                  <c:v>36067</c:v>
                </c:pt>
                <c:pt idx="4834">
                  <c:v>36066</c:v>
                </c:pt>
                <c:pt idx="4835">
                  <c:v>36063</c:v>
                </c:pt>
                <c:pt idx="4836">
                  <c:v>36062</c:v>
                </c:pt>
                <c:pt idx="4837">
                  <c:v>36061</c:v>
                </c:pt>
                <c:pt idx="4838">
                  <c:v>36060</c:v>
                </c:pt>
                <c:pt idx="4839">
                  <c:v>36059</c:v>
                </c:pt>
                <c:pt idx="4840">
                  <c:v>36056</c:v>
                </c:pt>
                <c:pt idx="4841">
                  <c:v>36055</c:v>
                </c:pt>
                <c:pt idx="4842">
                  <c:v>36054</c:v>
                </c:pt>
                <c:pt idx="4843">
                  <c:v>36053</c:v>
                </c:pt>
                <c:pt idx="4844">
                  <c:v>36052</c:v>
                </c:pt>
                <c:pt idx="4845">
                  <c:v>36049</c:v>
                </c:pt>
                <c:pt idx="4846">
                  <c:v>36048</c:v>
                </c:pt>
                <c:pt idx="4847">
                  <c:v>36047</c:v>
                </c:pt>
                <c:pt idx="4848">
                  <c:v>36046</c:v>
                </c:pt>
                <c:pt idx="4849">
                  <c:v>36045</c:v>
                </c:pt>
                <c:pt idx="4850">
                  <c:v>36042</c:v>
                </c:pt>
                <c:pt idx="4851">
                  <c:v>36041</c:v>
                </c:pt>
                <c:pt idx="4852">
                  <c:v>36040</c:v>
                </c:pt>
                <c:pt idx="4853">
                  <c:v>36039</c:v>
                </c:pt>
                <c:pt idx="4854">
                  <c:v>36038</c:v>
                </c:pt>
                <c:pt idx="4855">
                  <c:v>36035</c:v>
                </c:pt>
                <c:pt idx="4856">
                  <c:v>36034</c:v>
                </c:pt>
                <c:pt idx="4857">
                  <c:v>36033</c:v>
                </c:pt>
                <c:pt idx="4858">
                  <c:v>36032</c:v>
                </c:pt>
                <c:pt idx="4859">
                  <c:v>36031</c:v>
                </c:pt>
                <c:pt idx="4860">
                  <c:v>36028</c:v>
                </c:pt>
                <c:pt idx="4861">
                  <c:v>36027</c:v>
                </c:pt>
                <c:pt idx="4862">
                  <c:v>36026</c:v>
                </c:pt>
                <c:pt idx="4863">
                  <c:v>36025</c:v>
                </c:pt>
                <c:pt idx="4864">
                  <c:v>36024</c:v>
                </c:pt>
                <c:pt idx="4865">
                  <c:v>36021</c:v>
                </c:pt>
                <c:pt idx="4866">
                  <c:v>36020</c:v>
                </c:pt>
                <c:pt idx="4867">
                  <c:v>36019</c:v>
                </c:pt>
                <c:pt idx="4868">
                  <c:v>36018</c:v>
                </c:pt>
                <c:pt idx="4869">
                  <c:v>36017</c:v>
                </c:pt>
                <c:pt idx="4870">
                  <c:v>36014</c:v>
                </c:pt>
                <c:pt idx="4871">
                  <c:v>36013</c:v>
                </c:pt>
                <c:pt idx="4872">
                  <c:v>36012</c:v>
                </c:pt>
                <c:pt idx="4873">
                  <c:v>36011</c:v>
                </c:pt>
                <c:pt idx="4874">
                  <c:v>36010</c:v>
                </c:pt>
                <c:pt idx="4875">
                  <c:v>36007</c:v>
                </c:pt>
                <c:pt idx="4876">
                  <c:v>36006</c:v>
                </c:pt>
                <c:pt idx="4877">
                  <c:v>36005</c:v>
                </c:pt>
                <c:pt idx="4878">
                  <c:v>36004</c:v>
                </c:pt>
                <c:pt idx="4879">
                  <c:v>36003</c:v>
                </c:pt>
                <c:pt idx="4880">
                  <c:v>36000</c:v>
                </c:pt>
                <c:pt idx="4881">
                  <c:v>35999</c:v>
                </c:pt>
                <c:pt idx="4882">
                  <c:v>35998</c:v>
                </c:pt>
                <c:pt idx="4883">
                  <c:v>35997</c:v>
                </c:pt>
                <c:pt idx="4884">
                  <c:v>35996</c:v>
                </c:pt>
                <c:pt idx="4885">
                  <c:v>35993</c:v>
                </c:pt>
                <c:pt idx="4886">
                  <c:v>35992</c:v>
                </c:pt>
                <c:pt idx="4887">
                  <c:v>35991</c:v>
                </c:pt>
                <c:pt idx="4888">
                  <c:v>35990</c:v>
                </c:pt>
                <c:pt idx="4889">
                  <c:v>35989</c:v>
                </c:pt>
                <c:pt idx="4890">
                  <c:v>35986</c:v>
                </c:pt>
                <c:pt idx="4891">
                  <c:v>35985</c:v>
                </c:pt>
                <c:pt idx="4892">
                  <c:v>35984</c:v>
                </c:pt>
                <c:pt idx="4893">
                  <c:v>35983</c:v>
                </c:pt>
                <c:pt idx="4894">
                  <c:v>35982</c:v>
                </c:pt>
                <c:pt idx="4895">
                  <c:v>35979</c:v>
                </c:pt>
                <c:pt idx="4896">
                  <c:v>35978</c:v>
                </c:pt>
                <c:pt idx="4897">
                  <c:v>35977</c:v>
                </c:pt>
                <c:pt idx="4898">
                  <c:v>35976</c:v>
                </c:pt>
                <c:pt idx="4899">
                  <c:v>35975</c:v>
                </c:pt>
                <c:pt idx="4900">
                  <c:v>35972</c:v>
                </c:pt>
                <c:pt idx="4901">
                  <c:v>35971</c:v>
                </c:pt>
                <c:pt idx="4902">
                  <c:v>35970</c:v>
                </c:pt>
                <c:pt idx="4903">
                  <c:v>35969</c:v>
                </c:pt>
                <c:pt idx="4904">
                  <c:v>35968</c:v>
                </c:pt>
                <c:pt idx="4905">
                  <c:v>35965</c:v>
                </c:pt>
                <c:pt idx="4906">
                  <c:v>35964</c:v>
                </c:pt>
                <c:pt idx="4907">
                  <c:v>35963</c:v>
                </c:pt>
                <c:pt idx="4908">
                  <c:v>35962</c:v>
                </c:pt>
                <c:pt idx="4909">
                  <c:v>35961</c:v>
                </c:pt>
                <c:pt idx="4910">
                  <c:v>35958</c:v>
                </c:pt>
                <c:pt idx="4911">
                  <c:v>35957</c:v>
                </c:pt>
                <c:pt idx="4912">
                  <c:v>35956</c:v>
                </c:pt>
                <c:pt idx="4913">
                  <c:v>35955</c:v>
                </c:pt>
                <c:pt idx="4914">
                  <c:v>35954</c:v>
                </c:pt>
                <c:pt idx="4915">
                  <c:v>35951</c:v>
                </c:pt>
                <c:pt idx="4916">
                  <c:v>35950</c:v>
                </c:pt>
                <c:pt idx="4917">
                  <c:v>35949</c:v>
                </c:pt>
                <c:pt idx="4918">
                  <c:v>35948</c:v>
                </c:pt>
                <c:pt idx="4919">
                  <c:v>35947</c:v>
                </c:pt>
                <c:pt idx="4920">
                  <c:v>35944</c:v>
                </c:pt>
                <c:pt idx="4921">
                  <c:v>35943</c:v>
                </c:pt>
                <c:pt idx="4922">
                  <c:v>35942</c:v>
                </c:pt>
                <c:pt idx="4923">
                  <c:v>35941</c:v>
                </c:pt>
                <c:pt idx="4924">
                  <c:v>35940</c:v>
                </c:pt>
                <c:pt idx="4925">
                  <c:v>35937</c:v>
                </c:pt>
                <c:pt idx="4926">
                  <c:v>35936</c:v>
                </c:pt>
                <c:pt idx="4927">
                  <c:v>35935</c:v>
                </c:pt>
                <c:pt idx="4928">
                  <c:v>35934</c:v>
                </c:pt>
                <c:pt idx="4929">
                  <c:v>35933</c:v>
                </c:pt>
                <c:pt idx="4930">
                  <c:v>35930</c:v>
                </c:pt>
                <c:pt idx="4931">
                  <c:v>35929</c:v>
                </c:pt>
                <c:pt idx="4932">
                  <c:v>35928</c:v>
                </c:pt>
                <c:pt idx="4933">
                  <c:v>35927</c:v>
                </c:pt>
                <c:pt idx="4934">
                  <c:v>35926</c:v>
                </c:pt>
                <c:pt idx="4935">
                  <c:v>35923</c:v>
                </c:pt>
                <c:pt idx="4936">
                  <c:v>35922</c:v>
                </c:pt>
                <c:pt idx="4937">
                  <c:v>35921</c:v>
                </c:pt>
                <c:pt idx="4938">
                  <c:v>35920</c:v>
                </c:pt>
                <c:pt idx="4939">
                  <c:v>35919</c:v>
                </c:pt>
                <c:pt idx="4940">
                  <c:v>35916</c:v>
                </c:pt>
                <c:pt idx="4941">
                  <c:v>35915</c:v>
                </c:pt>
                <c:pt idx="4942">
                  <c:v>35914</c:v>
                </c:pt>
                <c:pt idx="4943">
                  <c:v>35913</c:v>
                </c:pt>
                <c:pt idx="4944">
                  <c:v>35912</c:v>
                </c:pt>
                <c:pt idx="4945">
                  <c:v>35909</c:v>
                </c:pt>
                <c:pt idx="4946">
                  <c:v>35908</c:v>
                </c:pt>
                <c:pt idx="4947">
                  <c:v>35907</c:v>
                </c:pt>
                <c:pt idx="4948">
                  <c:v>35906</c:v>
                </c:pt>
                <c:pt idx="4949">
                  <c:v>35905</c:v>
                </c:pt>
                <c:pt idx="4950">
                  <c:v>35902</c:v>
                </c:pt>
                <c:pt idx="4951">
                  <c:v>35901</c:v>
                </c:pt>
                <c:pt idx="4952">
                  <c:v>35900</c:v>
                </c:pt>
                <c:pt idx="4953">
                  <c:v>35899</c:v>
                </c:pt>
                <c:pt idx="4954">
                  <c:v>35898</c:v>
                </c:pt>
                <c:pt idx="4955">
                  <c:v>35895</c:v>
                </c:pt>
                <c:pt idx="4956">
                  <c:v>35894</c:v>
                </c:pt>
                <c:pt idx="4957">
                  <c:v>35893</c:v>
                </c:pt>
                <c:pt idx="4958">
                  <c:v>35892</c:v>
                </c:pt>
                <c:pt idx="4959">
                  <c:v>35891</c:v>
                </c:pt>
                <c:pt idx="4960">
                  <c:v>35888</c:v>
                </c:pt>
                <c:pt idx="4961">
                  <c:v>35887</c:v>
                </c:pt>
                <c:pt idx="4962">
                  <c:v>35886</c:v>
                </c:pt>
                <c:pt idx="4963">
                  <c:v>35885</c:v>
                </c:pt>
                <c:pt idx="4964">
                  <c:v>35884</c:v>
                </c:pt>
                <c:pt idx="4965">
                  <c:v>35881</c:v>
                </c:pt>
                <c:pt idx="4966">
                  <c:v>35880</c:v>
                </c:pt>
                <c:pt idx="4967">
                  <c:v>35879</c:v>
                </c:pt>
                <c:pt idx="4968">
                  <c:v>35878</c:v>
                </c:pt>
                <c:pt idx="4969">
                  <c:v>35877</c:v>
                </c:pt>
                <c:pt idx="4970">
                  <c:v>35874</c:v>
                </c:pt>
                <c:pt idx="4971">
                  <c:v>35873</c:v>
                </c:pt>
                <c:pt idx="4972">
                  <c:v>35872</c:v>
                </c:pt>
                <c:pt idx="4973">
                  <c:v>35871</c:v>
                </c:pt>
                <c:pt idx="4974">
                  <c:v>35870</c:v>
                </c:pt>
                <c:pt idx="4975">
                  <c:v>35867</c:v>
                </c:pt>
                <c:pt idx="4976">
                  <c:v>35866</c:v>
                </c:pt>
                <c:pt idx="4977">
                  <c:v>35865</c:v>
                </c:pt>
                <c:pt idx="4978">
                  <c:v>35864</c:v>
                </c:pt>
                <c:pt idx="4979">
                  <c:v>35863</c:v>
                </c:pt>
                <c:pt idx="4980">
                  <c:v>35860</c:v>
                </c:pt>
                <c:pt idx="4981">
                  <c:v>35859</c:v>
                </c:pt>
                <c:pt idx="4982">
                  <c:v>35858</c:v>
                </c:pt>
                <c:pt idx="4983">
                  <c:v>35857</c:v>
                </c:pt>
                <c:pt idx="4984">
                  <c:v>35856</c:v>
                </c:pt>
                <c:pt idx="4985">
                  <c:v>35853</c:v>
                </c:pt>
                <c:pt idx="4986">
                  <c:v>35852</c:v>
                </c:pt>
                <c:pt idx="4987">
                  <c:v>35851</c:v>
                </c:pt>
                <c:pt idx="4988">
                  <c:v>35850</c:v>
                </c:pt>
                <c:pt idx="4989">
                  <c:v>35849</c:v>
                </c:pt>
                <c:pt idx="4990">
                  <c:v>35846</c:v>
                </c:pt>
                <c:pt idx="4991">
                  <c:v>35845</c:v>
                </c:pt>
                <c:pt idx="4992">
                  <c:v>35844</c:v>
                </c:pt>
                <c:pt idx="4993">
                  <c:v>35843</c:v>
                </c:pt>
                <c:pt idx="4994">
                  <c:v>35842</c:v>
                </c:pt>
                <c:pt idx="4995">
                  <c:v>35839</c:v>
                </c:pt>
                <c:pt idx="4996">
                  <c:v>35838</c:v>
                </c:pt>
                <c:pt idx="4997">
                  <c:v>35837</c:v>
                </c:pt>
                <c:pt idx="4998">
                  <c:v>35836</c:v>
                </c:pt>
                <c:pt idx="4999">
                  <c:v>35835</c:v>
                </c:pt>
                <c:pt idx="5000">
                  <c:v>35832</c:v>
                </c:pt>
                <c:pt idx="5001">
                  <c:v>35831</c:v>
                </c:pt>
                <c:pt idx="5002">
                  <c:v>35830</c:v>
                </c:pt>
                <c:pt idx="5003">
                  <c:v>35829</c:v>
                </c:pt>
                <c:pt idx="5004">
                  <c:v>35828</c:v>
                </c:pt>
                <c:pt idx="5005">
                  <c:v>35825</c:v>
                </c:pt>
                <c:pt idx="5006">
                  <c:v>35824</c:v>
                </c:pt>
                <c:pt idx="5007">
                  <c:v>35823</c:v>
                </c:pt>
                <c:pt idx="5008">
                  <c:v>35822</c:v>
                </c:pt>
                <c:pt idx="5009">
                  <c:v>35821</c:v>
                </c:pt>
                <c:pt idx="5010">
                  <c:v>35818</c:v>
                </c:pt>
                <c:pt idx="5011">
                  <c:v>35817</c:v>
                </c:pt>
                <c:pt idx="5012">
                  <c:v>35816</c:v>
                </c:pt>
                <c:pt idx="5013">
                  <c:v>35815</c:v>
                </c:pt>
                <c:pt idx="5014">
                  <c:v>35814</c:v>
                </c:pt>
                <c:pt idx="5015">
                  <c:v>35811</c:v>
                </c:pt>
                <c:pt idx="5016">
                  <c:v>35810</c:v>
                </c:pt>
                <c:pt idx="5017">
                  <c:v>35809</c:v>
                </c:pt>
                <c:pt idx="5018">
                  <c:v>35808</c:v>
                </c:pt>
                <c:pt idx="5019">
                  <c:v>35807</c:v>
                </c:pt>
                <c:pt idx="5020">
                  <c:v>35804</c:v>
                </c:pt>
                <c:pt idx="5021">
                  <c:v>35803</c:v>
                </c:pt>
                <c:pt idx="5022">
                  <c:v>35802</c:v>
                </c:pt>
                <c:pt idx="5023">
                  <c:v>35801</c:v>
                </c:pt>
                <c:pt idx="5024">
                  <c:v>35800</c:v>
                </c:pt>
                <c:pt idx="5025">
                  <c:v>35797</c:v>
                </c:pt>
                <c:pt idx="5026">
                  <c:v>35796</c:v>
                </c:pt>
                <c:pt idx="5027">
                  <c:v>35795</c:v>
                </c:pt>
                <c:pt idx="5028">
                  <c:v>35794</c:v>
                </c:pt>
                <c:pt idx="5029">
                  <c:v>35793</c:v>
                </c:pt>
                <c:pt idx="5030">
                  <c:v>35790</c:v>
                </c:pt>
                <c:pt idx="5031">
                  <c:v>35789</c:v>
                </c:pt>
                <c:pt idx="5032">
                  <c:v>35788</c:v>
                </c:pt>
                <c:pt idx="5033">
                  <c:v>35787</c:v>
                </c:pt>
                <c:pt idx="5034">
                  <c:v>35786</c:v>
                </c:pt>
                <c:pt idx="5035">
                  <c:v>35783</c:v>
                </c:pt>
                <c:pt idx="5036">
                  <c:v>35782</c:v>
                </c:pt>
                <c:pt idx="5037">
                  <c:v>35781</c:v>
                </c:pt>
                <c:pt idx="5038">
                  <c:v>35780</c:v>
                </c:pt>
                <c:pt idx="5039">
                  <c:v>35779</c:v>
                </c:pt>
                <c:pt idx="5040">
                  <c:v>35776</c:v>
                </c:pt>
                <c:pt idx="5041">
                  <c:v>35775</c:v>
                </c:pt>
                <c:pt idx="5042">
                  <c:v>35774</c:v>
                </c:pt>
                <c:pt idx="5043">
                  <c:v>35773</c:v>
                </c:pt>
                <c:pt idx="5044">
                  <c:v>35772</c:v>
                </c:pt>
                <c:pt idx="5045">
                  <c:v>35769</c:v>
                </c:pt>
                <c:pt idx="5046">
                  <c:v>35768</c:v>
                </c:pt>
                <c:pt idx="5047">
                  <c:v>35767</c:v>
                </c:pt>
                <c:pt idx="5048">
                  <c:v>35766</c:v>
                </c:pt>
                <c:pt idx="5049">
                  <c:v>35765</c:v>
                </c:pt>
                <c:pt idx="5050">
                  <c:v>35762</c:v>
                </c:pt>
                <c:pt idx="5051">
                  <c:v>35761</c:v>
                </c:pt>
                <c:pt idx="5052">
                  <c:v>35760</c:v>
                </c:pt>
                <c:pt idx="5053">
                  <c:v>35759</c:v>
                </c:pt>
                <c:pt idx="5054">
                  <c:v>35758</c:v>
                </c:pt>
                <c:pt idx="5055">
                  <c:v>35755</c:v>
                </c:pt>
                <c:pt idx="5056">
                  <c:v>35754</c:v>
                </c:pt>
                <c:pt idx="5057">
                  <c:v>35753</c:v>
                </c:pt>
                <c:pt idx="5058">
                  <c:v>35752</c:v>
                </c:pt>
                <c:pt idx="5059">
                  <c:v>35751</c:v>
                </c:pt>
                <c:pt idx="5060">
                  <c:v>35748</c:v>
                </c:pt>
                <c:pt idx="5061">
                  <c:v>35747</c:v>
                </c:pt>
                <c:pt idx="5062">
                  <c:v>35746</c:v>
                </c:pt>
                <c:pt idx="5063">
                  <c:v>35745</c:v>
                </c:pt>
                <c:pt idx="5064">
                  <c:v>35744</c:v>
                </c:pt>
                <c:pt idx="5065">
                  <c:v>35741</c:v>
                </c:pt>
                <c:pt idx="5066">
                  <c:v>35740</c:v>
                </c:pt>
                <c:pt idx="5067">
                  <c:v>35739</c:v>
                </c:pt>
                <c:pt idx="5068">
                  <c:v>35738</c:v>
                </c:pt>
                <c:pt idx="5069">
                  <c:v>35737</c:v>
                </c:pt>
                <c:pt idx="5070">
                  <c:v>35734</c:v>
                </c:pt>
                <c:pt idx="5071">
                  <c:v>35733</c:v>
                </c:pt>
                <c:pt idx="5072">
                  <c:v>35732</c:v>
                </c:pt>
                <c:pt idx="5073">
                  <c:v>35731</c:v>
                </c:pt>
                <c:pt idx="5074">
                  <c:v>35730</c:v>
                </c:pt>
                <c:pt idx="5075">
                  <c:v>35727</c:v>
                </c:pt>
                <c:pt idx="5076">
                  <c:v>35726</c:v>
                </c:pt>
                <c:pt idx="5077">
                  <c:v>35725</c:v>
                </c:pt>
                <c:pt idx="5078">
                  <c:v>35724</c:v>
                </c:pt>
                <c:pt idx="5079">
                  <c:v>35723</c:v>
                </c:pt>
                <c:pt idx="5080">
                  <c:v>35720</c:v>
                </c:pt>
                <c:pt idx="5081">
                  <c:v>35719</c:v>
                </c:pt>
                <c:pt idx="5082">
                  <c:v>35718</c:v>
                </c:pt>
                <c:pt idx="5083">
                  <c:v>35717</c:v>
                </c:pt>
                <c:pt idx="5084">
                  <c:v>35716</c:v>
                </c:pt>
                <c:pt idx="5085">
                  <c:v>35713</c:v>
                </c:pt>
                <c:pt idx="5086">
                  <c:v>35712</c:v>
                </c:pt>
                <c:pt idx="5087">
                  <c:v>35711</c:v>
                </c:pt>
                <c:pt idx="5088">
                  <c:v>35710</c:v>
                </c:pt>
                <c:pt idx="5089">
                  <c:v>35709</c:v>
                </c:pt>
                <c:pt idx="5090">
                  <c:v>35706</c:v>
                </c:pt>
                <c:pt idx="5091">
                  <c:v>35705</c:v>
                </c:pt>
                <c:pt idx="5092">
                  <c:v>35704</c:v>
                </c:pt>
                <c:pt idx="5093">
                  <c:v>35703</c:v>
                </c:pt>
                <c:pt idx="5094">
                  <c:v>35702</c:v>
                </c:pt>
                <c:pt idx="5095">
                  <c:v>35699</c:v>
                </c:pt>
                <c:pt idx="5096">
                  <c:v>35698</c:v>
                </c:pt>
                <c:pt idx="5097">
                  <c:v>35697</c:v>
                </c:pt>
                <c:pt idx="5098">
                  <c:v>35696</c:v>
                </c:pt>
                <c:pt idx="5099">
                  <c:v>35695</c:v>
                </c:pt>
                <c:pt idx="5100">
                  <c:v>35692</c:v>
                </c:pt>
                <c:pt idx="5101">
                  <c:v>35691</c:v>
                </c:pt>
                <c:pt idx="5102">
                  <c:v>35690</c:v>
                </c:pt>
                <c:pt idx="5103">
                  <c:v>35689</c:v>
                </c:pt>
                <c:pt idx="5104">
                  <c:v>35688</c:v>
                </c:pt>
                <c:pt idx="5105">
                  <c:v>35685</c:v>
                </c:pt>
                <c:pt idx="5106">
                  <c:v>35684</c:v>
                </c:pt>
                <c:pt idx="5107">
                  <c:v>35683</c:v>
                </c:pt>
                <c:pt idx="5108">
                  <c:v>35682</c:v>
                </c:pt>
                <c:pt idx="5109">
                  <c:v>35681</c:v>
                </c:pt>
                <c:pt idx="5110">
                  <c:v>35678</c:v>
                </c:pt>
                <c:pt idx="5111">
                  <c:v>35677</c:v>
                </c:pt>
                <c:pt idx="5112">
                  <c:v>35676</c:v>
                </c:pt>
                <c:pt idx="5113">
                  <c:v>35675</c:v>
                </c:pt>
                <c:pt idx="5114">
                  <c:v>35674</c:v>
                </c:pt>
                <c:pt idx="5115">
                  <c:v>35671</c:v>
                </c:pt>
                <c:pt idx="5116">
                  <c:v>35670</c:v>
                </c:pt>
                <c:pt idx="5117">
                  <c:v>35669</c:v>
                </c:pt>
                <c:pt idx="5118">
                  <c:v>35668</c:v>
                </c:pt>
                <c:pt idx="5119">
                  <c:v>35667</c:v>
                </c:pt>
                <c:pt idx="5120">
                  <c:v>35664</c:v>
                </c:pt>
                <c:pt idx="5121">
                  <c:v>35663</c:v>
                </c:pt>
                <c:pt idx="5122">
                  <c:v>35662</c:v>
                </c:pt>
                <c:pt idx="5123">
                  <c:v>35661</c:v>
                </c:pt>
                <c:pt idx="5124">
                  <c:v>35660</c:v>
                </c:pt>
                <c:pt idx="5125">
                  <c:v>35657</c:v>
                </c:pt>
                <c:pt idx="5126">
                  <c:v>35656</c:v>
                </c:pt>
                <c:pt idx="5127">
                  <c:v>35655</c:v>
                </c:pt>
                <c:pt idx="5128">
                  <c:v>35654</c:v>
                </c:pt>
                <c:pt idx="5129">
                  <c:v>35653</c:v>
                </c:pt>
                <c:pt idx="5130">
                  <c:v>35650</c:v>
                </c:pt>
                <c:pt idx="5131">
                  <c:v>35649</c:v>
                </c:pt>
                <c:pt idx="5132">
                  <c:v>35648</c:v>
                </c:pt>
                <c:pt idx="5133">
                  <c:v>35647</c:v>
                </c:pt>
                <c:pt idx="5134">
                  <c:v>35646</c:v>
                </c:pt>
                <c:pt idx="5135">
                  <c:v>35643</c:v>
                </c:pt>
                <c:pt idx="5136">
                  <c:v>35642</c:v>
                </c:pt>
                <c:pt idx="5137">
                  <c:v>35641</c:v>
                </c:pt>
                <c:pt idx="5138">
                  <c:v>35640</c:v>
                </c:pt>
                <c:pt idx="5139">
                  <c:v>35639</c:v>
                </c:pt>
                <c:pt idx="5140">
                  <c:v>35636</c:v>
                </c:pt>
                <c:pt idx="5141">
                  <c:v>35635</c:v>
                </c:pt>
                <c:pt idx="5142">
                  <c:v>35634</c:v>
                </c:pt>
                <c:pt idx="5143">
                  <c:v>35633</c:v>
                </c:pt>
                <c:pt idx="5144">
                  <c:v>35632</c:v>
                </c:pt>
                <c:pt idx="5145">
                  <c:v>35629</c:v>
                </c:pt>
                <c:pt idx="5146">
                  <c:v>35628</c:v>
                </c:pt>
                <c:pt idx="5147">
                  <c:v>35627</c:v>
                </c:pt>
                <c:pt idx="5148">
                  <c:v>35626</c:v>
                </c:pt>
                <c:pt idx="5149">
                  <c:v>35625</c:v>
                </c:pt>
                <c:pt idx="5150">
                  <c:v>35622</c:v>
                </c:pt>
                <c:pt idx="5151">
                  <c:v>35621</c:v>
                </c:pt>
                <c:pt idx="5152">
                  <c:v>35620</c:v>
                </c:pt>
                <c:pt idx="5153">
                  <c:v>35619</c:v>
                </c:pt>
                <c:pt idx="5154">
                  <c:v>35618</c:v>
                </c:pt>
                <c:pt idx="5155">
                  <c:v>35615</c:v>
                </c:pt>
                <c:pt idx="5156">
                  <c:v>35614</c:v>
                </c:pt>
                <c:pt idx="5157">
                  <c:v>35613</c:v>
                </c:pt>
                <c:pt idx="5158">
                  <c:v>35612</c:v>
                </c:pt>
                <c:pt idx="5159">
                  <c:v>35611</c:v>
                </c:pt>
                <c:pt idx="5160">
                  <c:v>35608</c:v>
                </c:pt>
                <c:pt idx="5161">
                  <c:v>35607</c:v>
                </c:pt>
                <c:pt idx="5162">
                  <c:v>35606</c:v>
                </c:pt>
                <c:pt idx="5163">
                  <c:v>35605</c:v>
                </c:pt>
                <c:pt idx="5164">
                  <c:v>35604</c:v>
                </c:pt>
                <c:pt idx="5165">
                  <c:v>35601</c:v>
                </c:pt>
                <c:pt idx="5166">
                  <c:v>35600</c:v>
                </c:pt>
                <c:pt idx="5167">
                  <c:v>35599</c:v>
                </c:pt>
                <c:pt idx="5168">
                  <c:v>35598</c:v>
                </c:pt>
                <c:pt idx="5169">
                  <c:v>35597</c:v>
                </c:pt>
                <c:pt idx="5170">
                  <c:v>35594</c:v>
                </c:pt>
                <c:pt idx="5171">
                  <c:v>35593</c:v>
                </c:pt>
                <c:pt idx="5172">
                  <c:v>35592</c:v>
                </c:pt>
                <c:pt idx="5173">
                  <c:v>35591</c:v>
                </c:pt>
                <c:pt idx="5174">
                  <c:v>35590</c:v>
                </c:pt>
                <c:pt idx="5175">
                  <c:v>35587</c:v>
                </c:pt>
                <c:pt idx="5176">
                  <c:v>35586</c:v>
                </c:pt>
                <c:pt idx="5177">
                  <c:v>35585</c:v>
                </c:pt>
                <c:pt idx="5178">
                  <c:v>35584</c:v>
                </c:pt>
                <c:pt idx="5179">
                  <c:v>35583</c:v>
                </c:pt>
                <c:pt idx="5180">
                  <c:v>35580</c:v>
                </c:pt>
                <c:pt idx="5181">
                  <c:v>35579</c:v>
                </c:pt>
                <c:pt idx="5182">
                  <c:v>35578</c:v>
                </c:pt>
                <c:pt idx="5183">
                  <c:v>35577</c:v>
                </c:pt>
                <c:pt idx="5184">
                  <c:v>35576</c:v>
                </c:pt>
                <c:pt idx="5185">
                  <c:v>35573</c:v>
                </c:pt>
                <c:pt idx="5186">
                  <c:v>35572</c:v>
                </c:pt>
                <c:pt idx="5187">
                  <c:v>35571</c:v>
                </c:pt>
                <c:pt idx="5188">
                  <c:v>35570</c:v>
                </c:pt>
                <c:pt idx="5189">
                  <c:v>35569</c:v>
                </c:pt>
                <c:pt idx="5190">
                  <c:v>35566</c:v>
                </c:pt>
                <c:pt idx="5191">
                  <c:v>35565</c:v>
                </c:pt>
                <c:pt idx="5192">
                  <c:v>35564</c:v>
                </c:pt>
                <c:pt idx="5193">
                  <c:v>35563</c:v>
                </c:pt>
                <c:pt idx="5194">
                  <c:v>35562</c:v>
                </c:pt>
                <c:pt idx="5195">
                  <c:v>35559</c:v>
                </c:pt>
                <c:pt idx="5196">
                  <c:v>35558</c:v>
                </c:pt>
                <c:pt idx="5197">
                  <c:v>35557</c:v>
                </c:pt>
                <c:pt idx="5198">
                  <c:v>35556</c:v>
                </c:pt>
                <c:pt idx="5199">
                  <c:v>35555</c:v>
                </c:pt>
                <c:pt idx="5200">
                  <c:v>35552</c:v>
                </c:pt>
                <c:pt idx="5201">
                  <c:v>35551</c:v>
                </c:pt>
                <c:pt idx="5202">
                  <c:v>35550</c:v>
                </c:pt>
                <c:pt idx="5203">
                  <c:v>35549</c:v>
                </c:pt>
                <c:pt idx="5204">
                  <c:v>35548</c:v>
                </c:pt>
                <c:pt idx="5205">
                  <c:v>35545</c:v>
                </c:pt>
                <c:pt idx="5206">
                  <c:v>35544</c:v>
                </c:pt>
                <c:pt idx="5207">
                  <c:v>35543</c:v>
                </c:pt>
                <c:pt idx="5208">
                  <c:v>35542</c:v>
                </c:pt>
                <c:pt idx="5209">
                  <c:v>35541</c:v>
                </c:pt>
                <c:pt idx="5210">
                  <c:v>35538</c:v>
                </c:pt>
                <c:pt idx="5211">
                  <c:v>35537</c:v>
                </c:pt>
                <c:pt idx="5212">
                  <c:v>35536</c:v>
                </c:pt>
                <c:pt idx="5213">
                  <c:v>35535</c:v>
                </c:pt>
                <c:pt idx="5214">
                  <c:v>35534</c:v>
                </c:pt>
                <c:pt idx="5215">
                  <c:v>35531</c:v>
                </c:pt>
                <c:pt idx="5216">
                  <c:v>35530</c:v>
                </c:pt>
                <c:pt idx="5217">
                  <c:v>35529</c:v>
                </c:pt>
                <c:pt idx="5218">
                  <c:v>35528</c:v>
                </c:pt>
                <c:pt idx="5219">
                  <c:v>35527</c:v>
                </c:pt>
                <c:pt idx="5220">
                  <c:v>35524</c:v>
                </c:pt>
                <c:pt idx="5221">
                  <c:v>35523</c:v>
                </c:pt>
                <c:pt idx="5222">
                  <c:v>35522</c:v>
                </c:pt>
                <c:pt idx="5223">
                  <c:v>35521</c:v>
                </c:pt>
                <c:pt idx="5224">
                  <c:v>35520</c:v>
                </c:pt>
                <c:pt idx="5225">
                  <c:v>35517</c:v>
                </c:pt>
                <c:pt idx="5226">
                  <c:v>35516</c:v>
                </c:pt>
                <c:pt idx="5227">
                  <c:v>35515</c:v>
                </c:pt>
                <c:pt idx="5228">
                  <c:v>35514</c:v>
                </c:pt>
                <c:pt idx="5229">
                  <c:v>35513</c:v>
                </c:pt>
                <c:pt idx="5230">
                  <c:v>35510</c:v>
                </c:pt>
                <c:pt idx="5231">
                  <c:v>35509</c:v>
                </c:pt>
                <c:pt idx="5232">
                  <c:v>35508</c:v>
                </c:pt>
                <c:pt idx="5233">
                  <c:v>35507</c:v>
                </c:pt>
                <c:pt idx="5234">
                  <c:v>35506</c:v>
                </c:pt>
                <c:pt idx="5235">
                  <c:v>35503</c:v>
                </c:pt>
                <c:pt idx="5236">
                  <c:v>35502</c:v>
                </c:pt>
                <c:pt idx="5237">
                  <c:v>35501</c:v>
                </c:pt>
                <c:pt idx="5238">
                  <c:v>35500</c:v>
                </c:pt>
                <c:pt idx="5239">
                  <c:v>35499</c:v>
                </c:pt>
                <c:pt idx="5240">
                  <c:v>35496</c:v>
                </c:pt>
                <c:pt idx="5241">
                  <c:v>35495</c:v>
                </c:pt>
                <c:pt idx="5242">
                  <c:v>35494</c:v>
                </c:pt>
                <c:pt idx="5243">
                  <c:v>35493</c:v>
                </c:pt>
                <c:pt idx="5244">
                  <c:v>35492</c:v>
                </c:pt>
                <c:pt idx="5245">
                  <c:v>35489</c:v>
                </c:pt>
                <c:pt idx="5246">
                  <c:v>35488</c:v>
                </c:pt>
                <c:pt idx="5247">
                  <c:v>35487</c:v>
                </c:pt>
                <c:pt idx="5248">
                  <c:v>35486</c:v>
                </c:pt>
                <c:pt idx="5249">
                  <c:v>35485</c:v>
                </c:pt>
                <c:pt idx="5250">
                  <c:v>35482</c:v>
                </c:pt>
                <c:pt idx="5251">
                  <c:v>35481</c:v>
                </c:pt>
                <c:pt idx="5252">
                  <c:v>35480</c:v>
                </c:pt>
                <c:pt idx="5253">
                  <c:v>35479</c:v>
                </c:pt>
                <c:pt idx="5254">
                  <c:v>35478</c:v>
                </c:pt>
                <c:pt idx="5255">
                  <c:v>35475</c:v>
                </c:pt>
                <c:pt idx="5256">
                  <c:v>35474</c:v>
                </c:pt>
                <c:pt idx="5257">
                  <c:v>35473</c:v>
                </c:pt>
                <c:pt idx="5258">
                  <c:v>35472</c:v>
                </c:pt>
                <c:pt idx="5259">
                  <c:v>35471</c:v>
                </c:pt>
                <c:pt idx="5260">
                  <c:v>35468</c:v>
                </c:pt>
                <c:pt idx="5261">
                  <c:v>35467</c:v>
                </c:pt>
                <c:pt idx="5262">
                  <c:v>35466</c:v>
                </c:pt>
                <c:pt idx="5263">
                  <c:v>35465</c:v>
                </c:pt>
                <c:pt idx="5264">
                  <c:v>35464</c:v>
                </c:pt>
                <c:pt idx="5265">
                  <c:v>35461</c:v>
                </c:pt>
                <c:pt idx="5266">
                  <c:v>35460</c:v>
                </c:pt>
                <c:pt idx="5267">
                  <c:v>35459</c:v>
                </c:pt>
                <c:pt idx="5268">
                  <c:v>35458</c:v>
                </c:pt>
                <c:pt idx="5269">
                  <c:v>35457</c:v>
                </c:pt>
                <c:pt idx="5270">
                  <c:v>35454</c:v>
                </c:pt>
                <c:pt idx="5271">
                  <c:v>35453</c:v>
                </c:pt>
                <c:pt idx="5272">
                  <c:v>35452</c:v>
                </c:pt>
                <c:pt idx="5273">
                  <c:v>35451</c:v>
                </c:pt>
                <c:pt idx="5274">
                  <c:v>35450</c:v>
                </c:pt>
                <c:pt idx="5275">
                  <c:v>35447</c:v>
                </c:pt>
                <c:pt idx="5276">
                  <c:v>35446</c:v>
                </c:pt>
                <c:pt idx="5277">
                  <c:v>35445</c:v>
                </c:pt>
                <c:pt idx="5278">
                  <c:v>35444</c:v>
                </c:pt>
                <c:pt idx="5279">
                  <c:v>35443</c:v>
                </c:pt>
                <c:pt idx="5280">
                  <c:v>35440</c:v>
                </c:pt>
                <c:pt idx="5281">
                  <c:v>35439</c:v>
                </c:pt>
                <c:pt idx="5282">
                  <c:v>35438</c:v>
                </c:pt>
                <c:pt idx="5283">
                  <c:v>35437</c:v>
                </c:pt>
                <c:pt idx="5284">
                  <c:v>35436</c:v>
                </c:pt>
                <c:pt idx="5285">
                  <c:v>35433</c:v>
                </c:pt>
                <c:pt idx="5286">
                  <c:v>35432</c:v>
                </c:pt>
                <c:pt idx="5287">
                  <c:v>35431</c:v>
                </c:pt>
                <c:pt idx="5288">
                  <c:v>35430</c:v>
                </c:pt>
                <c:pt idx="5289">
                  <c:v>35429</c:v>
                </c:pt>
                <c:pt idx="5290">
                  <c:v>35426</c:v>
                </c:pt>
                <c:pt idx="5291">
                  <c:v>35425</c:v>
                </c:pt>
                <c:pt idx="5292">
                  <c:v>35424</c:v>
                </c:pt>
                <c:pt idx="5293">
                  <c:v>35423</c:v>
                </c:pt>
                <c:pt idx="5294">
                  <c:v>35422</c:v>
                </c:pt>
                <c:pt idx="5295">
                  <c:v>35419</c:v>
                </c:pt>
                <c:pt idx="5296">
                  <c:v>35418</c:v>
                </c:pt>
                <c:pt idx="5297">
                  <c:v>35417</c:v>
                </c:pt>
                <c:pt idx="5298">
                  <c:v>35416</c:v>
                </c:pt>
                <c:pt idx="5299">
                  <c:v>35415</c:v>
                </c:pt>
                <c:pt idx="5300">
                  <c:v>35412</c:v>
                </c:pt>
                <c:pt idx="5301">
                  <c:v>35411</c:v>
                </c:pt>
                <c:pt idx="5302">
                  <c:v>35410</c:v>
                </c:pt>
                <c:pt idx="5303">
                  <c:v>35409</c:v>
                </c:pt>
                <c:pt idx="5304">
                  <c:v>35408</c:v>
                </c:pt>
                <c:pt idx="5305">
                  <c:v>35405</c:v>
                </c:pt>
                <c:pt idx="5306">
                  <c:v>35404</c:v>
                </c:pt>
                <c:pt idx="5307">
                  <c:v>35403</c:v>
                </c:pt>
                <c:pt idx="5308">
                  <c:v>35402</c:v>
                </c:pt>
                <c:pt idx="5309">
                  <c:v>35401</c:v>
                </c:pt>
                <c:pt idx="5310">
                  <c:v>35398</c:v>
                </c:pt>
                <c:pt idx="5311">
                  <c:v>35397</c:v>
                </c:pt>
                <c:pt idx="5312">
                  <c:v>35396</c:v>
                </c:pt>
                <c:pt idx="5313">
                  <c:v>35395</c:v>
                </c:pt>
                <c:pt idx="5314">
                  <c:v>35394</c:v>
                </c:pt>
                <c:pt idx="5315">
                  <c:v>35391</c:v>
                </c:pt>
                <c:pt idx="5316">
                  <c:v>35390</c:v>
                </c:pt>
                <c:pt idx="5317">
                  <c:v>35389</c:v>
                </c:pt>
                <c:pt idx="5318">
                  <c:v>35388</c:v>
                </c:pt>
                <c:pt idx="5319">
                  <c:v>35387</c:v>
                </c:pt>
                <c:pt idx="5320">
                  <c:v>35384</c:v>
                </c:pt>
                <c:pt idx="5321">
                  <c:v>35383</c:v>
                </c:pt>
                <c:pt idx="5322">
                  <c:v>35382</c:v>
                </c:pt>
                <c:pt idx="5323">
                  <c:v>35381</c:v>
                </c:pt>
                <c:pt idx="5324">
                  <c:v>35380</c:v>
                </c:pt>
                <c:pt idx="5325">
                  <c:v>35377</c:v>
                </c:pt>
                <c:pt idx="5326">
                  <c:v>35376</c:v>
                </c:pt>
                <c:pt idx="5327">
                  <c:v>35375</c:v>
                </c:pt>
                <c:pt idx="5328">
                  <c:v>35374</c:v>
                </c:pt>
                <c:pt idx="5329">
                  <c:v>35373</c:v>
                </c:pt>
                <c:pt idx="5330">
                  <c:v>35370</c:v>
                </c:pt>
                <c:pt idx="5331">
                  <c:v>35369</c:v>
                </c:pt>
                <c:pt idx="5332">
                  <c:v>35368</c:v>
                </c:pt>
                <c:pt idx="5333">
                  <c:v>35367</c:v>
                </c:pt>
                <c:pt idx="5334">
                  <c:v>35366</c:v>
                </c:pt>
                <c:pt idx="5335">
                  <c:v>35363</c:v>
                </c:pt>
                <c:pt idx="5336">
                  <c:v>35362</c:v>
                </c:pt>
                <c:pt idx="5337">
                  <c:v>35361</c:v>
                </c:pt>
                <c:pt idx="5338">
                  <c:v>35360</c:v>
                </c:pt>
                <c:pt idx="5339">
                  <c:v>35359</c:v>
                </c:pt>
                <c:pt idx="5340">
                  <c:v>35356</c:v>
                </c:pt>
                <c:pt idx="5341">
                  <c:v>35355</c:v>
                </c:pt>
                <c:pt idx="5342">
                  <c:v>35354</c:v>
                </c:pt>
                <c:pt idx="5343">
                  <c:v>35353</c:v>
                </c:pt>
                <c:pt idx="5344">
                  <c:v>35352</c:v>
                </c:pt>
                <c:pt idx="5345">
                  <c:v>35349</c:v>
                </c:pt>
                <c:pt idx="5346">
                  <c:v>35348</c:v>
                </c:pt>
                <c:pt idx="5347">
                  <c:v>35347</c:v>
                </c:pt>
                <c:pt idx="5348">
                  <c:v>35346</c:v>
                </c:pt>
                <c:pt idx="5349">
                  <c:v>35345</c:v>
                </c:pt>
                <c:pt idx="5350">
                  <c:v>35342</c:v>
                </c:pt>
                <c:pt idx="5351">
                  <c:v>35341</c:v>
                </c:pt>
                <c:pt idx="5352">
                  <c:v>35340</c:v>
                </c:pt>
                <c:pt idx="5353">
                  <c:v>35339</c:v>
                </c:pt>
                <c:pt idx="5354">
                  <c:v>35338</c:v>
                </c:pt>
                <c:pt idx="5355">
                  <c:v>35335</c:v>
                </c:pt>
                <c:pt idx="5356">
                  <c:v>35334</c:v>
                </c:pt>
                <c:pt idx="5357">
                  <c:v>35333</c:v>
                </c:pt>
                <c:pt idx="5358">
                  <c:v>35332</c:v>
                </c:pt>
                <c:pt idx="5359">
                  <c:v>35331</c:v>
                </c:pt>
                <c:pt idx="5360">
                  <c:v>35328</c:v>
                </c:pt>
                <c:pt idx="5361">
                  <c:v>35327</c:v>
                </c:pt>
                <c:pt idx="5362">
                  <c:v>35326</c:v>
                </c:pt>
                <c:pt idx="5363">
                  <c:v>35325</c:v>
                </c:pt>
                <c:pt idx="5364">
                  <c:v>35324</c:v>
                </c:pt>
                <c:pt idx="5365">
                  <c:v>35321</c:v>
                </c:pt>
                <c:pt idx="5366">
                  <c:v>35320</c:v>
                </c:pt>
                <c:pt idx="5367">
                  <c:v>35319</c:v>
                </c:pt>
                <c:pt idx="5368">
                  <c:v>35318</c:v>
                </c:pt>
                <c:pt idx="5369">
                  <c:v>35317</c:v>
                </c:pt>
                <c:pt idx="5370">
                  <c:v>35314</c:v>
                </c:pt>
                <c:pt idx="5371">
                  <c:v>35313</c:v>
                </c:pt>
                <c:pt idx="5372">
                  <c:v>35312</c:v>
                </c:pt>
                <c:pt idx="5373">
                  <c:v>35311</c:v>
                </c:pt>
                <c:pt idx="5374">
                  <c:v>35310</c:v>
                </c:pt>
                <c:pt idx="5375">
                  <c:v>35307</c:v>
                </c:pt>
                <c:pt idx="5376">
                  <c:v>35306</c:v>
                </c:pt>
                <c:pt idx="5377">
                  <c:v>35305</c:v>
                </c:pt>
                <c:pt idx="5378">
                  <c:v>35304</c:v>
                </c:pt>
                <c:pt idx="5379">
                  <c:v>35303</c:v>
                </c:pt>
                <c:pt idx="5380">
                  <c:v>35300</c:v>
                </c:pt>
                <c:pt idx="5381">
                  <c:v>35299</c:v>
                </c:pt>
                <c:pt idx="5382">
                  <c:v>35298</c:v>
                </c:pt>
                <c:pt idx="5383">
                  <c:v>35297</c:v>
                </c:pt>
                <c:pt idx="5384">
                  <c:v>35296</c:v>
                </c:pt>
                <c:pt idx="5385">
                  <c:v>35293</c:v>
                </c:pt>
                <c:pt idx="5386">
                  <c:v>35292</c:v>
                </c:pt>
                <c:pt idx="5387">
                  <c:v>35291</c:v>
                </c:pt>
                <c:pt idx="5388">
                  <c:v>35290</c:v>
                </c:pt>
                <c:pt idx="5389">
                  <c:v>35289</c:v>
                </c:pt>
                <c:pt idx="5390">
                  <c:v>35286</c:v>
                </c:pt>
                <c:pt idx="5391">
                  <c:v>35285</c:v>
                </c:pt>
                <c:pt idx="5392">
                  <c:v>35284</c:v>
                </c:pt>
                <c:pt idx="5393">
                  <c:v>35283</c:v>
                </c:pt>
                <c:pt idx="5394">
                  <c:v>35282</c:v>
                </c:pt>
                <c:pt idx="5395">
                  <c:v>35279</c:v>
                </c:pt>
                <c:pt idx="5396">
                  <c:v>35278</c:v>
                </c:pt>
                <c:pt idx="5397">
                  <c:v>35277</c:v>
                </c:pt>
                <c:pt idx="5398">
                  <c:v>35276</c:v>
                </c:pt>
                <c:pt idx="5399">
                  <c:v>35275</c:v>
                </c:pt>
                <c:pt idx="5400">
                  <c:v>35272</c:v>
                </c:pt>
                <c:pt idx="5401">
                  <c:v>35271</c:v>
                </c:pt>
                <c:pt idx="5402">
                  <c:v>35270</c:v>
                </c:pt>
                <c:pt idx="5403">
                  <c:v>35269</c:v>
                </c:pt>
                <c:pt idx="5404">
                  <c:v>35268</c:v>
                </c:pt>
                <c:pt idx="5405">
                  <c:v>35265</c:v>
                </c:pt>
                <c:pt idx="5406">
                  <c:v>35264</c:v>
                </c:pt>
                <c:pt idx="5407">
                  <c:v>35263</c:v>
                </c:pt>
                <c:pt idx="5408">
                  <c:v>35262</c:v>
                </c:pt>
                <c:pt idx="5409">
                  <c:v>35261</c:v>
                </c:pt>
                <c:pt idx="5410">
                  <c:v>35258</c:v>
                </c:pt>
                <c:pt idx="5411">
                  <c:v>35257</c:v>
                </c:pt>
                <c:pt idx="5412">
                  <c:v>35256</c:v>
                </c:pt>
                <c:pt idx="5413">
                  <c:v>35255</c:v>
                </c:pt>
                <c:pt idx="5414">
                  <c:v>35254</c:v>
                </c:pt>
                <c:pt idx="5415">
                  <c:v>35251</c:v>
                </c:pt>
                <c:pt idx="5416">
                  <c:v>35250</c:v>
                </c:pt>
                <c:pt idx="5417">
                  <c:v>35249</c:v>
                </c:pt>
                <c:pt idx="5418">
                  <c:v>35248</c:v>
                </c:pt>
                <c:pt idx="5419">
                  <c:v>35247</c:v>
                </c:pt>
                <c:pt idx="5420">
                  <c:v>35244</c:v>
                </c:pt>
                <c:pt idx="5421">
                  <c:v>35243</c:v>
                </c:pt>
                <c:pt idx="5422">
                  <c:v>35242</c:v>
                </c:pt>
                <c:pt idx="5423">
                  <c:v>35241</c:v>
                </c:pt>
                <c:pt idx="5424">
                  <c:v>35240</c:v>
                </c:pt>
                <c:pt idx="5425">
                  <c:v>35237</c:v>
                </c:pt>
                <c:pt idx="5426">
                  <c:v>35236</c:v>
                </c:pt>
                <c:pt idx="5427">
                  <c:v>35235</c:v>
                </c:pt>
                <c:pt idx="5428">
                  <c:v>35234</c:v>
                </c:pt>
                <c:pt idx="5429">
                  <c:v>35233</c:v>
                </c:pt>
                <c:pt idx="5430">
                  <c:v>35230</c:v>
                </c:pt>
                <c:pt idx="5431">
                  <c:v>35229</c:v>
                </c:pt>
                <c:pt idx="5432">
                  <c:v>35228</c:v>
                </c:pt>
                <c:pt idx="5433">
                  <c:v>35227</c:v>
                </c:pt>
                <c:pt idx="5434">
                  <c:v>35226</c:v>
                </c:pt>
                <c:pt idx="5435">
                  <c:v>35223</c:v>
                </c:pt>
                <c:pt idx="5436">
                  <c:v>35222</c:v>
                </c:pt>
                <c:pt idx="5437">
                  <c:v>35221</c:v>
                </c:pt>
                <c:pt idx="5438">
                  <c:v>35220</c:v>
                </c:pt>
                <c:pt idx="5439">
                  <c:v>35219</c:v>
                </c:pt>
                <c:pt idx="5440">
                  <c:v>35216</c:v>
                </c:pt>
                <c:pt idx="5441">
                  <c:v>35215</c:v>
                </c:pt>
                <c:pt idx="5442">
                  <c:v>35214</c:v>
                </c:pt>
                <c:pt idx="5443">
                  <c:v>35213</c:v>
                </c:pt>
                <c:pt idx="5444">
                  <c:v>35212</c:v>
                </c:pt>
                <c:pt idx="5445">
                  <c:v>35209</c:v>
                </c:pt>
                <c:pt idx="5446">
                  <c:v>35208</c:v>
                </c:pt>
                <c:pt idx="5447">
                  <c:v>35207</c:v>
                </c:pt>
                <c:pt idx="5448">
                  <c:v>35206</c:v>
                </c:pt>
                <c:pt idx="5449">
                  <c:v>35205</c:v>
                </c:pt>
                <c:pt idx="5450">
                  <c:v>35202</c:v>
                </c:pt>
                <c:pt idx="5451">
                  <c:v>35201</c:v>
                </c:pt>
                <c:pt idx="5452">
                  <c:v>35200</c:v>
                </c:pt>
                <c:pt idx="5453">
                  <c:v>35199</c:v>
                </c:pt>
                <c:pt idx="5454">
                  <c:v>35198</c:v>
                </c:pt>
                <c:pt idx="5455">
                  <c:v>35195</c:v>
                </c:pt>
                <c:pt idx="5456">
                  <c:v>35194</c:v>
                </c:pt>
                <c:pt idx="5457">
                  <c:v>35193</c:v>
                </c:pt>
                <c:pt idx="5458">
                  <c:v>35192</c:v>
                </c:pt>
                <c:pt idx="5459">
                  <c:v>35191</c:v>
                </c:pt>
                <c:pt idx="5460">
                  <c:v>35188</c:v>
                </c:pt>
                <c:pt idx="5461">
                  <c:v>35187</c:v>
                </c:pt>
                <c:pt idx="5462">
                  <c:v>35186</c:v>
                </c:pt>
                <c:pt idx="5463">
                  <c:v>35185</c:v>
                </c:pt>
                <c:pt idx="5464">
                  <c:v>35184</c:v>
                </c:pt>
                <c:pt idx="5465">
                  <c:v>35181</c:v>
                </c:pt>
                <c:pt idx="5466">
                  <c:v>35180</c:v>
                </c:pt>
                <c:pt idx="5467">
                  <c:v>35179</c:v>
                </c:pt>
                <c:pt idx="5468">
                  <c:v>35178</c:v>
                </c:pt>
                <c:pt idx="5469">
                  <c:v>35177</c:v>
                </c:pt>
                <c:pt idx="5470">
                  <c:v>35174</c:v>
                </c:pt>
                <c:pt idx="5471">
                  <c:v>35173</c:v>
                </c:pt>
                <c:pt idx="5472">
                  <c:v>35172</c:v>
                </c:pt>
                <c:pt idx="5473">
                  <c:v>35171</c:v>
                </c:pt>
                <c:pt idx="5474">
                  <c:v>35170</c:v>
                </c:pt>
                <c:pt idx="5475">
                  <c:v>35167</c:v>
                </c:pt>
                <c:pt idx="5476">
                  <c:v>35166</c:v>
                </c:pt>
                <c:pt idx="5477">
                  <c:v>35165</c:v>
                </c:pt>
                <c:pt idx="5478">
                  <c:v>35164</c:v>
                </c:pt>
                <c:pt idx="5479">
                  <c:v>35163</c:v>
                </c:pt>
                <c:pt idx="5480">
                  <c:v>35160</c:v>
                </c:pt>
                <c:pt idx="5481">
                  <c:v>35159</c:v>
                </c:pt>
                <c:pt idx="5482">
                  <c:v>35158</c:v>
                </c:pt>
                <c:pt idx="5483">
                  <c:v>35157</c:v>
                </c:pt>
                <c:pt idx="5484">
                  <c:v>35156</c:v>
                </c:pt>
                <c:pt idx="5485">
                  <c:v>35153</c:v>
                </c:pt>
                <c:pt idx="5486">
                  <c:v>35152</c:v>
                </c:pt>
                <c:pt idx="5487">
                  <c:v>35151</c:v>
                </c:pt>
                <c:pt idx="5488">
                  <c:v>35150</c:v>
                </c:pt>
                <c:pt idx="5489">
                  <c:v>35149</c:v>
                </c:pt>
                <c:pt idx="5490">
                  <c:v>35146</c:v>
                </c:pt>
                <c:pt idx="5491">
                  <c:v>35145</c:v>
                </c:pt>
                <c:pt idx="5492">
                  <c:v>35144</c:v>
                </c:pt>
                <c:pt idx="5493">
                  <c:v>35143</c:v>
                </c:pt>
                <c:pt idx="5494">
                  <c:v>35142</c:v>
                </c:pt>
                <c:pt idx="5495">
                  <c:v>35139</c:v>
                </c:pt>
                <c:pt idx="5496">
                  <c:v>35138</c:v>
                </c:pt>
                <c:pt idx="5497">
                  <c:v>35137</c:v>
                </c:pt>
                <c:pt idx="5498">
                  <c:v>35136</c:v>
                </c:pt>
                <c:pt idx="5499">
                  <c:v>35135</c:v>
                </c:pt>
                <c:pt idx="5500">
                  <c:v>35132</c:v>
                </c:pt>
                <c:pt idx="5501">
                  <c:v>35131</c:v>
                </c:pt>
                <c:pt idx="5502">
                  <c:v>35130</c:v>
                </c:pt>
                <c:pt idx="5503">
                  <c:v>35129</c:v>
                </c:pt>
                <c:pt idx="5504">
                  <c:v>35128</c:v>
                </c:pt>
                <c:pt idx="5505">
                  <c:v>35125</c:v>
                </c:pt>
                <c:pt idx="5506">
                  <c:v>35124</c:v>
                </c:pt>
                <c:pt idx="5507">
                  <c:v>35123</c:v>
                </c:pt>
                <c:pt idx="5508">
                  <c:v>35122</c:v>
                </c:pt>
                <c:pt idx="5509">
                  <c:v>35121</c:v>
                </c:pt>
                <c:pt idx="5510">
                  <c:v>35118</c:v>
                </c:pt>
                <c:pt idx="5511">
                  <c:v>35117</c:v>
                </c:pt>
                <c:pt idx="5512">
                  <c:v>35116</c:v>
                </c:pt>
                <c:pt idx="5513">
                  <c:v>35115</c:v>
                </c:pt>
                <c:pt idx="5514">
                  <c:v>35114</c:v>
                </c:pt>
                <c:pt idx="5515">
                  <c:v>35111</c:v>
                </c:pt>
                <c:pt idx="5516">
                  <c:v>35110</c:v>
                </c:pt>
                <c:pt idx="5517">
                  <c:v>35109</c:v>
                </c:pt>
                <c:pt idx="5518">
                  <c:v>35108</c:v>
                </c:pt>
                <c:pt idx="5519">
                  <c:v>35107</c:v>
                </c:pt>
                <c:pt idx="5520">
                  <c:v>35104</c:v>
                </c:pt>
                <c:pt idx="5521">
                  <c:v>35103</c:v>
                </c:pt>
                <c:pt idx="5522">
                  <c:v>35102</c:v>
                </c:pt>
                <c:pt idx="5523">
                  <c:v>35101</c:v>
                </c:pt>
                <c:pt idx="5524">
                  <c:v>35100</c:v>
                </c:pt>
                <c:pt idx="5525">
                  <c:v>35097</c:v>
                </c:pt>
                <c:pt idx="5526">
                  <c:v>35096</c:v>
                </c:pt>
                <c:pt idx="5527">
                  <c:v>35095</c:v>
                </c:pt>
                <c:pt idx="5528">
                  <c:v>35094</c:v>
                </c:pt>
                <c:pt idx="5529">
                  <c:v>35093</c:v>
                </c:pt>
                <c:pt idx="5530">
                  <c:v>35090</c:v>
                </c:pt>
                <c:pt idx="5531">
                  <c:v>35089</c:v>
                </c:pt>
                <c:pt idx="5532">
                  <c:v>35088</c:v>
                </c:pt>
                <c:pt idx="5533">
                  <c:v>35087</c:v>
                </c:pt>
                <c:pt idx="5534">
                  <c:v>35086</c:v>
                </c:pt>
                <c:pt idx="5535">
                  <c:v>35083</c:v>
                </c:pt>
                <c:pt idx="5536">
                  <c:v>35082</c:v>
                </c:pt>
                <c:pt idx="5537">
                  <c:v>35081</c:v>
                </c:pt>
                <c:pt idx="5538">
                  <c:v>35080</c:v>
                </c:pt>
                <c:pt idx="5539">
                  <c:v>35079</c:v>
                </c:pt>
                <c:pt idx="5540">
                  <c:v>35076</c:v>
                </c:pt>
                <c:pt idx="5541">
                  <c:v>35075</c:v>
                </c:pt>
                <c:pt idx="5542">
                  <c:v>35074</c:v>
                </c:pt>
                <c:pt idx="5543">
                  <c:v>35073</c:v>
                </c:pt>
                <c:pt idx="5544">
                  <c:v>35072</c:v>
                </c:pt>
                <c:pt idx="5545">
                  <c:v>35069</c:v>
                </c:pt>
                <c:pt idx="5546">
                  <c:v>35068</c:v>
                </c:pt>
                <c:pt idx="5547">
                  <c:v>35067</c:v>
                </c:pt>
                <c:pt idx="5548">
                  <c:v>35066</c:v>
                </c:pt>
                <c:pt idx="5549">
                  <c:v>35065</c:v>
                </c:pt>
                <c:pt idx="5550">
                  <c:v>35062</c:v>
                </c:pt>
                <c:pt idx="5551">
                  <c:v>35061</c:v>
                </c:pt>
                <c:pt idx="5552">
                  <c:v>35060</c:v>
                </c:pt>
                <c:pt idx="5553">
                  <c:v>35059</c:v>
                </c:pt>
                <c:pt idx="5554">
                  <c:v>35058</c:v>
                </c:pt>
                <c:pt idx="5555">
                  <c:v>35055</c:v>
                </c:pt>
                <c:pt idx="5556">
                  <c:v>35054</c:v>
                </c:pt>
                <c:pt idx="5557">
                  <c:v>35053</c:v>
                </c:pt>
                <c:pt idx="5558">
                  <c:v>35052</c:v>
                </c:pt>
                <c:pt idx="5559">
                  <c:v>35051</c:v>
                </c:pt>
                <c:pt idx="5560">
                  <c:v>35048</c:v>
                </c:pt>
                <c:pt idx="5561">
                  <c:v>35047</c:v>
                </c:pt>
                <c:pt idx="5562">
                  <c:v>35046</c:v>
                </c:pt>
                <c:pt idx="5563">
                  <c:v>35045</c:v>
                </c:pt>
                <c:pt idx="5564">
                  <c:v>35044</c:v>
                </c:pt>
                <c:pt idx="5565">
                  <c:v>35041</c:v>
                </c:pt>
                <c:pt idx="5566">
                  <c:v>35040</c:v>
                </c:pt>
                <c:pt idx="5567">
                  <c:v>35039</c:v>
                </c:pt>
                <c:pt idx="5568">
                  <c:v>35038</c:v>
                </c:pt>
                <c:pt idx="5569">
                  <c:v>35037</c:v>
                </c:pt>
                <c:pt idx="5570">
                  <c:v>35034</c:v>
                </c:pt>
                <c:pt idx="5571">
                  <c:v>35033</c:v>
                </c:pt>
                <c:pt idx="5572">
                  <c:v>35032</c:v>
                </c:pt>
                <c:pt idx="5573">
                  <c:v>35031</c:v>
                </c:pt>
                <c:pt idx="5574">
                  <c:v>35030</c:v>
                </c:pt>
                <c:pt idx="5575">
                  <c:v>35027</c:v>
                </c:pt>
                <c:pt idx="5576">
                  <c:v>35026</c:v>
                </c:pt>
                <c:pt idx="5577">
                  <c:v>35025</c:v>
                </c:pt>
                <c:pt idx="5578">
                  <c:v>35024</c:v>
                </c:pt>
                <c:pt idx="5579">
                  <c:v>35023</c:v>
                </c:pt>
                <c:pt idx="5580">
                  <c:v>35020</c:v>
                </c:pt>
                <c:pt idx="5581">
                  <c:v>35019</c:v>
                </c:pt>
                <c:pt idx="5582">
                  <c:v>35018</c:v>
                </c:pt>
                <c:pt idx="5583">
                  <c:v>35017</c:v>
                </c:pt>
                <c:pt idx="5584">
                  <c:v>35016</c:v>
                </c:pt>
                <c:pt idx="5585">
                  <c:v>35013</c:v>
                </c:pt>
                <c:pt idx="5586">
                  <c:v>35012</c:v>
                </c:pt>
                <c:pt idx="5587">
                  <c:v>35011</c:v>
                </c:pt>
                <c:pt idx="5588">
                  <c:v>35010</c:v>
                </c:pt>
                <c:pt idx="5589">
                  <c:v>35009</c:v>
                </c:pt>
                <c:pt idx="5590">
                  <c:v>35006</c:v>
                </c:pt>
                <c:pt idx="5591">
                  <c:v>35005</c:v>
                </c:pt>
                <c:pt idx="5592">
                  <c:v>35004</c:v>
                </c:pt>
                <c:pt idx="5593">
                  <c:v>35003</c:v>
                </c:pt>
                <c:pt idx="5594">
                  <c:v>35002</c:v>
                </c:pt>
                <c:pt idx="5595">
                  <c:v>34999</c:v>
                </c:pt>
                <c:pt idx="5596">
                  <c:v>34998</c:v>
                </c:pt>
                <c:pt idx="5597">
                  <c:v>34997</c:v>
                </c:pt>
                <c:pt idx="5598">
                  <c:v>34996</c:v>
                </c:pt>
                <c:pt idx="5599">
                  <c:v>34995</c:v>
                </c:pt>
                <c:pt idx="5600">
                  <c:v>34992</c:v>
                </c:pt>
                <c:pt idx="5601">
                  <c:v>34991</c:v>
                </c:pt>
                <c:pt idx="5602">
                  <c:v>34990</c:v>
                </c:pt>
                <c:pt idx="5603">
                  <c:v>34989</c:v>
                </c:pt>
                <c:pt idx="5604">
                  <c:v>34988</c:v>
                </c:pt>
                <c:pt idx="5605">
                  <c:v>34985</c:v>
                </c:pt>
                <c:pt idx="5606">
                  <c:v>34984</c:v>
                </c:pt>
                <c:pt idx="5607">
                  <c:v>34983</c:v>
                </c:pt>
                <c:pt idx="5608">
                  <c:v>34982</c:v>
                </c:pt>
                <c:pt idx="5609">
                  <c:v>34981</c:v>
                </c:pt>
                <c:pt idx="5610">
                  <c:v>34978</c:v>
                </c:pt>
                <c:pt idx="5611">
                  <c:v>34977</c:v>
                </c:pt>
                <c:pt idx="5612">
                  <c:v>34976</c:v>
                </c:pt>
                <c:pt idx="5613">
                  <c:v>34975</c:v>
                </c:pt>
                <c:pt idx="5614">
                  <c:v>34974</c:v>
                </c:pt>
                <c:pt idx="5615">
                  <c:v>34971</c:v>
                </c:pt>
                <c:pt idx="5616">
                  <c:v>34970</c:v>
                </c:pt>
                <c:pt idx="5617">
                  <c:v>34969</c:v>
                </c:pt>
                <c:pt idx="5618">
                  <c:v>34968</c:v>
                </c:pt>
                <c:pt idx="5619">
                  <c:v>34967</c:v>
                </c:pt>
                <c:pt idx="5620">
                  <c:v>34964</c:v>
                </c:pt>
                <c:pt idx="5621">
                  <c:v>34963</c:v>
                </c:pt>
                <c:pt idx="5622">
                  <c:v>34962</c:v>
                </c:pt>
                <c:pt idx="5623">
                  <c:v>34961</c:v>
                </c:pt>
                <c:pt idx="5624">
                  <c:v>34960</c:v>
                </c:pt>
                <c:pt idx="5625">
                  <c:v>34957</c:v>
                </c:pt>
                <c:pt idx="5626">
                  <c:v>34956</c:v>
                </c:pt>
                <c:pt idx="5627">
                  <c:v>34955</c:v>
                </c:pt>
                <c:pt idx="5628">
                  <c:v>34954</c:v>
                </c:pt>
                <c:pt idx="5629">
                  <c:v>34953</c:v>
                </c:pt>
                <c:pt idx="5630">
                  <c:v>34950</c:v>
                </c:pt>
                <c:pt idx="5631">
                  <c:v>34949</c:v>
                </c:pt>
                <c:pt idx="5632">
                  <c:v>34948</c:v>
                </c:pt>
                <c:pt idx="5633">
                  <c:v>34947</c:v>
                </c:pt>
                <c:pt idx="5634">
                  <c:v>34946</c:v>
                </c:pt>
                <c:pt idx="5635">
                  <c:v>34943</c:v>
                </c:pt>
                <c:pt idx="5636">
                  <c:v>34942</c:v>
                </c:pt>
                <c:pt idx="5637">
                  <c:v>34941</c:v>
                </c:pt>
                <c:pt idx="5638">
                  <c:v>34940</c:v>
                </c:pt>
                <c:pt idx="5639">
                  <c:v>34939</c:v>
                </c:pt>
                <c:pt idx="5640">
                  <c:v>34936</c:v>
                </c:pt>
                <c:pt idx="5641">
                  <c:v>34935</c:v>
                </c:pt>
                <c:pt idx="5642">
                  <c:v>34934</c:v>
                </c:pt>
                <c:pt idx="5643">
                  <c:v>34933</c:v>
                </c:pt>
                <c:pt idx="5644">
                  <c:v>34932</c:v>
                </c:pt>
                <c:pt idx="5645">
                  <c:v>34929</c:v>
                </c:pt>
                <c:pt idx="5646">
                  <c:v>34928</c:v>
                </c:pt>
                <c:pt idx="5647">
                  <c:v>34927</c:v>
                </c:pt>
                <c:pt idx="5648">
                  <c:v>34926</c:v>
                </c:pt>
                <c:pt idx="5649">
                  <c:v>34925</c:v>
                </c:pt>
                <c:pt idx="5650">
                  <c:v>34922</c:v>
                </c:pt>
                <c:pt idx="5651">
                  <c:v>34921</c:v>
                </c:pt>
                <c:pt idx="5652">
                  <c:v>34920</c:v>
                </c:pt>
                <c:pt idx="5653">
                  <c:v>34919</c:v>
                </c:pt>
                <c:pt idx="5654">
                  <c:v>34918</c:v>
                </c:pt>
                <c:pt idx="5655">
                  <c:v>34915</c:v>
                </c:pt>
                <c:pt idx="5656">
                  <c:v>34914</c:v>
                </c:pt>
                <c:pt idx="5657">
                  <c:v>34913</c:v>
                </c:pt>
                <c:pt idx="5658">
                  <c:v>34912</c:v>
                </c:pt>
                <c:pt idx="5659">
                  <c:v>34911</c:v>
                </c:pt>
                <c:pt idx="5660">
                  <c:v>34908</c:v>
                </c:pt>
                <c:pt idx="5661">
                  <c:v>34907</c:v>
                </c:pt>
                <c:pt idx="5662">
                  <c:v>34906</c:v>
                </c:pt>
                <c:pt idx="5663">
                  <c:v>34905</c:v>
                </c:pt>
                <c:pt idx="5664">
                  <c:v>34904</c:v>
                </c:pt>
              </c:numCache>
            </c:numRef>
          </c:cat>
          <c:val>
            <c:numRef>
              <c:f>'Stock Returns'!$D$2:$D$5666</c:f>
              <c:numCache>
                <c:formatCode>0.00</c:formatCode>
                <c:ptCount val="5665"/>
                <c:pt idx="0">
                  <c:v>4456.5523199999998</c:v>
                </c:pt>
                <c:pt idx="1">
                  <c:v>4484.6098000000002</c:v>
                </c:pt>
                <c:pt idx="2">
                  <c:v>4475.7741599999999</c:v>
                </c:pt>
                <c:pt idx="3">
                  <c:v>4577.2666799999997</c:v>
                </c:pt>
                <c:pt idx="4">
                  <c:v>4540.42893</c:v>
                </c:pt>
                <c:pt idx="5">
                  <c:v>4613.1795899999997</c:v>
                </c:pt>
                <c:pt idx="6">
                  <c:v>4674.4022100000002</c:v>
                </c:pt>
                <c:pt idx="7">
                  <c:v>4659.4570300000005</c:v>
                </c:pt>
                <c:pt idx="8">
                  <c:v>4696.14545</c:v>
                </c:pt>
                <c:pt idx="9">
                  <c:v>4685.06484</c:v>
                </c:pt>
                <c:pt idx="10">
                  <c:v>4545.8936300000005</c:v>
                </c:pt>
                <c:pt idx="11">
                  <c:v>4542.8169600000001</c:v>
                </c:pt>
                <c:pt idx="12">
                  <c:v>4508.2915199999998</c:v>
                </c:pt>
                <c:pt idx="13">
                  <c:v>4451.5811999999996</c:v>
                </c:pt>
                <c:pt idx="14">
                  <c:v>4549.7005399999998</c:v>
                </c:pt>
                <c:pt idx="15">
                  <c:v>4417.3149999999996</c:v>
                </c:pt>
                <c:pt idx="16">
                  <c:v>4452.6008999999995</c:v>
                </c:pt>
                <c:pt idx="17">
                  <c:v>4431.75569</c:v>
                </c:pt>
                <c:pt idx="18">
                  <c:v>4502.0404799999997</c:v>
                </c:pt>
                <c:pt idx="19">
                  <c:v>4506.0854399999998</c:v>
                </c:pt>
                <c:pt idx="20">
                  <c:v>4546.5926399999998</c:v>
                </c:pt>
                <c:pt idx="21">
                  <c:v>4510.9507799999992</c:v>
                </c:pt>
                <c:pt idx="22">
                  <c:v>4553.1954900000001</c:v>
                </c:pt>
                <c:pt idx="23">
                  <c:v>4553.3184000000001</c:v>
                </c:pt>
                <c:pt idx="24">
                  <c:v>4561.9528499999997</c:v>
                </c:pt>
                <c:pt idx="25">
                  <c:v>4585.8958599999996</c:v>
                </c:pt>
                <c:pt idx="26">
                  <c:v>4572.0878000000002</c:v>
                </c:pt>
                <c:pt idx="27">
                  <c:v>4598.7871999999998</c:v>
                </c:pt>
                <c:pt idx="28">
                  <c:v>4600.5092999999997</c:v>
                </c:pt>
                <c:pt idx="29">
                  <c:v>4618.2652399999997</c:v>
                </c:pt>
                <c:pt idx="30">
                  <c:v>4585.8506399999997</c:v>
                </c:pt>
                <c:pt idx="31">
                  <c:v>4558.2654199999997</c:v>
                </c:pt>
                <c:pt idx="32">
                  <c:v>4597.3080899999995</c:v>
                </c:pt>
                <c:pt idx="33">
                  <c:v>4588.5642499999994</c:v>
                </c:pt>
                <c:pt idx="34">
                  <c:v>4483.4541600000002</c:v>
                </c:pt>
                <c:pt idx="35">
                  <c:v>4546.0508000000009</c:v>
                </c:pt>
                <c:pt idx="36">
                  <c:v>4544.1900400000004</c:v>
                </c:pt>
                <c:pt idx="37">
                  <c:v>4534.4590200000002</c:v>
                </c:pt>
                <c:pt idx="38">
                  <c:v>4565.3648800000001</c:v>
                </c:pt>
                <c:pt idx="39">
                  <c:v>4555.8240000000005</c:v>
                </c:pt>
                <c:pt idx="40">
                  <c:v>4530.5586600000006</c:v>
                </c:pt>
                <c:pt idx="41">
                  <c:v>4446.6353399999998</c:v>
                </c:pt>
                <c:pt idx="42">
                  <c:v>4391.6717099999996</c:v>
                </c:pt>
                <c:pt idx="43">
                  <c:v>4364.4623000000001</c:v>
                </c:pt>
                <c:pt idx="44">
                  <c:v>4319.14725</c:v>
                </c:pt>
                <c:pt idx="45">
                  <c:v>4310.6386400000001</c:v>
                </c:pt>
                <c:pt idx="46">
                  <c:v>4298.5252799999998</c:v>
                </c:pt>
                <c:pt idx="47">
                  <c:v>4273.2480599999999</c:v>
                </c:pt>
                <c:pt idx="48">
                  <c:v>4272.6978799999997</c:v>
                </c:pt>
                <c:pt idx="49">
                  <c:v>4180.3688699999993</c:v>
                </c:pt>
                <c:pt idx="50">
                  <c:v>4195.5258599999997</c:v>
                </c:pt>
                <c:pt idx="51">
                  <c:v>4137.88292</c:v>
                </c:pt>
                <c:pt idx="52">
                  <c:v>4124.1088800000007</c:v>
                </c:pt>
                <c:pt idx="53">
                  <c:v>4129.1366399999997</c:v>
                </c:pt>
                <c:pt idx="54">
                  <c:v>4156.8925799999997</c:v>
                </c:pt>
                <c:pt idx="55">
                  <c:v>4172.59584</c:v>
                </c:pt>
                <c:pt idx="56">
                  <c:v>4192.4257899999993</c:v>
                </c:pt>
                <c:pt idx="57">
                  <c:v>4207.4729299999999</c:v>
                </c:pt>
                <c:pt idx="58">
                  <c:v>4264.8076799999999</c:v>
                </c:pt>
                <c:pt idx="59">
                  <c:v>4187.3451500000001</c:v>
                </c:pt>
                <c:pt idx="60">
                  <c:v>4154.3936000000003</c:v>
                </c:pt>
                <c:pt idx="61">
                  <c:v>4166.30368</c:v>
                </c:pt>
                <c:pt idx="62">
                  <c:v>4245.7837</c:v>
                </c:pt>
                <c:pt idx="63">
                  <c:v>4292.7302299999992</c:v>
                </c:pt>
                <c:pt idx="64">
                  <c:v>4284.4297999999999</c:v>
                </c:pt>
                <c:pt idx="65">
                  <c:v>4289.9472000000005</c:v>
                </c:pt>
                <c:pt idx="66">
                  <c:v>4300.7646599999998</c:v>
                </c:pt>
                <c:pt idx="67">
                  <c:v>4265.4311499999994</c:v>
                </c:pt>
                <c:pt idx="68">
                  <c:v>4255.2157199999992</c:v>
                </c:pt>
                <c:pt idx="69">
                  <c:v>4365.0281999999997</c:v>
                </c:pt>
                <c:pt idx="70">
                  <c:v>4322.6644200000001</c:v>
                </c:pt>
                <c:pt idx="71">
                  <c:v>4253.5760399999999</c:v>
                </c:pt>
                <c:pt idx="72">
                  <c:v>4229.66086</c:v>
                </c:pt>
                <c:pt idx="73">
                  <c:v>4238.7972099999997</c:v>
                </c:pt>
                <c:pt idx="74">
                  <c:v>4264.5300300000008</c:v>
                </c:pt>
                <c:pt idx="75">
                  <c:v>4291.0331600000009</c:v>
                </c:pt>
                <c:pt idx="76">
                  <c:v>4300.4050999999999</c:v>
                </c:pt>
                <c:pt idx="77">
                  <c:v>4280.826</c:v>
                </c:pt>
                <c:pt idx="78">
                  <c:v>4315.9658999999992</c:v>
                </c:pt>
                <c:pt idx="79">
                  <c:v>4348.8235599999998</c:v>
                </c:pt>
                <c:pt idx="80">
                  <c:v>4385.6166000000003</c:v>
                </c:pt>
                <c:pt idx="81">
                  <c:v>4403.4897600000004</c:v>
                </c:pt>
                <c:pt idx="82">
                  <c:v>4361.7472800000005</c:v>
                </c:pt>
                <c:pt idx="83">
                  <c:v>4282.60617</c:v>
                </c:pt>
                <c:pt idx="84">
                  <c:v>4206.25929</c:v>
                </c:pt>
                <c:pt idx="85">
                  <c:v>4290.2475000000004</c:v>
                </c:pt>
                <c:pt idx="86">
                  <c:v>4317.6442799999995</c:v>
                </c:pt>
                <c:pt idx="87">
                  <c:v>4352.57492</c:v>
                </c:pt>
                <c:pt idx="88">
                  <c:v>4314.7862400000004</c:v>
                </c:pt>
                <c:pt idx="89">
                  <c:v>4339.3047400000005</c:v>
                </c:pt>
                <c:pt idx="90">
                  <c:v>4336.7956800000002</c:v>
                </c:pt>
                <c:pt idx="91">
                  <c:v>4338.5508200000004</c:v>
                </c:pt>
                <c:pt idx="92">
                  <c:v>4392.75216</c:v>
                </c:pt>
                <c:pt idx="93">
                  <c:v>4388.8761599999998</c:v>
                </c:pt>
                <c:pt idx="94">
                  <c:v>4391.7025000000003</c:v>
                </c:pt>
                <c:pt idx="95">
                  <c:v>4421.8010100000001</c:v>
                </c:pt>
                <c:pt idx="96">
                  <c:v>4416.7510499999999</c:v>
                </c:pt>
                <c:pt idx="97">
                  <c:v>4428.9351699999997</c:v>
                </c:pt>
                <c:pt idx="98">
                  <c:v>4472.1612599999999</c:v>
                </c:pt>
                <c:pt idx="99">
                  <c:v>4482.7259999999997</c:v>
                </c:pt>
                <c:pt idx="100">
                  <c:v>4505.869200000001</c:v>
                </c:pt>
                <c:pt idx="101">
                  <c:v>4486.3702800000001</c:v>
                </c:pt>
                <c:pt idx="102">
                  <c:v>4491.5705999999991</c:v>
                </c:pt>
                <c:pt idx="103">
                  <c:v>4492.6466099999998</c:v>
                </c:pt>
                <c:pt idx="104">
                  <c:v>4498.5866099999994</c:v>
                </c:pt>
                <c:pt idx="105">
                  <c:v>4488.7045200000002</c:v>
                </c:pt>
                <c:pt idx="106">
                  <c:v>4503.0792600000004</c:v>
                </c:pt>
                <c:pt idx="107">
                  <c:v>4473.6512400000001</c:v>
                </c:pt>
                <c:pt idx="108">
                  <c:v>4475.4940800000004</c:v>
                </c:pt>
                <c:pt idx="109">
                  <c:v>4498.7619000000004</c:v>
                </c:pt>
                <c:pt idx="110">
                  <c:v>4465.0649999999996</c:v>
                </c:pt>
                <c:pt idx="111">
                  <c:v>4437.8276400000004</c:v>
                </c:pt>
                <c:pt idx="112">
                  <c:v>4489.1476499999999</c:v>
                </c:pt>
                <c:pt idx="113">
                  <c:v>4419.75</c:v>
                </c:pt>
                <c:pt idx="114">
                  <c:v>4415.1019999999999</c:v>
                </c:pt>
                <c:pt idx="115">
                  <c:v>4380.2555299999995</c:v>
                </c:pt>
                <c:pt idx="116">
                  <c:v>4371.0258199999998</c:v>
                </c:pt>
                <c:pt idx="117">
                  <c:v>4368.0111200000001</c:v>
                </c:pt>
                <c:pt idx="118">
                  <c:v>4365.8841599999996</c:v>
                </c:pt>
                <c:pt idx="119">
                  <c:v>4327.5267000000003</c:v>
                </c:pt>
                <c:pt idx="120">
                  <c:v>4389.3018000000002</c:v>
                </c:pt>
                <c:pt idx="121">
                  <c:v>4488.9532499999996</c:v>
                </c:pt>
                <c:pt idx="122">
                  <c:v>4416.8435100000006</c:v>
                </c:pt>
                <c:pt idx="123">
                  <c:v>4493.1552599999995</c:v>
                </c:pt>
                <c:pt idx="124">
                  <c:v>4504.7871899999991</c:v>
                </c:pt>
                <c:pt idx="125">
                  <c:v>4529.5109400000001</c:v>
                </c:pt>
                <c:pt idx="126">
                  <c:v>4518.4083300000002</c:v>
                </c:pt>
                <c:pt idx="127">
                  <c:v>4567.0564199999999</c:v>
                </c:pt>
                <c:pt idx="128">
                  <c:v>4546.5151999999998</c:v>
                </c:pt>
                <c:pt idx="129">
                  <c:v>4569.3256000000001</c:v>
                </c:pt>
                <c:pt idx="130">
                  <c:v>4604.5924399999994</c:v>
                </c:pt>
                <c:pt idx="131">
                  <c:v>4664.2145200000004</c:v>
                </c:pt>
                <c:pt idx="132">
                  <c:v>4632.3268600000001</c:v>
                </c:pt>
                <c:pt idx="133">
                  <c:v>4653.71101</c:v>
                </c:pt>
                <c:pt idx="134">
                  <c:v>4669.0277999999998</c:v>
                </c:pt>
                <c:pt idx="135">
                  <c:v>4730.0568600000006</c:v>
                </c:pt>
                <c:pt idx="136">
                  <c:v>4736.6586800000005</c:v>
                </c:pt>
                <c:pt idx="137">
                  <c:v>4728.6838500000003</c:v>
                </c:pt>
                <c:pt idx="138">
                  <c:v>4763.6359199999997</c:v>
                </c:pt>
                <c:pt idx="139">
                  <c:v>4763.5870500000001</c:v>
                </c:pt>
                <c:pt idx="140">
                  <c:v>4815.3756600000006</c:v>
                </c:pt>
                <c:pt idx="141">
                  <c:v>4828.4346600000008</c:v>
                </c:pt>
                <c:pt idx="142">
                  <c:v>4812.2931900000003</c:v>
                </c:pt>
                <c:pt idx="143">
                  <c:v>4847.4687599999997</c:v>
                </c:pt>
                <c:pt idx="144">
                  <c:v>4812.951</c:v>
                </c:pt>
                <c:pt idx="145">
                  <c:v>4831.6781000000001</c:v>
                </c:pt>
                <c:pt idx="146">
                  <c:v>4820.9559300000001</c:v>
                </c:pt>
                <c:pt idx="147">
                  <c:v>4851.8025800000005</c:v>
                </c:pt>
                <c:pt idx="148">
                  <c:v>4950.62165</c:v>
                </c:pt>
                <c:pt idx="149">
                  <c:v>4891.1702400000004</c:v>
                </c:pt>
                <c:pt idx="150">
                  <c:v>4921.5373199999995</c:v>
                </c:pt>
                <c:pt idx="151">
                  <c:v>4947.2222400000001</c:v>
                </c:pt>
                <c:pt idx="152">
                  <c:v>4970.7955199999997</c:v>
                </c:pt>
                <c:pt idx="153">
                  <c:v>4972.9269600000007</c:v>
                </c:pt>
                <c:pt idx="154">
                  <c:v>4937.8628699999999</c:v>
                </c:pt>
                <c:pt idx="155">
                  <c:v>5001.4370400000007</c:v>
                </c:pt>
                <c:pt idx="156">
                  <c:v>4965.051449999999</c:v>
                </c:pt>
                <c:pt idx="157">
                  <c:v>4956.7576200000003</c:v>
                </c:pt>
                <c:pt idx="158">
                  <c:v>4945.5697199999995</c:v>
                </c:pt>
                <c:pt idx="159">
                  <c:v>4913.2957400000005</c:v>
                </c:pt>
                <c:pt idx="160">
                  <c:v>4873.4707499999995</c:v>
                </c:pt>
                <c:pt idx="161">
                  <c:v>4862.7053999999998</c:v>
                </c:pt>
                <c:pt idx="162">
                  <c:v>4836.94337</c:v>
                </c:pt>
                <c:pt idx="163">
                  <c:v>4852.2852199999998</c:v>
                </c:pt>
                <c:pt idx="164">
                  <c:v>4776.5120999999999</c:v>
                </c:pt>
                <c:pt idx="165">
                  <c:v>4752.6263200000003</c:v>
                </c:pt>
                <c:pt idx="166">
                  <c:v>4817.0695999999998</c:v>
                </c:pt>
                <c:pt idx="167">
                  <c:v>4833.4728000000005</c:v>
                </c:pt>
                <c:pt idx="168">
                  <c:v>4851.4012600000005</c:v>
                </c:pt>
                <c:pt idx="169">
                  <c:v>4825.0157199999994</c:v>
                </c:pt>
                <c:pt idx="170">
                  <c:v>4861.8499999999995</c:v>
                </c:pt>
                <c:pt idx="171">
                  <c:v>4883.7242999999999</c:v>
                </c:pt>
                <c:pt idx="172">
                  <c:v>4880.6772000000001</c:v>
                </c:pt>
                <c:pt idx="173">
                  <c:v>4850.7311999999993</c:v>
                </c:pt>
                <c:pt idx="174">
                  <c:v>4885.8023999999996</c:v>
                </c:pt>
                <c:pt idx="175">
                  <c:v>4933.5806000000002</c:v>
                </c:pt>
                <c:pt idx="176">
                  <c:v>4922.2930200000001</c:v>
                </c:pt>
                <c:pt idx="177">
                  <c:v>4888.5352199999998</c:v>
                </c:pt>
                <c:pt idx="178">
                  <c:v>4803.2694500000007</c:v>
                </c:pt>
                <c:pt idx="179">
                  <c:v>4805.3092599999991</c:v>
                </c:pt>
                <c:pt idx="180">
                  <c:v>4798.1965799999998</c:v>
                </c:pt>
                <c:pt idx="181">
                  <c:v>4857.5030399999996</c:v>
                </c:pt>
                <c:pt idx="182">
                  <c:v>4821.8629300000002</c:v>
                </c:pt>
                <c:pt idx="183">
                  <c:v>4814.1205500000005</c:v>
                </c:pt>
                <c:pt idx="184">
                  <c:v>4802.0828199999996</c:v>
                </c:pt>
                <c:pt idx="185">
                  <c:v>4793.2684800000006</c:v>
                </c:pt>
                <c:pt idx="186">
                  <c:v>4788.4537199999995</c:v>
                </c:pt>
                <c:pt idx="187">
                  <c:v>4778.0257499999998</c:v>
                </c:pt>
                <c:pt idx="188">
                  <c:v>4851.2452699999994</c:v>
                </c:pt>
                <c:pt idx="189">
                  <c:v>4886.9859499999993</c:v>
                </c:pt>
                <c:pt idx="190">
                  <c:v>4893.4925000000003</c:v>
                </c:pt>
                <c:pt idx="191">
                  <c:v>4873.9891199999993</c:v>
                </c:pt>
                <c:pt idx="192">
                  <c:v>4877.1275999999998</c:v>
                </c:pt>
                <c:pt idx="193">
                  <c:v>4795.3027999999995</c:v>
                </c:pt>
                <c:pt idx="194">
                  <c:v>4812.9643999999998</c:v>
                </c:pt>
                <c:pt idx="195">
                  <c:v>4891.3333300000004</c:v>
                </c:pt>
                <c:pt idx="196">
                  <c:v>4894.9199400000007</c:v>
                </c:pt>
                <c:pt idx="197">
                  <c:v>4905.0160000000005</c:v>
                </c:pt>
                <c:pt idx="198">
                  <c:v>4908.5348000000004</c:v>
                </c:pt>
                <c:pt idx="199">
                  <c:v>4916.14995</c:v>
                </c:pt>
                <c:pt idx="200">
                  <c:v>4896.5182500000001</c:v>
                </c:pt>
                <c:pt idx="201">
                  <c:v>4940.5186999999996</c:v>
                </c:pt>
                <c:pt idx="202">
                  <c:v>4895.0273799999995</c:v>
                </c:pt>
                <c:pt idx="203">
                  <c:v>4945.9610599999996</c:v>
                </c:pt>
                <c:pt idx="204">
                  <c:v>4983.1046100000003</c:v>
                </c:pt>
                <c:pt idx="205">
                  <c:v>5012.6897400000007</c:v>
                </c:pt>
                <c:pt idx="206">
                  <c:v>5084.0712000000003</c:v>
                </c:pt>
                <c:pt idx="207">
                  <c:v>5113.6704</c:v>
                </c:pt>
                <c:pt idx="208">
                  <c:v>5128.3907199999994</c:v>
                </c:pt>
                <c:pt idx="209">
                  <c:v>5099.0048000000006</c:v>
                </c:pt>
                <c:pt idx="210">
                  <c:v>5078.0645999999997</c:v>
                </c:pt>
                <c:pt idx="211">
                  <c:v>5048.9630400000005</c:v>
                </c:pt>
                <c:pt idx="212">
                  <c:v>5113.1080700000002</c:v>
                </c:pt>
                <c:pt idx="213">
                  <c:v>5146.0012500000003</c:v>
                </c:pt>
                <c:pt idx="214">
                  <c:v>5126.1502499999997</c:v>
                </c:pt>
                <c:pt idx="215">
                  <c:v>5151.3493500000004</c:v>
                </c:pt>
                <c:pt idx="216">
                  <c:v>5166.8265599999995</c:v>
                </c:pt>
                <c:pt idx="217">
                  <c:v>5145.1719499999999</c:v>
                </c:pt>
                <c:pt idx="218">
                  <c:v>5135.7244799999999</c:v>
                </c:pt>
                <c:pt idx="219">
                  <c:v>5095.1212800000003</c:v>
                </c:pt>
                <c:pt idx="220">
                  <c:v>5102.3348900000001</c:v>
                </c:pt>
                <c:pt idx="221">
                  <c:v>5050.8450600000006</c:v>
                </c:pt>
                <c:pt idx="222">
                  <c:v>5042.0560799999994</c:v>
                </c:pt>
                <c:pt idx="223">
                  <c:v>5025.5019000000002</c:v>
                </c:pt>
                <c:pt idx="224">
                  <c:v>5088.3472999999994</c:v>
                </c:pt>
                <c:pt idx="225">
                  <c:v>5135.5145199999997</c:v>
                </c:pt>
                <c:pt idx="226">
                  <c:v>5119.9897499999997</c:v>
                </c:pt>
                <c:pt idx="227">
                  <c:v>5123.7725799999998</c:v>
                </c:pt>
                <c:pt idx="228">
                  <c:v>5077.3639599999997</c:v>
                </c:pt>
                <c:pt idx="229">
                  <c:v>5088.9195199999995</c:v>
                </c:pt>
                <c:pt idx="230">
                  <c:v>5095.0670399999999</c:v>
                </c:pt>
                <c:pt idx="231">
                  <c:v>5037.3558599999997</c:v>
                </c:pt>
                <c:pt idx="232">
                  <c:v>5077.4208199999994</c:v>
                </c:pt>
                <c:pt idx="233">
                  <c:v>5067.8291599999993</c:v>
                </c:pt>
                <c:pt idx="234">
                  <c:v>5061.8419400000002</c:v>
                </c:pt>
                <c:pt idx="235">
                  <c:v>5053.2171200000003</c:v>
                </c:pt>
                <c:pt idx="236">
                  <c:v>5087.2978800000001</c:v>
                </c:pt>
                <c:pt idx="237">
                  <c:v>5126.1303800000005</c:v>
                </c:pt>
                <c:pt idx="238">
                  <c:v>5149.1266100000003</c:v>
                </c:pt>
                <c:pt idx="239">
                  <c:v>5160.4230000000007</c:v>
                </c:pt>
                <c:pt idx="240">
                  <c:v>5136.5200199999999</c:v>
                </c:pt>
                <c:pt idx="241">
                  <c:v>5101.2283000000007</c:v>
                </c:pt>
                <c:pt idx="242">
                  <c:v>5077.8602000000001</c:v>
                </c:pt>
                <c:pt idx="243">
                  <c:v>5041.4210300000004</c:v>
                </c:pt>
                <c:pt idx="244">
                  <c:v>5024.4965000000002</c:v>
                </c:pt>
                <c:pt idx="245">
                  <c:v>5029.3276499999993</c:v>
                </c:pt>
                <c:pt idx="246">
                  <c:v>5109.3983200000002</c:v>
                </c:pt>
                <c:pt idx="247">
                  <c:v>5151.9520000000002</c:v>
                </c:pt>
                <c:pt idx="248">
                  <c:v>5132.6937200000002</c:v>
                </c:pt>
                <c:pt idx="249">
                  <c:v>5082.7176400000008</c:v>
                </c:pt>
                <c:pt idx="250">
                  <c:v>5098.62266</c:v>
                </c:pt>
                <c:pt idx="251">
                  <c:v>5118.0386399999998</c:v>
                </c:pt>
                <c:pt idx="252">
                  <c:v>5078.2731299999996</c:v>
                </c:pt>
                <c:pt idx="253">
                  <c:v>5061.8114400000004</c:v>
                </c:pt>
                <c:pt idx="254">
                  <c:v>5062.6144800000002</c:v>
                </c:pt>
                <c:pt idx="255">
                  <c:v>5064.6382400000002</c:v>
                </c:pt>
                <c:pt idx="256">
                  <c:v>5038.4457199999997</c:v>
                </c:pt>
                <c:pt idx="257">
                  <c:v>4995.9233800000002</c:v>
                </c:pt>
                <c:pt idx="258">
                  <c:v>5038.0616000000009</c:v>
                </c:pt>
                <c:pt idx="259">
                  <c:v>4995.057600000001</c:v>
                </c:pt>
                <c:pt idx="260">
                  <c:v>5021.8084799999997</c:v>
                </c:pt>
                <c:pt idx="261">
                  <c:v>5009.8068499999999</c:v>
                </c:pt>
                <c:pt idx="262">
                  <c:v>4970.5365999999995</c:v>
                </c:pt>
                <c:pt idx="263">
                  <c:v>5028.37284</c:v>
                </c:pt>
                <c:pt idx="264">
                  <c:v>5015.9071000000004</c:v>
                </c:pt>
                <c:pt idx="265">
                  <c:v>5010.77448</c:v>
                </c:pt>
                <c:pt idx="266">
                  <c:v>5014.4324599999991</c:v>
                </c:pt>
                <c:pt idx="267">
                  <c:v>5072.6887200000001</c:v>
                </c:pt>
                <c:pt idx="268">
                  <c:v>5037.4575199999999</c:v>
                </c:pt>
                <c:pt idx="269">
                  <c:v>5068.3995600000007</c:v>
                </c:pt>
                <c:pt idx="270">
                  <c:v>5066.2462999999998</c:v>
                </c:pt>
                <c:pt idx="271">
                  <c:v>5107.2505000000001</c:v>
                </c:pt>
                <c:pt idx="272">
                  <c:v>5136.0282900000002</c:v>
                </c:pt>
                <c:pt idx="273">
                  <c:v>5171.7115199999998</c:v>
                </c:pt>
                <c:pt idx="274">
                  <c:v>5092.9286199999997</c:v>
                </c:pt>
                <c:pt idx="275">
                  <c:v>5068.2415900000005</c:v>
                </c:pt>
                <c:pt idx="276">
                  <c:v>5092.4025600000004</c:v>
                </c:pt>
                <c:pt idx="277">
                  <c:v>5098.6210799999999</c:v>
                </c:pt>
                <c:pt idx="278">
                  <c:v>5113.4984999999997</c:v>
                </c:pt>
                <c:pt idx="279">
                  <c:v>5109.9455200000002</c:v>
                </c:pt>
                <c:pt idx="280">
                  <c:v>5092.0272000000004</c:v>
                </c:pt>
                <c:pt idx="281">
                  <c:v>5124.3431399999999</c:v>
                </c:pt>
                <c:pt idx="282">
                  <c:v>5079.9847799999998</c:v>
                </c:pt>
                <c:pt idx="283">
                  <c:v>5075.0548799999997</c:v>
                </c:pt>
                <c:pt idx="284">
                  <c:v>5060.6035200000006</c:v>
                </c:pt>
                <c:pt idx="285">
                  <c:v>5058.8494199999996</c:v>
                </c:pt>
                <c:pt idx="286">
                  <c:v>5034.3863700000002</c:v>
                </c:pt>
                <c:pt idx="287">
                  <c:v>4955.1113500000001</c:v>
                </c:pt>
                <c:pt idx="288">
                  <c:v>4986.7149100000006</c:v>
                </c:pt>
                <c:pt idx="289">
                  <c:v>4933.4500499999995</c:v>
                </c:pt>
                <c:pt idx="290">
                  <c:v>4908.7740000000003</c:v>
                </c:pt>
                <c:pt idx="291">
                  <c:v>4856.5099999999993</c:v>
                </c:pt>
                <c:pt idx="292">
                  <c:v>4836.8576399999993</c:v>
                </c:pt>
                <c:pt idx="293">
                  <c:v>4756.9554600000001</c:v>
                </c:pt>
                <c:pt idx="294">
                  <c:v>4774.9632799999999</c:v>
                </c:pt>
                <c:pt idx="295">
                  <c:v>4848.0925499999994</c:v>
                </c:pt>
                <c:pt idx="296">
                  <c:v>4845.9030000000002</c:v>
                </c:pt>
                <c:pt idx="297">
                  <c:v>4840.4973000000009</c:v>
                </c:pt>
                <c:pt idx="298">
                  <c:v>4878.6570000000002</c:v>
                </c:pt>
                <c:pt idx="299">
                  <c:v>4826.8157700000002</c:v>
                </c:pt>
                <c:pt idx="300">
                  <c:v>4859.3624799999998</c:v>
                </c:pt>
                <c:pt idx="301">
                  <c:v>4871.9591</c:v>
                </c:pt>
                <c:pt idx="302">
                  <c:v>4911.7713400000002</c:v>
                </c:pt>
                <c:pt idx="303">
                  <c:v>4957.7618499999999</c:v>
                </c:pt>
                <c:pt idx="304">
                  <c:v>4926.4679999999998</c:v>
                </c:pt>
                <c:pt idx="305">
                  <c:v>4936.6093599999995</c:v>
                </c:pt>
                <c:pt idx="306">
                  <c:v>4944.3648300000004</c:v>
                </c:pt>
                <c:pt idx="307">
                  <c:v>4837.3078799999994</c:v>
                </c:pt>
                <c:pt idx="308">
                  <c:v>4828.3968000000004</c:v>
                </c:pt>
                <c:pt idx="309">
                  <c:v>4898.3677600000001</c:v>
                </c:pt>
                <c:pt idx="310">
                  <c:v>4908.6575999999995</c:v>
                </c:pt>
                <c:pt idx="311">
                  <c:v>4912.8238799999999</c:v>
                </c:pt>
                <c:pt idx="312">
                  <c:v>4905.0731999999998</c:v>
                </c:pt>
                <c:pt idx="313">
                  <c:v>4905.4641999999994</c:v>
                </c:pt>
                <c:pt idx="314">
                  <c:v>4916.4801699999998</c:v>
                </c:pt>
                <c:pt idx="315">
                  <c:v>4938.6773100000009</c:v>
                </c:pt>
                <c:pt idx="316">
                  <c:v>5010.39786</c:v>
                </c:pt>
                <c:pt idx="317">
                  <c:v>5009.1239799999994</c:v>
                </c:pt>
                <c:pt idx="318">
                  <c:v>5013.4291199999998</c:v>
                </c:pt>
                <c:pt idx="319">
                  <c:v>4981.76037</c:v>
                </c:pt>
                <c:pt idx="320">
                  <c:v>4991.05368</c:v>
                </c:pt>
                <c:pt idx="321">
                  <c:v>4955.3351599999996</c:v>
                </c:pt>
                <c:pt idx="322">
                  <c:v>4927.1741599999996</c:v>
                </c:pt>
                <c:pt idx="323">
                  <c:v>4870.2996400000002</c:v>
                </c:pt>
                <c:pt idx="324">
                  <c:v>4768.9303799999998</c:v>
                </c:pt>
                <c:pt idx="325">
                  <c:v>4775.57456</c:v>
                </c:pt>
                <c:pt idx="326">
                  <c:v>4767.9372800000001</c:v>
                </c:pt>
                <c:pt idx="327">
                  <c:v>4754.2579999999998</c:v>
                </c:pt>
                <c:pt idx="328">
                  <c:v>4733.9437500000004</c:v>
                </c:pt>
                <c:pt idx="329">
                  <c:v>4738.83212</c:v>
                </c:pt>
                <c:pt idx="330">
                  <c:v>4769.6602800000001</c:v>
                </c:pt>
                <c:pt idx="331">
                  <c:v>4771.4309999999996</c:v>
                </c:pt>
                <c:pt idx="332">
                  <c:v>4807.4220000000005</c:v>
                </c:pt>
                <c:pt idx="333">
                  <c:v>4820.1054000000004</c:v>
                </c:pt>
                <c:pt idx="334">
                  <c:v>4896.7233000000006</c:v>
                </c:pt>
                <c:pt idx="335">
                  <c:v>4875.0327500000003</c:v>
                </c:pt>
                <c:pt idx="336">
                  <c:v>4883.5375000000004</c:v>
                </c:pt>
                <c:pt idx="337">
                  <c:v>4932.2647100000004</c:v>
                </c:pt>
                <c:pt idx="338">
                  <c:v>4944.8961000000008</c:v>
                </c:pt>
                <c:pt idx="339">
                  <c:v>4943.5982999999997</c:v>
                </c:pt>
                <c:pt idx="340">
                  <c:v>4966.4746999999998</c:v>
                </c:pt>
                <c:pt idx="341">
                  <c:v>4973.2864800000007</c:v>
                </c:pt>
                <c:pt idx="342">
                  <c:v>5000.80548</c:v>
                </c:pt>
                <c:pt idx="343">
                  <c:v>4937.1568800000005</c:v>
                </c:pt>
                <c:pt idx="344">
                  <c:v>4952.6148700000003</c:v>
                </c:pt>
                <c:pt idx="345">
                  <c:v>4991.04396</c:v>
                </c:pt>
                <c:pt idx="346">
                  <c:v>5020.6942799999997</c:v>
                </c:pt>
                <c:pt idx="347">
                  <c:v>5038.7057599999998</c:v>
                </c:pt>
                <c:pt idx="348">
                  <c:v>5020.1519600000001</c:v>
                </c:pt>
                <c:pt idx="349">
                  <c:v>4968.1328000000003</c:v>
                </c:pt>
                <c:pt idx="350">
                  <c:v>5074.9071000000004</c:v>
                </c:pt>
                <c:pt idx="351">
                  <c:v>5052.5610900000001</c:v>
                </c:pt>
                <c:pt idx="352">
                  <c:v>5072.3374400000002</c:v>
                </c:pt>
                <c:pt idx="353">
                  <c:v>5092.3424000000005</c:v>
                </c:pt>
                <c:pt idx="354">
                  <c:v>5114.2925600000008</c:v>
                </c:pt>
                <c:pt idx="355">
                  <c:v>5093.0432000000001</c:v>
                </c:pt>
                <c:pt idx="356">
                  <c:v>5039.57845</c:v>
                </c:pt>
                <c:pt idx="357">
                  <c:v>5012.8430400000007</c:v>
                </c:pt>
                <c:pt idx="358">
                  <c:v>5038.6618499999995</c:v>
                </c:pt>
                <c:pt idx="359">
                  <c:v>5042.5906499999992</c:v>
                </c:pt>
                <c:pt idx="360">
                  <c:v>5028.2917500000003</c:v>
                </c:pt>
                <c:pt idx="361">
                  <c:v>5024.5887599999996</c:v>
                </c:pt>
                <c:pt idx="362">
                  <c:v>4980.1729800000003</c:v>
                </c:pt>
                <c:pt idx="363">
                  <c:v>4967.78334</c:v>
                </c:pt>
                <c:pt idx="364">
                  <c:v>4961.3554300000005</c:v>
                </c:pt>
                <c:pt idx="365">
                  <c:v>4974.4159799999998</c:v>
                </c:pt>
                <c:pt idx="366">
                  <c:v>4947.2039199999999</c:v>
                </c:pt>
                <c:pt idx="367">
                  <c:v>4919.1945999999998</c:v>
                </c:pt>
                <c:pt idx="368">
                  <c:v>4895.8487700000005</c:v>
                </c:pt>
                <c:pt idx="369">
                  <c:v>4850.2886399999998</c:v>
                </c:pt>
                <c:pt idx="370">
                  <c:v>4816.809690000001</c:v>
                </c:pt>
                <c:pt idx="371">
                  <c:v>4754.8126999999995</c:v>
                </c:pt>
                <c:pt idx="372">
                  <c:v>4755.9342799999995</c:v>
                </c:pt>
                <c:pt idx="373">
                  <c:v>4673.5668000000005</c:v>
                </c:pt>
                <c:pt idx="374">
                  <c:v>4678.924</c:v>
                </c:pt>
                <c:pt idx="375">
                  <c:v>4652.9978399999991</c:v>
                </c:pt>
                <c:pt idx="376">
                  <c:v>4658.92497</c:v>
                </c:pt>
                <c:pt idx="377">
                  <c:v>4754.3832000000002</c:v>
                </c:pt>
                <c:pt idx="378">
                  <c:v>4754.8596699999998</c:v>
                </c:pt>
                <c:pt idx="379">
                  <c:v>4708.6436800000001</c:v>
                </c:pt>
                <c:pt idx="380">
                  <c:v>4700.6990400000004</c:v>
                </c:pt>
                <c:pt idx="381">
                  <c:v>4711.6229199999998</c:v>
                </c:pt>
                <c:pt idx="382">
                  <c:v>4791.2498800000003</c:v>
                </c:pt>
                <c:pt idx="383">
                  <c:v>4761.8733000000002</c:v>
                </c:pt>
                <c:pt idx="384">
                  <c:v>4725.62363</c:v>
                </c:pt>
                <c:pt idx="385">
                  <c:v>4724.9123399999999</c:v>
                </c:pt>
                <c:pt idx="386">
                  <c:v>4756.6639999999998</c:v>
                </c:pt>
                <c:pt idx="387">
                  <c:v>4781.2178699999995</c:v>
                </c:pt>
                <c:pt idx="388">
                  <c:v>4800.9909600000001</c:v>
                </c:pt>
                <c:pt idx="389">
                  <c:v>4769.2900500000005</c:v>
                </c:pt>
                <c:pt idx="390">
                  <c:v>4713.4771199999996</c:v>
                </c:pt>
                <c:pt idx="391">
                  <c:v>4696.4351999999999</c:v>
                </c:pt>
                <c:pt idx="392">
                  <c:v>4658.4930000000004</c:v>
                </c:pt>
                <c:pt idx="393">
                  <c:v>4668.9704999999994</c:v>
                </c:pt>
                <c:pt idx="394">
                  <c:v>4670.1316799999995</c:v>
                </c:pt>
                <c:pt idx="395">
                  <c:v>4639.9905200000003</c:v>
                </c:pt>
                <c:pt idx="396">
                  <c:v>4639.5150999999996</c:v>
                </c:pt>
                <c:pt idx="397">
                  <c:v>4610.9489999999996</c:v>
                </c:pt>
                <c:pt idx="398">
                  <c:v>4631.8497499999994</c:v>
                </c:pt>
                <c:pt idx="399">
                  <c:v>4664.5379199999998</c:v>
                </c:pt>
                <c:pt idx="400">
                  <c:v>4663.9485000000004</c:v>
                </c:pt>
                <c:pt idx="401">
                  <c:v>4655.9804199999999</c:v>
                </c:pt>
                <c:pt idx="402">
                  <c:v>4604.0410000000002</c:v>
                </c:pt>
                <c:pt idx="403">
                  <c:v>4586.215439999999</c:v>
                </c:pt>
                <c:pt idx="404">
                  <c:v>4575.4276799999998</c:v>
                </c:pt>
                <c:pt idx="405">
                  <c:v>4636.3341600000003</c:v>
                </c:pt>
                <c:pt idx="406">
                  <c:v>4639.8338999999996</c:v>
                </c:pt>
                <c:pt idx="407">
                  <c:v>4638.2140199999994</c:v>
                </c:pt>
                <c:pt idx="408">
                  <c:v>4582.3419599999997</c:v>
                </c:pt>
                <c:pt idx="409">
                  <c:v>4604.79</c:v>
                </c:pt>
                <c:pt idx="410">
                  <c:v>4562.7626999999993</c:v>
                </c:pt>
                <c:pt idx="411">
                  <c:v>4611.9862499999999</c:v>
                </c:pt>
                <c:pt idx="412">
                  <c:v>4622.4542099999999</c:v>
                </c:pt>
                <c:pt idx="413">
                  <c:v>4608.3065599999991</c:v>
                </c:pt>
                <c:pt idx="414">
                  <c:v>4612.2628199999999</c:v>
                </c:pt>
                <c:pt idx="415">
                  <c:v>4619.2361199999996</c:v>
                </c:pt>
                <c:pt idx="416">
                  <c:v>4576.3734599999998</c:v>
                </c:pt>
                <c:pt idx="417">
                  <c:v>4522.3819199999998</c:v>
                </c:pt>
                <c:pt idx="418">
                  <c:v>4523.3728799999999</c:v>
                </c:pt>
                <c:pt idx="419">
                  <c:v>4465.5694300000005</c:v>
                </c:pt>
                <c:pt idx="420">
                  <c:v>4463.3155200000001</c:v>
                </c:pt>
                <c:pt idx="421">
                  <c:v>4471.3652400000001</c:v>
                </c:pt>
                <c:pt idx="422">
                  <c:v>4479.2467200000001</c:v>
                </c:pt>
                <c:pt idx="423">
                  <c:v>4430.8370999999997</c:v>
                </c:pt>
                <c:pt idx="424">
                  <c:v>4446.7704000000003</c:v>
                </c:pt>
                <c:pt idx="425">
                  <c:v>4410.2433600000004</c:v>
                </c:pt>
                <c:pt idx="426">
                  <c:v>4429.1375100000005</c:v>
                </c:pt>
                <c:pt idx="427">
                  <c:v>4399.6491999999998</c:v>
                </c:pt>
                <c:pt idx="428">
                  <c:v>4378.9577600000002</c:v>
                </c:pt>
                <c:pt idx="429">
                  <c:v>4371.4738200000002</c:v>
                </c:pt>
                <c:pt idx="430">
                  <c:v>4355.8462200000004</c:v>
                </c:pt>
                <c:pt idx="431">
                  <c:v>4381.1642099999999</c:v>
                </c:pt>
                <c:pt idx="432">
                  <c:v>4396.8280300000006</c:v>
                </c:pt>
                <c:pt idx="433">
                  <c:v>4397.6873800000003</c:v>
                </c:pt>
                <c:pt idx="434">
                  <c:v>4384.8923399999994</c:v>
                </c:pt>
                <c:pt idx="435">
                  <c:v>4373.7191999999995</c:v>
                </c:pt>
                <c:pt idx="436">
                  <c:v>4372.4095800000005</c:v>
                </c:pt>
                <c:pt idx="437">
                  <c:v>4367.0841999999993</c:v>
                </c:pt>
                <c:pt idx="438">
                  <c:v>4379.25083</c:v>
                </c:pt>
                <c:pt idx="439">
                  <c:v>4363.2262799999999</c:v>
                </c:pt>
                <c:pt idx="440">
                  <c:v>4373.5150299999996</c:v>
                </c:pt>
                <c:pt idx="441">
                  <c:v>4350.6736999999994</c:v>
                </c:pt>
                <c:pt idx="442">
                  <c:v>4364.3083799999995</c:v>
                </c:pt>
                <c:pt idx="443">
                  <c:v>4312.3531800000001</c:v>
                </c:pt>
                <c:pt idx="444">
                  <c:v>4266.8435399999998</c:v>
                </c:pt>
                <c:pt idx="445">
                  <c:v>4299.3595999999998</c:v>
                </c:pt>
                <c:pt idx="446">
                  <c:v>4186.5146400000003</c:v>
                </c:pt>
                <c:pt idx="447">
                  <c:v>4282.4784200000004</c:v>
                </c:pt>
                <c:pt idx="448">
                  <c:v>4313.8115799999996</c:v>
                </c:pt>
                <c:pt idx="449">
                  <c:v>4241.9690499999997</c:v>
                </c:pt>
                <c:pt idx="450">
                  <c:v>4164.7919999999995</c:v>
                </c:pt>
                <c:pt idx="451">
                  <c:v>4175.5761300000004</c:v>
                </c:pt>
                <c:pt idx="452">
                  <c:v>4221.7969200000007</c:v>
                </c:pt>
                <c:pt idx="453">
                  <c:v>4230.2175999999999</c:v>
                </c:pt>
                <c:pt idx="454">
                  <c:v>4331.5073999999995</c:v>
                </c:pt>
                <c:pt idx="455">
                  <c:v>4294.9262399999998</c:v>
                </c:pt>
                <c:pt idx="456">
                  <c:v>4272.8518599999998</c:v>
                </c:pt>
                <c:pt idx="457">
                  <c:v>4248.8890600000004</c:v>
                </c:pt>
                <c:pt idx="458">
                  <c:v>4163.7658600000004</c:v>
                </c:pt>
                <c:pt idx="459">
                  <c:v>4197.7182499999999</c:v>
                </c:pt>
                <c:pt idx="460">
                  <c:v>4238.5761000000002</c:v>
                </c:pt>
                <c:pt idx="461">
                  <c:v>4225.5546299999996</c:v>
                </c:pt>
                <c:pt idx="462">
                  <c:v>4269.6116000000002</c:v>
                </c:pt>
                <c:pt idx="463">
                  <c:v>4313.9654399999999</c:v>
                </c:pt>
                <c:pt idx="464">
                  <c:v>4371.0235200000006</c:v>
                </c:pt>
                <c:pt idx="465">
                  <c:v>4359.8747700000004</c:v>
                </c:pt>
                <c:pt idx="466">
                  <c:v>4364.9675999999999</c:v>
                </c:pt>
                <c:pt idx="467">
                  <c:v>4359.7249400000001</c:v>
                </c:pt>
                <c:pt idx="468">
                  <c:v>4436.4374600000001</c:v>
                </c:pt>
                <c:pt idx="469">
                  <c:v>4442.8116600000003</c:v>
                </c:pt>
                <c:pt idx="470">
                  <c:v>4440.1024799999996</c:v>
                </c:pt>
                <c:pt idx="471">
                  <c:v>4463.7209499999999</c:v>
                </c:pt>
                <c:pt idx="472">
                  <c:v>4533.8854399999991</c:v>
                </c:pt>
                <c:pt idx="473">
                  <c:v>4610.6360399999994</c:v>
                </c:pt>
                <c:pt idx="474">
                  <c:v>4685.4004500000001</c:v>
                </c:pt>
                <c:pt idx="475">
                  <c:v>4763.1095999999998</c:v>
                </c:pt>
                <c:pt idx="476">
                  <c:v>4709.86528</c:v>
                </c:pt>
                <c:pt idx="477">
                  <c:v>4701.8201399999998</c:v>
                </c:pt>
                <c:pt idx="478">
                  <c:v>4724.9661699999997</c:v>
                </c:pt>
                <c:pt idx="479">
                  <c:v>4752.1541999999999</c:v>
                </c:pt>
                <c:pt idx="480">
                  <c:v>4721.5738600000004</c:v>
                </c:pt>
                <c:pt idx="481">
                  <c:v>4703.7113500000005</c:v>
                </c:pt>
                <c:pt idx="482">
                  <c:v>4745.6193599999997</c:v>
                </c:pt>
                <c:pt idx="483">
                  <c:v>4739.0977199999998</c:v>
                </c:pt>
                <c:pt idx="484">
                  <c:v>4691.0544</c:v>
                </c:pt>
                <c:pt idx="485">
                  <c:v>4695.7513399999998</c:v>
                </c:pt>
                <c:pt idx="486">
                  <c:v>4671.9486000000006</c:v>
                </c:pt>
                <c:pt idx="487">
                  <c:v>4659.5789999999997</c:v>
                </c:pt>
                <c:pt idx="488">
                  <c:v>4692.45946</c:v>
                </c:pt>
                <c:pt idx="489">
                  <c:v>4733.8552799999998</c:v>
                </c:pt>
                <c:pt idx="490">
                  <c:v>4713.1731</c:v>
                </c:pt>
                <c:pt idx="491">
                  <c:v>4672.3684999999996</c:v>
                </c:pt>
                <c:pt idx="492">
                  <c:v>4677.3700799999997</c:v>
                </c:pt>
                <c:pt idx="493">
                  <c:v>4596.8456799999994</c:v>
                </c:pt>
                <c:pt idx="494">
                  <c:v>4583.6751400000003</c:v>
                </c:pt>
                <c:pt idx="495">
                  <c:v>4600.969509999999</c:v>
                </c:pt>
                <c:pt idx="496">
                  <c:v>4650.1109200000001</c:v>
                </c:pt>
                <c:pt idx="497">
                  <c:v>4687.8088200000002</c:v>
                </c:pt>
                <c:pt idx="498">
                  <c:v>4638.40452</c:v>
                </c:pt>
                <c:pt idx="499">
                  <c:v>4653.9287199999999</c:v>
                </c:pt>
                <c:pt idx="500">
                  <c:v>4697.14815</c:v>
                </c:pt>
                <c:pt idx="501">
                  <c:v>4660.6086800000003</c:v>
                </c:pt>
                <c:pt idx="502">
                  <c:v>4653.0288</c:v>
                </c:pt>
                <c:pt idx="503">
                  <c:v>4629.9170400000003</c:v>
                </c:pt>
                <c:pt idx="504">
                  <c:v>4594.0007500000002</c:v>
                </c:pt>
                <c:pt idx="505">
                  <c:v>4582.2635199999995</c:v>
                </c:pt>
                <c:pt idx="506">
                  <c:v>4610.3370500000001</c:v>
                </c:pt>
                <c:pt idx="507">
                  <c:v>4649.3310599999995</c:v>
                </c:pt>
                <c:pt idx="508">
                  <c:v>4713.79025</c:v>
                </c:pt>
                <c:pt idx="509">
                  <c:v>4730.0946000000004</c:v>
                </c:pt>
                <c:pt idx="510">
                  <c:v>4744.2510000000002</c:v>
                </c:pt>
                <c:pt idx="511">
                  <c:v>4710.1152999999995</c:v>
                </c:pt>
                <c:pt idx="512">
                  <c:v>4724.2223399999993</c:v>
                </c:pt>
                <c:pt idx="513">
                  <c:v>4687.1442800000004</c:v>
                </c:pt>
                <c:pt idx="514">
                  <c:v>4680.6817199999996</c:v>
                </c:pt>
                <c:pt idx="515">
                  <c:v>4696.6767</c:v>
                </c:pt>
                <c:pt idx="516">
                  <c:v>4721.0728399999998</c:v>
                </c:pt>
                <c:pt idx="517">
                  <c:v>4751.5899599999993</c:v>
                </c:pt>
                <c:pt idx="518">
                  <c:v>4885.18282</c:v>
                </c:pt>
                <c:pt idx="519">
                  <c:v>4829.9055600000002</c:v>
                </c:pt>
                <c:pt idx="520">
                  <c:v>4880.0469199999998</c:v>
                </c:pt>
                <c:pt idx="521">
                  <c:v>4904.4835699999994</c:v>
                </c:pt>
                <c:pt idx="522">
                  <c:v>4950.8031099999998</c:v>
                </c:pt>
                <c:pt idx="523">
                  <c:v>4941.0069599999997</c:v>
                </c:pt>
                <c:pt idx="524">
                  <c:v>4955.924</c:v>
                </c:pt>
                <c:pt idx="525">
                  <c:v>4939.2470400000002</c:v>
                </c:pt>
                <c:pt idx="526">
                  <c:v>4902.3288599999996</c:v>
                </c:pt>
                <c:pt idx="527">
                  <c:v>4848.6608500000002</c:v>
                </c:pt>
                <c:pt idx="528">
                  <c:v>4921.8189700000003</c:v>
                </c:pt>
                <c:pt idx="529">
                  <c:v>4906.5713300000007</c:v>
                </c:pt>
                <c:pt idx="530">
                  <c:v>4806.9310400000004</c:v>
                </c:pt>
                <c:pt idx="531">
                  <c:v>4773.4344000000001</c:v>
                </c:pt>
                <c:pt idx="532">
                  <c:v>4809.5825400000003</c:v>
                </c:pt>
                <c:pt idx="533">
                  <c:v>4740.0972600000005</c:v>
                </c:pt>
                <c:pt idx="534">
                  <c:v>4714.6606700000002</c:v>
                </c:pt>
                <c:pt idx="535">
                  <c:v>4826.9392899999993</c:v>
                </c:pt>
                <c:pt idx="536">
                  <c:v>4804.9364499999992</c:v>
                </c:pt>
                <c:pt idx="537">
                  <c:v>4781.3686200000002</c:v>
                </c:pt>
                <c:pt idx="538">
                  <c:v>4742.9405799999995</c:v>
                </c:pt>
                <c:pt idx="539">
                  <c:v>4752.3151499999994</c:v>
                </c:pt>
                <c:pt idx="540">
                  <c:v>4723.9931699999997</c:v>
                </c:pt>
                <c:pt idx="541">
                  <c:v>4677.8247000000001</c:v>
                </c:pt>
                <c:pt idx="542">
                  <c:v>4678.2963500000005</c:v>
                </c:pt>
                <c:pt idx="543">
                  <c:v>4672.0277400000004</c:v>
                </c:pt>
                <c:pt idx="544">
                  <c:v>4630.1801699999996</c:v>
                </c:pt>
                <c:pt idx="545">
                  <c:v>4623.7716</c:v>
                </c:pt>
                <c:pt idx="546">
                  <c:v>4548.7233200000001</c:v>
                </c:pt>
                <c:pt idx="547">
                  <c:v>4563.9750000000004</c:v>
                </c:pt>
                <c:pt idx="548">
                  <c:v>4583.5125400000006</c:v>
                </c:pt>
                <c:pt idx="549">
                  <c:v>4544.1143200000006</c:v>
                </c:pt>
                <c:pt idx="550">
                  <c:v>4581.3525199999995</c:v>
                </c:pt>
                <c:pt idx="551">
                  <c:v>4577.5707000000002</c:v>
                </c:pt>
                <c:pt idx="552">
                  <c:v>4536.3846400000002</c:v>
                </c:pt>
                <c:pt idx="553">
                  <c:v>4530.7273799999994</c:v>
                </c:pt>
                <c:pt idx="554">
                  <c:v>4501.0107800000005</c:v>
                </c:pt>
                <c:pt idx="555">
                  <c:v>4490.9202700000005</c:v>
                </c:pt>
                <c:pt idx="556">
                  <c:v>4489.4167500000003</c:v>
                </c:pt>
                <c:pt idx="557">
                  <c:v>4505.9212799999996</c:v>
                </c:pt>
                <c:pt idx="558">
                  <c:v>4516.3917000000001</c:v>
                </c:pt>
                <c:pt idx="559">
                  <c:v>4432.29936</c:v>
                </c:pt>
                <c:pt idx="560">
                  <c:v>4394.45622</c:v>
                </c:pt>
                <c:pt idx="561">
                  <c:v>4401.5922199999995</c:v>
                </c:pt>
                <c:pt idx="562">
                  <c:v>4352.5199000000002</c:v>
                </c:pt>
                <c:pt idx="563">
                  <c:v>4364.9966000000004</c:v>
                </c:pt>
                <c:pt idx="564">
                  <c:v>4362.9962700000005</c:v>
                </c:pt>
                <c:pt idx="565">
                  <c:v>4379.8021399999998</c:v>
                </c:pt>
                <c:pt idx="566">
                  <c:v>4386.1455399999995</c:v>
                </c:pt>
                <c:pt idx="567">
                  <c:v>4359.1226399999996</c:v>
                </c:pt>
                <c:pt idx="568">
                  <c:v>4355.2810899999995</c:v>
                </c:pt>
                <c:pt idx="569">
                  <c:v>4320.4867899999999</c:v>
                </c:pt>
                <c:pt idx="570">
                  <c:v>4268.2469000000001</c:v>
                </c:pt>
                <c:pt idx="571">
                  <c:v>4262.5612499999997</c:v>
                </c:pt>
                <c:pt idx="572">
                  <c:v>4260.8216000000002</c:v>
                </c:pt>
                <c:pt idx="573">
                  <c:v>4194.8559999999998</c:v>
                </c:pt>
                <c:pt idx="574">
                  <c:v>4161.2400000000007</c:v>
                </c:pt>
                <c:pt idx="575">
                  <c:v>4140.1049400000002</c:v>
                </c:pt>
                <c:pt idx="576">
                  <c:v>4108.9184400000004</c:v>
                </c:pt>
                <c:pt idx="577">
                  <c:v>4088.8089599999998</c:v>
                </c:pt>
                <c:pt idx="578">
                  <c:v>4079.4727999999996</c:v>
                </c:pt>
                <c:pt idx="579">
                  <c:v>4102.7911199999999</c:v>
                </c:pt>
                <c:pt idx="580">
                  <c:v>4090.1489999999999</c:v>
                </c:pt>
                <c:pt idx="581">
                  <c:v>4129.5454200000004</c:v>
                </c:pt>
                <c:pt idx="582">
                  <c:v>4130.2975999999999</c:v>
                </c:pt>
                <c:pt idx="583">
                  <c:v>4112.1373800000001</c:v>
                </c:pt>
                <c:pt idx="584">
                  <c:v>4106.6339600000001</c:v>
                </c:pt>
                <c:pt idx="585">
                  <c:v>4069.1923200000001</c:v>
                </c:pt>
                <c:pt idx="586">
                  <c:v>4053.4426800000001</c:v>
                </c:pt>
                <c:pt idx="587">
                  <c:v>4082.0630400000005</c:v>
                </c:pt>
                <c:pt idx="588">
                  <c:v>4130.9153999999999</c:v>
                </c:pt>
                <c:pt idx="589">
                  <c:v>4145.9706000000006</c:v>
                </c:pt>
                <c:pt idx="590">
                  <c:v>4111.4241400000001</c:v>
                </c:pt>
                <c:pt idx="591">
                  <c:v>4083.5108600000003</c:v>
                </c:pt>
                <c:pt idx="592">
                  <c:v>4066.83</c:v>
                </c:pt>
                <c:pt idx="593">
                  <c:v>4045.9308999999998</c:v>
                </c:pt>
                <c:pt idx="594">
                  <c:v>4014.0647999999997</c:v>
                </c:pt>
                <c:pt idx="595">
                  <c:v>4020.7754100000006</c:v>
                </c:pt>
                <c:pt idx="596">
                  <c:v>4013.3857499999999</c:v>
                </c:pt>
                <c:pt idx="597">
                  <c:v>4034.4054300000003</c:v>
                </c:pt>
                <c:pt idx="598">
                  <c:v>4012.05186</c:v>
                </c:pt>
                <c:pt idx="599">
                  <c:v>3947.35536</c:v>
                </c:pt>
                <c:pt idx="600">
                  <c:v>3914.8049300000002</c:v>
                </c:pt>
                <c:pt idx="601">
                  <c:v>3944.2939200000001</c:v>
                </c:pt>
                <c:pt idx="602">
                  <c:v>3902.4018000000001</c:v>
                </c:pt>
                <c:pt idx="603">
                  <c:v>3958.7200000000003</c:v>
                </c:pt>
                <c:pt idx="604">
                  <c:v>3971.6262000000002</c:v>
                </c:pt>
                <c:pt idx="605">
                  <c:v>3991.0303800000002</c:v>
                </c:pt>
                <c:pt idx="606">
                  <c:v>4030.5245999999997</c:v>
                </c:pt>
                <c:pt idx="607">
                  <c:v>4027.7988800000003</c:v>
                </c:pt>
                <c:pt idx="608">
                  <c:v>4057.5612900000006</c:v>
                </c:pt>
                <c:pt idx="609">
                  <c:v>4097.0478600000006</c:v>
                </c:pt>
                <c:pt idx="610">
                  <c:v>4129.0748800000001</c:v>
                </c:pt>
                <c:pt idx="611">
                  <c:v>4182.7420000000002</c:v>
                </c:pt>
                <c:pt idx="612">
                  <c:v>4153.7582000000002</c:v>
                </c:pt>
                <c:pt idx="613">
                  <c:v>4133.0740799999994</c:v>
                </c:pt>
                <c:pt idx="614">
                  <c:v>4082.4067199999995</c:v>
                </c:pt>
                <c:pt idx="615">
                  <c:v>4191.6076499999999</c:v>
                </c:pt>
                <c:pt idx="616">
                  <c:v>4173.27196</c:v>
                </c:pt>
                <c:pt idx="617">
                  <c:v>4188.7382000000007</c:v>
                </c:pt>
                <c:pt idx="618">
                  <c:v>4164.5510999999997</c:v>
                </c:pt>
                <c:pt idx="619">
                  <c:v>4192.1558100000002</c:v>
                </c:pt>
                <c:pt idx="620">
                  <c:v>4185.9851399999998</c:v>
                </c:pt>
                <c:pt idx="621">
                  <c:v>4178.6229599999997</c:v>
                </c:pt>
                <c:pt idx="622">
                  <c:v>4153.7392</c:v>
                </c:pt>
                <c:pt idx="623">
                  <c:v>4074.5139199999999</c:v>
                </c:pt>
                <c:pt idx="624">
                  <c:v>4079.6653800000004</c:v>
                </c:pt>
                <c:pt idx="625">
                  <c:v>4055.32575</c:v>
                </c:pt>
                <c:pt idx="626">
                  <c:v>4061.8381499999996</c:v>
                </c:pt>
                <c:pt idx="627">
                  <c:v>4131.8106299999999</c:v>
                </c:pt>
                <c:pt idx="628">
                  <c:v>4158.7550099999999</c:v>
                </c:pt>
                <c:pt idx="629">
                  <c:v>4109.6793599999992</c:v>
                </c:pt>
                <c:pt idx="630">
                  <c:v>4058.8078399999995</c:v>
                </c:pt>
                <c:pt idx="631">
                  <c:v>4010.2751000000003</c:v>
                </c:pt>
                <c:pt idx="632">
                  <c:v>4019.4010999999996</c:v>
                </c:pt>
                <c:pt idx="633">
                  <c:v>3979.1436200000003</c:v>
                </c:pt>
                <c:pt idx="634">
                  <c:v>4010.1567</c:v>
                </c:pt>
                <c:pt idx="635">
                  <c:v>3997.5135599999999</c:v>
                </c:pt>
                <c:pt idx="636">
                  <c:v>3986.5024000000003</c:v>
                </c:pt>
                <c:pt idx="637">
                  <c:v>4039.6850199999994</c:v>
                </c:pt>
                <c:pt idx="638">
                  <c:v>4009.6626500000002</c:v>
                </c:pt>
                <c:pt idx="639">
                  <c:v>4029.1862000000001</c:v>
                </c:pt>
                <c:pt idx="640">
                  <c:v>4021.6791199999998</c:v>
                </c:pt>
                <c:pt idx="641">
                  <c:v>4091.4384</c:v>
                </c:pt>
                <c:pt idx="642">
                  <c:v>4082.6763000000001</c:v>
                </c:pt>
                <c:pt idx="643">
                  <c:v>4068.7905000000001</c:v>
                </c:pt>
                <c:pt idx="644">
                  <c:v>4070.8470000000002</c:v>
                </c:pt>
                <c:pt idx="645">
                  <c:v>4014.3789399999996</c:v>
                </c:pt>
                <c:pt idx="646">
                  <c:v>4019.8102100000001</c:v>
                </c:pt>
                <c:pt idx="647">
                  <c:v>3987.08986</c:v>
                </c:pt>
                <c:pt idx="648">
                  <c:v>3983.6289600000005</c:v>
                </c:pt>
                <c:pt idx="649">
                  <c:v>4017.3704600000001</c:v>
                </c:pt>
                <c:pt idx="650">
                  <c:v>4082.1598499999996</c:v>
                </c:pt>
                <c:pt idx="651">
                  <c:v>4087.9655200000002</c:v>
                </c:pt>
                <c:pt idx="652">
                  <c:v>4118.8798499999994</c:v>
                </c:pt>
                <c:pt idx="653">
                  <c:v>4142.2239899999995</c:v>
                </c:pt>
                <c:pt idx="654">
                  <c:v>4129.2128700000003</c:v>
                </c:pt>
                <c:pt idx="655">
                  <c:v>4146.5245599999998</c:v>
                </c:pt>
                <c:pt idx="656">
                  <c:v>4126.3820799999994</c:v>
                </c:pt>
                <c:pt idx="657">
                  <c:v>4120.0689400000001</c:v>
                </c:pt>
                <c:pt idx="658">
                  <c:v>4109.1401999999998</c:v>
                </c:pt>
                <c:pt idx="659">
                  <c:v>4099.3674000000001</c:v>
                </c:pt>
                <c:pt idx="660">
                  <c:v>4161.8847800000003</c:v>
                </c:pt>
                <c:pt idx="661">
                  <c:v>4154.5744000000004</c:v>
                </c:pt>
                <c:pt idx="662">
                  <c:v>4191.8454199999996</c:v>
                </c:pt>
                <c:pt idx="663">
                  <c:v>4155.2500300000002</c:v>
                </c:pt>
                <c:pt idx="664">
                  <c:v>4217.1464999999998</c:v>
                </c:pt>
                <c:pt idx="665">
                  <c:v>4222.3780200000001</c:v>
                </c:pt>
                <c:pt idx="666">
                  <c:v>4121.5112399999998</c:v>
                </c:pt>
                <c:pt idx="667">
                  <c:v>4107.2061800000001</c:v>
                </c:pt>
                <c:pt idx="668">
                  <c:v>4098.68977</c:v>
                </c:pt>
                <c:pt idx="669">
                  <c:v>4134.4381800000001</c:v>
                </c:pt>
                <c:pt idx="670">
                  <c:v>4150.6162199999999</c:v>
                </c:pt>
                <c:pt idx="671">
                  <c:v>4125.4331600000005</c:v>
                </c:pt>
                <c:pt idx="672">
                  <c:v>4132.8108000000002</c:v>
                </c:pt>
                <c:pt idx="673">
                  <c:v>4116.6501000000007</c:v>
                </c:pt>
                <c:pt idx="674">
                  <c:v>4072.4810499999999</c:v>
                </c:pt>
                <c:pt idx="675">
                  <c:v>4118.78665</c:v>
                </c:pt>
                <c:pt idx="676">
                  <c:v>4153.6723200000006</c:v>
                </c:pt>
                <c:pt idx="677">
                  <c:v>4128.3163999999997</c:v>
                </c:pt>
                <c:pt idx="678">
                  <c:v>4168.8528299999998</c:v>
                </c:pt>
                <c:pt idx="679">
                  <c:v>4131.0767399999995</c:v>
                </c:pt>
                <c:pt idx="680">
                  <c:v>4050.2290499999999</c:v>
                </c:pt>
                <c:pt idx="681">
                  <c:v>4012.1423099999997</c:v>
                </c:pt>
                <c:pt idx="682">
                  <c:v>4021.1902799999998</c:v>
                </c:pt>
                <c:pt idx="683">
                  <c:v>4056.2313599999998</c:v>
                </c:pt>
                <c:pt idx="684">
                  <c:v>4156.2691800000002</c:v>
                </c:pt>
                <c:pt idx="685">
                  <c:v>4170.1017099999999</c:v>
                </c:pt>
                <c:pt idx="686">
                  <c:v>4111.2292000000007</c:v>
                </c:pt>
                <c:pt idx="687">
                  <c:v>4133.34656</c:v>
                </c:pt>
                <c:pt idx="688">
                  <c:v>4113.3102000000008</c:v>
                </c:pt>
                <c:pt idx="689">
                  <c:v>4090.3643999999999</c:v>
                </c:pt>
                <c:pt idx="690">
                  <c:v>4098.51</c:v>
                </c:pt>
                <c:pt idx="691">
                  <c:v>4173.5141999999996</c:v>
                </c:pt>
                <c:pt idx="692">
                  <c:v>4168.8954000000003</c:v>
                </c:pt>
                <c:pt idx="693">
                  <c:v>4217.1392000000005</c:v>
                </c:pt>
                <c:pt idx="694">
                  <c:v>4281.70244</c:v>
                </c:pt>
                <c:pt idx="695">
                  <c:v>4300.9467199999999</c:v>
                </c:pt>
                <c:pt idx="696">
                  <c:v>4304.0415199999998</c:v>
                </c:pt>
                <c:pt idx="697">
                  <c:v>4232.8563199999999</c:v>
                </c:pt>
                <c:pt idx="698">
                  <c:v>4247.4841000000006</c:v>
                </c:pt>
                <c:pt idx="699">
                  <c:v>4245.2812799999992</c:v>
                </c:pt>
                <c:pt idx="700">
                  <c:v>4182.3232000000007</c:v>
                </c:pt>
                <c:pt idx="701">
                  <c:v>4158.4312</c:v>
                </c:pt>
                <c:pt idx="702">
                  <c:v>4124.8697400000001</c:v>
                </c:pt>
                <c:pt idx="703">
                  <c:v>4139.7728400000005</c:v>
                </c:pt>
                <c:pt idx="704">
                  <c:v>4166.0026199999993</c:v>
                </c:pt>
                <c:pt idx="705">
                  <c:v>4200.009</c:v>
                </c:pt>
                <c:pt idx="706">
                  <c:v>4243.5615599999992</c:v>
                </c:pt>
                <c:pt idx="707">
                  <c:v>4230.0934700000007</c:v>
                </c:pt>
                <c:pt idx="708">
                  <c:v>4248.1826099999989</c:v>
                </c:pt>
                <c:pt idx="709">
                  <c:v>4168.8757500000002</c:v>
                </c:pt>
                <c:pt idx="710">
                  <c:v>4153.3604999999998</c:v>
                </c:pt>
                <c:pt idx="711">
                  <c:v>4182.8693400000002</c:v>
                </c:pt>
                <c:pt idx="712">
                  <c:v>4195.4942900000005</c:v>
                </c:pt>
                <c:pt idx="713">
                  <c:v>4218.5269699999999</c:v>
                </c:pt>
                <c:pt idx="714">
                  <c:v>4246.6489600000004</c:v>
                </c:pt>
                <c:pt idx="715">
                  <c:v>4262.5258299999996</c:v>
                </c:pt>
                <c:pt idx="716">
                  <c:v>4246.6937399999997</c:v>
                </c:pt>
                <c:pt idx="717">
                  <c:v>4185.0470000000005</c:v>
                </c:pt>
                <c:pt idx="718">
                  <c:v>4284.5697700000001</c:v>
                </c:pt>
                <c:pt idx="719">
                  <c:v>4296.4202000000005</c:v>
                </c:pt>
                <c:pt idx="720">
                  <c:v>4294.4063799999994</c:v>
                </c:pt>
                <c:pt idx="721">
                  <c:v>4286.7933599999997</c:v>
                </c:pt>
                <c:pt idx="722">
                  <c:v>4209.5663999999997</c:v>
                </c:pt>
                <c:pt idx="723">
                  <c:v>4197.6205600000003</c:v>
                </c:pt>
                <c:pt idx="724">
                  <c:v>4209.9204</c:v>
                </c:pt>
                <c:pt idx="725">
                  <c:v>4239.8474999999999</c:v>
                </c:pt>
                <c:pt idx="726">
                  <c:v>4307.2691999999997</c:v>
                </c:pt>
                <c:pt idx="727">
                  <c:v>4259.3561600000003</c:v>
                </c:pt>
                <c:pt idx="728">
                  <c:v>4222.9274000000005</c:v>
                </c:pt>
                <c:pt idx="729">
                  <c:v>4327.4376599999996</c:v>
                </c:pt>
                <c:pt idx="730">
                  <c:v>4336.2855</c:v>
                </c:pt>
                <c:pt idx="731">
                  <c:v>4441.2182999999995</c:v>
                </c:pt>
                <c:pt idx="732">
                  <c:v>4476.6145999999999</c:v>
                </c:pt>
                <c:pt idx="733">
                  <c:v>4477.0724799999998</c:v>
                </c:pt>
                <c:pt idx="734">
                  <c:v>4498.35232</c:v>
                </c:pt>
                <c:pt idx="735">
                  <c:v>4472.1821100000006</c:v>
                </c:pt>
                <c:pt idx="736">
                  <c:v>4512.8624</c:v>
                </c:pt>
                <c:pt idx="737">
                  <c:v>4491.4174600000006</c:v>
                </c:pt>
                <c:pt idx="738">
                  <c:v>4590.3032000000003</c:v>
                </c:pt>
                <c:pt idx="739">
                  <c:v>4622.9902000000002</c:v>
                </c:pt>
                <c:pt idx="740">
                  <c:v>4602.2462500000001</c:v>
                </c:pt>
                <c:pt idx="741">
                  <c:v>4588.0761000000002</c:v>
                </c:pt>
                <c:pt idx="742">
                  <c:v>4569.8260400000008</c:v>
                </c:pt>
                <c:pt idx="743">
                  <c:v>4516.9545500000004</c:v>
                </c:pt>
                <c:pt idx="744">
                  <c:v>4552.8331199999993</c:v>
                </c:pt>
                <c:pt idx="745">
                  <c:v>4537.4322399999992</c:v>
                </c:pt>
                <c:pt idx="746">
                  <c:v>4518.6616799999993</c:v>
                </c:pt>
                <c:pt idx="747">
                  <c:v>4494.4384500000006</c:v>
                </c:pt>
                <c:pt idx="748">
                  <c:v>4505.3602899999996</c:v>
                </c:pt>
                <c:pt idx="749">
                  <c:v>4466.9846399999997</c:v>
                </c:pt>
                <c:pt idx="750">
                  <c:v>4381.8669600000003</c:v>
                </c:pt>
                <c:pt idx="751">
                  <c:v>4402.1133600000003</c:v>
                </c:pt>
                <c:pt idx="752">
                  <c:v>4433.5441500000006</c:v>
                </c:pt>
                <c:pt idx="753">
                  <c:v>4394.8920200000002</c:v>
                </c:pt>
                <c:pt idx="754">
                  <c:v>4391.4521299999997</c:v>
                </c:pt>
                <c:pt idx="755">
                  <c:v>4433.8427199999996</c:v>
                </c:pt>
                <c:pt idx="756">
                  <c:v>4419.7112200000001</c:v>
                </c:pt>
                <c:pt idx="757">
                  <c:v>4421.1378000000004</c:v>
                </c:pt>
                <c:pt idx="758">
                  <c:v>4417.1847900000002</c:v>
                </c:pt>
                <c:pt idx="759">
                  <c:v>4423.2045600000001</c:v>
                </c:pt>
                <c:pt idx="760">
                  <c:v>4430.29727</c:v>
                </c:pt>
                <c:pt idx="761">
                  <c:v>4444.2692000000006</c:v>
                </c:pt>
                <c:pt idx="762">
                  <c:v>4398.5093800000004</c:v>
                </c:pt>
                <c:pt idx="763">
                  <c:v>4375.3379199999999</c:v>
                </c:pt>
                <c:pt idx="764">
                  <c:v>4395.5227199999999</c:v>
                </c:pt>
                <c:pt idx="765">
                  <c:v>4410.0310300000001</c:v>
                </c:pt>
                <c:pt idx="766">
                  <c:v>4387.4595900000004</c:v>
                </c:pt>
                <c:pt idx="767">
                  <c:v>4398.5474999999997</c:v>
                </c:pt>
                <c:pt idx="768">
                  <c:v>4395.9246000000003</c:v>
                </c:pt>
                <c:pt idx="769">
                  <c:v>4427.1498600000004</c:v>
                </c:pt>
                <c:pt idx="770">
                  <c:v>4414.2618200000006</c:v>
                </c:pt>
                <c:pt idx="771">
                  <c:v>4414.5298400000001</c:v>
                </c:pt>
                <c:pt idx="772">
                  <c:v>4375.87752</c:v>
                </c:pt>
                <c:pt idx="773">
                  <c:v>4323.4403400000001</c:v>
                </c:pt>
                <c:pt idx="774">
                  <c:v>4357.3140000000003</c:v>
                </c:pt>
                <c:pt idx="775">
                  <c:v>4318.6534000000001</c:v>
                </c:pt>
                <c:pt idx="776">
                  <c:v>4273.8121799999999</c:v>
                </c:pt>
                <c:pt idx="777">
                  <c:v>4313.6017300000003</c:v>
                </c:pt>
                <c:pt idx="778">
                  <c:v>4399.8423000000003</c:v>
                </c:pt>
                <c:pt idx="779">
                  <c:v>4408.5572700000002</c:v>
                </c:pt>
                <c:pt idx="780">
                  <c:v>4390.3993500000006</c:v>
                </c:pt>
                <c:pt idx="781">
                  <c:v>4423.5863499999996</c:v>
                </c:pt>
                <c:pt idx="782">
                  <c:v>4398.2538599999998</c:v>
                </c:pt>
                <c:pt idx="783">
                  <c:v>4433.8285999999989</c:v>
                </c:pt>
                <c:pt idx="784">
                  <c:v>4496.7298799999999</c:v>
                </c:pt>
                <c:pt idx="785">
                  <c:v>4466.6490199999998</c:v>
                </c:pt>
                <c:pt idx="786">
                  <c:v>4466.97055</c:v>
                </c:pt>
                <c:pt idx="787">
                  <c:v>4464.9935999999998</c:v>
                </c:pt>
                <c:pt idx="788">
                  <c:v>4440.8147400000007</c:v>
                </c:pt>
                <c:pt idx="789">
                  <c:v>4370.4494400000003</c:v>
                </c:pt>
                <c:pt idx="790">
                  <c:v>4374.68559</c:v>
                </c:pt>
                <c:pt idx="791">
                  <c:v>4426.5133799999994</c:v>
                </c:pt>
                <c:pt idx="792">
                  <c:v>4416.7547999999997</c:v>
                </c:pt>
                <c:pt idx="793">
                  <c:v>4466.3597300000001</c:v>
                </c:pt>
                <c:pt idx="794">
                  <c:v>4424.87619</c:v>
                </c:pt>
                <c:pt idx="795">
                  <c:v>4472.6324699999996</c:v>
                </c:pt>
                <c:pt idx="796">
                  <c:v>4520.6815200000001</c:v>
                </c:pt>
                <c:pt idx="797">
                  <c:v>4513.1277799999998</c:v>
                </c:pt>
                <c:pt idx="798">
                  <c:v>4516.8143999999993</c:v>
                </c:pt>
                <c:pt idx="799">
                  <c:v>4464.61024</c:v>
                </c:pt>
                <c:pt idx="800">
                  <c:v>4482.4703399999999</c:v>
                </c:pt>
                <c:pt idx="801">
                  <c:v>4438.2527099999998</c:v>
                </c:pt>
                <c:pt idx="802">
                  <c:v>4494.5908799999997</c:v>
                </c:pt>
                <c:pt idx="803">
                  <c:v>4514.5348199999999</c:v>
                </c:pt>
                <c:pt idx="804">
                  <c:v>4533.2676399999991</c:v>
                </c:pt>
                <c:pt idx="805">
                  <c:v>4511.7741900000001</c:v>
                </c:pt>
                <c:pt idx="806">
                  <c:v>4449.7722799999992</c:v>
                </c:pt>
                <c:pt idx="807">
                  <c:v>4450.7203399999999</c:v>
                </c:pt>
                <c:pt idx="808">
                  <c:v>4465.9946399999999</c:v>
                </c:pt>
                <c:pt idx="809">
                  <c:v>4466.4235600000002</c:v>
                </c:pt>
                <c:pt idx="810">
                  <c:v>4428.7950000000001</c:v>
                </c:pt>
                <c:pt idx="811">
                  <c:v>4427.2231200000006</c:v>
                </c:pt>
                <c:pt idx="812">
                  <c:v>4406.9537700000001</c:v>
                </c:pt>
                <c:pt idx="813">
                  <c:v>4387.9595000000008</c:v>
                </c:pt>
                <c:pt idx="814">
                  <c:v>4387.6625000000004</c:v>
                </c:pt>
                <c:pt idx="815">
                  <c:v>4350.6751599999998</c:v>
                </c:pt>
                <c:pt idx="816">
                  <c:v>4296.3010999999997</c:v>
                </c:pt>
                <c:pt idx="817">
                  <c:v>4315.1575499999999</c:v>
                </c:pt>
                <c:pt idx="818">
                  <c:v>4305.0938399999995</c:v>
                </c:pt>
                <c:pt idx="819">
                  <c:v>4351.5429800000002</c:v>
                </c:pt>
                <c:pt idx="820">
                  <c:v>4261.9670399999995</c:v>
                </c:pt>
                <c:pt idx="821">
                  <c:v>4207.0998599999994</c:v>
                </c:pt>
                <c:pt idx="822">
                  <c:v>4222.1378099999993</c:v>
                </c:pt>
                <c:pt idx="823">
                  <c:v>4242.5388800000001</c:v>
                </c:pt>
                <c:pt idx="824">
                  <c:v>4295.665</c:v>
                </c:pt>
                <c:pt idx="825">
                  <c:v>4242.9777599999998</c:v>
                </c:pt>
                <c:pt idx="826">
                  <c:v>4288.93595</c:v>
                </c:pt>
                <c:pt idx="827">
                  <c:v>4215.6293100000003</c:v>
                </c:pt>
                <c:pt idx="828">
                  <c:v>4221.5978800000003</c:v>
                </c:pt>
                <c:pt idx="829">
                  <c:v>4326.8157599999995</c:v>
                </c:pt>
                <c:pt idx="830">
                  <c:v>4338.9243800000004</c:v>
                </c:pt>
                <c:pt idx="831">
                  <c:v>4389.5487500000008</c:v>
                </c:pt>
                <c:pt idx="832">
                  <c:v>4412.7148199999992</c:v>
                </c:pt>
                <c:pt idx="833">
                  <c:v>4484.5776000000005</c:v>
                </c:pt>
                <c:pt idx="834">
                  <c:v>4436.2665000000006</c:v>
                </c:pt>
                <c:pt idx="835">
                  <c:v>4522.5595499999999</c:v>
                </c:pt>
                <c:pt idx="836">
                  <c:v>4535.0262499999999</c:v>
                </c:pt>
                <c:pt idx="837">
                  <c:v>4487.8859999999995</c:v>
                </c:pt>
                <c:pt idx="838">
                  <c:v>4555.5144600000003</c:v>
                </c:pt>
                <c:pt idx="839">
                  <c:v>4518.2656000000006</c:v>
                </c:pt>
                <c:pt idx="840">
                  <c:v>4433.6871000000001</c:v>
                </c:pt>
                <c:pt idx="841">
                  <c:v>4317.1384200000002</c:v>
                </c:pt>
                <c:pt idx="842">
                  <c:v>4301.0518500000007</c:v>
                </c:pt>
                <c:pt idx="843">
                  <c:v>4258.2692599999991</c:v>
                </c:pt>
                <c:pt idx="844">
                  <c:v>4171.9605300000003</c:v>
                </c:pt>
                <c:pt idx="845">
                  <c:v>4223.3580599999996</c:v>
                </c:pt>
                <c:pt idx="846">
                  <c:v>4240.5868</c:v>
                </c:pt>
                <c:pt idx="847">
                  <c:v>4311.9588999999996</c:v>
                </c:pt>
                <c:pt idx="848">
                  <c:v>4339.0949000000001</c:v>
                </c:pt>
                <c:pt idx="849">
                  <c:v>4354.9402</c:v>
                </c:pt>
                <c:pt idx="850">
                  <c:v>4441.3025999999991</c:v>
                </c:pt>
                <c:pt idx="851">
                  <c:v>4429.1887199999992</c:v>
                </c:pt>
                <c:pt idx="852">
                  <c:v>4486.5946400000003</c:v>
                </c:pt>
                <c:pt idx="853">
                  <c:v>4494.8633200000004</c:v>
                </c:pt>
                <c:pt idx="854">
                  <c:v>4498.4354999999996</c:v>
                </c:pt>
                <c:pt idx="855">
                  <c:v>4437.2065500000008</c:v>
                </c:pt>
                <c:pt idx="856">
                  <c:v>4545.1513800000002</c:v>
                </c:pt>
                <c:pt idx="857">
                  <c:v>4490.45604</c:v>
                </c:pt>
                <c:pt idx="858">
                  <c:v>4434.5071799999996</c:v>
                </c:pt>
                <c:pt idx="859">
                  <c:v>4440.3569200000002</c:v>
                </c:pt>
                <c:pt idx="860">
                  <c:v>4333.6658399999997</c:v>
                </c:pt>
                <c:pt idx="861">
                  <c:v>4352.8209200000001</c:v>
                </c:pt>
                <c:pt idx="862">
                  <c:v>4385.2843999999996</c:v>
                </c:pt>
                <c:pt idx="863">
                  <c:v>4443.3757800000003</c:v>
                </c:pt>
                <c:pt idx="864">
                  <c:v>4500.4415400000007</c:v>
                </c:pt>
                <c:pt idx="865">
                  <c:v>4495.1691600000004</c:v>
                </c:pt>
                <c:pt idx="866">
                  <c:v>4396.9269999999997</c:v>
                </c:pt>
                <c:pt idx="867">
                  <c:v>4415.6187599999994</c:v>
                </c:pt>
                <c:pt idx="868">
                  <c:v>4434.9865</c:v>
                </c:pt>
                <c:pt idx="869">
                  <c:v>4303.848289999999</c:v>
                </c:pt>
                <c:pt idx="870">
                  <c:v>4304.8931399999992</c:v>
                </c:pt>
                <c:pt idx="871">
                  <c:v>4376.3488199999993</c:v>
                </c:pt>
                <c:pt idx="872">
                  <c:v>4354.3760000000002</c:v>
                </c:pt>
                <c:pt idx="873">
                  <c:v>4447.2710799999995</c:v>
                </c:pt>
                <c:pt idx="874">
                  <c:v>4384.7585600000002</c:v>
                </c:pt>
                <c:pt idx="875">
                  <c:v>4403.6687500000007</c:v>
                </c:pt>
                <c:pt idx="876">
                  <c:v>4348.9279200000001</c:v>
                </c:pt>
                <c:pt idx="877">
                  <c:v>4369.6473600000008</c:v>
                </c:pt>
                <c:pt idx="878">
                  <c:v>4302.7734399999999</c:v>
                </c:pt>
                <c:pt idx="879">
                  <c:v>4232.2890100000004</c:v>
                </c:pt>
                <c:pt idx="880">
                  <c:v>4073.7437500000005</c:v>
                </c:pt>
                <c:pt idx="881">
                  <c:v>4013.43165</c:v>
                </c:pt>
                <c:pt idx="882">
                  <c:v>4028.7186000000002</c:v>
                </c:pt>
                <c:pt idx="883">
                  <c:v>4148.5001399999992</c:v>
                </c:pt>
                <c:pt idx="884">
                  <c:v>4157.4087599999993</c:v>
                </c:pt>
                <c:pt idx="885">
                  <c:v>4189.7693999999992</c:v>
                </c:pt>
                <c:pt idx="886">
                  <c:v>4144.3605399999997</c:v>
                </c:pt>
                <c:pt idx="887">
                  <c:v>3996.8181600000003</c:v>
                </c:pt>
                <c:pt idx="888">
                  <c:v>4007.0251199999998</c:v>
                </c:pt>
                <c:pt idx="889">
                  <c:v>4097.72415</c:v>
                </c:pt>
                <c:pt idx="890">
                  <c:v>4194.3611799999999</c:v>
                </c:pt>
                <c:pt idx="891">
                  <c:v>4171.5064999999995</c:v>
                </c:pt>
                <c:pt idx="892">
                  <c:v>4214.1487500000003</c:v>
                </c:pt>
                <c:pt idx="893">
                  <c:v>4304.1726200000003</c:v>
                </c:pt>
                <c:pt idx="894">
                  <c:v>4224.7959200000005</c:v>
                </c:pt>
                <c:pt idx="895">
                  <c:v>4130.3803799999996</c:v>
                </c:pt>
                <c:pt idx="896">
                  <c:v>4179.4047399999999</c:v>
                </c:pt>
                <c:pt idx="897">
                  <c:v>4126.9431500000001</c:v>
                </c:pt>
                <c:pt idx="898">
                  <c:v>4291.1780999999992</c:v>
                </c:pt>
                <c:pt idx="899">
                  <c:v>4284.3239999999996</c:v>
                </c:pt>
                <c:pt idx="900">
                  <c:v>4287.5666599999995</c:v>
                </c:pt>
                <c:pt idx="901">
                  <c:v>4164.3459000000003</c:v>
                </c:pt>
                <c:pt idx="902">
                  <c:v>4218.5251499999995</c:v>
                </c:pt>
                <c:pt idx="903">
                  <c:v>4330.7280299999993</c:v>
                </c:pt>
                <c:pt idx="904">
                  <c:v>4379.4352499999995</c:v>
                </c:pt>
                <c:pt idx="905">
                  <c:v>4375.1259499999996</c:v>
                </c:pt>
                <c:pt idx="906">
                  <c:v>4347.32636</c:v>
                </c:pt>
                <c:pt idx="907">
                  <c:v>4365.1928700000008</c:v>
                </c:pt>
                <c:pt idx="908">
                  <c:v>4295.7599999999993</c:v>
                </c:pt>
                <c:pt idx="909">
                  <c:v>4318.9625599999999</c:v>
                </c:pt>
                <c:pt idx="910">
                  <c:v>4315.9665600000008</c:v>
                </c:pt>
                <c:pt idx="911">
                  <c:v>4320.72102</c:v>
                </c:pt>
                <c:pt idx="912">
                  <c:v>4237.4274000000005</c:v>
                </c:pt>
                <c:pt idx="913">
                  <c:v>4257.7721999999994</c:v>
                </c:pt>
                <c:pt idx="914">
                  <c:v>4437.4025600000004</c:v>
                </c:pt>
                <c:pt idx="915">
                  <c:v>4464.005079999999</c:v>
                </c:pt>
                <c:pt idx="916">
                  <c:v>4401.9017199999998</c:v>
                </c:pt>
                <c:pt idx="917">
                  <c:v>4464.9232499999998</c:v>
                </c:pt>
                <c:pt idx="918">
                  <c:v>4353.27358</c:v>
                </c:pt>
                <c:pt idx="919">
                  <c:v>4331.2768000000005</c:v>
                </c:pt>
                <c:pt idx="920">
                  <c:v>4332.2139299999999</c:v>
                </c:pt>
                <c:pt idx="921">
                  <c:v>4211.1207600000007</c:v>
                </c:pt>
                <c:pt idx="922">
                  <c:v>4172.2508699999998</c:v>
                </c:pt>
                <c:pt idx="923">
                  <c:v>4290.9640799999988</c:v>
                </c:pt>
                <c:pt idx="924">
                  <c:v>4479.2061000000003</c:v>
                </c:pt>
                <c:pt idx="925">
                  <c:v>4565.4713600000005</c:v>
                </c:pt>
                <c:pt idx="926">
                  <c:v>4685.4284800000005</c:v>
                </c:pt>
                <c:pt idx="927">
                  <c:v>4753.2750400000004</c:v>
                </c:pt>
                <c:pt idx="928">
                  <c:v>4661.3161000000009</c:v>
                </c:pt>
                <c:pt idx="929">
                  <c:v>4671.8130799999999</c:v>
                </c:pt>
                <c:pt idx="930">
                  <c:v>4732.9619399999992</c:v>
                </c:pt>
                <c:pt idx="931">
                  <c:v>4726.0482200000006</c:v>
                </c:pt>
                <c:pt idx="932">
                  <c:v>4696.2126399999997</c:v>
                </c:pt>
                <c:pt idx="933">
                  <c:v>4779.6513599999998</c:v>
                </c:pt>
                <c:pt idx="934">
                  <c:v>4730.9503999999997</c:v>
                </c:pt>
                <c:pt idx="935">
                  <c:v>4678.0015400000002</c:v>
                </c:pt>
                <c:pt idx="936">
                  <c:v>4553.8875200000011</c:v>
                </c:pt>
                <c:pt idx="937">
                  <c:v>4571.7255999999998</c:v>
                </c:pt>
                <c:pt idx="938">
                  <c:v>4583.5481</c:v>
                </c:pt>
                <c:pt idx="939">
                  <c:v>4615.5414600000004</c:v>
                </c:pt>
                <c:pt idx="940">
                  <c:v>4658.8221200000007</c:v>
                </c:pt>
                <c:pt idx="941">
                  <c:v>4638.8032599999997</c:v>
                </c:pt>
                <c:pt idx="942">
                  <c:v>4714.2702399999998</c:v>
                </c:pt>
                <c:pt idx="943">
                  <c:v>4816.6835599999995</c:v>
                </c:pt>
                <c:pt idx="944">
                  <c:v>4778.6668</c:v>
                </c:pt>
                <c:pt idx="945">
                  <c:v>4774.4639999999999</c:v>
                </c:pt>
                <c:pt idx="946">
                  <c:v>4789.3809600000004</c:v>
                </c:pt>
                <c:pt idx="947">
                  <c:v>4796.0501400000003</c:v>
                </c:pt>
                <c:pt idx="948">
                  <c:v>4775.7662399999999</c:v>
                </c:pt>
                <c:pt idx="949">
                  <c:v>4810.7520000000004</c:v>
                </c:pt>
                <c:pt idx="950">
                  <c:v>4757.33385</c:v>
                </c:pt>
                <c:pt idx="951">
                  <c:v>4690.4086900000002</c:v>
                </c:pt>
                <c:pt idx="952">
                  <c:v>4659.4577399999998</c:v>
                </c:pt>
                <c:pt idx="953">
                  <c:v>4704.2023500000005</c:v>
                </c:pt>
                <c:pt idx="954">
                  <c:v>4688.6208999999999</c:v>
                </c:pt>
                <c:pt idx="955">
                  <c:v>4722.0626800000009</c:v>
                </c:pt>
                <c:pt idx="956">
                  <c:v>4737.6673799999999</c:v>
                </c:pt>
                <c:pt idx="957">
                  <c:v>4675.6205099999997</c:v>
                </c:pt>
                <c:pt idx="958">
                  <c:v>4703.7631199999996</c:v>
                </c:pt>
                <c:pt idx="959">
                  <c:v>4710.32672</c:v>
                </c:pt>
                <c:pt idx="960">
                  <c:v>4820.7140800000006</c:v>
                </c:pt>
                <c:pt idx="961">
                  <c:v>4849.0960000000005</c:v>
                </c:pt>
                <c:pt idx="962">
                  <c:v>4824.8769600000005</c:v>
                </c:pt>
                <c:pt idx="963">
                  <c:v>4813.0218400000003</c:v>
                </c:pt>
                <c:pt idx="964">
                  <c:v>4796.3049599999995</c:v>
                </c:pt>
                <c:pt idx="965">
                  <c:v>4818.81639</c:v>
                </c:pt>
                <c:pt idx="966">
                  <c:v>4828.1679700000004</c:v>
                </c:pt>
                <c:pt idx="967">
                  <c:v>4837.462050000001</c:v>
                </c:pt>
                <c:pt idx="968">
                  <c:v>4860.7826399999994</c:v>
                </c:pt>
                <c:pt idx="969">
                  <c:v>4973.7331800000002</c:v>
                </c:pt>
                <c:pt idx="970">
                  <c:v>4925.8234600000005</c:v>
                </c:pt>
                <c:pt idx="971">
                  <c:v>4881.7382500000003</c:v>
                </c:pt>
                <c:pt idx="972">
                  <c:v>4919.1368000000002</c:v>
                </c:pt>
                <c:pt idx="973">
                  <c:v>4892.2779600000003</c:v>
                </c:pt>
                <c:pt idx="974">
                  <c:v>4798.8054899999997</c:v>
                </c:pt>
                <c:pt idx="975">
                  <c:v>4851.4452799999999</c:v>
                </c:pt>
                <c:pt idx="976">
                  <c:v>4866.3283000000001</c:v>
                </c:pt>
                <c:pt idx="977">
                  <c:v>4918.1754599999995</c:v>
                </c:pt>
                <c:pt idx="978">
                  <c:v>4897.1894400000001</c:v>
                </c:pt>
                <c:pt idx="979">
                  <c:v>4793.6758100000006</c:v>
                </c:pt>
                <c:pt idx="980">
                  <c:v>4809.8969099999995</c:v>
                </c:pt>
                <c:pt idx="981">
                  <c:v>4805.3100000000004</c:v>
                </c:pt>
                <c:pt idx="982">
                  <c:v>4888.54864</c:v>
                </c:pt>
                <c:pt idx="983">
                  <c:v>4872.6733600000007</c:v>
                </c:pt>
                <c:pt idx="984">
                  <c:v>4982.8804799999998</c:v>
                </c:pt>
                <c:pt idx="985">
                  <c:v>4894.5110600000007</c:v>
                </c:pt>
                <c:pt idx="986">
                  <c:v>4906.163520000001</c:v>
                </c:pt>
                <c:pt idx="987">
                  <c:v>4857.7806</c:v>
                </c:pt>
                <c:pt idx="988">
                  <c:v>4863.5104699999993</c:v>
                </c:pt>
                <c:pt idx="989">
                  <c:v>4846.7522500000005</c:v>
                </c:pt>
                <c:pt idx="990">
                  <c:v>4892.2534999999998</c:v>
                </c:pt>
                <c:pt idx="991">
                  <c:v>4889.9590200000002</c:v>
                </c:pt>
                <c:pt idx="992">
                  <c:v>4941.8507199999995</c:v>
                </c:pt>
                <c:pt idx="993">
                  <c:v>4963.6377999999995</c:v>
                </c:pt>
                <c:pt idx="994">
                  <c:v>4973.2817399999994</c:v>
                </c:pt>
                <c:pt idx="995">
                  <c:v>5008.6363400000009</c:v>
                </c:pt>
                <c:pt idx="996">
                  <c:v>4961.0389999999998</c:v>
                </c:pt>
                <c:pt idx="997">
                  <c:v>4893.9592999999995</c:v>
                </c:pt>
                <c:pt idx="998">
                  <c:v>4997.0608199999997</c:v>
                </c:pt>
                <c:pt idx="999">
                  <c:v>4979.7102300000006</c:v>
                </c:pt>
                <c:pt idx="1000">
                  <c:v>5023.3996999999999</c:v>
                </c:pt>
                <c:pt idx="1001">
                  <c:v>5027.3906999999999</c:v>
                </c:pt>
                <c:pt idx="1002">
                  <c:v>5014.7991899999997</c:v>
                </c:pt>
                <c:pt idx="1003">
                  <c:v>5089.0174400000005</c:v>
                </c:pt>
                <c:pt idx="1004">
                  <c:v>5057.6922200000008</c:v>
                </c:pt>
                <c:pt idx="1005">
                  <c:v>4923.3151100000005</c:v>
                </c:pt>
                <c:pt idx="1006">
                  <c:v>4948.2728800000004</c:v>
                </c:pt>
                <c:pt idx="1007">
                  <c:v>4922.6404599999996</c:v>
                </c:pt>
                <c:pt idx="1008">
                  <c:v>4891.19812</c:v>
                </c:pt>
                <c:pt idx="1009">
                  <c:v>4876.3853999999992</c:v>
                </c:pt>
                <c:pt idx="1010">
                  <c:v>4867.4111899999998</c:v>
                </c:pt>
                <c:pt idx="1011">
                  <c:v>4851.6154200000001</c:v>
                </c:pt>
                <c:pt idx="1012">
                  <c:v>4775.7743600000003</c:v>
                </c:pt>
                <c:pt idx="1013">
                  <c:v>4825.4318400000011</c:v>
                </c:pt>
                <c:pt idx="1014">
                  <c:v>4828.9153200000001</c:v>
                </c:pt>
                <c:pt idx="1015">
                  <c:v>4750.82564</c:v>
                </c:pt>
                <c:pt idx="1016">
                  <c:v>4703.576399999999</c:v>
                </c:pt>
                <c:pt idx="1017">
                  <c:v>4679.61852</c:v>
                </c:pt>
                <c:pt idx="1018">
                  <c:v>4679.0138400000005</c:v>
                </c:pt>
                <c:pt idx="1019">
                  <c:v>4631.9516800000001</c:v>
                </c:pt>
                <c:pt idx="1020">
                  <c:v>4530.2458500000002</c:v>
                </c:pt>
                <c:pt idx="1021">
                  <c:v>4532.6740799999998</c:v>
                </c:pt>
                <c:pt idx="1022">
                  <c:v>4473.4498599999997</c:v>
                </c:pt>
                <c:pt idx="1023">
                  <c:v>4612.98344</c:v>
                </c:pt>
                <c:pt idx="1024">
                  <c:v>4605.3192000000008</c:v>
                </c:pt>
                <c:pt idx="1025">
                  <c:v>4659.7525500000002</c:v>
                </c:pt>
                <c:pt idx="1026">
                  <c:v>4728.2272600000006</c:v>
                </c:pt>
                <c:pt idx="1027">
                  <c:v>4762.5221000000001</c:v>
                </c:pt>
                <c:pt idx="1028">
                  <c:v>4690.4270399999996</c:v>
                </c:pt>
                <c:pt idx="1029">
                  <c:v>4743.17893</c:v>
                </c:pt>
                <c:pt idx="1030">
                  <c:v>4633.8502399999998</c:v>
                </c:pt>
                <c:pt idx="1031">
                  <c:v>4656.7024000000001</c:v>
                </c:pt>
                <c:pt idx="1032">
                  <c:v>4679.1948000000002</c:v>
                </c:pt>
                <c:pt idx="1033">
                  <c:v>4702.2104399999998</c:v>
                </c:pt>
                <c:pt idx="1034">
                  <c:v>4693.3396000000002</c:v>
                </c:pt>
                <c:pt idx="1035">
                  <c:v>4724.6563200000001</c:v>
                </c:pt>
                <c:pt idx="1036">
                  <c:v>4757.2200299999995</c:v>
                </c:pt>
                <c:pt idx="1037">
                  <c:v>4769.2793999999994</c:v>
                </c:pt>
                <c:pt idx="1038">
                  <c:v>4780.93</c:v>
                </c:pt>
                <c:pt idx="1039">
                  <c:v>4816.73819</c:v>
                </c:pt>
                <c:pt idx="1040">
                  <c:v>4819.3845599999995</c:v>
                </c:pt>
                <c:pt idx="1041">
                  <c:v>4796.5915799999993</c:v>
                </c:pt>
                <c:pt idx="1042">
                  <c:v>4818.5731999999998</c:v>
                </c:pt>
                <c:pt idx="1043">
                  <c:v>4894.3392800000001</c:v>
                </c:pt>
                <c:pt idx="1044">
                  <c:v>4801.3413299999993</c:v>
                </c:pt>
                <c:pt idx="1045">
                  <c:v>4836.7524799999992</c:v>
                </c:pt>
                <c:pt idx="1046">
                  <c:v>4827.3041599999997</c:v>
                </c:pt>
                <c:pt idx="1047">
                  <c:v>4839.5398399999995</c:v>
                </c:pt>
                <c:pt idx="1048">
                  <c:v>4834.4205000000002</c:v>
                </c:pt>
                <c:pt idx="1049">
                  <c:v>4834.4963399999997</c:v>
                </c:pt>
                <c:pt idx="1050">
                  <c:v>4805.1740800000007</c:v>
                </c:pt>
                <c:pt idx="1051">
                  <c:v>4803.2151000000003</c:v>
                </c:pt>
                <c:pt idx="1052">
                  <c:v>4760.6537800000006</c:v>
                </c:pt>
                <c:pt idx="1053">
                  <c:v>4762.4570199999998</c:v>
                </c:pt>
                <c:pt idx="1054">
                  <c:v>4803.0719099999997</c:v>
                </c:pt>
                <c:pt idx="1055">
                  <c:v>4831.0917200000013</c:v>
                </c:pt>
                <c:pt idx="1056">
                  <c:v>4855.8780000000006</c:v>
                </c:pt>
                <c:pt idx="1057">
                  <c:v>4888.4204</c:v>
                </c:pt>
                <c:pt idx="1058">
                  <c:v>4828.4622100000006</c:v>
                </c:pt>
                <c:pt idx="1059">
                  <c:v>4856.8906100000004</c:v>
                </c:pt>
                <c:pt idx="1060">
                  <c:v>4963.6838200000002</c:v>
                </c:pt>
                <c:pt idx="1061">
                  <c:v>4946.8143600000003</c:v>
                </c:pt>
                <c:pt idx="1062">
                  <c:v>4921.7112300000008</c:v>
                </c:pt>
                <c:pt idx="1063">
                  <c:v>5007.0041999999994</c:v>
                </c:pt>
                <c:pt idx="1064">
                  <c:v>5013.3816000000006</c:v>
                </c:pt>
                <c:pt idx="1065">
                  <c:v>4944.3477199999998</c:v>
                </c:pt>
                <c:pt idx="1066">
                  <c:v>4930.2186199999996</c:v>
                </c:pt>
                <c:pt idx="1067">
                  <c:v>4884.7701800000004</c:v>
                </c:pt>
                <c:pt idx="1068">
                  <c:v>4874.8505000000005</c:v>
                </c:pt>
                <c:pt idx="1069">
                  <c:v>4882.3425000000007</c:v>
                </c:pt>
                <c:pt idx="1070">
                  <c:v>4858.7044499999993</c:v>
                </c:pt>
                <c:pt idx="1071">
                  <c:v>4924.1377499999999</c:v>
                </c:pt>
                <c:pt idx="1072">
                  <c:v>4924.5685599999997</c:v>
                </c:pt>
                <c:pt idx="1073">
                  <c:v>4971.4771199999996</c:v>
                </c:pt>
                <c:pt idx="1074">
                  <c:v>4939.4668799999999</c:v>
                </c:pt>
                <c:pt idx="1075">
                  <c:v>4955.0155599999998</c:v>
                </c:pt>
                <c:pt idx="1076">
                  <c:v>4994.3193000000001</c:v>
                </c:pt>
                <c:pt idx="1077">
                  <c:v>4945.6439999999993</c:v>
                </c:pt>
                <c:pt idx="1078">
                  <c:v>4932.7130299999999</c:v>
                </c:pt>
                <c:pt idx="1079">
                  <c:v>4911.3805400000001</c:v>
                </c:pt>
                <c:pt idx="1080">
                  <c:v>4938.8583900000003</c:v>
                </c:pt>
                <c:pt idx="1081">
                  <c:v>4993.5392000000002</c:v>
                </c:pt>
                <c:pt idx="1082">
                  <c:v>4921.3231599999999</c:v>
                </c:pt>
                <c:pt idx="1083">
                  <c:v>4877.0153899999996</c:v>
                </c:pt>
                <c:pt idx="1084">
                  <c:v>4905.0458099999996</c:v>
                </c:pt>
                <c:pt idx="1085">
                  <c:v>4882.5819199999996</c:v>
                </c:pt>
                <c:pt idx="1086">
                  <c:v>4885.43552</c:v>
                </c:pt>
                <c:pt idx="1087">
                  <c:v>4842.7769599999992</c:v>
                </c:pt>
                <c:pt idx="1088">
                  <c:v>4864.8225599999996</c:v>
                </c:pt>
                <c:pt idx="1089">
                  <c:v>4821.2873800000007</c:v>
                </c:pt>
                <c:pt idx="1090">
                  <c:v>4836.9036799999994</c:v>
                </c:pt>
                <c:pt idx="1091">
                  <c:v>4877.2765999999992</c:v>
                </c:pt>
                <c:pt idx="1092">
                  <c:v>4782.4478200000003</c:v>
                </c:pt>
                <c:pt idx="1093">
                  <c:v>4743.0202399999998</c:v>
                </c:pt>
                <c:pt idx="1094">
                  <c:v>4778.3000999999995</c:v>
                </c:pt>
                <c:pt idx="1095">
                  <c:v>4770.2764200000011</c:v>
                </c:pt>
                <c:pt idx="1096">
                  <c:v>4770.7052399999993</c:v>
                </c:pt>
                <c:pt idx="1097">
                  <c:v>4786.3224000000009</c:v>
                </c:pt>
                <c:pt idx="1098">
                  <c:v>4830.9455699999999</c:v>
                </c:pt>
                <c:pt idx="1099">
                  <c:v>4856.6366500000004</c:v>
                </c:pt>
                <c:pt idx="1100">
                  <c:v>4841.6802800000005</c:v>
                </c:pt>
                <c:pt idx="1101">
                  <c:v>4828.1280999999999</c:v>
                </c:pt>
                <c:pt idx="1102">
                  <c:v>4832.8559299999997</c:v>
                </c:pt>
                <c:pt idx="1103">
                  <c:v>4926.8544600000005</c:v>
                </c:pt>
                <c:pt idx="1104">
                  <c:v>4967.4048000000003</c:v>
                </c:pt>
                <c:pt idx="1105">
                  <c:v>4975.2005399999998</c:v>
                </c:pt>
                <c:pt idx="1106">
                  <c:v>5005.69596</c:v>
                </c:pt>
                <c:pt idx="1107">
                  <c:v>4975.2082799999998</c:v>
                </c:pt>
                <c:pt idx="1108">
                  <c:v>4987.2164000000002</c:v>
                </c:pt>
                <c:pt idx="1109">
                  <c:v>4987.6939199999997</c:v>
                </c:pt>
                <c:pt idx="1110">
                  <c:v>5059.3523400000004</c:v>
                </c:pt>
                <c:pt idx="1111">
                  <c:v>4998.69902</c:v>
                </c:pt>
                <c:pt idx="1112">
                  <c:v>4988.9546400000008</c:v>
                </c:pt>
                <c:pt idx="1113">
                  <c:v>4971.2603599999993</c:v>
                </c:pt>
                <c:pt idx="1114">
                  <c:v>4968.1938999999993</c:v>
                </c:pt>
                <c:pt idx="1115">
                  <c:v>4960.8747200000007</c:v>
                </c:pt>
                <c:pt idx="1116">
                  <c:v>4957.0926899999995</c:v>
                </c:pt>
                <c:pt idx="1117">
                  <c:v>4904.2103100000004</c:v>
                </c:pt>
                <c:pt idx="1118">
                  <c:v>5003.7577199999996</c:v>
                </c:pt>
                <c:pt idx="1119">
                  <c:v>5048.6490000000003</c:v>
                </c:pt>
                <c:pt idx="1120">
                  <c:v>4979.6166599999997</c:v>
                </c:pt>
                <c:pt idx="1121">
                  <c:v>4957.1356699999997</c:v>
                </c:pt>
                <c:pt idx="1122">
                  <c:v>4998.5919199999998</c:v>
                </c:pt>
                <c:pt idx="1123">
                  <c:v>4996.0316699999994</c:v>
                </c:pt>
                <c:pt idx="1124">
                  <c:v>5007.7703499999998</c:v>
                </c:pt>
                <c:pt idx="1125">
                  <c:v>5043.4883999999993</c:v>
                </c:pt>
                <c:pt idx="1126">
                  <c:v>5022.3980799999999</c:v>
                </c:pt>
                <c:pt idx="1127">
                  <c:v>4940.0590699999993</c:v>
                </c:pt>
                <c:pt idx="1128">
                  <c:v>4938.2412599999998</c:v>
                </c:pt>
                <c:pt idx="1129">
                  <c:v>5038.5384999999997</c:v>
                </c:pt>
                <c:pt idx="1130">
                  <c:v>4972.5830799999994</c:v>
                </c:pt>
                <c:pt idx="1131">
                  <c:v>5006.5553600000003</c:v>
                </c:pt>
                <c:pt idx="1132">
                  <c:v>5025.6556399999999</c:v>
                </c:pt>
                <c:pt idx="1133">
                  <c:v>4976.8340699999999</c:v>
                </c:pt>
                <c:pt idx="1134">
                  <c:v>4950.92112</c:v>
                </c:pt>
                <c:pt idx="1135">
                  <c:v>4901.5756799999999</c:v>
                </c:pt>
                <c:pt idx="1136">
                  <c:v>4928.4506599999995</c:v>
                </c:pt>
                <c:pt idx="1137">
                  <c:v>4963.1824999999999</c:v>
                </c:pt>
                <c:pt idx="1138">
                  <c:v>4998.0869400000001</c:v>
                </c:pt>
                <c:pt idx="1139">
                  <c:v>5004.0806199999997</c:v>
                </c:pt>
                <c:pt idx="1140">
                  <c:v>4925.4135699999997</c:v>
                </c:pt>
                <c:pt idx="1141">
                  <c:v>4942.6611200000007</c:v>
                </c:pt>
                <c:pt idx="1142">
                  <c:v>4933.7008399999995</c:v>
                </c:pt>
                <c:pt idx="1143">
                  <c:v>4971.6622500000003</c:v>
                </c:pt>
                <c:pt idx="1144">
                  <c:v>4995.7833099999998</c:v>
                </c:pt>
                <c:pt idx="1145">
                  <c:v>5005.3730999999998</c:v>
                </c:pt>
                <c:pt idx="1146">
                  <c:v>4935.5000100000007</c:v>
                </c:pt>
                <c:pt idx="1147">
                  <c:v>5008.7817500000001</c:v>
                </c:pt>
                <c:pt idx="1148">
                  <c:v>4978.1140000000005</c:v>
                </c:pt>
                <c:pt idx="1149">
                  <c:v>4966.0938900000001</c:v>
                </c:pt>
                <c:pt idx="1150">
                  <c:v>4878.608940000001</c:v>
                </c:pt>
                <c:pt idx="1151">
                  <c:v>4904.3286600000001</c:v>
                </c:pt>
                <c:pt idx="1152">
                  <c:v>4820.7749999999996</c:v>
                </c:pt>
                <c:pt idx="1153">
                  <c:v>4838.4456</c:v>
                </c:pt>
                <c:pt idx="1154">
                  <c:v>4867.4169000000002</c:v>
                </c:pt>
                <c:pt idx="1155">
                  <c:v>4839.1027199999999</c:v>
                </c:pt>
                <c:pt idx="1156">
                  <c:v>4830.0451200000007</c:v>
                </c:pt>
                <c:pt idx="1157">
                  <c:v>4769.9376999999995</c:v>
                </c:pt>
                <c:pt idx="1158">
                  <c:v>4664.4882199999993</c:v>
                </c:pt>
                <c:pt idx="1159">
                  <c:v>4664.2032500000005</c:v>
                </c:pt>
                <c:pt idx="1160">
                  <c:v>4599.5302500000007</c:v>
                </c:pt>
                <c:pt idx="1161">
                  <c:v>4558.5540000000001</c:v>
                </c:pt>
                <c:pt idx="1162">
                  <c:v>4528.7608300000002</c:v>
                </c:pt>
                <c:pt idx="1163">
                  <c:v>4592.9167900000002</c:v>
                </c:pt>
                <c:pt idx="1164">
                  <c:v>4611.4748</c:v>
                </c:pt>
                <c:pt idx="1165">
                  <c:v>4615.6685299999999</c:v>
                </c:pt>
                <c:pt idx="1166">
                  <c:v>4646.5146000000004</c:v>
                </c:pt>
                <c:pt idx="1167">
                  <c:v>4612.2794299999996</c:v>
                </c:pt>
                <c:pt idx="1168">
                  <c:v>4600.1175000000003</c:v>
                </c:pt>
                <c:pt idx="1169">
                  <c:v>4580.9758499999998</c:v>
                </c:pt>
                <c:pt idx="1170">
                  <c:v>4602.7531600000002</c:v>
                </c:pt>
                <c:pt idx="1171">
                  <c:v>4546.5697899999996</c:v>
                </c:pt>
                <c:pt idx="1172">
                  <c:v>4595.84825</c:v>
                </c:pt>
                <c:pt idx="1173">
                  <c:v>4673.74251</c:v>
                </c:pt>
                <c:pt idx="1174">
                  <c:v>4709.7724999999991</c:v>
                </c:pt>
                <c:pt idx="1175">
                  <c:v>4654.225730000001</c:v>
                </c:pt>
                <c:pt idx="1176">
                  <c:v>4669.7029000000002</c:v>
                </c:pt>
                <c:pt idx="1177">
                  <c:v>4644.7514600000004</c:v>
                </c:pt>
                <c:pt idx="1178">
                  <c:v>4684.5185200000005</c:v>
                </c:pt>
                <c:pt idx="1179">
                  <c:v>4695.1060800000005</c:v>
                </c:pt>
                <c:pt idx="1180">
                  <c:v>4657.9620999999997</c:v>
                </c:pt>
                <c:pt idx="1181">
                  <c:v>4635.8452699999998</c:v>
                </c:pt>
                <c:pt idx="1182">
                  <c:v>4625.4808899999989</c:v>
                </c:pt>
                <c:pt idx="1183">
                  <c:v>4585.0992999999999</c:v>
                </c:pt>
                <c:pt idx="1184">
                  <c:v>4573.578950000001</c:v>
                </c:pt>
                <c:pt idx="1185">
                  <c:v>4521.2634399999997</c:v>
                </c:pt>
                <c:pt idx="1186">
                  <c:v>4415.3847100000003</c:v>
                </c:pt>
                <c:pt idx="1187">
                  <c:v>4477.5666899999997</c:v>
                </c:pt>
                <c:pt idx="1188">
                  <c:v>4472.7365200000004</c:v>
                </c:pt>
                <c:pt idx="1189">
                  <c:v>4423.6745000000001</c:v>
                </c:pt>
                <c:pt idx="1190">
                  <c:v>4486.8291499999996</c:v>
                </c:pt>
                <c:pt idx="1191">
                  <c:v>4507.0177000000003</c:v>
                </c:pt>
                <c:pt idx="1192">
                  <c:v>4520.4111999999996</c:v>
                </c:pt>
                <c:pt idx="1193">
                  <c:v>4409.6480099999999</c:v>
                </c:pt>
                <c:pt idx="1194">
                  <c:v>4443.8562299999994</c:v>
                </c:pt>
                <c:pt idx="1195">
                  <c:v>4359.3710799999999</c:v>
                </c:pt>
                <c:pt idx="1196">
                  <c:v>4337.2939500000002</c:v>
                </c:pt>
                <c:pt idx="1197">
                  <c:v>4241.8362000000006</c:v>
                </c:pt>
                <c:pt idx="1198">
                  <c:v>4260.2784300000003</c:v>
                </c:pt>
                <c:pt idx="1199">
                  <c:v>4195.9229800000003</c:v>
                </c:pt>
                <c:pt idx="1200">
                  <c:v>4198.0084799999995</c:v>
                </c:pt>
                <c:pt idx="1201">
                  <c:v>4231.99125</c:v>
                </c:pt>
                <c:pt idx="1202">
                  <c:v>4316.5552500000003</c:v>
                </c:pt>
                <c:pt idx="1203">
                  <c:v>4433.4831399999994</c:v>
                </c:pt>
                <c:pt idx="1204">
                  <c:v>4477.8898500000005</c:v>
                </c:pt>
                <c:pt idx="1205">
                  <c:v>4509.6446999999998</c:v>
                </c:pt>
                <c:pt idx="1206">
                  <c:v>4555.8548999999994</c:v>
                </c:pt>
                <c:pt idx="1207">
                  <c:v>4609.0191400000003</c:v>
                </c:pt>
                <c:pt idx="1208">
                  <c:v>4669.9783500000003</c:v>
                </c:pt>
                <c:pt idx="1209">
                  <c:v>4728.83752</c:v>
                </c:pt>
                <c:pt idx="1210">
                  <c:v>4662.5111699999998</c:v>
                </c:pt>
                <c:pt idx="1211">
                  <c:v>4623.731490000001</c:v>
                </c:pt>
                <c:pt idx="1212">
                  <c:v>4600.9565000000002</c:v>
                </c:pt>
                <c:pt idx="1213">
                  <c:v>4614.5330999999996</c:v>
                </c:pt>
                <c:pt idx="1214">
                  <c:v>4559.9319300000006</c:v>
                </c:pt>
                <c:pt idx="1215">
                  <c:v>4403.7182600000006</c:v>
                </c:pt>
                <c:pt idx="1216">
                  <c:v>4340.0167199999996</c:v>
                </c:pt>
                <c:pt idx="1217">
                  <c:v>4250.1967500000001</c:v>
                </c:pt>
                <c:pt idx="1218">
                  <c:v>4319.9224599999998</c:v>
                </c:pt>
                <c:pt idx="1219">
                  <c:v>4355.4574000000002</c:v>
                </c:pt>
                <c:pt idx="1220">
                  <c:v>4248.6938</c:v>
                </c:pt>
                <c:pt idx="1221">
                  <c:v>4278.9417600000006</c:v>
                </c:pt>
                <c:pt idx="1222">
                  <c:v>4356.60995</c:v>
                </c:pt>
                <c:pt idx="1223">
                  <c:v>4385.7342500000004</c:v>
                </c:pt>
                <c:pt idx="1224">
                  <c:v>4374.3828800000001</c:v>
                </c:pt>
                <c:pt idx="1225">
                  <c:v>4309.3535999999995</c:v>
                </c:pt>
                <c:pt idx="1226">
                  <c:v>4267.4326499999997</c:v>
                </c:pt>
                <c:pt idx="1227">
                  <c:v>4387.0487399999993</c:v>
                </c:pt>
                <c:pt idx="1228">
                  <c:v>4323.0521399999998</c:v>
                </c:pt>
                <c:pt idx="1229">
                  <c:v>4376.49935</c:v>
                </c:pt>
                <c:pt idx="1230">
                  <c:v>4473.5258700000004</c:v>
                </c:pt>
                <c:pt idx="1231">
                  <c:v>4618.2330999999995</c:v>
                </c:pt>
                <c:pt idx="1232">
                  <c:v>4589.6012799999999</c:v>
                </c:pt>
                <c:pt idx="1233">
                  <c:v>4739.7496900000006</c:v>
                </c:pt>
                <c:pt idx="1234">
                  <c:v>4721.6614399999999</c:v>
                </c:pt>
                <c:pt idx="1235">
                  <c:v>4634.7355000000007</c:v>
                </c:pt>
                <c:pt idx="1236">
                  <c:v>4721.7336000000005</c:v>
                </c:pt>
                <c:pt idx="1237">
                  <c:v>4759.8730399999995</c:v>
                </c:pt>
                <c:pt idx="1238">
                  <c:v>4663.0644899999998</c:v>
                </c:pt>
                <c:pt idx="1239">
                  <c:v>4743.7803600000007</c:v>
                </c:pt>
                <c:pt idx="1240">
                  <c:v>4848.3402000000006</c:v>
                </c:pt>
                <c:pt idx="1241">
                  <c:v>4933.6896500000012</c:v>
                </c:pt>
                <c:pt idx="1242">
                  <c:v>4950.5997500000003</c:v>
                </c:pt>
                <c:pt idx="1243">
                  <c:v>4965.0827199999994</c:v>
                </c:pt>
                <c:pt idx="1244">
                  <c:v>5039.2367999999997</c:v>
                </c:pt>
                <c:pt idx="1245">
                  <c:v>5143.0339199999999</c:v>
                </c:pt>
                <c:pt idx="1246">
                  <c:v>5221.1120000000001</c:v>
                </c:pt>
                <c:pt idx="1247">
                  <c:v>5222.7168500000007</c:v>
                </c:pt>
                <c:pt idx="1248">
                  <c:v>5259.7513200000003</c:v>
                </c:pt>
                <c:pt idx="1249">
                  <c:v>5149.499420000001</c:v>
                </c:pt>
                <c:pt idx="1250">
                  <c:v>5132.6836000000003</c:v>
                </c:pt>
                <c:pt idx="1251">
                  <c:v>5135.29648</c:v>
                </c:pt>
                <c:pt idx="1252">
                  <c:v>5147.6996899999995</c:v>
                </c:pt>
                <c:pt idx="1253">
                  <c:v>5189.4712500000005</c:v>
                </c:pt>
                <c:pt idx="1254">
                  <c:v>5182.0012500000003</c:v>
                </c:pt>
                <c:pt idx="1255">
                  <c:v>5071.4287200000008</c:v>
                </c:pt>
                <c:pt idx="1256">
                  <c:v>5107.9106400000001</c:v>
                </c:pt>
                <c:pt idx="1257">
                  <c:v>5067.8440200000005</c:v>
                </c:pt>
                <c:pt idx="1258">
                  <c:v>5026.2884100000001</c:v>
                </c:pt>
                <c:pt idx="1259">
                  <c:v>5115.6800799999992</c:v>
                </c:pt>
                <c:pt idx="1260">
                  <c:v>5121.1350600000005</c:v>
                </c:pt>
                <c:pt idx="1261">
                  <c:v>5073.5802599999997</c:v>
                </c:pt>
                <c:pt idx="1262">
                  <c:v>4957.4083999999993</c:v>
                </c:pt>
                <c:pt idx="1263">
                  <c:v>4987.6019200000001</c:v>
                </c:pt>
                <c:pt idx="1264">
                  <c:v>4865.9572800000005</c:v>
                </c:pt>
                <c:pt idx="1265">
                  <c:v>4880.25054</c:v>
                </c:pt>
                <c:pt idx="1266">
                  <c:v>4779.87536</c:v>
                </c:pt>
                <c:pt idx="1267">
                  <c:v>4777.5280499999999</c:v>
                </c:pt>
                <c:pt idx="1268">
                  <c:v>4761.2171600000001</c:v>
                </c:pt>
                <c:pt idx="1269">
                  <c:v>4708.96198</c:v>
                </c:pt>
                <c:pt idx="1270">
                  <c:v>4697.28802</c:v>
                </c:pt>
                <c:pt idx="1271">
                  <c:v>4641.3426400000008</c:v>
                </c:pt>
                <c:pt idx="1272">
                  <c:v>4619.2757599999995</c:v>
                </c:pt>
                <c:pt idx="1273">
                  <c:v>4638.8923999999997</c:v>
                </c:pt>
                <c:pt idx="1274">
                  <c:v>4620.9621900000002</c:v>
                </c:pt>
                <c:pt idx="1275">
                  <c:v>4653.8027900000006</c:v>
                </c:pt>
                <c:pt idx="1276">
                  <c:v>4704.43624</c:v>
                </c:pt>
                <c:pt idx="1277">
                  <c:v>4680.22</c:v>
                </c:pt>
                <c:pt idx="1278">
                  <c:v>4776.7191000000003</c:v>
                </c:pt>
                <c:pt idx="1279">
                  <c:v>4728.5696499999995</c:v>
                </c:pt>
                <c:pt idx="1280">
                  <c:v>4679.4835199999998</c:v>
                </c:pt>
                <c:pt idx="1281">
                  <c:v>4647.4141499999996</c:v>
                </c:pt>
                <c:pt idx="1282">
                  <c:v>4634.8295900000003</c:v>
                </c:pt>
                <c:pt idx="1283">
                  <c:v>4614.4446600000001</c:v>
                </c:pt>
                <c:pt idx="1284">
                  <c:v>4702.4341000000004</c:v>
                </c:pt>
                <c:pt idx="1285">
                  <c:v>4755.9613500000005</c:v>
                </c:pt>
                <c:pt idx="1286">
                  <c:v>4679.0908500000005</c:v>
                </c:pt>
                <c:pt idx="1287">
                  <c:v>4788.4198500000002</c:v>
                </c:pt>
                <c:pt idx="1288">
                  <c:v>4887.6869700000007</c:v>
                </c:pt>
                <c:pt idx="1289">
                  <c:v>4886.8582500000002</c:v>
                </c:pt>
                <c:pt idx="1290">
                  <c:v>4789.4488300000012</c:v>
                </c:pt>
                <c:pt idx="1291">
                  <c:v>4788.0301399999998</c:v>
                </c:pt>
                <c:pt idx="1292">
                  <c:v>4814.9388500000005</c:v>
                </c:pt>
                <c:pt idx="1293">
                  <c:v>4717.6238400000002</c:v>
                </c:pt>
                <c:pt idx="1294">
                  <c:v>4725.5018</c:v>
                </c:pt>
                <c:pt idx="1295">
                  <c:v>4776.0624900000003</c:v>
                </c:pt>
                <c:pt idx="1296">
                  <c:v>4767.8966700000001</c:v>
                </c:pt>
                <c:pt idx="1297">
                  <c:v>4776.5312199999998</c:v>
                </c:pt>
                <c:pt idx="1298">
                  <c:v>4792.0748700000004</c:v>
                </c:pt>
                <c:pt idx="1299">
                  <c:v>4758.7734999999993</c:v>
                </c:pt>
                <c:pt idx="1300">
                  <c:v>4747.478970000001</c:v>
                </c:pt>
                <c:pt idx="1301">
                  <c:v>4896.1230399999995</c:v>
                </c:pt>
                <c:pt idx="1302">
                  <c:v>4941.1824899999992</c:v>
                </c:pt>
                <c:pt idx="1303">
                  <c:v>4895.8944300000003</c:v>
                </c:pt>
                <c:pt idx="1304">
                  <c:v>4849.8352000000004</c:v>
                </c:pt>
                <c:pt idx="1305">
                  <c:v>4891.2998400000006</c:v>
                </c:pt>
                <c:pt idx="1306">
                  <c:v>4989.6824100000003</c:v>
                </c:pt>
                <c:pt idx="1307">
                  <c:v>4956.2526600000001</c:v>
                </c:pt>
                <c:pt idx="1308">
                  <c:v>4987.7638799999995</c:v>
                </c:pt>
                <c:pt idx="1309">
                  <c:v>5010.4578200000005</c:v>
                </c:pt>
                <c:pt idx="1310">
                  <c:v>5091.24784</c:v>
                </c:pt>
                <c:pt idx="1311">
                  <c:v>5096.0317599999998</c:v>
                </c:pt>
                <c:pt idx="1312">
                  <c:v>5087.2457999999997</c:v>
                </c:pt>
                <c:pt idx="1313">
                  <c:v>5165.9860900000003</c:v>
                </c:pt>
                <c:pt idx="1314">
                  <c:v>5093.6241600000012</c:v>
                </c:pt>
                <c:pt idx="1315">
                  <c:v>5081.6750000000002</c:v>
                </c:pt>
                <c:pt idx="1316">
                  <c:v>5065.7448599999998</c:v>
                </c:pt>
                <c:pt idx="1317">
                  <c:v>5098.4196999999995</c:v>
                </c:pt>
                <c:pt idx="1318">
                  <c:v>5143.2822299999998</c:v>
                </c:pt>
                <c:pt idx="1319">
                  <c:v>5181.7742900000003</c:v>
                </c:pt>
                <c:pt idx="1320">
                  <c:v>5136.0410199999997</c:v>
                </c:pt>
                <c:pt idx="1321">
                  <c:v>5169.9306999999999</c:v>
                </c:pt>
                <c:pt idx="1322">
                  <c:v>5125.21144</c:v>
                </c:pt>
                <c:pt idx="1323">
                  <c:v>5047.45813</c:v>
                </c:pt>
                <c:pt idx="1324">
                  <c:v>5041.5580600000003</c:v>
                </c:pt>
                <c:pt idx="1325">
                  <c:v>5002.4655000000002</c:v>
                </c:pt>
                <c:pt idx="1326">
                  <c:v>4915.3539499999997</c:v>
                </c:pt>
                <c:pt idx="1327">
                  <c:v>4951.3951500000003</c:v>
                </c:pt>
                <c:pt idx="1328">
                  <c:v>4808.9677099999999</c:v>
                </c:pt>
                <c:pt idx="1329">
                  <c:v>4897.5426199999993</c:v>
                </c:pt>
                <c:pt idx="1330">
                  <c:v>4839.0444000000007</c:v>
                </c:pt>
                <c:pt idx="1331">
                  <c:v>4855.1220000000003</c:v>
                </c:pt>
                <c:pt idx="1332">
                  <c:v>4879.0624100000005</c:v>
                </c:pt>
                <c:pt idx="1333">
                  <c:v>5012.4748799999988</c:v>
                </c:pt>
                <c:pt idx="1334">
                  <c:v>5016.5348999999997</c:v>
                </c:pt>
                <c:pt idx="1335">
                  <c:v>5117.0729999999994</c:v>
                </c:pt>
                <c:pt idx="1336">
                  <c:v>5105.2092799999991</c:v>
                </c:pt>
                <c:pt idx="1337">
                  <c:v>5063.6846399999995</c:v>
                </c:pt>
                <c:pt idx="1338">
                  <c:v>5097.9796799999995</c:v>
                </c:pt>
                <c:pt idx="1339">
                  <c:v>5138.5941200000007</c:v>
                </c:pt>
                <c:pt idx="1340">
                  <c:v>5152.5676999999996</c:v>
                </c:pt>
                <c:pt idx="1341">
                  <c:v>5151.2600999999995</c:v>
                </c:pt>
                <c:pt idx="1342">
                  <c:v>5174.7114800000008</c:v>
                </c:pt>
                <c:pt idx="1343">
                  <c:v>5153.3930399999999</c:v>
                </c:pt>
                <c:pt idx="1344">
                  <c:v>5119.1711999999998</c:v>
                </c:pt>
                <c:pt idx="1345">
                  <c:v>5100.0787199999995</c:v>
                </c:pt>
                <c:pt idx="1346">
                  <c:v>4955.2419800000007</c:v>
                </c:pt>
                <c:pt idx="1347">
                  <c:v>5068.3370400000003</c:v>
                </c:pt>
                <c:pt idx="1348">
                  <c:v>5069.2816999999995</c:v>
                </c:pt>
                <c:pt idx="1349">
                  <c:v>4983.4345000000003</c:v>
                </c:pt>
                <c:pt idx="1350">
                  <c:v>5021.2465000000002</c:v>
                </c:pt>
                <c:pt idx="1351">
                  <c:v>4984.285460000001</c:v>
                </c:pt>
                <c:pt idx="1352">
                  <c:v>5051.7240400000001</c:v>
                </c:pt>
                <c:pt idx="1353">
                  <c:v>5089.6860000000006</c:v>
                </c:pt>
                <c:pt idx="1354">
                  <c:v>5097.8202600000004</c:v>
                </c:pt>
                <c:pt idx="1355">
                  <c:v>5048.59584</c:v>
                </c:pt>
                <c:pt idx="1356">
                  <c:v>5007.6095999999998</c:v>
                </c:pt>
                <c:pt idx="1357">
                  <c:v>5086.900059999999</c:v>
                </c:pt>
                <c:pt idx="1358">
                  <c:v>5115.2020999999995</c:v>
                </c:pt>
                <c:pt idx="1359">
                  <c:v>5090.0400799999998</c:v>
                </c:pt>
                <c:pt idx="1360">
                  <c:v>5035.802279999999</c:v>
                </c:pt>
                <c:pt idx="1361">
                  <c:v>4919.2551999999996</c:v>
                </c:pt>
                <c:pt idx="1362">
                  <c:v>4819.5027999999993</c:v>
                </c:pt>
                <c:pt idx="1363">
                  <c:v>4876.5214100000003</c:v>
                </c:pt>
                <c:pt idx="1364">
                  <c:v>4884.5038500000001</c:v>
                </c:pt>
                <c:pt idx="1365">
                  <c:v>4888.6486799999993</c:v>
                </c:pt>
                <c:pt idx="1366">
                  <c:v>4999.3334399999994</c:v>
                </c:pt>
                <c:pt idx="1367">
                  <c:v>4904.0784000000003</c:v>
                </c:pt>
                <c:pt idx="1368">
                  <c:v>5003.6868000000004</c:v>
                </c:pt>
                <c:pt idx="1369">
                  <c:v>5009.7136500000006</c:v>
                </c:pt>
                <c:pt idx="1370">
                  <c:v>5043.7992600000007</c:v>
                </c:pt>
                <c:pt idx="1371">
                  <c:v>5085.3620999999994</c:v>
                </c:pt>
                <c:pt idx="1372">
                  <c:v>5047.66464</c:v>
                </c:pt>
                <c:pt idx="1373">
                  <c:v>5074.7236800000001</c:v>
                </c:pt>
                <c:pt idx="1374">
                  <c:v>5106.9255600000006</c:v>
                </c:pt>
                <c:pt idx="1375">
                  <c:v>5059.758960000001</c:v>
                </c:pt>
                <c:pt idx="1376">
                  <c:v>5121.7475999999997</c:v>
                </c:pt>
                <c:pt idx="1377">
                  <c:v>5155.867909999999</c:v>
                </c:pt>
                <c:pt idx="1378">
                  <c:v>5114.2024600000004</c:v>
                </c:pt>
                <c:pt idx="1379">
                  <c:v>5082.8919699999997</c:v>
                </c:pt>
                <c:pt idx="1380">
                  <c:v>5034.1415800000004</c:v>
                </c:pt>
                <c:pt idx="1381">
                  <c:v>5020.4882699999998</c:v>
                </c:pt>
                <c:pt idx="1382">
                  <c:v>5049.4705400000003</c:v>
                </c:pt>
                <c:pt idx="1383">
                  <c:v>5015.4771700000001</c:v>
                </c:pt>
                <c:pt idx="1384">
                  <c:v>4868.0143200000002</c:v>
                </c:pt>
                <c:pt idx="1385">
                  <c:v>4818.4288800000004</c:v>
                </c:pt>
                <c:pt idx="1386">
                  <c:v>4847.4307799999997</c:v>
                </c:pt>
                <c:pt idx="1387">
                  <c:v>4952.1387400000003</c:v>
                </c:pt>
                <c:pt idx="1388">
                  <c:v>5045.7673200000008</c:v>
                </c:pt>
                <c:pt idx="1389">
                  <c:v>5059.6749500000005</c:v>
                </c:pt>
                <c:pt idx="1390">
                  <c:v>5005.2857400000003</c:v>
                </c:pt>
                <c:pt idx="1391">
                  <c:v>5056.4282400000002</c:v>
                </c:pt>
                <c:pt idx="1392">
                  <c:v>5054.2601199999999</c:v>
                </c:pt>
                <c:pt idx="1393">
                  <c:v>5072.11474</c:v>
                </c:pt>
                <c:pt idx="1394">
                  <c:v>4996.6881799999992</c:v>
                </c:pt>
                <c:pt idx="1395">
                  <c:v>4990.3180599999996</c:v>
                </c:pt>
                <c:pt idx="1396">
                  <c:v>4980.8931599999996</c:v>
                </c:pt>
                <c:pt idx="1397">
                  <c:v>5030.7982999999995</c:v>
                </c:pt>
                <c:pt idx="1398">
                  <c:v>4985.6938399999999</c:v>
                </c:pt>
                <c:pt idx="1399">
                  <c:v>4853.5806999999995</c:v>
                </c:pt>
                <c:pt idx="1400">
                  <c:v>4841.9334600000002</c:v>
                </c:pt>
                <c:pt idx="1401">
                  <c:v>4911.39246</c:v>
                </c:pt>
                <c:pt idx="1402">
                  <c:v>4858.30332</c:v>
                </c:pt>
                <c:pt idx="1403">
                  <c:v>4752.3799799999997</c:v>
                </c:pt>
                <c:pt idx="1404">
                  <c:v>4774.8709000000008</c:v>
                </c:pt>
                <c:pt idx="1405">
                  <c:v>4673.1110399999989</c:v>
                </c:pt>
                <c:pt idx="1406">
                  <c:v>4713.6058499999999</c:v>
                </c:pt>
                <c:pt idx="1407">
                  <c:v>4720.6247200000007</c:v>
                </c:pt>
                <c:pt idx="1408">
                  <c:v>4729.7897400000002</c:v>
                </c:pt>
                <c:pt idx="1409">
                  <c:v>4819.7869600000013</c:v>
                </c:pt>
                <c:pt idx="1410">
                  <c:v>4763.0749399999995</c:v>
                </c:pt>
                <c:pt idx="1411">
                  <c:v>4770.2000000000007</c:v>
                </c:pt>
                <c:pt idx="1412">
                  <c:v>4698.7095600000002</c:v>
                </c:pt>
                <c:pt idx="1413">
                  <c:v>4698.6066000000001</c:v>
                </c:pt>
                <c:pt idx="1414">
                  <c:v>4657.3711800000001</c:v>
                </c:pt>
                <c:pt idx="1415">
                  <c:v>4678.8303100000003</c:v>
                </c:pt>
                <c:pt idx="1416">
                  <c:v>4572.4924200000005</c:v>
                </c:pt>
                <c:pt idx="1417">
                  <c:v>4677.7965000000004</c:v>
                </c:pt>
                <c:pt idx="1418">
                  <c:v>4740.3244400000003</c:v>
                </c:pt>
                <c:pt idx="1419">
                  <c:v>4725.9937600000003</c:v>
                </c:pt>
                <c:pt idx="1420">
                  <c:v>4716.6523199999992</c:v>
                </c:pt>
                <c:pt idx="1421">
                  <c:v>4772.3778000000002</c:v>
                </c:pt>
                <c:pt idx="1422">
                  <c:v>4745.5258199999998</c:v>
                </c:pt>
                <c:pt idx="1423">
                  <c:v>4612.8065100000003</c:v>
                </c:pt>
                <c:pt idx="1424">
                  <c:v>4653.4344000000001</c:v>
                </c:pt>
                <c:pt idx="1425">
                  <c:v>4675.5438300000005</c:v>
                </c:pt>
                <c:pt idx="1426">
                  <c:v>4699.6741399999992</c:v>
                </c:pt>
                <c:pt idx="1427">
                  <c:v>4741.1921700000003</c:v>
                </c:pt>
                <c:pt idx="1428">
                  <c:v>4678.1565000000001</c:v>
                </c:pt>
                <c:pt idx="1429">
                  <c:v>4727.3020999999999</c:v>
                </c:pt>
                <c:pt idx="1430">
                  <c:v>4661.1752199999992</c:v>
                </c:pt>
                <c:pt idx="1431">
                  <c:v>4611.9548000000004</c:v>
                </c:pt>
                <c:pt idx="1432">
                  <c:v>4534.5400500000005</c:v>
                </c:pt>
                <c:pt idx="1433">
                  <c:v>4438.5959199999998</c:v>
                </c:pt>
                <c:pt idx="1434">
                  <c:v>4488.8837000000003</c:v>
                </c:pt>
                <c:pt idx="1435">
                  <c:v>4443.0326800000003</c:v>
                </c:pt>
                <c:pt idx="1436">
                  <c:v>4389.5823399999999</c:v>
                </c:pt>
                <c:pt idx="1437">
                  <c:v>4366.0626300000004</c:v>
                </c:pt>
                <c:pt idx="1438">
                  <c:v>4346.3785500000004</c:v>
                </c:pt>
                <c:pt idx="1439">
                  <c:v>4274.2986399999991</c:v>
                </c:pt>
                <c:pt idx="1440">
                  <c:v>4249.5747599999995</c:v>
                </c:pt>
                <c:pt idx="1441">
                  <c:v>4223.6445600000006</c:v>
                </c:pt>
                <c:pt idx="1442">
                  <c:v>4221.7509599999994</c:v>
                </c:pt>
                <c:pt idx="1443">
                  <c:v>4146.6266999999998</c:v>
                </c:pt>
                <c:pt idx="1444">
                  <c:v>4079.0170799999996</c:v>
                </c:pt>
                <c:pt idx="1445">
                  <c:v>3921.7587499999995</c:v>
                </c:pt>
                <c:pt idx="1446">
                  <c:v>3972.8021099999996</c:v>
                </c:pt>
                <c:pt idx="1447">
                  <c:v>3943.1857400000004</c:v>
                </c:pt>
                <c:pt idx="1448">
                  <c:v>3984.1774599999999</c:v>
                </c:pt>
                <c:pt idx="1449">
                  <c:v>3980.1065400000002</c:v>
                </c:pt>
                <c:pt idx="1450">
                  <c:v>3997.8574199999998</c:v>
                </c:pt>
                <c:pt idx="1451">
                  <c:v>4008.1253999999994</c:v>
                </c:pt>
                <c:pt idx="1452">
                  <c:v>4045.1870899999999</c:v>
                </c:pt>
                <c:pt idx="1453">
                  <c:v>3999.5176000000001</c:v>
                </c:pt>
                <c:pt idx="1454">
                  <c:v>4091.3440500000002</c:v>
                </c:pt>
                <c:pt idx="1455">
                  <c:v>4040.0438600000007</c:v>
                </c:pt>
                <c:pt idx="1456">
                  <c:v>4054.0963000000002</c:v>
                </c:pt>
                <c:pt idx="1457">
                  <c:v>4004.4560000000001</c:v>
                </c:pt>
                <c:pt idx="1458">
                  <c:v>3925.7783999999997</c:v>
                </c:pt>
                <c:pt idx="1459">
                  <c:v>3916.8820400000004</c:v>
                </c:pt>
                <c:pt idx="1460">
                  <c:v>4037.3132799999998</c:v>
                </c:pt>
                <c:pt idx="1461">
                  <c:v>3990.4606800000001</c:v>
                </c:pt>
                <c:pt idx="1462">
                  <c:v>3989.0132899999994</c:v>
                </c:pt>
                <c:pt idx="1463">
                  <c:v>4005.2161900000001</c:v>
                </c:pt>
                <c:pt idx="1464">
                  <c:v>4065.1287500000003</c:v>
                </c:pt>
                <c:pt idx="1465">
                  <c:v>4113.1403399999999</c:v>
                </c:pt>
                <c:pt idx="1466">
                  <c:v>4119.8832400000001</c:v>
                </c:pt>
                <c:pt idx="1467">
                  <c:v>4082.0059199999996</c:v>
                </c:pt>
                <c:pt idx="1468">
                  <c:v>4045.7293200000004</c:v>
                </c:pt>
                <c:pt idx="1469">
                  <c:v>3924.2757699999997</c:v>
                </c:pt>
                <c:pt idx="1470">
                  <c:v>3956.9036799999994</c:v>
                </c:pt>
                <c:pt idx="1471">
                  <c:v>3956.9036799999994</c:v>
                </c:pt>
                <c:pt idx="1472">
                  <c:v>3874.4006199999999</c:v>
                </c:pt>
                <c:pt idx="1473">
                  <c:v>3929.6250399999994</c:v>
                </c:pt>
                <c:pt idx="1474">
                  <c:v>3931.1726700000004</c:v>
                </c:pt>
                <c:pt idx="1475">
                  <c:v>3927.5023999999999</c:v>
                </c:pt>
                <c:pt idx="1476">
                  <c:v>3858.0889999999999</c:v>
                </c:pt>
                <c:pt idx="1477">
                  <c:v>3811.6599299999993</c:v>
                </c:pt>
                <c:pt idx="1478">
                  <c:v>3857.7363899999996</c:v>
                </c:pt>
                <c:pt idx="1479">
                  <c:v>3795.9767999999999</c:v>
                </c:pt>
                <c:pt idx="1480">
                  <c:v>3775.279</c:v>
                </c:pt>
                <c:pt idx="1481">
                  <c:v>3793.9497599999995</c:v>
                </c:pt>
                <c:pt idx="1482">
                  <c:v>3860.04819</c:v>
                </c:pt>
                <c:pt idx="1483">
                  <c:v>3881.2040799999995</c:v>
                </c:pt>
                <c:pt idx="1484">
                  <c:v>3870.3604700000001</c:v>
                </c:pt>
                <c:pt idx="1485">
                  <c:v>3786.40416</c:v>
                </c:pt>
                <c:pt idx="1486">
                  <c:v>3823.0062400000002</c:v>
                </c:pt>
                <c:pt idx="1487">
                  <c:v>3782.9744000000001</c:v>
                </c:pt>
                <c:pt idx="1488">
                  <c:v>3907.0005200000005</c:v>
                </c:pt>
                <c:pt idx="1489">
                  <c:v>3948.5404799999997</c:v>
                </c:pt>
                <c:pt idx="1490">
                  <c:v>3982.1417999999999</c:v>
                </c:pt>
                <c:pt idx="1491">
                  <c:v>4010.6797500000002</c:v>
                </c:pt>
                <c:pt idx="1492">
                  <c:v>4007.62725</c:v>
                </c:pt>
                <c:pt idx="1493">
                  <c:v>3909.6380999999997</c:v>
                </c:pt>
                <c:pt idx="1494">
                  <c:v>3902.0711999999999</c:v>
                </c:pt>
                <c:pt idx="1495">
                  <c:v>3884.9414999999999</c:v>
                </c:pt>
                <c:pt idx="1496">
                  <c:v>3800.8876799999998</c:v>
                </c:pt>
                <c:pt idx="1497">
                  <c:v>3834.56115</c:v>
                </c:pt>
                <c:pt idx="1498">
                  <c:v>3748.5123200000003</c:v>
                </c:pt>
                <c:pt idx="1499">
                  <c:v>3761.80096</c:v>
                </c:pt>
                <c:pt idx="1500">
                  <c:v>3775.25972</c:v>
                </c:pt>
                <c:pt idx="1501">
                  <c:v>3724.1793600000005</c:v>
                </c:pt>
                <c:pt idx="1502">
                  <c:v>3729.1508999999996</c:v>
                </c:pt>
                <c:pt idx="1503">
                  <c:v>3678.1041399999995</c:v>
                </c:pt>
                <c:pt idx="1504">
                  <c:v>3682.5483600000002</c:v>
                </c:pt>
                <c:pt idx="1505">
                  <c:v>3775.7842000000001</c:v>
                </c:pt>
                <c:pt idx="1506">
                  <c:v>3792.5621399999995</c:v>
                </c:pt>
                <c:pt idx="1507">
                  <c:v>3822.1411099999996</c:v>
                </c:pt>
                <c:pt idx="1508">
                  <c:v>3801.4639999999999</c:v>
                </c:pt>
                <c:pt idx="1509">
                  <c:v>3802.8135700000003</c:v>
                </c:pt>
                <c:pt idx="1510">
                  <c:v>3723.3695600000001</c:v>
                </c:pt>
                <c:pt idx="1511">
                  <c:v>3670.5349500000002</c:v>
                </c:pt>
                <c:pt idx="1512">
                  <c:v>3760.04135</c:v>
                </c:pt>
                <c:pt idx="1513">
                  <c:v>3797.9225999999994</c:v>
                </c:pt>
                <c:pt idx="1514">
                  <c:v>3775.5709199999997</c:v>
                </c:pt>
                <c:pt idx="1515">
                  <c:v>3670.6314799999996</c:v>
                </c:pt>
                <c:pt idx="1516">
                  <c:v>3534.9537500000001</c:v>
                </c:pt>
                <c:pt idx="1517">
                  <c:v>3555.9506700000002</c:v>
                </c:pt>
                <c:pt idx="1518">
                  <c:v>3578.08788</c:v>
                </c:pt>
                <c:pt idx="1519">
                  <c:v>3634.1080800000004</c:v>
                </c:pt>
                <c:pt idx="1520">
                  <c:v>3644.04738</c:v>
                </c:pt>
                <c:pt idx="1521">
                  <c:v>3590.5316400000002</c:v>
                </c:pt>
                <c:pt idx="1522">
                  <c:v>3570.3339999999998</c:v>
                </c:pt>
                <c:pt idx="1523">
                  <c:v>3513.7319100000004</c:v>
                </c:pt>
                <c:pt idx="1524">
                  <c:v>3430.1022600000001</c:v>
                </c:pt>
                <c:pt idx="1525">
                  <c:v>3429.0410599999996</c:v>
                </c:pt>
                <c:pt idx="1526">
                  <c:v>3434.2379500000002</c:v>
                </c:pt>
                <c:pt idx="1527">
                  <c:v>3440.50873</c:v>
                </c:pt>
                <c:pt idx="1528">
                  <c:v>3325.9657200000001</c:v>
                </c:pt>
                <c:pt idx="1529">
                  <c:v>3312.7515599999997</c:v>
                </c:pt>
                <c:pt idx="1530">
                  <c:v>3201.2037</c:v>
                </c:pt>
                <c:pt idx="1531">
                  <c:v>3210.00936</c:v>
                </c:pt>
                <c:pt idx="1532">
                  <c:v>3177.8125500000001</c:v>
                </c:pt>
                <c:pt idx="1533">
                  <c:v>3139.9892999999997</c:v>
                </c:pt>
                <c:pt idx="1534">
                  <c:v>3088.5664499999998</c:v>
                </c:pt>
                <c:pt idx="1535">
                  <c:v>3168.0936000000002</c:v>
                </c:pt>
                <c:pt idx="1536">
                  <c:v>3150.5680000000002</c:v>
                </c:pt>
                <c:pt idx="1537">
                  <c:v>3205.0355199999999</c:v>
                </c:pt>
                <c:pt idx="1538">
                  <c:v>3238.3996399999996</c:v>
                </c:pt>
                <c:pt idx="1539">
                  <c:v>3324.7674499999998</c:v>
                </c:pt>
                <c:pt idx="1540">
                  <c:v>3344.4963499999999</c:v>
                </c:pt>
                <c:pt idx="1541">
                  <c:v>3349.4614999999999</c:v>
                </c:pt>
                <c:pt idx="1542">
                  <c:v>3387.2377199999996</c:v>
                </c:pt>
                <c:pt idx="1543">
                  <c:v>3422.9156800000001</c:v>
                </c:pt>
                <c:pt idx="1544">
                  <c:v>3479.2942399999997</c:v>
                </c:pt>
                <c:pt idx="1545">
                  <c:v>3527.1900299999998</c:v>
                </c:pt>
                <c:pt idx="1546">
                  <c:v>3467.8111999999996</c:v>
                </c:pt>
                <c:pt idx="1547">
                  <c:v>3523.53953</c:v>
                </c:pt>
                <c:pt idx="1548">
                  <c:v>3548.9037900000003</c:v>
                </c:pt>
                <c:pt idx="1549">
                  <c:v>3574.0482199999997</c:v>
                </c:pt>
                <c:pt idx="1550">
                  <c:v>3514.6514300000003</c:v>
                </c:pt>
                <c:pt idx="1551">
                  <c:v>3488.6450399999999</c:v>
                </c:pt>
                <c:pt idx="1552">
                  <c:v>3506.8412400000002</c:v>
                </c:pt>
                <c:pt idx="1553">
                  <c:v>3519.1257999999993</c:v>
                </c:pt>
                <c:pt idx="1554">
                  <c:v>3465.73612</c:v>
                </c:pt>
                <c:pt idx="1555">
                  <c:v>3416.5999000000002</c:v>
                </c:pt>
                <c:pt idx="1556">
                  <c:v>3413.8346999999999</c:v>
                </c:pt>
                <c:pt idx="1557">
                  <c:v>3465.8938599999997</c:v>
                </c:pt>
                <c:pt idx="1558">
                  <c:v>3455.7809400000001</c:v>
                </c:pt>
                <c:pt idx="1559">
                  <c:v>3498.56567</c:v>
                </c:pt>
                <c:pt idx="1560">
                  <c:v>3487.4117999999999</c:v>
                </c:pt>
                <c:pt idx="1561">
                  <c:v>3451.4567000000002</c:v>
                </c:pt>
                <c:pt idx="1562">
                  <c:v>3434.0124000000001</c:v>
                </c:pt>
                <c:pt idx="1563">
                  <c:v>3326.3207699999998</c:v>
                </c:pt>
                <c:pt idx="1564">
                  <c:v>3434.498</c:v>
                </c:pt>
                <c:pt idx="1565">
                  <c:v>3391.1580000000004</c:v>
                </c:pt>
                <c:pt idx="1566">
                  <c:v>3423.7556799999998</c:v>
                </c:pt>
                <c:pt idx="1567">
                  <c:v>3514.2836299999999</c:v>
                </c:pt>
                <c:pt idx="1568">
                  <c:v>3489.4694300000001</c:v>
                </c:pt>
                <c:pt idx="1569">
                  <c:v>3485.0283000000004</c:v>
                </c:pt>
                <c:pt idx="1570">
                  <c:v>3657.8726999999999</c:v>
                </c:pt>
                <c:pt idx="1571">
                  <c:v>3630.1141799999996</c:v>
                </c:pt>
                <c:pt idx="1572">
                  <c:v>3594.9007999999999</c:v>
                </c:pt>
                <c:pt idx="1573">
                  <c:v>3611.3011899999997</c:v>
                </c:pt>
                <c:pt idx="1574">
                  <c:v>3540.9865500000001</c:v>
                </c:pt>
                <c:pt idx="1575">
                  <c:v>3636.8273399999998</c:v>
                </c:pt>
                <c:pt idx="1576">
                  <c:v>3618.8166299999998</c:v>
                </c:pt>
                <c:pt idx="1577">
                  <c:v>3556.1115</c:v>
                </c:pt>
                <c:pt idx="1578">
                  <c:v>3642.1236600000002</c:v>
                </c:pt>
                <c:pt idx="1579">
                  <c:v>3652.69299</c:v>
                </c:pt>
                <c:pt idx="1580">
                  <c:v>3562.8449999999998</c:v>
                </c:pt>
                <c:pt idx="1581">
                  <c:v>3578.00891</c:v>
                </c:pt>
                <c:pt idx="1582">
                  <c:v>3530.6163200000001</c:v>
                </c:pt>
                <c:pt idx="1583">
                  <c:v>3533.4820800000002</c:v>
                </c:pt>
                <c:pt idx="1584">
                  <c:v>3494.67344</c:v>
                </c:pt>
                <c:pt idx="1585">
                  <c:v>3490.87662</c:v>
                </c:pt>
                <c:pt idx="1586">
                  <c:v>3534.3467500000002</c:v>
                </c:pt>
                <c:pt idx="1587">
                  <c:v>3528.9144799999999</c:v>
                </c:pt>
                <c:pt idx="1588">
                  <c:v>3522.0398399999999</c:v>
                </c:pt>
                <c:pt idx="1589">
                  <c:v>3507.8356800000001</c:v>
                </c:pt>
                <c:pt idx="1590">
                  <c:v>3575.9569800000004</c:v>
                </c:pt>
                <c:pt idx="1591">
                  <c:v>3523.7395200000001</c:v>
                </c:pt>
                <c:pt idx="1592">
                  <c:v>3614.1909999999998</c:v>
                </c:pt>
                <c:pt idx="1593">
                  <c:v>3684.3883999999998</c:v>
                </c:pt>
                <c:pt idx="1594">
                  <c:v>3662.3292300000003</c:v>
                </c:pt>
                <c:pt idx="1595">
                  <c:v>3688.97928</c:v>
                </c:pt>
                <c:pt idx="1596">
                  <c:v>3545.0404200000003</c:v>
                </c:pt>
                <c:pt idx="1597">
                  <c:v>3587.8586800000003</c:v>
                </c:pt>
                <c:pt idx="1598">
                  <c:v>3550.05548</c:v>
                </c:pt>
                <c:pt idx="1599">
                  <c:v>3524.31898</c:v>
                </c:pt>
                <c:pt idx="1600">
                  <c:v>3638.4980799999998</c:v>
                </c:pt>
                <c:pt idx="1601">
                  <c:v>3689.3564999999999</c:v>
                </c:pt>
                <c:pt idx="1602">
                  <c:v>3518.0340000000001</c:v>
                </c:pt>
                <c:pt idx="1603">
                  <c:v>3470.9700000000003</c:v>
                </c:pt>
                <c:pt idx="1604">
                  <c:v>3547.3085999999998</c:v>
                </c:pt>
                <c:pt idx="1605">
                  <c:v>3336.3899099999999</c:v>
                </c:pt>
                <c:pt idx="1606">
                  <c:v>3365.2525000000001</c:v>
                </c:pt>
                <c:pt idx="1607">
                  <c:v>3317.3592599999997</c:v>
                </c:pt>
                <c:pt idx="1608">
                  <c:v>3445.0062400000002</c:v>
                </c:pt>
                <c:pt idx="1609">
                  <c:v>3462.2486399999998</c:v>
                </c:pt>
                <c:pt idx="1610">
                  <c:v>3573.3645999999999</c:v>
                </c:pt>
                <c:pt idx="1611">
                  <c:v>3697.50065</c:v>
                </c:pt>
                <c:pt idx="1612">
                  <c:v>3579.3561300000001</c:v>
                </c:pt>
                <c:pt idx="1613">
                  <c:v>3893.52522</c:v>
                </c:pt>
                <c:pt idx="1614">
                  <c:v>3916.9340099999999</c:v>
                </c:pt>
                <c:pt idx="1615">
                  <c:v>4063.4357599999998</c:v>
                </c:pt>
                <c:pt idx="1616">
                  <c:v>4023.7511600000003</c:v>
                </c:pt>
                <c:pt idx="1617">
                  <c:v>4108.6179699999993</c:v>
                </c:pt>
                <c:pt idx="1618">
                  <c:v>4276.3212600000006</c:v>
                </c:pt>
                <c:pt idx="1619">
                  <c:v>4143.4432999999999</c:v>
                </c:pt>
                <c:pt idx="1620">
                  <c:v>4176.3299499999994</c:v>
                </c:pt>
                <c:pt idx="1621">
                  <c:v>3960.5426000000002</c:v>
                </c:pt>
                <c:pt idx="1622">
                  <c:v>3941.0834999999997</c:v>
                </c:pt>
                <c:pt idx="1623">
                  <c:v>3777.5328799999997</c:v>
                </c:pt>
                <c:pt idx="1624">
                  <c:v>3705.0474400000003</c:v>
                </c:pt>
                <c:pt idx="1625">
                  <c:v>3699.4950399999998</c:v>
                </c:pt>
                <c:pt idx="1626">
                  <c:v>3743.6445000000003</c:v>
                </c:pt>
                <c:pt idx="1627">
                  <c:v>3861.1296000000002</c:v>
                </c:pt>
                <c:pt idx="1628">
                  <c:v>4041.8072500000003</c:v>
                </c:pt>
                <c:pt idx="1629">
                  <c:v>4160.5174999999999</c:v>
                </c:pt>
                <c:pt idx="1630">
                  <c:v>4015.9598500000002</c:v>
                </c:pt>
                <c:pt idx="1631">
                  <c:v>3841.7490000000003</c:v>
                </c:pt>
                <c:pt idx="1632">
                  <c:v>3866.5095600000004</c:v>
                </c:pt>
                <c:pt idx="1633">
                  <c:v>4127.57</c:v>
                </c:pt>
                <c:pt idx="1634">
                  <c:v>4158.7573599999996</c:v>
                </c:pt>
                <c:pt idx="1635">
                  <c:v>4010.5455099999999</c:v>
                </c:pt>
                <c:pt idx="1636">
                  <c:v>3757.9121599999999</c:v>
                </c:pt>
                <c:pt idx="1637">
                  <c:v>4133.8050299999995</c:v>
                </c:pt>
                <c:pt idx="1638">
                  <c:v>4191.5131200000005</c:v>
                </c:pt>
                <c:pt idx="1639">
                  <c:v>4374.8326399999996</c:v>
                </c:pt>
                <c:pt idx="1640">
                  <c:v>4252.9926799999994</c:v>
                </c:pt>
                <c:pt idx="1641">
                  <c:v>4397.2420999999995</c:v>
                </c:pt>
                <c:pt idx="1642">
                  <c:v>4466.3879100000004</c:v>
                </c:pt>
                <c:pt idx="1643">
                  <c:v>4504.5267000000003</c:v>
                </c:pt>
                <c:pt idx="1644">
                  <c:v>4301.4675000000007</c:v>
                </c:pt>
                <c:pt idx="1645">
                  <c:v>4453.0946199999998</c:v>
                </c:pt>
                <c:pt idx="1646">
                  <c:v>4526.6399200000005</c:v>
                </c:pt>
                <c:pt idx="1647">
                  <c:v>4523.8459400000002</c:v>
                </c:pt>
                <c:pt idx="1648">
                  <c:v>4536.0199499999999</c:v>
                </c:pt>
                <c:pt idx="1649">
                  <c:v>4514.8495000000003</c:v>
                </c:pt>
                <c:pt idx="1650">
                  <c:v>4603.2964499999998</c:v>
                </c:pt>
                <c:pt idx="1651">
                  <c:v>4377.4959200000003</c:v>
                </c:pt>
                <c:pt idx="1652">
                  <c:v>4198.1717600000002</c:v>
                </c:pt>
                <c:pt idx="1653">
                  <c:v>4215.5079400000004</c:v>
                </c:pt>
                <c:pt idx="1654">
                  <c:v>4236.2883600000005</c:v>
                </c:pt>
                <c:pt idx="1655">
                  <c:v>4331.1122999999998</c:v>
                </c:pt>
                <c:pt idx="1656">
                  <c:v>4344.2764200000001</c:v>
                </c:pt>
                <c:pt idx="1657">
                  <c:v>4259.6926400000002</c:v>
                </c:pt>
                <c:pt idx="1658">
                  <c:v>4329.1037499999993</c:v>
                </c:pt>
                <c:pt idx="1659">
                  <c:v>4437.2691000000004</c:v>
                </c:pt>
                <c:pt idx="1660">
                  <c:v>4529.3315000000002</c:v>
                </c:pt>
                <c:pt idx="1661">
                  <c:v>4349.3977800000002</c:v>
                </c:pt>
                <c:pt idx="1662">
                  <c:v>4474.5787</c:v>
                </c:pt>
                <c:pt idx="1663">
                  <c:v>4580.8180000000002</c:v>
                </c:pt>
                <c:pt idx="1664">
                  <c:v>4589.5636000000004</c:v>
                </c:pt>
                <c:pt idx="1665">
                  <c:v>4568.59458</c:v>
                </c:pt>
                <c:pt idx="1666">
                  <c:v>4603.0382800000007</c:v>
                </c:pt>
                <c:pt idx="1667">
                  <c:v>4533.5042000000003</c:v>
                </c:pt>
                <c:pt idx="1668">
                  <c:v>4575.2255999999998</c:v>
                </c:pt>
                <c:pt idx="1669">
                  <c:v>4589.3737499999997</c:v>
                </c:pt>
                <c:pt idx="1670">
                  <c:v>4606.1856499999994</c:v>
                </c:pt>
                <c:pt idx="1671">
                  <c:v>4519.6280999999999</c:v>
                </c:pt>
                <c:pt idx="1672">
                  <c:v>4469.5833599999996</c:v>
                </c:pt>
                <c:pt idx="1673">
                  <c:v>4500.1405500000001</c:v>
                </c:pt>
                <c:pt idx="1674">
                  <c:v>4447.4029599999994</c:v>
                </c:pt>
                <c:pt idx="1675">
                  <c:v>4507.4369999999999</c:v>
                </c:pt>
                <c:pt idx="1676">
                  <c:v>4484.5263399999994</c:v>
                </c:pt>
                <c:pt idx="1677">
                  <c:v>4450.6128500000004</c:v>
                </c:pt>
                <c:pt idx="1678">
                  <c:v>4468.8190000000004</c:v>
                </c:pt>
                <c:pt idx="1679">
                  <c:v>4559.3579200000004</c:v>
                </c:pt>
                <c:pt idx="1680">
                  <c:v>4500.87255</c:v>
                </c:pt>
                <c:pt idx="1681">
                  <c:v>4454.6710800000001</c:v>
                </c:pt>
                <c:pt idx="1682">
                  <c:v>4375.8357299999998</c:v>
                </c:pt>
                <c:pt idx="1683">
                  <c:v>4390.6967600000007</c:v>
                </c:pt>
                <c:pt idx="1684">
                  <c:v>4186.0353599999999</c:v>
                </c:pt>
                <c:pt idx="1685">
                  <c:v>4246.4337599999999</c:v>
                </c:pt>
                <c:pt idx="1686">
                  <c:v>4332.6840000000002</c:v>
                </c:pt>
                <c:pt idx="1687">
                  <c:v>4400.0216</c:v>
                </c:pt>
                <c:pt idx="1688">
                  <c:v>4362.0681199999999</c:v>
                </c:pt>
                <c:pt idx="1689">
                  <c:v>4245.8376600000001</c:v>
                </c:pt>
                <c:pt idx="1690">
                  <c:v>4320.1271700000007</c:v>
                </c:pt>
                <c:pt idx="1691">
                  <c:v>4359.1284999999998</c:v>
                </c:pt>
                <c:pt idx="1692">
                  <c:v>4440.9015300000001</c:v>
                </c:pt>
                <c:pt idx="1693">
                  <c:v>4350.22613</c:v>
                </c:pt>
                <c:pt idx="1694">
                  <c:v>4201.7006400000009</c:v>
                </c:pt>
                <c:pt idx="1695">
                  <c:v>4227.4533000000001</c:v>
                </c:pt>
                <c:pt idx="1696">
                  <c:v>4073.6806399999996</c:v>
                </c:pt>
                <c:pt idx="1697">
                  <c:v>4125.6617999999999</c:v>
                </c:pt>
                <c:pt idx="1698">
                  <c:v>4107.3769800000009</c:v>
                </c:pt>
                <c:pt idx="1699">
                  <c:v>4048.0774200000001</c:v>
                </c:pt>
                <c:pt idx="1700">
                  <c:v>4176.4526999999998</c:v>
                </c:pt>
                <c:pt idx="1701">
                  <c:v>4342.9707899999994</c:v>
                </c:pt>
                <c:pt idx="1702">
                  <c:v>4325.6561400000001</c:v>
                </c:pt>
                <c:pt idx="1703">
                  <c:v>4379.39822</c:v>
                </c:pt>
                <c:pt idx="1704">
                  <c:v>4313.3277599999992</c:v>
                </c:pt>
                <c:pt idx="1705">
                  <c:v>4335.1665000000003</c:v>
                </c:pt>
                <c:pt idx="1706">
                  <c:v>4441.24719</c:v>
                </c:pt>
                <c:pt idx="1707">
                  <c:v>4357.01811</c:v>
                </c:pt>
                <c:pt idx="1708">
                  <c:v>4465.5922</c:v>
                </c:pt>
                <c:pt idx="1709">
                  <c:v>4526.3431199999995</c:v>
                </c:pt>
                <c:pt idx="1710">
                  <c:v>4545.6554800000004</c:v>
                </c:pt>
                <c:pt idx="1711">
                  <c:v>4565.6166000000003</c:v>
                </c:pt>
                <c:pt idx="1712">
                  <c:v>4609.6602000000003</c:v>
                </c:pt>
                <c:pt idx="1713">
                  <c:v>4524.9354199999998</c:v>
                </c:pt>
                <c:pt idx="1714">
                  <c:v>4579.0240000000003</c:v>
                </c:pt>
                <c:pt idx="1715">
                  <c:v>4537.11319</c:v>
                </c:pt>
                <c:pt idx="1716">
                  <c:v>4529.4289500000004</c:v>
                </c:pt>
                <c:pt idx="1717">
                  <c:v>4562.6833200000001</c:v>
                </c:pt>
                <c:pt idx="1718">
                  <c:v>4628.3529599999993</c:v>
                </c:pt>
                <c:pt idx="1719">
                  <c:v>4610.3795399999999</c:v>
                </c:pt>
                <c:pt idx="1720">
                  <c:v>4447.7675999999992</c:v>
                </c:pt>
                <c:pt idx="1721">
                  <c:v>4451.99118</c:v>
                </c:pt>
                <c:pt idx="1722">
                  <c:v>4318.7836799999995</c:v>
                </c:pt>
                <c:pt idx="1723">
                  <c:v>4454.7560400000002</c:v>
                </c:pt>
                <c:pt idx="1724">
                  <c:v>4478.8687499999996</c:v>
                </c:pt>
                <c:pt idx="1725">
                  <c:v>4605.0943500000003</c:v>
                </c:pt>
                <c:pt idx="1726">
                  <c:v>4671.8284800000001</c:v>
                </c:pt>
                <c:pt idx="1727">
                  <c:v>4702.7074499999999</c:v>
                </c:pt>
                <c:pt idx="1728">
                  <c:v>4632.7176199999994</c:v>
                </c:pt>
                <c:pt idx="1729">
                  <c:v>4790.3058000000001</c:v>
                </c:pt>
                <c:pt idx="1730">
                  <c:v>4796.8820100000003</c:v>
                </c:pt>
                <c:pt idx="1731">
                  <c:v>4835.2908600000001</c:v>
                </c:pt>
                <c:pt idx="1732">
                  <c:v>4786.7647500000003</c:v>
                </c:pt>
                <c:pt idx="1733">
                  <c:v>4865.2401600000003</c:v>
                </c:pt>
                <c:pt idx="1734">
                  <c:v>4688.8711999999996</c:v>
                </c:pt>
                <c:pt idx="1735">
                  <c:v>4774.1736000000001</c:v>
                </c:pt>
                <c:pt idx="1736">
                  <c:v>4815.9328500000001</c:v>
                </c:pt>
                <c:pt idx="1737">
                  <c:v>4827.5985999999994</c:v>
                </c:pt>
                <c:pt idx="1738">
                  <c:v>4915.5392000000002</c:v>
                </c:pt>
                <c:pt idx="1739">
                  <c:v>4951.6856200000002</c:v>
                </c:pt>
                <c:pt idx="1740">
                  <c:v>4846.8132000000005</c:v>
                </c:pt>
                <c:pt idx="1741">
                  <c:v>4989.4228999999996</c:v>
                </c:pt>
                <c:pt idx="1742">
                  <c:v>5076.9491500000004</c:v>
                </c:pt>
                <c:pt idx="1743">
                  <c:v>5100.6442499999994</c:v>
                </c:pt>
                <c:pt idx="1744">
                  <c:v>5109.2631000000001</c:v>
                </c:pt>
                <c:pt idx="1745">
                  <c:v>5111.5060800000001</c:v>
                </c:pt>
                <c:pt idx="1746">
                  <c:v>5070.7551999999996</c:v>
                </c:pt>
                <c:pt idx="1747">
                  <c:v>5080.5869199999997</c:v>
                </c:pt>
                <c:pt idx="1748">
                  <c:v>5094.2008999999998</c:v>
                </c:pt>
                <c:pt idx="1749">
                  <c:v>5129.1915300000001</c:v>
                </c:pt>
                <c:pt idx="1750">
                  <c:v>5146.8911600000001</c:v>
                </c:pt>
                <c:pt idx="1751">
                  <c:v>4961.8661400000001</c:v>
                </c:pt>
                <c:pt idx="1752">
                  <c:v>4953.0480799999996</c:v>
                </c:pt>
                <c:pt idx="1753">
                  <c:v>5080.4120899999998</c:v>
                </c:pt>
                <c:pt idx="1754">
                  <c:v>5091.7337600000001</c:v>
                </c:pt>
                <c:pt idx="1755">
                  <c:v>5174.3985300000004</c:v>
                </c:pt>
                <c:pt idx="1756">
                  <c:v>5161.54774</c:v>
                </c:pt>
                <c:pt idx="1757">
                  <c:v>5224.9754699999994</c:v>
                </c:pt>
                <c:pt idx="1758">
                  <c:v>5144.4727000000003</c:v>
                </c:pt>
                <c:pt idx="1759">
                  <c:v>5195.3983099999996</c:v>
                </c:pt>
                <c:pt idx="1760">
                  <c:v>5024.6443799999997</c:v>
                </c:pt>
                <c:pt idx="1761">
                  <c:v>5052.0925999999999</c:v>
                </c:pt>
                <c:pt idx="1762">
                  <c:v>5069.8740399999997</c:v>
                </c:pt>
                <c:pt idx="1763">
                  <c:v>5011.5712000000003</c:v>
                </c:pt>
                <c:pt idx="1764">
                  <c:v>4954.5417600000001</c:v>
                </c:pt>
                <c:pt idx="1765">
                  <c:v>5046.0386099999996</c:v>
                </c:pt>
                <c:pt idx="1766">
                  <c:v>5050.99136</c:v>
                </c:pt>
                <c:pt idx="1767">
                  <c:v>5116.1213599999992</c:v>
                </c:pt>
                <c:pt idx="1768">
                  <c:v>5190.9665500000001</c:v>
                </c:pt>
                <c:pt idx="1769">
                  <c:v>5196.9375</c:v>
                </c:pt>
                <c:pt idx="1770">
                  <c:v>5167.2222000000002</c:v>
                </c:pt>
                <c:pt idx="1771">
                  <c:v>5185.9889399999993</c:v>
                </c:pt>
                <c:pt idx="1772">
                  <c:v>5143.0103399999998</c:v>
                </c:pt>
                <c:pt idx="1773">
                  <c:v>5013.7942400000002</c:v>
                </c:pt>
                <c:pt idx="1774">
                  <c:v>4976.5164400000003</c:v>
                </c:pt>
                <c:pt idx="1775">
                  <c:v>4963.6803600000003</c:v>
                </c:pt>
                <c:pt idx="1776">
                  <c:v>5019.2230400000008</c:v>
                </c:pt>
                <c:pt idx="1777">
                  <c:v>5020.8462</c:v>
                </c:pt>
                <c:pt idx="1778">
                  <c:v>4964.1945599999999</c:v>
                </c:pt>
                <c:pt idx="1779">
                  <c:v>4761.3964999999998</c:v>
                </c:pt>
                <c:pt idx="1780">
                  <c:v>4901.4089700000004</c:v>
                </c:pt>
                <c:pt idx="1781">
                  <c:v>4721.4266300000008</c:v>
                </c:pt>
                <c:pt idx="1782">
                  <c:v>4687.1617999999999</c:v>
                </c:pt>
                <c:pt idx="1783">
                  <c:v>4794.5135199999995</c:v>
                </c:pt>
                <c:pt idx="1784">
                  <c:v>4720.4056899999996</c:v>
                </c:pt>
                <c:pt idx="1785">
                  <c:v>4833.5874699999995</c:v>
                </c:pt>
                <c:pt idx="1786">
                  <c:v>4728.5982000000004</c:v>
                </c:pt>
                <c:pt idx="1787">
                  <c:v>4751.46288</c:v>
                </c:pt>
                <c:pt idx="1788">
                  <c:v>4840.7744000000002</c:v>
                </c:pt>
                <c:pt idx="1789">
                  <c:v>4987.6148000000003</c:v>
                </c:pt>
                <c:pt idx="1790">
                  <c:v>4883.5657799999999</c:v>
                </c:pt>
                <c:pt idx="1791">
                  <c:v>4863.7912000000006</c:v>
                </c:pt>
                <c:pt idx="1792">
                  <c:v>4887.3837800000001</c:v>
                </c:pt>
                <c:pt idx="1793">
                  <c:v>5056.6807500000004</c:v>
                </c:pt>
                <c:pt idx="1794">
                  <c:v>5127.8988799999997</c:v>
                </c:pt>
                <c:pt idx="1795">
                  <c:v>5298.9033599999993</c:v>
                </c:pt>
                <c:pt idx="1796">
                  <c:v>5202.6130200000007</c:v>
                </c:pt>
                <c:pt idx="1797">
                  <c:v>5141.5153600000003</c:v>
                </c:pt>
                <c:pt idx="1798">
                  <c:v>5093.4243900000001</c:v>
                </c:pt>
                <c:pt idx="1799">
                  <c:v>5112.161039999999</c:v>
                </c:pt>
                <c:pt idx="1800">
                  <c:v>5061.1772000000001</c:v>
                </c:pt>
                <c:pt idx="1801">
                  <c:v>5189.8007600000001</c:v>
                </c:pt>
                <c:pt idx="1802">
                  <c:v>5105.9462399999993</c:v>
                </c:pt>
                <c:pt idx="1803">
                  <c:v>5127.7963600000003</c:v>
                </c:pt>
                <c:pt idx="1804">
                  <c:v>5196.4756800000005</c:v>
                </c:pt>
                <c:pt idx="1805">
                  <c:v>5067.6962400000002</c:v>
                </c:pt>
                <c:pt idx="1806">
                  <c:v>5132.5331200000001</c:v>
                </c:pt>
                <c:pt idx="1807">
                  <c:v>5068.5652800000007</c:v>
                </c:pt>
                <c:pt idx="1808">
                  <c:v>5179.3332</c:v>
                </c:pt>
                <c:pt idx="1809">
                  <c:v>5114.82413</c:v>
                </c:pt>
                <c:pt idx="1810">
                  <c:v>5100.6274199999998</c:v>
                </c:pt>
                <c:pt idx="1811">
                  <c:v>5277.3319000000001</c:v>
                </c:pt>
                <c:pt idx="1812">
                  <c:v>5324.0787599999994</c:v>
                </c:pt>
                <c:pt idx="1813">
                  <c:v>5303.6003299999993</c:v>
                </c:pt>
                <c:pt idx="1814">
                  <c:v>5085.8350300000002</c:v>
                </c:pt>
                <c:pt idx="1815">
                  <c:v>5088.8565899999994</c:v>
                </c:pt>
                <c:pt idx="1816">
                  <c:v>5164.8577500000001</c:v>
                </c:pt>
                <c:pt idx="1817">
                  <c:v>5280.1303000000007</c:v>
                </c:pt>
                <c:pt idx="1818">
                  <c:v>4999.4803599999996</c:v>
                </c:pt>
                <c:pt idx="1819">
                  <c:v>4848.8795700000001</c:v>
                </c:pt>
                <c:pt idx="1820">
                  <c:v>4645.8167600000006</c:v>
                </c:pt>
                <c:pt idx="1821">
                  <c:v>4957.6273599999995</c:v>
                </c:pt>
                <c:pt idx="1822">
                  <c:v>5135.2125500000002</c:v>
                </c:pt>
                <c:pt idx="1823">
                  <c:v>5166.0639300000003</c:v>
                </c:pt>
                <c:pt idx="1824">
                  <c:v>5231.6348499999995</c:v>
                </c:pt>
                <c:pt idx="1825">
                  <c:v>5371.7479999999996</c:v>
                </c:pt>
                <c:pt idx="1826">
                  <c:v>5374.8240000000005</c:v>
                </c:pt>
                <c:pt idx="1827">
                  <c:v>5349.3448800000006</c:v>
                </c:pt>
                <c:pt idx="1828">
                  <c:v>5467.1827800000001</c:v>
                </c:pt>
                <c:pt idx="1829">
                  <c:v>5491.1054000000004</c:v>
                </c:pt>
                <c:pt idx="1830">
                  <c:v>5444.8168500000002</c:v>
                </c:pt>
                <c:pt idx="1831">
                  <c:v>5468.42</c:v>
                </c:pt>
                <c:pt idx="1832">
                  <c:v>5603.5918000000001</c:v>
                </c:pt>
                <c:pt idx="1833">
                  <c:v>5586.1415999999999</c:v>
                </c:pt>
                <c:pt idx="1834">
                  <c:v>5656.8892799999994</c:v>
                </c:pt>
                <c:pt idx="1835">
                  <c:v>5549.8609200000001</c:v>
                </c:pt>
                <c:pt idx="1836">
                  <c:v>5571.5041199999996</c:v>
                </c:pt>
                <c:pt idx="1837">
                  <c:v>5491.6232300000001</c:v>
                </c:pt>
                <c:pt idx="1838">
                  <c:v>5473.7081600000001</c:v>
                </c:pt>
                <c:pt idx="1839">
                  <c:v>5423.0207</c:v>
                </c:pt>
                <c:pt idx="1840">
                  <c:v>5362.7845799999996</c:v>
                </c:pt>
                <c:pt idx="1841">
                  <c:v>5374.0778</c:v>
                </c:pt>
                <c:pt idx="1842">
                  <c:v>5506.5590099999999</c:v>
                </c:pt>
                <c:pt idx="1843">
                  <c:v>5551.3400499999998</c:v>
                </c:pt>
                <c:pt idx="1844">
                  <c:v>5786.0522099999998</c:v>
                </c:pt>
                <c:pt idx="1845">
                  <c:v>5826.3405600000006</c:v>
                </c:pt>
                <c:pt idx="1846">
                  <c:v>5842.5446400000001</c:v>
                </c:pt>
                <c:pt idx="1847">
                  <c:v>5904.1375200000002</c:v>
                </c:pt>
                <c:pt idx="1848">
                  <c:v>5926.1519500000004</c:v>
                </c:pt>
                <c:pt idx="1849">
                  <c:v>5957.95291</c:v>
                </c:pt>
                <c:pt idx="1850">
                  <c:v>5930.9086499999994</c:v>
                </c:pt>
                <c:pt idx="1851">
                  <c:v>5884.6240200000002</c:v>
                </c:pt>
                <c:pt idx="1852">
                  <c:v>5916.9048000000003</c:v>
                </c:pt>
                <c:pt idx="1853">
                  <c:v>5882.1100500000002</c:v>
                </c:pt>
                <c:pt idx="1854">
                  <c:v>5882.4032400000006</c:v>
                </c:pt>
                <c:pt idx="1855">
                  <c:v>5800.05</c:v>
                </c:pt>
                <c:pt idx="1856">
                  <c:v>5796.7910000000002</c:v>
                </c:pt>
                <c:pt idx="1857">
                  <c:v>5938.6686399999999</c:v>
                </c:pt>
                <c:pt idx="1858">
                  <c:v>5995.1049599999997</c:v>
                </c:pt>
                <c:pt idx="1859">
                  <c:v>5833.2793000000001</c:v>
                </c:pt>
                <c:pt idx="1860">
                  <c:v>5847.1923300000008</c:v>
                </c:pt>
                <c:pt idx="1861">
                  <c:v>5948.8907399999998</c:v>
                </c:pt>
                <c:pt idx="1862">
                  <c:v>5938.3546799999995</c:v>
                </c:pt>
                <c:pt idx="1863">
                  <c:v>6011.7304800000002</c:v>
                </c:pt>
                <c:pt idx="1864">
                  <c:v>6008.2746199999992</c:v>
                </c:pt>
                <c:pt idx="1865">
                  <c:v>6076.8208800000002</c:v>
                </c:pt>
                <c:pt idx="1866">
                  <c:v>6103.0451400000011</c:v>
                </c:pt>
                <c:pt idx="1867">
                  <c:v>6023.9539199999999</c:v>
                </c:pt>
                <c:pt idx="1868">
                  <c:v>5922.7377500000002</c:v>
                </c:pt>
                <c:pt idx="1869">
                  <c:v>6020.7348599999996</c:v>
                </c:pt>
                <c:pt idx="1870">
                  <c:v>5947.0470400000004</c:v>
                </c:pt>
                <c:pt idx="1871">
                  <c:v>6107.4842399999998</c:v>
                </c:pt>
                <c:pt idx="1872">
                  <c:v>5953.9323999999997</c:v>
                </c:pt>
                <c:pt idx="1873">
                  <c:v>5905.6395600000005</c:v>
                </c:pt>
                <c:pt idx="1874">
                  <c:v>6009.5288399999999</c:v>
                </c:pt>
                <c:pt idx="1875">
                  <c:v>6106.9064099999996</c:v>
                </c:pt>
                <c:pt idx="1876">
                  <c:v>6043.5686800000003</c:v>
                </c:pt>
                <c:pt idx="1877">
                  <c:v>5987.4273999999996</c:v>
                </c:pt>
                <c:pt idx="1878">
                  <c:v>6034.1016399999999</c:v>
                </c:pt>
                <c:pt idx="1879">
                  <c:v>5921.3202200000005</c:v>
                </c:pt>
                <c:pt idx="1880">
                  <c:v>5847.9320400000006</c:v>
                </c:pt>
                <c:pt idx="1881">
                  <c:v>5837.6085599999997</c:v>
                </c:pt>
                <c:pt idx="1882">
                  <c:v>5835.6144899999999</c:v>
                </c:pt>
                <c:pt idx="1883">
                  <c:v>5797.8899499999998</c:v>
                </c:pt>
                <c:pt idx="1884">
                  <c:v>5942.4524300000003</c:v>
                </c:pt>
                <c:pt idx="1885">
                  <c:v>6025.2833099999998</c:v>
                </c:pt>
                <c:pt idx="1886">
                  <c:v>5946.6250200000004</c:v>
                </c:pt>
                <c:pt idx="1887">
                  <c:v>5933.7964000000002</c:v>
                </c:pt>
                <c:pt idx="1888">
                  <c:v>6070.4912000000004</c:v>
                </c:pt>
                <c:pt idx="1889">
                  <c:v>6115.8531800000001</c:v>
                </c:pt>
                <c:pt idx="1890">
                  <c:v>6208.4779199999994</c:v>
                </c:pt>
                <c:pt idx="1891">
                  <c:v>6135.8959800000002</c:v>
                </c:pt>
                <c:pt idx="1892">
                  <c:v>6096.8314</c:v>
                </c:pt>
                <c:pt idx="1893">
                  <c:v>6073.37961</c:v>
                </c:pt>
                <c:pt idx="1894">
                  <c:v>6055.830719999999</c:v>
                </c:pt>
                <c:pt idx="1895">
                  <c:v>5966.6853399999991</c:v>
                </c:pt>
                <c:pt idx="1896">
                  <c:v>6018.6419999999998</c:v>
                </c:pt>
                <c:pt idx="1897">
                  <c:v>6078.4907299999995</c:v>
                </c:pt>
                <c:pt idx="1898">
                  <c:v>6012.3491999999997</c:v>
                </c:pt>
                <c:pt idx="1899">
                  <c:v>6011.5073400000001</c:v>
                </c:pt>
                <c:pt idx="1900">
                  <c:v>5981.0538800000004</c:v>
                </c:pt>
                <c:pt idx="1901">
                  <c:v>5988.1654600000002</c:v>
                </c:pt>
                <c:pt idx="1902">
                  <c:v>5994.1818000000003</c:v>
                </c:pt>
                <c:pt idx="1903">
                  <c:v>5968.2826500000001</c:v>
                </c:pt>
                <c:pt idx="1904">
                  <c:v>5823.8364000000001</c:v>
                </c:pt>
                <c:pt idx="1905">
                  <c:v>5855.9898300000004</c:v>
                </c:pt>
                <c:pt idx="1906">
                  <c:v>5764.3470900000002</c:v>
                </c:pt>
                <c:pt idx="1907">
                  <c:v>5612.2627499999999</c:v>
                </c:pt>
                <c:pt idx="1908">
                  <c:v>5729.5510399999994</c:v>
                </c:pt>
                <c:pt idx="1909">
                  <c:v>5877.9376000000002</c:v>
                </c:pt>
                <c:pt idx="1910">
                  <c:v>5727.1675200000009</c:v>
                </c:pt>
                <c:pt idx="1911">
                  <c:v>5745.6911099999998</c:v>
                </c:pt>
                <c:pt idx="1912">
                  <c:v>5731.0480500000003</c:v>
                </c:pt>
                <c:pt idx="1913">
                  <c:v>5665.5671199999997</c:v>
                </c:pt>
                <c:pt idx="1914">
                  <c:v>5742.2246399999995</c:v>
                </c:pt>
                <c:pt idx="1915">
                  <c:v>5742.1686</c:v>
                </c:pt>
                <c:pt idx="1916">
                  <c:v>5821.8059199999998</c:v>
                </c:pt>
                <c:pt idx="1917">
                  <c:v>5856.5449799999997</c:v>
                </c:pt>
                <c:pt idx="1918">
                  <c:v>5871.8333700000003</c:v>
                </c:pt>
                <c:pt idx="1919">
                  <c:v>5838.6331199999995</c:v>
                </c:pt>
                <c:pt idx="1920">
                  <c:v>5726.4089999999997</c:v>
                </c:pt>
                <c:pt idx="1921">
                  <c:v>5692.1899300000005</c:v>
                </c:pt>
                <c:pt idx="1922">
                  <c:v>5703.19542</c:v>
                </c:pt>
                <c:pt idx="1923">
                  <c:v>5750.9989599999999</c:v>
                </c:pt>
                <c:pt idx="1924">
                  <c:v>5665.9580999999998</c:v>
                </c:pt>
                <c:pt idx="1925">
                  <c:v>5726.6730899999993</c:v>
                </c:pt>
                <c:pt idx="1926">
                  <c:v>5554.0245000000004</c:v>
                </c:pt>
                <c:pt idx="1927">
                  <c:v>5501.2638999999999</c:v>
                </c:pt>
                <c:pt idx="1928">
                  <c:v>5450.2796200000003</c:v>
                </c:pt>
                <c:pt idx="1929">
                  <c:v>5160.6100000000006</c:v>
                </c:pt>
                <c:pt idx="1930">
                  <c:v>5197.4650000000001</c:v>
                </c:pt>
                <c:pt idx="1931">
                  <c:v>5223.0911999999998</c:v>
                </c:pt>
                <c:pt idx="1932">
                  <c:v>5391.5827200000003</c:v>
                </c:pt>
                <c:pt idx="1933">
                  <c:v>5434.4864000000007</c:v>
                </c:pt>
                <c:pt idx="1934">
                  <c:v>5342.9935999999998</c:v>
                </c:pt>
                <c:pt idx="1935">
                  <c:v>5640.9074400000009</c:v>
                </c:pt>
                <c:pt idx="1936">
                  <c:v>5472.4176000000007</c:v>
                </c:pt>
                <c:pt idx="1937">
                  <c:v>5485.8509999999997</c:v>
                </c:pt>
                <c:pt idx="1938">
                  <c:v>5422.9031999999997</c:v>
                </c:pt>
                <c:pt idx="1939">
                  <c:v>5543.5347000000002</c:v>
                </c:pt>
                <c:pt idx="1940">
                  <c:v>5545.8855000000003</c:v>
                </c:pt>
                <c:pt idx="1941">
                  <c:v>5506.3041599999997</c:v>
                </c:pt>
                <c:pt idx="1942">
                  <c:v>5709.8050599999997</c:v>
                </c:pt>
                <c:pt idx="1943">
                  <c:v>5643.9203200000002</c:v>
                </c:pt>
                <c:pt idx="1944">
                  <c:v>5651.6223899999995</c:v>
                </c:pt>
                <c:pt idx="1945">
                  <c:v>5729.6567500000001</c:v>
                </c:pt>
                <c:pt idx="1946">
                  <c:v>5810.4341999999997</c:v>
                </c:pt>
                <c:pt idx="1947">
                  <c:v>5911.0849200000002</c:v>
                </c:pt>
                <c:pt idx="1948">
                  <c:v>5846.5769600000003</c:v>
                </c:pt>
                <c:pt idx="1949">
                  <c:v>5837.4162000000006</c:v>
                </c:pt>
                <c:pt idx="1950">
                  <c:v>5791.7462399999995</c:v>
                </c:pt>
                <c:pt idx="1951">
                  <c:v>5727.8355000000001</c:v>
                </c:pt>
                <c:pt idx="1952">
                  <c:v>5767.6900800000003</c:v>
                </c:pt>
                <c:pt idx="1953">
                  <c:v>5781.6428800000003</c:v>
                </c:pt>
                <c:pt idx="1954">
                  <c:v>5692.9553999999998</c:v>
                </c:pt>
                <c:pt idx="1955">
                  <c:v>5665.9713599999995</c:v>
                </c:pt>
                <c:pt idx="1956">
                  <c:v>5551.5402700000004</c:v>
                </c:pt>
                <c:pt idx="1957">
                  <c:v>5518.6012500000006</c:v>
                </c:pt>
                <c:pt idx="1958">
                  <c:v>5539.7193000000007</c:v>
                </c:pt>
                <c:pt idx="1959">
                  <c:v>5522.9165600000006</c:v>
                </c:pt>
                <c:pt idx="1960">
                  <c:v>5617.2746700000007</c:v>
                </c:pt>
                <c:pt idx="1961">
                  <c:v>5482.3014400000002</c:v>
                </c:pt>
                <c:pt idx="1962">
                  <c:v>5495.2475999999997</c:v>
                </c:pt>
                <c:pt idx="1963">
                  <c:v>5435.2917400000006</c:v>
                </c:pt>
                <c:pt idx="1964">
                  <c:v>5446.6131999999998</c:v>
                </c:pt>
                <c:pt idx="1965">
                  <c:v>5418.4908800000003</c:v>
                </c:pt>
                <c:pt idx="1966">
                  <c:v>5377.7803199999998</c:v>
                </c:pt>
                <c:pt idx="1967">
                  <c:v>5509.9312399999999</c:v>
                </c:pt>
                <c:pt idx="1968">
                  <c:v>5461.3514400000004</c:v>
                </c:pt>
                <c:pt idx="1969">
                  <c:v>5536.2672400000001</c:v>
                </c:pt>
                <c:pt idx="1970">
                  <c:v>5573.9349000000002</c:v>
                </c:pt>
                <c:pt idx="1971">
                  <c:v>5588.3318399999998</c:v>
                </c:pt>
                <c:pt idx="1972">
                  <c:v>5500.9475999999995</c:v>
                </c:pt>
                <c:pt idx="1973">
                  <c:v>5468.6451399999996</c:v>
                </c:pt>
                <c:pt idx="1974">
                  <c:v>5423.9968399999998</c:v>
                </c:pt>
                <c:pt idx="1975">
                  <c:v>5405.29396</c:v>
                </c:pt>
                <c:pt idx="1976">
                  <c:v>5340.74287</c:v>
                </c:pt>
                <c:pt idx="1977">
                  <c:v>5382.0862500000003</c:v>
                </c:pt>
                <c:pt idx="1978">
                  <c:v>5369.23272</c:v>
                </c:pt>
                <c:pt idx="1979">
                  <c:v>5401.0393800000002</c:v>
                </c:pt>
                <c:pt idx="1980">
                  <c:v>5390.3372600000002</c:v>
                </c:pt>
                <c:pt idx="1981">
                  <c:v>5353.3832400000001</c:v>
                </c:pt>
                <c:pt idx="1982">
                  <c:v>5331.0393099999992</c:v>
                </c:pt>
                <c:pt idx="1983">
                  <c:v>5232.1043499999996</c:v>
                </c:pt>
                <c:pt idx="1984">
                  <c:v>5327.3312999999998</c:v>
                </c:pt>
                <c:pt idx="1985">
                  <c:v>5251.9480799999992</c:v>
                </c:pt>
                <c:pt idx="1986">
                  <c:v>5302.9934400000002</c:v>
                </c:pt>
                <c:pt idx="1987">
                  <c:v>5178.0346200000004</c:v>
                </c:pt>
                <c:pt idx="1988">
                  <c:v>5224.2143999999998</c:v>
                </c:pt>
                <c:pt idx="1989">
                  <c:v>5267.5369900000005</c:v>
                </c:pt>
                <c:pt idx="1990">
                  <c:v>5305.2374799999998</c:v>
                </c:pt>
                <c:pt idx="1991">
                  <c:v>5268.8105600000008</c:v>
                </c:pt>
                <c:pt idx="1992">
                  <c:v>5277.9903000000004</c:v>
                </c:pt>
                <c:pt idx="1993">
                  <c:v>5219.1750000000002</c:v>
                </c:pt>
                <c:pt idx="1994">
                  <c:v>5223.2209499999999</c:v>
                </c:pt>
                <c:pt idx="1995">
                  <c:v>5240.8839600000001</c:v>
                </c:pt>
                <c:pt idx="1996">
                  <c:v>5304.7398399999993</c:v>
                </c:pt>
                <c:pt idx="1997">
                  <c:v>5289.9098700000004</c:v>
                </c:pt>
                <c:pt idx="1998">
                  <c:v>5221.8040799999999</c:v>
                </c:pt>
                <c:pt idx="1999">
                  <c:v>5320.8245999999999</c:v>
                </c:pt>
                <c:pt idx="2000">
                  <c:v>5309.9534000000003</c:v>
                </c:pt>
                <c:pt idx="2001">
                  <c:v>5293.1742399999994</c:v>
                </c:pt>
                <c:pt idx="2002">
                  <c:v>5325.7894200000001</c:v>
                </c:pt>
                <c:pt idx="2003">
                  <c:v>5325.1185399999995</c:v>
                </c:pt>
                <c:pt idx="2004">
                  <c:v>5259.4197599999998</c:v>
                </c:pt>
                <c:pt idx="2005">
                  <c:v>5213.4696599999997</c:v>
                </c:pt>
                <c:pt idx="2006">
                  <c:v>5073.9724800000004</c:v>
                </c:pt>
                <c:pt idx="2007">
                  <c:v>5042.5547999999999</c:v>
                </c:pt>
                <c:pt idx="2008">
                  <c:v>5086.1428800000003</c:v>
                </c:pt>
                <c:pt idx="2009">
                  <c:v>5110.1557199999997</c:v>
                </c:pt>
                <c:pt idx="2010">
                  <c:v>5057.6158599999999</c:v>
                </c:pt>
                <c:pt idx="2011">
                  <c:v>5043.0310200000004</c:v>
                </c:pt>
                <c:pt idx="2012">
                  <c:v>5063.4577499999996</c:v>
                </c:pt>
                <c:pt idx="2013">
                  <c:v>5044.2848200000008</c:v>
                </c:pt>
                <c:pt idx="2014">
                  <c:v>5093.0525399999997</c:v>
                </c:pt>
                <c:pt idx="2015">
                  <c:v>4961.5730000000003</c:v>
                </c:pt>
                <c:pt idx="2016">
                  <c:v>4997.2055099999998</c:v>
                </c:pt>
                <c:pt idx="2017">
                  <c:v>4928.2745600000007</c:v>
                </c:pt>
                <c:pt idx="2018">
                  <c:v>4883.4526000000005</c:v>
                </c:pt>
                <c:pt idx="2019">
                  <c:v>4816.5461999999998</c:v>
                </c:pt>
                <c:pt idx="2020">
                  <c:v>4790.7258000000002</c:v>
                </c:pt>
                <c:pt idx="2021">
                  <c:v>4757.761590000001</c:v>
                </c:pt>
                <c:pt idx="2022">
                  <c:v>4731.0223500000002</c:v>
                </c:pt>
                <c:pt idx="2023">
                  <c:v>4794.8319000000001</c:v>
                </c:pt>
                <c:pt idx="2024">
                  <c:v>4863.1267199999993</c:v>
                </c:pt>
                <c:pt idx="2025">
                  <c:v>4793.8824800000002</c:v>
                </c:pt>
                <c:pt idx="2026">
                  <c:v>4695.9620399999994</c:v>
                </c:pt>
                <c:pt idx="2027">
                  <c:v>4846.3580000000002</c:v>
                </c:pt>
                <c:pt idx="2028">
                  <c:v>4807.4658499999996</c:v>
                </c:pt>
                <c:pt idx="2029">
                  <c:v>4787.1302400000004</c:v>
                </c:pt>
                <c:pt idx="2030">
                  <c:v>4816.6879199999994</c:v>
                </c:pt>
                <c:pt idx="2031">
                  <c:v>4806.93768</c:v>
                </c:pt>
                <c:pt idx="2032">
                  <c:v>4742.7926399999997</c:v>
                </c:pt>
                <c:pt idx="2033">
                  <c:v>4728.8258000000005</c:v>
                </c:pt>
                <c:pt idx="2034">
                  <c:v>4605.6948299999995</c:v>
                </c:pt>
                <c:pt idx="2035">
                  <c:v>4736.539600000001</c:v>
                </c:pt>
                <c:pt idx="2036">
                  <c:v>4681.9003000000002</c:v>
                </c:pt>
                <c:pt idx="2037">
                  <c:v>4636.9403499999999</c:v>
                </c:pt>
                <c:pt idx="2038">
                  <c:v>4643.1849000000002</c:v>
                </c:pt>
                <c:pt idx="2039">
                  <c:v>4564.8104999999996</c:v>
                </c:pt>
                <c:pt idx="2040">
                  <c:v>4765.8990000000003</c:v>
                </c:pt>
                <c:pt idx="2041">
                  <c:v>4827.6745000000001</c:v>
                </c:pt>
                <c:pt idx="2042">
                  <c:v>4680.4845599999999</c:v>
                </c:pt>
                <c:pt idx="2043">
                  <c:v>4666.5734499999999</c:v>
                </c:pt>
                <c:pt idx="2044">
                  <c:v>4596.1617000000006</c:v>
                </c:pt>
                <c:pt idx="2045">
                  <c:v>4578.7689399999999</c:v>
                </c:pt>
                <c:pt idx="2046">
                  <c:v>4533.0564800000002</c:v>
                </c:pt>
                <c:pt idx="2047">
                  <c:v>4632.2716</c:v>
                </c:pt>
                <c:pt idx="2048">
                  <c:v>4769.0121599999993</c:v>
                </c:pt>
                <c:pt idx="2049">
                  <c:v>4724.3250000000007</c:v>
                </c:pt>
                <c:pt idx="2050">
                  <c:v>4802.83194</c:v>
                </c:pt>
                <c:pt idx="2051">
                  <c:v>4740.3091999999997</c:v>
                </c:pt>
                <c:pt idx="2052">
                  <c:v>4684.0136000000002</c:v>
                </c:pt>
                <c:pt idx="2053">
                  <c:v>4731.2457300000005</c:v>
                </c:pt>
                <c:pt idx="2054">
                  <c:v>4655.4979600000006</c:v>
                </c:pt>
                <c:pt idx="2055">
                  <c:v>4689.3361299999997</c:v>
                </c:pt>
                <c:pt idx="2056">
                  <c:v>4662.6938399999999</c:v>
                </c:pt>
                <c:pt idx="2057">
                  <c:v>4615.9036099999994</c:v>
                </c:pt>
                <c:pt idx="2058">
                  <c:v>4643.8207200000006</c:v>
                </c:pt>
                <c:pt idx="2059">
                  <c:v>4563.9548500000001</c:v>
                </c:pt>
                <c:pt idx="2060">
                  <c:v>4448.2943800000003</c:v>
                </c:pt>
                <c:pt idx="2061">
                  <c:v>4502.90841</c:v>
                </c:pt>
                <c:pt idx="2062">
                  <c:v>4464.3670400000001</c:v>
                </c:pt>
                <c:pt idx="2063">
                  <c:v>4513.1175000000003</c:v>
                </c:pt>
                <c:pt idx="2064">
                  <c:v>4477.3582200000001</c:v>
                </c:pt>
                <c:pt idx="2065">
                  <c:v>4512.0662999999995</c:v>
                </c:pt>
                <c:pt idx="2066">
                  <c:v>4391.6100299999998</c:v>
                </c:pt>
                <c:pt idx="2067">
                  <c:v>4364.2946000000002</c:v>
                </c:pt>
                <c:pt idx="2068">
                  <c:v>4318.1320700000006</c:v>
                </c:pt>
                <c:pt idx="2069">
                  <c:v>4274.0480199999993</c:v>
                </c:pt>
                <c:pt idx="2070">
                  <c:v>4245.4500000000007</c:v>
                </c:pt>
                <c:pt idx="2071">
                  <c:v>4183.2024799999999</c:v>
                </c:pt>
                <c:pt idx="2072">
                  <c:v>4194.7172999999993</c:v>
                </c:pt>
                <c:pt idx="2073">
                  <c:v>4075.85736</c:v>
                </c:pt>
                <c:pt idx="2074">
                  <c:v>4097.0017600000001</c:v>
                </c:pt>
                <c:pt idx="2075">
                  <c:v>4146.9785000000002</c:v>
                </c:pt>
                <c:pt idx="2076">
                  <c:v>4092.8010200000003</c:v>
                </c:pt>
                <c:pt idx="2077">
                  <c:v>4001.8047400000005</c:v>
                </c:pt>
                <c:pt idx="2078">
                  <c:v>4036.47984</c:v>
                </c:pt>
                <c:pt idx="2079">
                  <c:v>3933.0732600000001</c:v>
                </c:pt>
                <c:pt idx="2080">
                  <c:v>4096.7621399999998</c:v>
                </c:pt>
                <c:pt idx="2081">
                  <c:v>4088.5402800000002</c:v>
                </c:pt>
                <c:pt idx="2082">
                  <c:v>4107.3019200000008</c:v>
                </c:pt>
                <c:pt idx="2083">
                  <c:v>4027.8746199999996</c:v>
                </c:pt>
                <c:pt idx="2084">
                  <c:v>4039.6425299999996</c:v>
                </c:pt>
                <c:pt idx="2085">
                  <c:v>4018.9942999999998</c:v>
                </c:pt>
                <c:pt idx="2086">
                  <c:v>3958.1388000000002</c:v>
                </c:pt>
                <c:pt idx="2087">
                  <c:v>3957.2344000000003</c:v>
                </c:pt>
                <c:pt idx="2088">
                  <c:v>3969.6758399999999</c:v>
                </c:pt>
                <c:pt idx="2089">
                  <c:v>4033.6715999999997</c:v>
                </c:pt>
                <c:pt idx="2090">
                  <c:v>4054.1929999999998</c:v>
                </c:pt>
                <c:pt idx="2091">
                  <c:v>4055.67947</c:v>
                </c:pt>
                <c:pt idx="2092">
                  <c:v>3956.6895</c:v>
                </c:pt>
                <c:pt idx="2093">
                  <c:v>3900.5798399999999</c:v>
                </c:pt>
                <c:pt idx="2094">
                  <c:v>3817.8008100000002</c:v>
                </c:pt>
                <c:pt idx="2095">
                  <c:v>3874.9489999999996</c:v>
                </c:pt>
                <c:pt idx="2096">
                  <c:v>3934.4324799999999</c:v>
                </c:pt>
                <c:pt idx="2097">
                  <c:v>3879.0026899999998</c:v>
                </c:pt>
                <c:pt idx="2098">
                  <c:v>3888.3290999999999</c:v>
                </c:pt>
                <c:pt idx="2099">
                  <c:v>3932.32962</c:v>
                </c:pt>
                <c:pt idx="2100">
                  <c:v>3828.16239</c:v>
                </c:pt>
                <c:pt idx="2101">
                  <c:v>3761.0634599999998</c:v>
                </c:pt>
                <c:pt idx="2102">
                  <c:v>3703.4377600000003</c:v>
                </c:pt>
                <c:pt idx="2103">
                  <c:v>3620.9414000000002</c:v>
                </c:pt>
                <c:pt idx="2104">
                  <c:v>3577.77252</c:v>
                </c:pt>
                <c:pt idx="2105">
                  <c:v>3595.5550800000001</c:v>
                </c:pt>
                <c:pt idx="2106">
                  <c:v>3579.0484899999997</c:v>
                </c:pt>
                <c:pt idx="2107">
                  <c:v>3538.6206500000003</c:v>
                </c:pt>
                <c:pt idx="2108">
                  <c:v>3503.9429099999998</c:v>
                </c:pt>
                <c:pt idx="2109">
                  <c:v>3429.3472200000001</c:v>
                </c:pt>
                <c:pt idx="2110">
                  <c:v>3511.8332599999999</c:v>
                </c:pt>
                <c:pt idx="2111">
                  <c:v>3481.4850999999999</c:v>
                </c:pt>
                <c:pt idx="2112">
                  <c:v>3496.5644200000002</c:v>
                </c:pt>
                <c:pt idx="2113">
                  <c:v>3477.4131600000001</c:v>
                </c:pt>
                <c:pt idx="2114">
                  <c:v>3434.6772800000003</c:v>
                </c:pt>
                <c:pt idx="2115">
                  <c:v>3491.1623399999994</c:v>
                </c:pt>
                <c:pt idx="2116">
                  <c:v>3527.1798900000003</c:v>
                </c:pt>
                <c:pt idx="2117">
                  <c:v>3466.0902000000001</c:v>
                </c:pt>
                <c:pt idx="2118">
                  <c:v>3465.41464</c:v>
                </c:pt>
                <c:pt idx="2119">
                  <c:v>3476.7375499999998</c:v>
                </c:pt>
                <c:pt idx="2120">
                  <c:v>3480.9232999999999</c:v>
                </c:pt>
                <c:pt idx="2121">
                  <c:v>3495.2266300000001</c:v>
                </c:pt>
                <c:pt idx="2122">
                  <c:v>3463.56432</c:v>
                </c:pt>
                <c:pt idx="2123">
                  <c:v>3440.6839999999997</c:v>
                </c:pt>
                <c:pt idx="2124">
                  <c:v>3534.9423400000001</c:v>
                </c:pt>
                <c:pt idx="2125">
                  <c:v>3559.2523999999999</c:v>
                </c:pt>
                <c:pt idx="2126">
                  <c:v>3561.5820799999997</c:v>
                </c:pt>
                <c:pt idx="2127">
                  <c:v>3601.9404400000003</c:v>
                </c:pt>
                <c:pt idx="2128">
                  <c:v>3565.3410900000003</c:v>
                </c:pt>
                <c:pt idx="2129">
                  <c:v>3685.0688</c:v>
                </c:pt>
                <c:pt idx="2130">
                  <c:v>3658.7781999999997</c:v>
                </c:pt>
                <c:pt idx="2131">
                  <c:v>3512.2441199999998</c:v>
                </c:pt>
                <c:pt idx="2132">
                  <c:v>3477.7535399999997</c:v>
                </c:pt>
                <c:pt idx="2133">
                  <c:v>3489.4551999999999</c:v>
                </c:pt>
                <c:pt idx="2134">
                  <c:v>3403.5955499999995</c:v>
                </c:pt>
                <c:pt idx="2135">
                  <c:v>3412.6264799999999</c:v>
                </c:pt>
                <c:pt idx="2136">
                  <c:v>3467.8126200000002</c:v>
                </c:pt>
                <c:pt idx="2137">
                  <c:v>3552.1110000000003</c:v>
                </c:pt>
                <c:pt idx="2138">
                  <c:v>3529.3670999999995</c:v>
                </c:pt>
                <c:pt idx="2139">
                  <c:v>3487.7694700000002</c:v>
                </c:pt>
                <c:pt idx="2140">
                  <c:v>3473.77016</c:v>
                </c:pt>
                <c:pt idx="2141">
                  <c:v>3461.36402</c:v>
                </c:pt>
                <c:pt idx="2142">
                  <c:v>3515.8820000000001</c:v>
                </c:pt>
                <c:pt idx="2143">
                  <c:v>3442.2029999999995</c:v>
                </c:pt>
                <c:pt idx="2144">
                  <c:v>3507.49386</c:v>
                </c:pt>
                <c:pt idx="2145">
                  <c:v>3556.90924</c:v>
                </c:pt>
                <c:pt idx="2146">
                  <c:v>3479.8218000000006</c:v>
                </c:pt>
                <c:pt idx="2147">
                  <c:v>3438.1648300000002</c:v>
                </c:pt>
                <c:pt idx="2148">
                  <c:v>3471.24343</c:v>
                </c:pt>
                <c:pt idx="2149">
                  <c:v>3558.51874</c:v>
                </c:pt>
                <c:pt idx="2150">
                  <c:v>3618.9179899999999</c:v>
                </c:pt>
                <c:pt idx="2151">
                  <c:v>3691.2215999999999</c:v>
                </c:pt>
                <c:pt idx="2152">
                  <c:v>3691.4486400000001</c:v>
                </c:pt>
                <c:pt idx="2153">
                  <c:v>3727.4451199999999</c:v>
                </c:pt>
                <c:pt idx="2154">
                  <c:v>3667.6890799999996</c:v>
                </c:pt>
                <c:pt idx="2155">
                  <c:v>3623.3024799999998</c:v>
                </c:pt>
                <c:pt idx="2156">
                  <c:v>3519.6638400000006</c:v>
                </c:pt>
                <c:pt idx="2157">
                  <c:v>3503.3743800000002</c:v>
                </c:pt>
                <c:pt idx="2158">
                  <c:v>3446.8794399999997</c:v>
                </c:pt>
                <c:pt idx="2159">
                  <c:v>3423.6902700000001</c:v>
                </c:pt>
                <c:pt idx="2160">
                  <c:v>3421.47325</c:v>
                </c:pt>
                <c:pt idx="2161">
                  <c:v>3453.7944000000002</c:v>
                </c:pt>
                <c:pt idx="2162">
                  <c:v>3464.7224000000006</c:v>
                </c:pt>
                <c:pt idx="2163">
                  <c:v>3427.7738399999998</c:v>
                </c:pt>
                <c:pt idx="2164">
                  <c:v>3468.1536000000001</c:v>
                </c:pt>
                <c:pt idx="2165">
                  <c:v>3413.7028799999998</c:v>
                </c:pt>
                <c:pt idx="2166">
                  <c:v>3414.9255999999996</c:v>
                </c:pt>
                <c:pt idx="2167">
                  <c:v>3537.2988</c:v>
                </c:pt>
                <c:pt idx="2168">
                  <c:v>3540.2595200000001</c:v>
                </c:pt>
                <c:pt idx="2169">
                  <c:v>3416.1876899999997</c:v>
                </c:pt>
                <c:pt idx="2170">
                  <c:v>3396.5859600000003</c:v>
                </c:pt>
                <c:pt idx="2171">
                  <c:v>3461.7182600000006</c:v>
                </c:pt>
                <c:pt idx="2172">
                  <c:v>3363.7293600000003</c:v>
                </c:pt>
                <c:pt idx="2173">
                  <c:v>3357.4597699999999</c:v>
                </c:pt>
                <c:pt idx="2174">
                  <c:v>3399.6948399999997</c:v>
                </c:pt>
                <c:pt idx="2175">
                  <c:v>3270.9421499999999</c:v>
                </c:pt>
                <c:pt idx="2176">
                  <c:v>3266.0682000000002</c:v>
                </c:pt>
                <c:pt idx="2177">
                  <c:v>3259.1985400000003</c:v>
                </c:pt>
                <c:pt idx="2178">
                  <c:v>3229.6724400000003</c:v>
                </c:pt>
                <c:pt idx="2179">
                  <c:v>3193.6883400000002</c:v>
                </c:pt>
                <c:pt idx="2180">
                  <c:v>3329.4147300000004</c:v>
                </c:pt>
                <c:pt idx="2181">
                  <c:v>3335.5710199999999</c:v>
                </c:pt>
                <c:pt idx="2182">
                  <c:v>3302.9862800000001</c:v>
                </c:pt>
                <c:pt idx="2183">
                  <c:v>3280.5882499999998</c:v>
                </c:pt>
                <c:pt idx="2184">
                  <c:v>3305.0418299999997</c:v>
                </c:pt>
                <c:pt idx="2185">
                  <c:v>3135.9207999999999</c:v>
                </c:pt>
                <c:pt idx="2186">
                  <c:v>3012.9344000000001</c:v>
                </c:pt>
                <c:pt idx="2187">
                  <c:v>3164.7295800000002</c:v>
                </c:pt>
                <c:pt idx="2188">
                  <c:v>3229.3529999999996</c:v>
                </c:pt>
                <c:pt idx="2189">
                  <c:v>3214.13148</c:v>
                </c:pt>
                <c:pt idx="2190">
                  <c:v>3217.3607999999999</c:v>
                </c:pt>
                <c:pt idx="2191">
                  <c:v>3347.5217600000001</c:v>
                </c:pt>
                <c:pt idx="2192">
                  <c:v>3179.0252600000003</c:v>
                </c:pt>
                <c:pt idx="2193">
                  <c:v>3256.6533100000001</c:v>
                </c:pt>
                <c:pt idx="2194">
                  <c:v>3346.82575</c:v>
                </c:pt>
                <c:pt idx="2195">
                  <c:v>3324.8173000000002</c:v>
                </c:pt>
                <c:pt idx="2196">
                  <c:v>3314.5570200000002</c:v>
                </c:pt>
                <c:pt idx="2197">
                  <c:v>3398.9562000000001</c:v>
                </c:pt>
                <c:pt idx="2198">
                  <c:v>3460.3975700000001</c:v>
                </c:pt>
                <c:pt idx="2199">
                  <c:v>3388.2774800000002</c:v>
                </c:pt>
                <c:pt idx="2200">
                  <c:v>3295.5668899999996</c:v>
                </c:pt>
                <c:pt idx="2201">
                  <c:v>3406.81376</c:v>
                </c:pt>
                <c:pt idx="2202">
                  <c:v>3296.1792</c:v>
                </c:pt>
                <c:pt idx="2203">
                  <c:v>3183.7130800000004</c:v>
                </c:pt>
                <c:pt idx="2204">
                  <c:v>3004.3954499999995</c:v>
                </c:pt>
                <c:pt idx="2205">
                  <c:v>3048.35221</c:v>
                </c:pt>
                <c:pt idx="2206">
                  <c:v>3295.1646900000001</c:v>
                </c:pt>
                <c:pt idx="2207">
                  <c:v>3336.5138400000001</c:v>
                </c:pt>
                <c:pt idx="2208">
                  <c:v>3332.7497100000005</c:v>
                </c:pt>
                <c:pt idx="2209">
                  <c:v>3579.5583999999999</c:v>
                </c:pt>
                <c:pt idx="2210">
                  <c:v>3531.8602099999998</c:v>
                </c:pt>
                <c:pt idx="2211">
                  <c:v>3524.9894399999998</c:v>
                </c:pt>
                <c:pt idx="2212">
                  <c:v>3401.9621999999999</c:v>
                </c:pt>
                <c:pt idx="2213">
                  <c:v>3575.1958600000003</c:v>
                </c:pt>
                <c:pt idx="2214">
                  <c:v>3576.0175200000003</c:v>
                </c:pt>
                <c:pt idx="2215">
                  <c:v>3279.8551499999994</c:v>
                </c:pt>
                <c:pt idx="2216">
                  <c:v>3492.6357400000002</c:v>
                </c:pt>
                <c:pt idx="2217">
                  <c:v>3382.7484599999998</c:v>
                </c:pt>
                <c:pt idx="2218">
                  <c:v>3582.1733999999997</c:v>
                </c:pt>
                <c:pt idx="2219">
                  <c:v>3609.4775600000003</c:v>
                </c:pt>
                <c:pt idx="2220">
                  <c:v>3828.8232000000003</c:v>
                </c:pt>
                <c:pt idx="2221">
                  <c:v>3862.88184</c:v>
                </c:pt>
                <c:pt idx="2222">
                  <c:v>3909.4409999999998</c:v>
                </c:pt>
                <c:pt idx="2223">
                  <c:v>3934.1867599999996</c:v>
                </c:pt>
                <c:pt idx="2224">
                  <c:v>4031.1886</c:v>
                </c:pt>
                <c:pt idx="2225">
                  <c:v>4087.6058999999996</c:v>
                </c:pt>
                <c:pt idx="2226">
                  <c:v>4060.7274199999997</c:v>
                </c:pt>
                <c:pt idx="2227">
                  <c:v>4087.6007999999997</c:v>
                </c:pt>
                <c:pt idx="2228">
                  <c:v>4138.6800999999996</c:v>
                </c:pt>
                <c:pt idx="2229">
                  <c:v>4111.0007399999995</c:v>
                </c:pt>
                <c:pt idx="2230">
                  <c:v>4047.9926</c:v>
                </c:pt>
                <c:pt idx="2231">
                  <c:v>3894.3467199999996</c:v>
                </c:pt>
                <c:pt idx="2232">
                  <c:v>3925.623</c:v>
                </c:pt>
                <c:pt idx="2233">
                  <c:v>3929.1950399999996</c:v>
                </c:pt>
                <c:pt idx="2234">
                  <c:v>4052.5632000000001</c:v>
                </c:pt>
                <c:pt idx="2235">
                  <c:v>4148.2355699999998</c:v>
                </c:pt>
                <c:pt idx="2236">
                  <c:v>4131.84</c:v>
                </c:pt>
                <c:pt idx="2237">
                  <c:v>4070.3912399999995</c:v>
                </c:pt>
                <c:pt idx="2238">
                  <c:v>4059.6133200000004</c:v>
                </c:pt>
                <c:pt idx="2239">
                  <c:v>4083.88805</c:v>
                </c:pt>
                <c:pt idx="2240">
                  <c:v>4164.9853199999998</c:v>
                </c:pt>
                <c:pt idx="2241">
                  <c:v>4205.1184999999996</c:v>
                </c:pt>
                <c:pt idx="2242">
                  <c:v>4224.3878299999997</c:v>
                </c:pt>
                <c:pt idx="2243">
                  <c:v>4169.56304</c:v>
                </c:pt>
                <c:pt idx="2244">
                  <c:v>4299.67695</c:v>
                </c:pt>
                <c:pt idx="2245">
                  <c:v>4304.8486800000001</c:v>
                </c:pt>
                <c:pt idx="2246">
                  <c:v>4339.0650000000005</c:v>
                </c:pt>
                <c:pt idx="2247">
                  <c:v>4381.1630099999993</c:v>
                </c:pt>
                <c:pt idx="2248">
                  <c:v>4379.0492200000008</c:v>
                </c:pt>
                <c:pt idx="2249">
                  <c:v>4501.1372499999998</c:v>
                </c:pt>
                <c:pt idx="2250">
                  <c:v>4520.8770999999997</c:v>
                </c:pt>
                <c:pt idx="2251">
                  <c:v>4609.6718700000001</c:v>
                </c:pt>
                <c:pt idx="2252">
                  <c:v>4655.8512000000001</c:v>
                </c:pt>
                <c:pt idx="2253">
                  <c:v>4674.6252999999997</c:v>
                </c:pt>
                <c:pt idx="2254">
                  <c:v>4646.7800399999996</c:v>
                </c:pt>
                <c:pt idx="2255">
                  <c:v>4614.2731199999998</c:v>
                </c:pt>
                <c:pt idx="2256">
                  <c:v>4641.9956000000002</c:v>
                </c:pt>
                <c:pt idx="2257">
                  <c:v>4595.8473000000004</c:v>
                </c:pt>
                <c:pt idx="2258">
                  <c:v>4532.1599400000005</c:v>
                </c:pt>
                <c:pt idx="2259">
                  <c:v>4660.7192999999997</c:v>
                </c:pt>
                <c:pt idx="2260">
                  <c:v>4689.8951400000005</c:v>
                </c:pt>
                <c:pt idx="2261">
                  <c:v>4813.8775999999998</c:v>
                </c:pt>
                <c:pt idx="2262">
                  <c:v>4776.5680400000001</c:v>
                </c:pt>
                <c:pt idx="2263">
                  <c:v>4855.5132199999998</c:v>
                </c:pt>
                <c:pt idx="2264">
                  <c:v>4950.5669600000001</c:v>
                </c:pt>
                <c:pt idx="2265">
                  <c:v>4896.1711800000003</c:v>
                </c:pt>
                <c:pt idx="2266">
                  <c:v>4946.6442200000001</c:v>
                </c:pt>
                <c:pt idx="2267">
                  <c:v>4982.97667</c:v>
                </c:pt>
                <c:pt idx="2268">
                  <c:v>5034.4999199999993</c:v>
                </c:pt>
                <c:pt idx="2269">
                  <c:v>5021.3356200000007</c:v>
                </c:pt>
                <c:pt idx="2270">
                  <c:v>4949.5219100000004</c:v>
                </c:pt>
                <c:pt idx="2271">
                  <c:v>4968.5764499999996</c:v>
                </c:pt>
                <c:pt idx="2272">
                  <c:v>5034.10365</c:v>
                </c:pt>
                <c:pt idx="2273">
                  <c:v>5043.2809900000002</c:v>
                </c:pt>
                <c:pt idx="2274">
                  <c:v>5113.0665899999995</c:v>
                </c:pt>
                <c:pt idx="2275">
                  <c:v>5083.8285599999999</c:v>
                </c:pt>
                <c:pt idx="2276">
                  <c:v>5083.0734000000002</c:v>
                </c:pt>
                <c:pt idx="2277">
                  <c:v>5032.4049999999997</c:v>
                </c:pt>
                <c:pt idx="2278">
                  <c:v>5073.7817000000005</c:v>
                </c:pt>
                <c:pt idx="2279">
                  <c:v>4985.0424599999997</c:v>
                </c:pt>
                <c:pt idx="2280">
                  <c:v>4942.1129999999994</c:v>
                </c:pt>
                <c:pt idx="2281">
                  <c:v>4896.55195</c:v>
                </c:pt>
                <c:pt idx="2282">
                  <c:v>4867.6191799999997</c:v>
                </c:pt>
                <c:pt idx="2283">
                  <c:v>4851.5033500000009</c:v>
                </c:pt>
                <c:pt idx="2284">
                  <c:v>4820.3516400000008</c:v>
                </c:pt>
                <c:pt idx="2285">
                  <c:v>4850.0009600000003</c:v>
                </c:pt>
                <c:pt idx="2286">
                  <c:v>4813.8666800000001</c:v>
                </c:pt>
                <c:pt idx="2287">
                  <c:v>4801.1314700000003</c:v>
                </c:pt>
                <c:pt idx="2288">
                  <c:v>4775.8820399999995</c:v>
                </c:pt>
                <c:pt idx="2289">
                  <c:v>4764.8772799999997</c:v>
                </c:pt>
                <c:pt idx="2290">
                  <c:v>4782.7663199999997</c:v>
                </c:pt>
                <c:pt idx="2291">
                  <c:v>4727.1789100000005</c:v>
                </c:pt>
                <c:pt idx="2292">
                  <c:v>4733.4323399999994</c:v>
                </c:pt>
                <c:pt idx="2293">
                  <c:v>4728.9866300000003</c:v>
                </c:pt>
                <c:pt idx="2294">
                  <c:v>4653.4712</c:v>
                </c:pt>
                <c:pt idx="2295">
                  <c:v>4665.8315199999997</c:v>
                </c:pt>
                <c:pt idx="2296">
                  <c:v>4634.223</c:v>
                </c:pt>
                <c:pt idx="2297">
                  <c:v>4621.56387</c:v>
                </c:pt>
                <c:pt idx="2298">
                  <c:v>4627.8104299999995</c:v>
                </c:pt>
                <c:pt idx="2299">
                  <c:v>4608.0189499999997</c:v>
                </c:pt>
                <c:pt idx="2300">
                  <c:v>4605.1585800000003</c:v>
                </c:pt>
                <c:pt idx="2301">
                  <c:v>4531.9155800000008</c:v>
                </c:pt>
                <c:pt idx="2302">
                  <c:v>4659.9789700000001</c:v>
                </c:pt>
                <c:pt idx="2303">
                  <c:v>4658.1985999999997</c:v>
                </c:pt>
                <c:pt idx="2304">
                  <c:v>4650.6873599999999</c:v>
                </c:pt>
                <c:pt idx="2305">
                  <c:v>4730.4289600000002</c:v>
                </c:pt>
                <c:pt idx="2306">
                  <c:v>4686.3453</c:v>
                </c:pt>
                <c:pt idx="2307">
                  <c:v>4671.2503400000005</c:v>
                </c:pt>
                <c:pt idx="2308">
                  <c:v>4605.3302000000003</c:v>
                </c:pt>
                <c:pt idx="2309">
                  <c:v>4585.34447</c:v>
                </c:pt>
                <c:pt idx="2310">
                  <c:v>4608.0115400000004</c:v>
                </c:pt>
                <c:pt idx="2311">
                  <c:v>4619.8424999999997</c:v>
                </c:pt>
                <c:pt idx="2312">
                  <c:v>4682.7653399999999</c:v>
                </c:pt>
                <c:pt idx="2313">
                  <c:v>4618.6354799999999</c:v>
                </c:pt>
                <c:pt idx="2314">
                  <c:v>4680.5371999999998</c:v>
                </c:pt>
                <c:pt idx="2315">
                  <c:v>4679.5694400000002</c:v>
                </c:pt>
                <c:pt idx="2316">
                  <c:v>4616.4026999999996</c:v>
                </c:pt>
                <c:pt idx="2317">
                  <c:v>4720.4664199999997</c:v>
                </c:pt>
                <c:pt idx="2318">
                  <c:v>4712.0941600000006</c:v>
                </c:pt>
                <c:pt idx="2319">
                  <c:v>4656.2149200000003</c:v>
                </c:pt>
                <c:pt idx="2320">
                  <c:v>4687.3135600000005</c:v>
                </c:pt>
                <c:pt idx="2321">
                  <c:v>4661.2806799999998</c:v>
                </c:pt>
                <c:pt idx="2322">
                  <c:v>4604.7393600000005</c:v>
                </c:pt>
                <c:pt idx="2323">
                  <c:v>4647.7846799999998</c:v>
                </c:pt>
                <c:pt idx="2324">
                  <c:v>4662.0206100000005</c:v>
                </c:pt>
                <c:pt idx="2325">
                  <c:v>4585.7586199999996</c:v>
                </c:pt>
                <c:pt idx="2326">
                  <c:v>4552.1988000000001</c:v>
                </c:pt>
                <c:pt idx="2327">
                  <c:v>4533.4794100000008</c:v>
                </c:pt>
                <c:pt idx="2328">
                  <c:v>4609.7382399999997</c:v>
                </c:pt>
                <c:pt idx="2329">
                  <c:v>4582.3959399999994</c:v>
                </c:pt>
                <c:pt idx="2330">
                  <c:v>4474.3154299999997</c:v>
                </c:pt>
                <c:pt idx="2331">
                  <c:v>4542.0177400000002</c:v>
                </c:pt>
                <c:pt idx="2332">
                  <c:v>4564.1106799999998</c:v>
                </c:pt>
                <c:pt idx="2333">
                  <c:v>4517.4777999999997</c:v>
                </c:pt>
                <c:pt idx="2334">
                  <c:v>4541.8490999999995</c:v>
                </c:pt>
                <c:pt idx="2335">
                  <c:v>4514.9149200000002</c:v>
                </c:pt>
                <c:pt idx="2336">
                  <c:v>4526.25299</c:v>
                </c:pt>
                <c:pt idx="2337">
                  <c:v>4585.57665</c:v>
                </c:pt>
                <c:pt idx="2338">
                  <c:v>4526.6312800000005</c:v>
                </c:pt>
                <c:pt idx="2339">
                  <c:v>4537.8749899999993</c:v>
                </c:pt>
                <c:pt idx="2340">
                  <c:v>4504.0883199999998</c:v>
                </c:pt>
                <c:pt idx="2341">
                  <c:v>4477.9776000000002</c:v>
                </c:pt>
                <c:pt idx="2342">
                  <c:v>4475.6906399999998</c:v>
                </c:pt>
                <c:pt idx="2343">
                  <c:v>4412.81376</c:v>
                </c:pt>
                <c:pt idx="2344">
                  <c:v>4422.6757499999994</c:v>
                </c:pt>
                <c:pt idx="2345">
                  <c:v>4411.7701200000001</c:v>
                </c:pt>
                <c:pt idx="2346">
                  <c:v>4407.16194</c:v>
                </c:pt>
                <c:pt idx="2347">
                  <c:v>4370.7215200000001</c:v>
                </c:pt>
                <c:pt idx="2348">
                  <c:v>4396.8905799999993</c:v>
                </c:pt>
                <c:pt idx="2349">
                  <c:v>4325.6153400000003</c:v>
                </c:pt>
                <c:pt idx="2350">
                  <c:v>4294.6064999999999</c:v>
                </c:pt>
                <c:pt idx="2351">
                  <c:v>4255.7615999999998</c:v>
                </c:pt>
                <c:pt idx="2352">
                  <c:v>4230.3633899999995</c:v>
                </c:pt>
                <c:pt idx="2353">
                  <c:v>4189.8206700000001</c:v>
                </c:pt>
                <c:pt idx="2354">
                  <c:v>4188.0223000000005</c:v>
                </c:pt>
                <c:pt idx="2355">
                  <c:v>4230.9570599999997</c:v>
                </c:pt>
                <c:pt idx="2356">
                  <c:v>4208.6538900000005</c:v>
                </c:pt>
                <c:pt idx="2357">
                  <c:v>4211.76</c:v>
                </c:pt>
                <c:pt idx="2358">
                  <c:v>4241.9658599999993</c:v>
                </c:pt>
                <c:pt idx="2359">
                  <c:v>4183.9423999999999</c:v>
                </c:pt>
                <c:pt idx="2360">
                  <c:v>4170.0018200000004</c:v>
                </c:pt>
                <c:pt idx="2361">
                  <c:v>4157.4512000000004</c:v>
                </c:pt>
                <c:pt idx="2362">
                  <c:v>4188.0434400000004</c:v>
                </c:pt>
                <c:pt idx="2363">
                  <c:v>4296.4596000000001</c:v>
                </c:pt>
                <c:pt idx="2364">
                  <c:v>4276.6941000000006</c:v>
                </c:pt>
                <c:pt idx="2365">
                  <c:v>4371.8526300000003</c:v>
                </c:pt>
                <c:pt idx="2366">
                  <c:v>4401.4838399999999</c:v>
                </c:pt>
                <c:pt idx="2367">
                  <c:v>4341.5263600000008</c:v>
                </c:pt>
                <c:pt idx="2368">
                  <c:v>4288.3597399999999</c:v>
                </c:pt>
                <c:pt idx="2369">
                  <c:v>4235.5009799999998</c:v>
                </c:pt>
                <c:pt idx="2370">
                  <c:v>4313.5125599999992</c:v>
                </c:pt>
                <c:pt idx="2371">
                  <c:v>4326.3728200000005</c:v>
                </c:pt>
                <c:pt idx="2372">
                  <c:v>4324.5052200000009</c:v>
                </c:pt>
                <c:pt idx="2373">
                  <c:v>4286.5323600000002</c:v>
                </c:pt>
                <c:pt idx="2374">
                  <c:v>4324.7064</c:v>
                </c:pt>
                <c:pt idx="2375">
                  <c:v>4289.4987199999996</c:v>
                </c:pt>
                <c:pt idx="2376">
                  <c:v>4340.09584</c:v>
                </c:pt>
                <c:pt idx="2377">
                  <c:v>4278.3479200000002</c:v>
                </c:pt>
                <c:pt idx="2378">
                  <c:v>4226.4721799999998</c:v>
                </c:pt>
                <c:pt idx="2379">
                  <c:v>4220.6551499999996</c:v>
                </c:pt>
                <c:pt idx="2380">
                  <c:v>4166.8424999999997</c:v>
                </c:pt>
                <c:pt idx="2381">
                  <c:v>4152.5165999999999</c:v>
                </c:pt>
                <c:pt idx="2382">
                  <c:v>4145.3820799999994</c:v>
                </c:pt>
                <c:pt idx="2383">
                  <c:v>4094.4484400000001</c:v>
                </c:pt>
                <c:pt idx="2384">
                  <c:v>4088.0859199999995</c:v>
                </c:pt>
                <c:pt idx="2385">
                  <c:v>4053.8672999999999</c:v>
                </c:pt>
                <c:pt idx="2386">
                  <c:v>3953.0277000000001</c:v>
                </c:pt>
                <c:pt idx="2387">
                  <c:v>3971.9680000000003</c:v>
                </c:pt>
                <c:pt idx="2388">
                  <c:v>4014.1675599999994</c:v>
                </c:pt>
                <c:pt idx="2389">
                  <c:v>3967.5268799999999</c:v>
                </c:pt>
                <c:pt idx="2390">
                  <c:v>3901.4368799999997</c:v>
                </c:pt>
                <c:pt idx="2391">
                  <c:v>3904.7392100000002</c:v>
                </c:pt>
                <c:pt idx="2392">
                  <c:v>3925.0076100000006</c:v>
                </c:pt>
                <c:pt idx="2393">
                  <c:v>3927.2238399999997</c:v>
                </c:pt>
                <c:pt idx="2394">
                  <c:v>4049.0444000000002</c:v>
                </c:pt>
                <c:pt idx="2395">
                  <c:v>4000.9137300000002</c:v>
                </c:pt>
                <c:pt idx="2396">
                  <c:v>3946.5437700000007</c:v>
                </c:pt>
                <c:pt idx="2397">
                  <c:v>3959.9847000000004</c:v>
                </c:pt>
                <c:pt idx="2398">
                  <c:v>3974.0170799999996</c:v>
                </c:pt>
                <c:pt idx="2399">
                  <c:v>3936.3174400000003</c:v>
                </c:pt>
                <c:pt idx="2400">
                  <c:v>3931.4672700000006</c:v>
                </c:pt>
                <c:pt idx="2401">
                  <c:v>3915.7210800000003</c:v>
                </c:pt>
                <c:pt idx="2402">
                  <c:v>3883.8270900000002</c:v>
                </c:pt>
                <c:pt idx="2403">
                  <c:v>3945.5753999999997</c:v>
                </c:pt>
                <c:pt idx="2404">
                  <c:v>4000.4614000000006</c:v>
                </c:pt>
                <c:pt idx="2405">
                  <c:v>4081.1338399999995</c:v>
                </c:pt>
                <c:pt idx="2406">
                  <c:v>4068.4759199999999</c:v>
                </c:pt>
                <c:pt idx="2407">
                  <c:v>4110.6288299999997</c:v>
                </c:pt>
                <c:pt idx="2408">
                  <c:v>4076.9156000000003</c:v>
                </c:pt>
                <c:pt idx="2409">
                  <c:v>4163.9654</c:v>
                </c:pt>
                <c:pt idx="2410">
                  <c:v>4114.5161200000002</c:v>
                </c:pt>
                <c:pt idx="2411">
                  <c:v>4085.6291999999994</c:v>
                </c:pt>
                <c:pt idx="2412">
                  <c:v>4028.4372699999999</c:v>
                </c:pt>
                <c:pt idx="2413">
                  <c:v>3999.73864</c:v>
                </c:pt>
                <c:pt idx="2414">
                  <c:v>3999.1256999999996</c:v>
                </c:pt>
                <c:pt idx="2415">
                  <c:v>3969.6438600000001</c:v>
                </c:pt>
                <c:pt idx="2416">
                  <c:v>4008.5340800000004</c:v>
                </c:pt>
                <c:pt idx="2417">
                  <c:v>3988.93343</c:v>
                </c:pt>
                <c:pt idx="2418">
                  <c:v>3958.9344599999999</c:v>
                </c:pt>
                <c:pt idx="2419">
                  <c:v>3932.7629900000002</c:v>
                </c:pt>
                <c:pt idx="2420">
                  <c:v>3917.2968000000001</c:v>
                </c:pt>
                <c:pt idx="2421">
                  <c:v>3922.9918000000002</c:v>
                </c:pt>
                <c:pt idx="2422">
                  <c:v>3911.9575799999998</c:v>
                </c:pt>
                <c:pt idx="2423">
                  <c:v>3913.8795999999998</c:v>
                </c:pt>
                <c:pt idx="2424">
                  <c:v>3888.6330000000003</c:v>
                </c:pt>
                <c:pt idx="2425">
                  <c:v>3864.6139599999997</c:v>
                </c:pt>
                <c:pt idx="2426">
                  <c:v>3842.0135599999999</c:v>
                </c:pt>
                <c:pt idx="2427">
                  <c:v>3863.5242999999996</c:v>
                </c:pt>
                <c:pt idx="2428">
                  <c:v>3826.4714000000004</c:v>
                </c:pt>
                <c:pt idx="2429">
                  <c:v>3803.8802000000001</c:v>
                </c:pt>
                <c:pt idx="2430">
                  <c:v>3784.7654400000001</c:v>
                </c:pt>
                <c:pt idx="2431">
                  <c:v>3899.9447500000001</c:v>
                </c:pt>
                <c:pt idx="2432">
                  <c:v>3908.6032999999998</c:v>
                </c:pt>
                <c:pt idx="2433">
                  <c:v>3883.0411199999994</c:v>
                </c:pt>
                <c:pt idx="2434">
                  <c:v>3969.1364999999996</c:v>
                </c:pt>
                <c:pt idx="2435">
                  <c:v>3942.2866600000002</c:v>
                </c:pt>
                <c:pt idx="2436">
                  <c:v>3920.8540800000005</c:v>
                </c:pt>
                <c:pt idx="2437">
                  <c:v>3864.8787099999995</c:v>
                </c:pt>
                <c:pt idx="2438">
                  <c:v>3904.8572000000004</c:v>
                </c:pt>
                <c:pt idx="2439">
                  <c:v>3946.1447200000002</c:v>
                </c:pt>
                <c:pt idx="2440">
                  <c:v>3943.5358499999998</c:v>
                </c:pt>
                <c:pt idx="2441">
                  <c:v>3939.1528799999996</c:v>
                </c:pt>
                <c:pt idx="2442">
                  <c:v>3967.7939199999996</c:v>
                </c:pt>
                <c:pt idx="2443">
                  <c:v>3881.2512000000002</c:v>
                </c:pt>
                <c:pt idx="2444">
                  <c:v>3846.5784600000002</c:v>
                </c:pt>
                <c:pt idx="2445">
                  <c:v>3869.2546199999997</c:v>
                </c:pt>
                <c:pt idx="2446">
                  <c:v>3814.8169500000004</c:v>
                </c:pt>
                <c:pt idx="2447">
                  <c:v>3809.5758400000004</c:v>
                </c:pt>
                <c:pt idx="2448">
                  <c:v>3900.2955700000007</c:v>
                </c:pt>
                <c:pt idx="2449">
                  <c:v>3876.6935999999996</c:v>
                </c:pt>
                <c:pt idx="2450">
                  <c:v>3909.5540000000001</c:v>
                </c:pt>
                <c:pt idx="2451">
                  <c:v>3886.7212800000002</c:v>
                </c:pt>
                <c:pt idx="2452">
                  <c:v>3910.05456</c:v>
                </c:pt>
                <c:pt idx="2453">
                  <c:v>3929.6954400000004</c:v>
                </c:pt>
                <c:pt idx="2454">
                  <c:v>3843.8887499999996</c:v>
                </c:pt>
                <c:pt idx="2455">
                  <c:v>3990.4004400000003</c:v>
                </c:pt>
                <c:pt idx="2456">
                  <c:v>4052.8839200000002</c:v>
                </c:pt>
                <c:pt idx="2457">
                  <c:v>4030.4895999999999</c:v>
                </c:pt>
                <c:pt idx="2458">
                  <c:v>3995.3846799999997</c:v>
                </c:pt>
                <c:pt idx="2459">
                  <c:v>3937.18941</c:v>
                </c:pt>
                <c:pt idx="2460">
                  <c:v>3968.2828799999997</c:v>
                </c:pt>
                <c:pt idx="2461">
                  <c:v>3915.9565199999997</c:v>
                </c:pt>
                <c:pt idx="2462">
                  <c:v>4012.9119300000002</c:v>
                </c:pt>
                <c:pt idx="2463">
                  <c:v>3932.7396399999998</c:v>
                </c:pt>
                <c:pt idx="2464">
                  <c:v>3926.6727300000002</c:v>
                </c:pt>
                <c:pt idx="2465">
                  <c:v>3915.7230300000006</c:v>
                </c:pt>
                <c:pt idx="2466">
                  <c:v>3843.9198799999999</c:v>
                </c:pt>
                <c:pt idx="2467">
                  <c:v>3823.3020000000001</c:v>
                </c:pt>
                <c:pt idx="2468">
                  <c:v>3841.6048599999999</c:v>
                </c:pt>
                <c:pt idx="2469">
                  <c:v>3811.8249800000003</c:v>
                </c:pt>
                <c:pt idx="2470">
                  <c:v>3813.4601399999992</c:v>
                </c:pt>
                <c:pt idx="2471">
                  <c:v>3828.2496000000006</c:v>
                </c:pt>
                <c:pt idx="2472">
                  <c:v>3794.5702500000002</c:v>
                </c:pt>
                <c:pt idx="2473">
                  <c:v>3785.5439999999999</c:v>
                </c:pt>
                <c:pt idx="2474">
                  <c:v>3838.5950400000002</c:v>
                </c:pt>
                <c:pt idx="2475">
                  <c:v>3820.7736</c:v>
                </c:pt>
                <c:pt idx="2476">
                  <c:v>3819.7663200000006</c:v>
                </c:pt>
                <c:pt idx="2477">
                  <c:v>3833.51622</c:v>
                </c:pt>
                <c:pt idx="2478">
                  <c:v>3844.9765199999997</c:v>
                </c:pt>
                <c:pt idx="2479">
                  <c:v>3837.83925</c:v>
                </c:pt>
                <c:pt idx="2480">
                  <c:v>3862.1232000000005</c:v>
                </c:pt>
                <c:pt idx="2481">
                  <c:v>3827.0774999999999</c:v>
                </c:pt>
                <c:pt idx="2482">
                  <c:v>3759.7896000000001</c:v>
                </c:pt>
                <c:pt idx="2483">
                  <c:v>3758.1525000000001</c:v>
                </c:pt>
                <c:pt idx="2484">
                  <c:v>3781.8158400000002</c:v>
                </c:pt>
                <c:pt idx="2485">
                  <c:v>3747.6030900000001</c:v>
                </c:pt>
                <c:pt idx="2486">
                  <c:v>3713.4073200000003</c:v>
                </c:pt>
                <c:pt idx="2487">
                  <c:v>3690.6212</c:v>
                </c:pt>
                <c:pt idx="2488">
                  <c:v>3683.9726999999998</c:v>
                </c:pt>
                <c:pt idx="2489">
                  <c:v>3647.9374400000002</c:v>
                </c:pt>
                <c:pt idx="2490">
                  <c:v>3631.27</c:v>
                </c:pt>
                <c:pt idx="2491">
                  <c:v>3621.9384</c:v>
                </c:pt>
                <c:pt idx="2492">
                  <c:v>3578.6791999999996</c:v>
                </c:pt>
                <c:pt idx="2493">
                  <c:v>3533.0960400000004</c:v>
                </c:pt>
                <c:pt idx="2494">
                  <c:v>3420.2205599999998</c:v>
                </c:pt>
                <c:pt idx="2495">
                  <c:v>3482.6262899999997</c:v>
                </c:pt>
                <c:pt idx="2496">
                  <c:v>3461.0691199999997</c:v>
                </c:pt>
                <c:pt idx="2497">
                  <c:v>3446.8837199999998</c:v>
                </c:pt>
                <c:pt idx="2498">
                  <c:v>3412.7956200000003</c:v>
                </c:pt>
                <c:pt idx="2499">
                  <c:v>3389.8928000000001</c:v>
                </c:pt>
                <c:pt idx="2500">
                  <c:v>3369.3980799999999</c:v>
                </c:pt>
                <c:pt idx="2501">
                  <c:v>3348.6211800000001</c:v>
                </c:pt>
                <c:pt idx="2502">
                  <c:v>3327.0057000000002</c:v>
                </c:pt>
                <c:pt idx="2503">
                  <c:v>3287.2950000000001</c:v>
                </c:pt>
                <c:pt idx="2504">
                  <c:v>3245.0626999999999</c:v>
                </c:pt>
                <c:pt idx="2505">
                  <c:v>3245.6799000000001</c:v>
                </c:pt>
                <c:pt idx="2506">
                  <c:v>3270.66392</c:v>
                </c:pt>
                <c:pt idx="2507">
                  <c:v>3300.0719900000004</c:v>
                </c:pt>
                <c:pt idx="2508">
                  <c:v>3275.06032</c:v>
                </c:pt>
                <c:pt idx="2509">
                  <c:v>3314.3244399999999</c:v>
                </c:pt>
                <c:pt idx="2510">
                  <c:v>3304.5389599999999</c:v>
                </c:pt>
                <c:pt idx="2511">
                  <c:v>3260.3310500000002</c:v>
                </c:pt>
                <c:pt idx="2512">
                  <c:v>3189.4078199999999</c:v>
                </c:pt>
                <c:pt idx="2513">
                  <c:v>3163.6006499999999</c:v>
                </c:pt>
                <c:pt idx="2514">
                  <c:v>3215.3495800000001</c:v>
                </c:pt>
                <c:pt idx="2515">
                  <c:v>3197.8083600000004</c:v>
                </c:pt>
                <c:pt idx="2516">
                  <c:v>3129.99856</c:v>
                </c:pt>
                <c:pt idx="2517">
                  <c:v>3294.3259200000002</c:v>
                </c:pt>
                <c:pt idx="2518">
                  <c:v>3354.6592999999998</c:v>
                </c:pt>
                <c:pt idx="2519">
                  <c:v>3392.2131599999998</c:v>
                </c:pt>
                <c:pt idx="2520">
                  <c:v>3407.6042699999998</c:v>
                </c:pt>
                <c:pt idx="2521">
                  <c:v>3412.21639</c:v>
                </c:pt>
                <c:pt idx="2522">
                  <c:v>3465.4699000000001</c:v>
                </c:pt>
                <c:pt idx="2523">
                  <c:v>3443.7556800000002</c:v>
                </c:pt>
                <c:pt idx="2524">
                  <c:v>3394.7895600000002</c:v>
                </c:pt>
                <c:pt idx="2525">
                  <c:v>3437.8465200000005</c:v>
                </c:pt>
                <c:pt idx="2526">
                  <c:v>3504.6545500000002</c:v>
                </c:pt>
                <c:pt idx="2527">
                  <c:v>3513.096</c:v>
                </c:pt>
                <c:pt idx="2528">
                  <c:v>3539.7532000000001</c:v>
                </c:pt>
                <c:pt idx="2529">
                  <c:v>3532.5464800000004</c:v>
                </c:pt>
                <c:pt idx="2530">
                  <c:v>3557.337</c:v>
                </c:pt>
                <c:pt idx="2531">
                  <c:v>3599.02882</c:v>
                </c:pt>
                <c:pt idx="2532">
                  <c:v>3636.9886999999999</c:v>
                </c:pt>
                <c:pt idx="2533">
                  <c:v>3647.2562399999997</c:v>
                </c:pt>
                <c:pt idx="2534">
                  <c:v>3637.4301600000003</c:v>
                </c:pt>
                <c:pt idx="2535">
                  <c:v>3638.39336</c:v>
                </c:pt>
                <c:pt idx="2536">
                  <c:v>3612.9251800000002</c:v>
                </c:pt>
                <c:pt idx="2537">
                  <c:v>3589.85232</c:v>
                </c:pt>
                <c:pt idx="2538">
                  <c:v>3572.5918799999999</c:v>
                </c:pt>
                <c:pt idx="2539">
                  <c:v>3605.6998799999997</c:v>
                </c:pt>
                <c:pt idx="2540">
                  <c:v>3625.6764400000002</c:v>
                </c:pt>
                <c:pt idx="2541">
                  <c:v>3662.6603800000003</c:v>
                </c:pt>
                <c:pt idx="2542">
                  <c:v>3676.3568799999998</c:v>
                </c:pt>
                <c:pt idx="2543">
                  <c:v>3661.0245600000003</c:v>
                </c:pt>
                <c:pt idx="2544">
                  <c:v>3640.7104799999997</c:v>
                </c:pt>
                <c:pt idx="2545">
                  <c:v>3640.4218799999999</c:v>
                </c:pt>
                <c:pt idx="2546">
                  <c:v>3617.7874799999995</c:v>
                </c:pt>
                <c:pt idx="2547">
                  <c:v>3630.2262500000002</c:v>
                </c:pt>
                <c:pt idx="2548">
                  <c:v>3592.9878600000002</c:v>
                </c:pt>
                <c:pt idx="2549">
                  <c:v>3622.8007000000002</c:v>
                </c:pt>
                <c:pt idx="2550">
                  <c:v>3597.0464000000002</c:v>
                </c:pt>
                <c:pt idx="2551">
                  <c:v>3588.6448199999995</c:v>
                </c:pt>
                <c:pt idx="2552">
                  <c:v>3547.5407999999998</c:v>
                </c:pt>
                <c:pt idx="2553">
                  <c:v>3571.7245199999998</c:v>
                </c:pt>
                <c:pt idx="2554">
                  <c:v>3560.1223199999999</c:v>
                </c:pt>
                <c:pt idx="2555">
                  <c:v>3549.3622</c:v>
                </c:pt>
                <c:pt idx="2556">
                  <c:v>3545.0287899999994</c:v>
                </c:pt>
                <c:pt idx="2557">
                  <c:v>3526.4332800000002</c:v>
                </c:pt>
                <c:pt idx="2558">
                  <c:v>3497.2943500000001</c:v>
                </c:pt>
                <c:pt idx="2559">
                  <c:v>3455.32546</c:v>
                </c:pt>
                <c:pt idx="2560">
                  <c:v>3465.8948799999998</c:v>
                </c:pt>
                <c:pt idx="2561">
                  <c:v>3471.3281400000001</c:v>
                </c:pt>
                <c:pt idx="2562">
                  <c:v>3499.2039</c:v>
                </c:pt>
                <c:pt idx="2563">
                  <c:v>3505.7512000000002</c:v>
                </c:pt>
                <c:pt idx="2564">
                  <c:v>3514.36346</c:v>
                </c:pt>
                <c:pt idx="2565">
                  <c:v>3502.3741199999999</c:v>
                </c:pt>
                <c:pt idx="2566">
                  <c:v>3489.0926400000003</c:v>
                </c:pt>
                <c:pt idx="2567">
                  <c:v>3487.4130599999999</c:v>
                </c:pt>
                <c:pt idx="2568">
                  <c:v>3495.9762500000002</c:v>
                </c:pt>
                <c:pt idx="2569">
                  <c:v>3483.53656</c:v>
                </c:pt>
                <c:pt idx="2570">
                  <c:v>3472.8560400000006</c:v>
                </c:pt>
                <c:pt idx="2571">
                  <c:v>3460.2948000000001</c:v>
                </c:pt>
                <c:pt idx="2572">
                  <c:v>3444.6891200000005</c:v>
                </c:pt>
                <c:pt idx="2573">
                  <c:v>3406.4333000000001</c:v>
                </c:pt>
                <c:pt idx="2574">
                  <c:v>3401.99035</c:v>
                </c:pt>
                <c:pt idx="2575">
                  <c:v>3392.5135200000004</c:v>
                </c:pt>
                <c:pt idx="2576">
                  <c:v>3379.7607599999997</c:v>
                </c:pt>
                <c:pt idx="2577">
                  <c:v>3383.5937400000003</c:v>
                </c:pt>
                <c:pt idx="2578">
                  <c:v>3359.4584399999999</c:v>
                </c:pt>
                <c:pt idx="2579">
                  <c:v>3374.0642599999996</c:v>
                </c:pt>
                <c:pt idx="2580">
                  <c:v>3340.84483</c:v>
                </c:pt>
                <c:pt idx="2581">
                  <c:v>3331.2972800000002</c:v>
                </c:pt>
                <c:pt idx="2582">
                  <c:v>3331.7692099999999</c:v>
                </c:pt>
                <c:pt idx="2583">
                  <c:v>3361.5843999999997</c:v>
                </c:pt>
                <c:pt idx="2584">
                  <c:v>3373.3842399999999</c:v>
                </c:pt>
                <c:pt idx="2585">
                  <c:v>3377.1468</c:v>
                </c:pt>
                <c:pt idx="2586">
                  <c:v>3378.9347200000002</c:v>
                </c:pt>
                <c:pt idx="2587">
                  <c:v>3362.1924799999997</c:v>
                </c:pt>
                <c:pt idx="2588">
                  <c:v>3371.1738</c:v>
                </c:pt>
                <c:pt idx="2589">
                  <c:v>3358.48704</c:v>
                </c:pt>
                <c:pt idx="2590">
                  <c:v>3343.6866999999997</c:v>
                </c:pt>
                <c:pt idx="2591">
                  <c:v>3358.5325800000001</c:v>
                </c:pt>
                <c:pt idx="2592">
                  <c:v>3354.1715999999997</c:v>
                </c:pt>
                <c:pt idx="2593">
                  <c:v>3339.5781299999999</c:v>
                </c:pt>
                <c:pt idx="2594">
                  <c:v>3355.1256400000002</c:v>
                </c:pt>
                <c:pt idx="2595">
                  <c:v>3368.6379999999999</c:v>
                </c:pt>
                <c:pt idx="2596">
                  <c:v>3346.2006599999995</c:v>
                </c:pt>
                <c:pt idx="2597">
                  <c:v>3374.9599200000002</c:v>
                </c:pt>
                <c:pt idx="2598">
                  <c:v>3352.9968100000001</c:v>
                </c:pt>
                <c:pt idx="2599">
                  <c:v>3363.8356200000003</c:v>
                </c:pt>
                <c:pt idx="2600">
                  <c:v>3390.7024999999999</c:v>
                </c:pt>
                <c:pt idx="2601">
                  <c:v>3379.3664199999998</c:v>
                </c:pt>
                <c:pt idx="2602">
                  <c:v>3387.0587599999999</c:v>
                </c:pt>
                <c:pt idx="2603">
                  <c:v>3368.4705300000001</c:v>
                </c:pt>
                <c:pt idx="2604">
                  <c:v>3357.2929800000002</c:v>
                </c:pt>
                <c:pt idx="2605">
                  <c:v>3342.1247199999998</c:v>
                </c:pt>
                <c:pt idx="2606">
                  <c:v>3311.7266200000004</c:v>
                </c:pt>
                <c:pt idx="2607">
                  <c:v>3286.9096</c:v>
                </c:pt>
                <c:pt idx="2608">
                  <c:v>3285.4201499999999</c:v>
                </c:pt>
                <c:pt idx="2609">
                  <c:v>3221.2281399999997</c:v>
                </c:pt>
                <c:pt idx="2610">
                  <c:v>3207.2427000000002</c:v>
                </c:pt>
                <c:pt idx="2611">
                  <c:v>3202.42308</c:v>
                </c:pt>
                <c:pt idx="2612">
                  <c:v>3190.14255</c:v>
                </c:pt>
                <c:pt idx="2613">
                  <c:v>3156.9401800000001</c:v>
                </c:pt>
                <c:pt idx="2614">
                  <c:v>3184.0311299999998</c:v>
                </c:pt>
                <c:pt idx="2615">
                  <c:v>3175.7764999999999</c:v>
                </c:pt>
                <c:pt idx="2616">
                  <c:v>3186.07825</c:v>
                </c:pt>
                <c:pt idx="2617">
                  <c:v>3170.90355</c:v>
                </c:pt>
                <c:pt idx="2618">
                  <c:v>3186.2377700000002</c:v>
                </c:pt>
                <c:pt idx="2619">
                  <c:v>3159.2128600000001</c:v>
                </c:pt>
                <c:pt idx="2620">
                  <c:v>3167.05528</c:v>
                </c:pt>
                <c:pt idx="2621">
                  <c:v>3166.9642000000003</c:v>
                </c:pt>
                <c:pt idx="2622">
                  <c:v>3157.8471199999999</c:v>
                </c:pt>
                <c:pt idx="2623">
                  <c:v>3137.4151199999997</c:v>
                </c:pt>
                <c:pt idx="2624">
                  <c:v>3103.2822500000002</c:v>
                </c:pt>
                <c:pt idx="2625">
                  <c:v>3077.8022099999998</c:v>
                </c:pt>
                <c:pt idx="2626">
                  <c:v>3021.2730899999997</c:v>
                </c:pt>
                <c:pt idx="2627">
                  <c:v>3042.0058499999996</c:v>
                </c:pt>
                <c:pt idx="2628">
                  <c:v>3036.0967000000001</c:v>
                </c:pt>
                <c:pt idx="2629">
                  <c:v>3039.1716000000001</c:v>
                </c:pt>
                <c:pt idx="2630">
                  <c:v>3019.2928200000001</c:v>
                </c:pt>
                <c:pt idx="2631">
                  <c:v>3015.2262000000001</c:v>
                </c:pt>
                <c:pt idx="2632">
                  <c:v>3005.0250000000001</c:v>
                </c:pt>
                <c:pt idx="2633">
                  <c:v>2992.8985100000004</c:v>
                </c:pt>
                <c:pt idx="2634">
                  <c:v>2964.4204800000002</c:v>
                </c:pt>
                <c:pt idx="2635">
                  <c:v>2999.7445499999999</c:v>
                </c:pt>
                <c:pt idx="2636">
                  <c:v>3001.2699600000001</c:v>
                </c:pt>
                <c:pt idx="2637">
                  <c:v>3029.4467</c:v>
                </c:pt>
                <c:pt idx="2638">
                  <c:v>3027.4249499999996</c:v>
                </c:pt>
                <c:pt idx="2639">
                  <c:v>3041.4061499999998</c:v>
                </c:pt>
                <c:pt idx="2640">
                  <c:v>3007.3516199999999</c:v>
                </c:pt>
                <c:pt idx="2641">
                  <c:v>2990.4985599999995</c:v>
                </c:pt>
                <c:pt idx="2642">
                  <c:v>2989.6283199999998</c:v>
                </c:pt>
                <c:pt idx="2643">
                  <c:v>2968.0146</c:v>
                </c:pt>
                <c:pt idx="2644">
                  <c:v>2943.5761600000001</c:v>
                </c:pt>
                <c:pt idx="2645">
                  <c:v>2915.7563</c:v>
                </c:pt>
                <c:pt idx="2646">
                  <c:v>2888.9515199999996</c:v>
                </c:pt>
                <c:pt idx="2647">
                  <c:v>2907.8196200000002</c:v>
                </c:pt>
                <c:pt idx="2648">
                  <c:v>2887.2666899999999</c:v>
                </c:pt>
                <c:pt idx="2649">
                  <c:v>2855.36717</c:v>
                </c:pt>
                <c:pt idx="2650">
                  <c:v>2884.6974999999998</c:v>
                </c:pt>
                <c:pt idx="2651">
                  <c:v>2899.6578399999999</c:v>
                </c:pt>
                <c:pt idx="2652">
                  <c:v>2894.549</c:v>
                </c:pt>
                <c:pt idx="2653">
                  <c:v>2884.4115299999999</c:v>
                </c:pt>
                <c:pt idx="2654">
                  <c:v>2891.5002399999998</c:v>
                </c:pt>
                <c:pt idx="2655">
                  <c:v>2880.6132600000001</c:v>
                </c:pt>
                <c:pt idx="2656">
                  <c:v>2868.65978</c:v>
                </c:pt>
                <c:pt idx="2657">
                  <c:v>2860.5881200000003</c:v>
                </c:pt>
                <c:pt idx="2658">
                  <c:v>2857.75776</c:v>
                </c:pt>
                <c:pt idx="2659">
                  <c:v>2855.1356600000004</c:v>
                </c:pt>
                <c:pt idx="2660">
                  <c:v>2860.0935999999997</c:v>
                </c:pt>
                <c:pt idx="2661">
                  <c:v>2856.2608799999998</c:v>
                </c:pt>
                <c:pt idx="2662">
                  <c:v>2858.5135599999999</c:v>
                </c:pt>
                <c:pt idx="2663">
                  <c:v>2904.5124999999998</c:v>
                </c:pt>
                <c:pt idx="2664">
                  <c:v>2881.4007999999999</c:v>
                </c:pt>
                <c:pt idx="2665">
                  <c:v>2864.6835799999999</c:v>
                </c:pt>
                <c:pt idx="2666">
                  <c:v>2856.6534000000001</c:v>
                </c:pt>
                <c:pt idx="2667">
                  <c:v>2851.6469100000004</c:v>
                </c:pt>
                <c:pt idx="2668">
                  <c:v>2847.0886399999999</c:v>
                </c:pt>
                <c:pt idx="2669">
                  <c:v>2855.4794400000001</c:v>
                </c:pt>
                <c:pt idx="2670">
                  <c:v>2844.0266499999998</c:v>
                </c:pt>
                <c:pt idx="2671">
                  <c:v>2834.3775700000001</c:v>
                </c:pt>
                <c:pt idx="2672">
                  <c:v>2819.21108</c:v>
                </c:pt>
                <c:pt idx="2673">
                  <c:v>2831.4093900000003</c:v>
                </c:pt>
                <c:pt idx="2674">
                  <c:v>2828.3030199999998</c:v>
                </c:pt>
                <c:pt idx="2675">
                  <c:v>2823.5597599999996</c:v>
                </c:pt>
                <c:pt idx="2676">
                  <c:v>2831.0877099999998</c:v>
                </c:pt>
                <c:pt idx="2677">
                  <c:v>2846.2339999999999</c:v>
                </c:pt>
                <c:pt idx="2678">
                  <c:v>2858.6340300000002</c:v>
                </c:pt>
                <c:pt idx="2679">
                  <c:v>2833.1565999999998</c:v>
                </c:pt>
                <c:pt idx="2680">
                  <c:v>2833.4723600000002</c:v>
                </c:pt>
                <c:pt idx="2681">
                  <c:v>2824.6779299999998</c:v>
                </c:pt>
                <c:pt idx="2682">
                  <c:v>2804.9609300000002</c:v>
                </c:pt>
                <c:pt idx="2683">
                  <c:v>2806.6156799999999</c:v>
                </c:pt>
                <c:pt idx="2684">
                  <c:v>2806.4884400000001</c:v>
                </c:pt>
                <c:pt idx="2685">
                  <c:v>2786.3826099999997</c:v>
                </c:pt>
                <c:pt idx="2686">
                  <c:v>2787.8360399999997</c:v>
                </c:pt>
                <c:pt idx="2687">
                  <c:v>2794.8041699999999</c:v>
                </c:pt>
                <c:pt idx="2688">
                  <c:v>2763.6788000000001</c:v>
                </c:pt>
                <c:pt idx="2689">
                  <c:v>2743.5720000000001</c:v>
                </c:pt>
                <c:pt idx="2690">
                  <c:v>2755.45082</c:v>
                </c:pt>
                <c:pt idx="2691">
                  <c:v>2758.9396000000002</c:v>
                </c:pt>
                <c:pt idx="2692">
                  <c:v>2747.0935799999997</c:v>
                </c:pt>
                <c:pt idx="2693">
                  <c:v>2741.6263200000003</c:v>
                </c:pt>
                <c:pt idx="2694">
                  <c:v>2726.3052299999999</c:v>
                </c:pt>
                <c:pt idx="2695">
                  <c:v>2735.7052799999997</c:v>
                </c:pt>
                <c:pt idx="2696">
                  <c:v>2737.5291900000002</c:v>
                </c:pt>
                <c:pt idx="2697">
                  <c:v>2730.4207800000004</c:v>
                </c:pt>
                <c:pt idx="2698">
                  <c:v>2741.7595800000004</c:v>
                </c:pt>
                <c:pt idx="2699">
                  <c:v>2773.0667799999997</c:v>
                </c:pt>
                <c:pt idx="2700">
                  <c:v>2761.1844000000001</c:v>
                </c:pt>
                <c:pt idx="2701">
                  <c:v>2768.0569599999999</c:v>
                </c:pt>
                <c:pt idx="2702">
                  <c:v>2766.2250999999997</c:v>
                </c:pt>
                <c:pt idx="2703">
                  <c:v>2773.0820399999998</c:v>
                </c:pt>
                <c:pt idx="2704">
                  <c:v>2762.6886</c:v>
                </c:pt>
                <c:pt idx="2705">
                  <c:v>2768.1667200000002</c:v>
                </c:pt>
                <c:pt idx="2706">
                  <c:v>2744.10709</c:v>
                </c:pt>
                <c:pt idx="2707">
                  <c:v>2743.6599900000001</c:v>
                </c:pt>
                <c:pt idx="2708">
                  <c:v>2699.8524300000004</c:v>
                </c:pt>
                <c:pt idx="2709">
                  <c:v>2695.7066399999999</c:v>
                </c:pt>
                <c:pt idx="2710">
                  <c:v>2682.8813599999999</c:v>
                </c:pt>
                <c:pt idx="2711">
                  <c:v>2671.4404799999998</c:v>
                </c:pt>
                <c:pt idx="2712">
                  <c:v>2664.0868799999998</c:v>
                </c:pt>
                <c:pt idx="2713">
                  <c:v>2678.2984799999999</c:v>
                </c:pt>
                <c:pt idx="2714">
                  <c:v>2685.288</c:v>
                </c:pt>
                <c:pt idx="2715">
                  <c:v>2688.7827499999999</c:v>
                </c:pt>
                <c:pt idx="2716">
                  <c:v>2713.0674899999999</c:v>
                </c:pt>
                <c:pt idx="2717">
                  <c:v>2722.4009999999998</c:v>
                </c:pt>
                <c:pt idx="2718">
                  <c:v>2727.08574</c:v>
                </c:pt>
                <c:pt idx="2719">
                  <c:v>2717.8402000000001</c:v>
                </c:pt>
                <c:pt idx="2720">
                  <c:v>2738.6985599999998</c:v>
                </c:pt>
                <c:pt idx="2721">
                  <c:v>2755.3152</c:v>
                </c:pt>
                <c:pt idx="2722">
                  <c:v>2763.1691999999998</c:v>
                </c:pt>
                <c:pt idx="2723">
                  <c:v>2763.9581499999999</c:v>
                </c:pt>
                <c:pt idx="2724">
                  <c:v>2745.05</c:v>
                </c:pt>
                <c:pt idx="2725">
                  <c:v>2734.0546200000003</c:v>
                </c:pt>
                <c:pt idx="2726">
                  <c:v>2702.9753999999998</c:v>
                </c:pt>
                <c:pt idx="2727">
                  <c:v>2692.5059200000001</c:v>
                </c:pt>
                <c:pt idx="2728">
                  <c:v>2679.90913</c:v>
                </c:pt>
                <c:pt idx="2729">
                  <c:v>2674.4052999999999</c:v>
                </c:pt>
                <c:pt idx="2730">
                  <c:v>2671.4099000000001</c:v>
                </c:pt>
                <c:pt idx="2731">
                  <c:v>2675.2628</c:v>
                </c:pt>
                <c:pt idx="2732">
                  <c:v>2663.1343200000001</c:v>
                </c:pt>
                <c:pt idx="2733">
                  <c:v>2665.3190500000001</c:v>
                </c:pt>
                <c:pt idx="2734">
                  <c:v>2678.0252599999999</c:v>
                </c:pt>
                <c:pt idx="2735">
                  <c:v>2658.7116299999998</c:v>
                </c:pt>
                <c:pt idx="2736">
                  <c:v>2669.4295000000002</c:v>
                </c:pt>
                <c:pt idx="2737">
                  <c:v>2620.7283299999999</c:v>
                </c:pt>
                <c:pt idx="2738">
                  <c:v>2612.6418599999997</c:v>
                </c:pt>
                <c:pt idx="2739">
                  <c:v>2595.5739199999998</c:v>
                </c:pt>
                <c:pt idx="2740">
                  <c:v>2575.6338400000004</c:v>
                </c:pt>
                <c:pt idx="2741">
                  <c:v>2594.0415600000001</c:v>
                </c:pt>
                <c:pt idx="2742">
                  <c:v>2594.3893800000001</c:v>
                </c:pt>
                <c:pt idx="2743">
                  <c:v>2575.6836000000003</c:v>
                </c:pt>
                <c:pt idx="2744">
                  <c:v>2593.41084</c:v>
                </c:pt>
                <c:pt idx="2745">
                  <c:v>2597.0237999999999</c:v>
                </c:pt>
                <c:pt idx="2746">
                  <c:v>2607.7740000000003</c:v>
                </c:pt>
                <c:pt idx="2747">
                  <c:v>2601.81531</c:v>
                </c:pt>
                <c:pt idx="2748">
                  <c:v>2604.2890299999999</c:v>
                </c:pt>
                <c:pt idx="2749">
                  <c:v>2619.7687999999998</c:v>
                </c:pt>
                <c:pt idx="2750">
                  <c:v>2594.8242</c:v>
                </c:pt>
                <c:pt idx="2751">
                  <c:v>2620.4094599999999</c:v>
                </c:pt>
                <c:pt idx="2752">
                  <c:v>2595.3908799999999</c:v>
                </c:pt>
                <c:pt idx="2753">
                  <c:v>2592.3307</c:v>
                </c:pt>
                <c:pt idx="2754">
                  <c:v>2587.3960799999995</c:v>
                </c:pt>
                <c:pt idx="2755">
                  <c:v>2555.4533000000001</c:v>
                </c:pt>
                <c:pt idx="2756">
                  <c:v>2566.7719000000002</c:v>
                </c:pt>
                <c:pt idx="2757">
                  <c:v>2556.7362000000003</c:v>
                </c:pt>
                <c:pt idx="2758">
                  <c:v>2536.1272800000002</c:v>
                </c:pt>
                <c:pt idx="2759">
                  <c:v>2547.16896</c:v>
                </c:pt>
                <c:pt idx="2760">
                  <c:v>2543.08698</c:v>
                </c:pt>
                <c:pt idx="2761">
                  <c:v>2537.8963000000003</c:v>
                </c:pt>
                <c:pt idx="2762">
                  <c:v>2574.3848499999999</c:v>
                </c:pt>
                <c:pt idx="2763">
                  <c:v>2599.89804</c:v>
                </c:pt>
                <c:pt idx="2764">
                  <c:v>2604.0411600000002</c:v>
                </c:pt>
                <c:pt idx="2765">
                  <c:v>2573.8408800000002</c:v>
                </c:pt>
                <c:pt idx="2766">
                  <c:v>2561.2505400000005</c:v>
                </c:pt>
                <c:pt idx="2767">
                  <c:v>2589.3509199999999</c:v>
                </c:pt>
                <c:pt idx="2768">
                  <c:v>2596.4617200000002</c:v>
                </c:pt>
                <c:pt idx="2769">
                  <c:v>2586.7091599999999</c:v>
                </c:pt>
                <c:pt idx="2770">
                  <c:v>2563.7471999999998</c:v>
                </c:pt>
                <c:pt idx="2771">
                  <c:v>2574.94499</c:v>
                </c:pt>
                <c:pt idx="2772">
                  <c:v>2594.1302400000004</c:v>
                </c:pt>
                <c:pt idx="2773">
                  <c:v>2591.7906000000003</c:v>
                </c:pt>
                <c:pt idx="2774">
                  <c:v>2628.7268800000002</c:v>
                </c:pt>
                <c:pt idx="2775">
                  <c:v>2614.9354200000002</c:v>
                </c:pt>
                <c:pt idx="2776">
                  <c:v>2625.8305</c:v>
                </c:pt>
                <c:pt idx="2777">
                  <c:v>2653.9389000000001</c:v>
                </c:pt>
                <c:pt idx="2778">
                  <c:v>2628.8070900000002</c:v>
                </c:pt>
                <c:pt idx="2779">
                  <c:v>2610.3930800000003</c:v>
                </c:pt>
                <c:pt idx="2780">
                  <c:v>2643.3495400000002</c:v>
                </c:pt>
                <c:pt idx="2781">
                  <c:v>2634.5609399999998</c:v>
                </c:pt>
                <c:pt idx="2782">
                  <c:v>2618.6769899999999</c:v>
                </c:pt>
                <c:pt idx="2783">
                  <c:v>2602.0873000000001</c:v>
                </c:pt>
                <c:pt idx="2784">
                  <c:v>2622.5078399999998</c:v>
                </c:pt>
                <c:pt idx="2785">
                  <c:v>2629.3059200000002</c:v>
                </c:pt>
                <c:pt idx="2786">
                  <c:v>2625.9065999999998</c:v>
                </c:pt>
                <c:pt idx="2787">
                  <c:v>2636.2584000000002</c:v>
                </c:pt>
                <c:pt idx="2788">
                  <c:v>2648.8651500000001</c:v>
                </c:pt>
                <c:pt idx="2789">
                  <c:v>2647.5649900000003</c:v>
                </c:pt>
                <c:pt idx="2790">
                  <c:v>2648.8730599999999</c:v>
                </c:pt>
                <c:pt idx="2791">
                  <c:v>2620.90092</c:v>
                </c:pt>
                <c:pt idx="2792">
                  <c:v>2624.2812999999996</c:v>
                </c:pt>
                <c:pt idx="2793">
                  <c:v>2570.6963100000003</c:v>
                </c:pt>
                <c:pt idx="2794">
                  <c:v>2578.8809999999999</c:v>
                </c:pt>
                <c:pt idx="2795">
                  <c:v>2567.1186000000002</c:v>
                </c:pt>
                <c:pt idx="2796">
                  <c:v>2577.20345</c:v>
                </c:pt>
                <c:pt idx="2797">
                  <c:v>2549.1700400000004</c:v>
                </c:pt>
                <c:pt idx="2798">
                  <c:v>2526.8914800000002</c:v>
                </c:pt>
                <c:pt idx="2799">
                  <c:v>2534.7777700000001</c:v>
                </c:pt>
                <c:pt idx="2800">
                  <c:v>2562.1968199999997</c:v>
                </c:pt>
                <c:pt idx="2801">
                  <c:v>2591.2467900000001</c:v>
                </c:pt>
                <c:pt idx="2802">
                  <c:v>2579.5946800000002</c:v>
                </c:pt>
                <c:pt idx="2803">
                  <c:v>2588.4275200000002</c:v>
                </c:pt>
                <c:pt idx="2804">
                  <c:v>2550.36474</c:v>
                </c:pt>
                <c:pt idx="2805">
                  <c:v>2567.1537499999999</c:v>
                </c:pt>
                <c:pt idx="2806">
                  <c:v>2537.7755700000002</c:v>
                </c:pt>
                <c:pt idx="2807">
                  <c:v>2532.5498400000001</c:v>
                </c:pt>
                <c:pt idx="2808">
                  <c:v>2542.7472000000002</c:v>
                </c:pt>
                <c:pt idx="2809">
                  <c:v>2543.6732300000003</c:v>
                </c:pt>
                <c:pt idx="2810">
                  <c:v>2540.3760000000002</c:v>
                </c:pt>
                <c:pt idx="2811">
                  <c:v>2516.7795000000001</c:v>
                </c:pt>
                <c:pt idx="2812">
                  <c:v>2468.8865000000001</c:v>
                </c:pt>
                <c:pt idx="2813">
                  <c:v>2485.8036000000002</c:v>
                </c:pt>
                <c:pt idx="2814">
                  <c:v>2482.4508799999999</c:v>
                </c:pt>
                <c:pt idx="2815">
                  <c:v>2475.1848</c:v>
                </c:pt>
                <c:pt idx="2816">
                  <c:v>2465.6722199999999</c:v>
                </c:pt>
                <c:pt idx="2817">
                  <c:v>2473.6198800000002</c:v>
                </c:pt>
                <c:pt idx="2818">
                  <c:v>2460.1991399999997</c:v>
                </c:pt>
                <c:pt idx="2819">
                  <c:v>2453.0664099999999</c:v>
                </c:pt>
                <c:pt idx="2820">
                  <c:v>2466.3331199999998</c:v>
                </c:pt>
                <c:pt idx="2821">
                  <c:v>2477.3092799999999</c:v>
                </c:pt>
                <c:pt idx="2822">
                  <c:v>2467.0798199999999</c:v>
                </c:pt>
                <c:pt idx="2823">
                  <c:v>2467.2148899999997</c:v>
                </c:pt>
                <c:pt idx="2824">
                  <c:v>2485.9478400000003</c:v>
                </c:pt>
                <c:pt idx="2825">
                  <c:v>2483.8416199999997</c:v>
                </c:pt>
                <c:pt idx="2826">
                  <c:v>2470.2716999999998</c:v>
                </c:pt>
                <c:pt idx="2827">
                  <c:v>2464.2334000000001</c:v>
                </c:pt>
                <c:pt idx="2828">
                  <c:v>2442.84807</c:v>
                </c:pt>
                <c:pt idx="2829">
                  <c:v>2463.7391100000004</c:v>
                </c:pt>
                <c:pt idx="2830">
                  <c:v>2470.9130700000001</c:v>
                </c:pt>
                <c:pt idx="2831">
                  <c:v>2445.6422799999996</c:v>
                </c:pt>
                <c:pt idx="2832">
                  <c:v>2453.6763999999998</c:v>
                </c:pt>
                <c:pt idx="2833">
                  <c:v>2489.36688</c:v>
                </c:pt>
                <c:pt idx="2834">
                  <c:v>2475.6451200000001</c:v>
                </c:pt>
                <c:pt idx="2835">
                  <c:v>2480.4092599999999</c:v>
                </c:pt>
                <c:pt idx="2836">
                  <c:v>2488.6832000000004</c:v>
                </c:pt>
                <c:pt idx="2837">
                  <c:v>2457.8420500000002</c:v>
                </c:pt>
                <c:pt idx="2838">
                  <c:v>2486.26476</c:v>
                </c:pt>
                <c:pt idx="2839">
                  <c:v>2494.0113000000001</c:v>
                </c:pt>
                <c:pt idx="2840">
                  <c:v>2525.3683099999998</c:v>
                </c:pt>
                <c:pt idx="2841">
                  <c:v>2541.8550599999999</c:v>
                </c:pt>
                <c:pt idx="2842">
                  <c:v>2507.9802499999996</c:v>
                </c:pt>
                <c:pt idx="2843">
                  <c:v>2541.9205499999998</c:v>
                </c:pt>
                <c:pt idx="2844">
                  <c:v>2511.4751999999999</c:v>
                </c:pt>
                <c:pt idx="2845">
                  <c:v>2544.5445600000003</c:v>
                </c:pt>
                <c:pt idx="2846">
                  <c:v>2569.4811500000001</c:v>
                </c:pt>
                <c:pt idx="2847">
                  <c:v>2568.92731</c:v>
                </c:pt>
                <c:pt idx="2848">
                  <c:v>2548.91455</c:v>
                </c:pt>
                <c:pt idx="2849">
                  <c:v>2539.4460300000001</c:v>
                </c:pt>
                <c:pt idx="2850">
                  <c:v>2548.17488</c:v>
                </c:pt>
                <c:pt idx="2851">
                  <c:v>2545.9788000000003</c:v>
                </c:pt>
                <c:pt idx="2852">
                  <c:v>2545.75416</c:v>
                </c:pt>
                <c:pt idx="2853">
                  <c:v>2528.2667499999998</c:v>
                </c:pt>
                <c:pt idx="2854">
                  <c:v>2494.7312000000002</c:v>
                </c:pt>
                <c:pt idx="2855">
                  <c:v>2506.8816499999998</c:v>
                </c:pt>
                <c:pt idx="2856">
                  <c:v>2496.9586600000002</c:v>
                </c:pt>
                <c:pt idx="2857">
                  <c:v>2479.2332399999996</c:v>
                </c:pt>
                <c:pt idx="2858">
                  <c:v>2444.2846400000003</c:v>
                </c:pt>
                <c:pt idx="2859">
                  <c:v>2431.2392</c:v>
                </c:pt>
                <c:pt idx="2860">
                  <c:v>2425.47696</c:v>
                </c:pt>
                <c:pt idx="2861">
                  <c:v>2398.9042600000002</c:v>
                </c:pt>
                <c:pt idx="2862">
                  <c:v>2416.8412800000001</c:v>
                </c:pt>
                <c:pt idx="2863">
                  <c:v>2390.3477399999997</c:v>
                </c:pt>
                <c:pt idx="2864">
                  <c:v>2382.5112199999999</c:v>
                </c:pt>
                <c:pt idx="2865">
                  <c:v>2340.6655999999998</c:v>
                </c:pt>
                <c:pt idx="2866">
                  <c:v>2363.6032799999998</c:v>
                </c:pt>
                <c:pt idx="2867">
                  <c:v>2354.26656</c:v>
                </c:pt>
                <c:pt idx="2868">
                  <c:v>2338.7870199999998</c:v>
                </c:pt>
                <c:pt idx="2869">
                  <c:v>2340.3225600000001</c:v>
                </c:pt>
                <c:pt idx="2870">
                  <c:v>2337.4925600000001</c:v>
                </c:pt>
                <c:pt idx="2871">
                  <c:v>2355.9355500000001</c:v>
                </c:pt>
                <c:pt idx="2872">
                  <c:v>2349.6795000000002</c:v>
                </c:pt>
                <c:pt idx="2873">
                  <c:v>2327.71686</c:v>
                </c:pt>
                <c:pt idx="2874">
                  <c:v>2298.2964400000001</c:v>
                </c:pt>
                <c:pt idx="2875">
                  <c:v>2281.4368899999999</c:v>
                </c:pt>
                <c:pt idx="2876">
                  <c:v>2264.0854199999999</c:v>
                </c:pt>
                <c:pt idx="2877">
                  <c:v>2254.3780000000002</c:v>
                </c:pt>
                <c:pt idx="2878">
                  <c:v>2245.3518400000003</c:v>
                </c:pt>
                <c:pt idx="2879">
                  <c:v>2250.8944200000001</c:v>
                </c:pt>
                <c:pt idx="2880">
                  <c:v>2263.1279999999997</c:v>
                </c:pt>
                <c:pt idx="2881">
                  <c:v>2265.7195999999999</c:v>
                </c:pt>
                <c:pt idx="2882">
                  <c:v>2279.5336299999999</c:v>
                </c:pt>
                <c:pt idx="2883">
                  <c:v>2279.49719</c:v>
                </c:pt>
                <c:pt idx="2884">
                  <c:v>2290.6080000000002</c:v>
                </c:pt>
                <c:pt idx="2885">
                  <c:v>2309.1508800000001</c:v>
                </c:pt>
                <c:pt idx="2886">
                  <c:v>2341.1200000000003</c:v>
                </c:pt>
                <c:pt idx="2887">
                  <c:v>2366.4503800000002</c:v>
                </c:pt>
                <c:pt idx="2888">
                  <c:v>2370.4795899999999</c:v>
                </c:pt>
                <c:pt idx="2889">
                  <c:v>2354.5252999999998</c:v>
                </c:pt>
                <c:pt idx="2890">
                  <c:v>2340.5987799999998</c:v>
                </c:pt>
                <c:pt idx="2891">
                  <c:v>2370.8933999999999</c:v>
                </c:pt>
                <c:pt idx="2892">
                  <c:v>2383.0996</c:v>
                </c:pt>
                <c:pt idx="2893">
                  <c:v>2376.3745199999998</c:v>
                </c:pt>
                <c:pt idx="2894">
                  <c:v>2398.7661399999997</c:v>
                </c:pt>
                <c:pt idx="2895">
                  <c:v>2429.9162099999999</c:v>
                </c:pt>
                <c:pt idx="2896">
                  <c:v>2436.5133000000001</c:v>
                </c:pt>
                <c:pt idx="2897">
                  <c:v>2435.3496</c:v>
                </c:pt>
                <c:pt idx="2898">
                  <c:v>2431.1238800000001</c:v>
                </c:pt>
                <c:pt idx="2899">
                  <c:v>2405.7784799999999</c:v>
                </c:pt>
                <c:pt idx="2900">
                  <c:v>2397.9195500000001</c:v>
                </c:pt>
                <c:pt idx="2901">
                  <c:v>2396.6382800000001</c:v>
                </c:pt>
                <c:pt idx="2902">
                  <c:v>2398.59058</c:v>
                </c:pt>
                <c:pt idx="2903">
                  <c:v>2415.1022199999998</c:v>
                </c:pt>
                <c:pt idx="2904">
                  <c:v>2447.2391499999999</c:v>
                </c:pt>
                <c:pt idx="2905">
                  <c:v>2442.4254099999998</c:v>
                </c:pt>
                <c:pt idx="2906">
                  <c:v>2428.9527600000001</c:v>
                </c:pt>
                <c:pt idx="2907">
                  <c:v>2429.8756800000001</c:v>
                </c:pt>
                <c:pt idx="2908">
                  <c:v>2443.9756699999998</c:v>
                </c:pt>
                <c:pt idx="2909">
                  <c:v>2424.6840799999995</c:v>
                </c:pt>
                <c:pt idx="2910">
                  <c:v>2421.1387500000001</c:v>
                </c:pt>
                <c:pt idx="2911">
                  <c:v>2423.8807200000001</c:v>
                </c:pt>
                <c:pt idx="2912">
                  <c:v>2408.9617800000001</c:v>
                </c:pt>
                <c:pt idx="2913">
                  <c:v>2406.6122599999999</c:v>
                </c:pt>
                <c:pt idx="2914">
                  <c:v>2405.4072700000002</c:v>
                </c:pt>
                <c:pt idx="2915">
                  <c:v>2409.19695</c:v>
                </c:pt>
                <c:pt idx="2916">
                  <c:v>2423.1950399999996</c:v>
                </c:pt>
                <c:pt idx="2917">
                  <c:v>2412.4052300000003</c:v>
                </c:pt>
                <c:pt idx="2918">
                  <c:v>2423.5454999999997</c:v>
                </c:pt>
                <c:pt idx="2919">
                  <c:v>2364.3452799999995</c:v>
                </c:pt>
                <c:pt idx="2920">
                  <c:v>2380.9283999999998</c:v>
                </c:pt>
                <c:pt idx="2921">
                  <c:v>2378.2878800000003</c:v>
                </c:pt>
                <c:pt idx="2922">
                  <c:v>2387.8223499999999</c:v>
                </c:pt>
                <c:pt idx="2923">
                  <c:v>2385.31104</c:v>
                </c:pt>
                <c:pt idx="2924">
                  <c:v>2416.6421999999998</c:v>
                </c:pt>
                <c:pt idx="2925">
                  <c:v>2380.0429799999997</c:v>
                </c:pt>
                <c:pt idx="2926">
                  <c:v>2387.4061000000002</c:v>
                </c:pt>
                <c:pt idx="2927">
                  <c:v>2407.4606100000001</c:v>
                </c:pt>
                <c:pt idx="2928">
                  <c:v>2424.3503800000003</c:v>
                </c:pt>
                <c:pt idx="2929">
                  <c:v>2427.8699000000001</c:v>
                </c:pt>
                <c:pt idx="2930">
                  <c:v>2410.09935</c:v>
                </c:pt>
                <c:pt idx="2931">
                  <c:v>2393.62592</c:v>
                </c:pt>
                <c:pt idx="2932">
                  <c:v>2410.0182500000001</c:v>
                </c:pt>
                <c:pt idx="2933">
                  <c:v>2393.8280500000001</c:v>
                </c:pt>
                <c:pt idx="2934">
                  <c:v>2424.5424000000003</c:v>
                </c:pt>
                <c:pt idx="2935">
                  <c:v>2442.0044400000002</c:v>
                </c:pt>
                <c:pt idx="2936">
                  <c:v>2415.61834</c:v>
                </c:pt>
                <c:pt idx="2937">
                  <c:v>2403.9223999999999</c:v>
                </c:pt>
                <c:pt idx="2938">
                  <c:v>2392.1270999999997</c:v>
                </c:pt>
                <c:pt idx="2939">
                  <c:v>2353.5897</c:v>
                </c:pt>
                <c:pt idx="2940">
                  <c:v>2360.4030000000002</c:v>
                </c:pt>
                <c:pt idx="2941">
                  <c:v>2348.0562599999998</c:v>
                </c:pt>
                <c:pt idx="2942">
                  <c:v>2331.9413599999998</c:v>
                </c:pt>
                <c:pt idx="2943">
                  <c:v>2314.6279999999997</c:v>
                </c:pt>
                <c:pt idx="2944">
                  <c:v>2323.8709200000003</c:v>
                </c:pt>
                <c:pt idx="2945">
                  <c:v>2306.0383199999997</c:v>
                </c:pt>
                <c:pt idx="2946">
                  <c:v>2322.26604</c:v>
                </c:pt>
                <c:pt idx="2947">
                  <c:v>2335.7574000000004</c:v>
                </c:pt>
                <c:pt idx="2948">
                  <c:v>2330.0591100000001</c:v>
                </c:pt>
                <c:pt idx="2949">
                  <c:v>2348.1785999999997</c:v>
                </c:pt>
                <c:pt idx="2950">
                  <c:v>2357.3253400000003</c:v>
                </c:pt>
                <c:pt idx="2951">
                  <c:v>2364.1979499999998</c:v>
                </c:pt>
                <c:pt idx="2952">
                  <c:v>2377.0547999999999</c:v>
                </c:pt>
                <c:pt idx="2953">
                  <c:v>2373.51136</c:v>
                </c:pt>
                <c:pt idx="2954">
                  <c:v>2383.7338800000002</c:v>
                </c:pt>
                <c:pt idx="2955">
                  <c:v>2360.4819699999998</c:v>
                </c:pt>
                <c:pt idx="2956">
                  <c:v>2358.4062600000002</c:v>
                </c:pt>
                <c:pt idx="2957">
                  <c:v>2356.0661399999999</c:v>
                </c:pt>
                <c:pt idx="2958">
                  <c:v>2365.2489599999999</c:v>
                </c:pt>
                <c:pt idx="2959">
                  <c:v>2353.5718499999998</c:v>
                </c:pt>
                <c:pt idx="2960">
                  <c:v>2349.28512</c:v>
                </c:pt>
                <c:pt idx="2961">
                  <c:v>2322.89536</c:v>
                </c:pt>
                <c:pt idx="2962">
                  <c:v>2321.6237900000001</c:v>
                </c:pt>
                <c:pt idx="2963">
                  <c:v>2304.88186</c:v>
                </c:pt>
                <c:pt idx="2964">
                  <c:v>2297.0707199999997</c:v>
                </c:pt>
                <c:pt idx="2965">
                  <c:v>2286.0976800000003</c:v>
                </c:pt>
                <c:pt idx="2966">
                  <c:v>2305.8604799999998</c:v>
                </c:pt>
                <c:pt idx="2967">
                  <c:v>2285.8372199999999</c:v>
                </c:pt>
                <c:pt idx="2968">
                  <c:v>2279.7003199999999</c:v>
                </c:pt>
                <c:pt idx="2969">
                  <c:v>2271.2365500000001</c:v>
                </c:pt>
                <c:pt idx="2970">
                  <c:v>2248.6644499999998</c:v>
                </c:pt>
                <c:pt idx="2971">
                  <c:v>2267.9438</c:v>
                </c:pt>
                <c:pt idx="2972">
                  <c:v>2257.1951999999997</c:v>
                </c:pt>
                <c:pt idx="2973">
                  <c:v>2263.8127999999997</c:v>
                </c:pt>
                <c:pt idx="2974">
                  <c:v>2253.0688700000001</c:v>
                </c:pt>
                <c:pt idx="2975">
                  <c:v>2257.4917500000001</c:v>
                </c:pt>
                <c:pt idx="2976">
                  <c:v>2243.7125999999998</c:v>
                </c:pt>
                <c:pt idx="2977">
                  <c:v>2240.8455600000002</c:v>
                </c:pt>
                <c:pt idx="2978">
                  <c:v>2236.1537200000002</c:v>
                </c:pt>
                <c:pt idx="2979">
                  <c:v>2222.1477599999998</c:v>
                </c:pt>
                <c:pt idx="2980">
                  <c:v>2225.2413999999999</c:v>
                </c:pt>
                <c:pt idx="2981">
                  <c:v>2241.9347399999997</c:v>
                </c:pt>
                <c:pt idx="2982">
                  <c:v>2248.8898400000003</c:v>
                </c:pt>
                <c:pt idx="2983">
                  <c:v>2266.5491200000001</c:v>
                </c:pt>
                <c:pt idx="2984">
                  <c:v>2267.8612000000003</c:v>
                </c:pt>
                <c:pt idx="2985">
                  <c:v>2278.3422799999998</c:v>
                </c:pt>
                <c:pt idx="2986">
                  <c:v>2292.5740599999999</c:v>
                </c:pt>
                <c:pt idx="2987">
                  <c:v>2300.6244800000004</c:v>
                </c:pt>
                <c:pt idx="2988">
                  <c:v>2290.90895</c:v>
                </c:pt>
                <c:pt idx="2989">
                  <c:v>2298.9684299999999</c:v>
                </c:pt>
                <c:pt idx="2990">
                  <c:v>2296.6899199999998</c:v>
                </c:pt>
                <c:pt idx="2991">
                  <c:v>2325.8776199999998</c:v>
                </c:pt>
                <c:pt idx="2992">
                  <c:v>2315.58025</c:v>
                </c:pt>
                <c:pt idx="2993">
                  <c:v>2323.3440000000001</c:v>
                </c:pt>
                <c:pt idx="2994">
                  <c:v>2314.8688199999997</c:v>
                </c:pt>
                <c:pt idx="2995">
                  <c:v>2340.1383700000001</c:v>
                </c:pt>
                <c:pt idx="2996">
                  <c:v>2320.0470799999998</c:v>
                </c:pt>
                <c:pt idx="2997">
                  <c:v>2331.4467599999998</c:v>
                </c:pt>
                <c:pt idx="2998">
                  <c:v>2320.6950400000001</c:v>
                </c:pt>
                <c:pt idx="2999">
                  <c:v>2330.66473</c:v>
                </c:pt>
                <c:pt idx="3000">
                  <c:v>2309.7311999999997</c:v>
                </c:pt>
                <c:pt idx="3001">
                  <c:v>2312.2857599999998</c:v>
                </c:pt>
                <c:pt idx="3002">
                  <c:v>2299.98695</c:v>
                </c:pt>
                <c:pt idx="3003">
                  <c:v>2315.7697199999998</c:v>
                </c:pt>
                <c:pt idx="3004">
                  <c:v>2309.75108</c:v>
                </c:pt>
                <c:pt idx="3005">
                  <c:v>2317.9953600000003</c:v>
                </c:pt>
                <c:pt idx="3006">
                  <c:v>2288.36</c:v>
                </c:pt>
                <c:pt idx="3007">
                  <c:v>2287.9376000000002</c:v>
                </c:pt>
                <c:pt idx="3008">
                  <c:v>2272.7719799999995</c:v>
                </c:pt>
                <c:pt idx="3009">
                  <c:v>2255.0724</c:v>
                </c:pt>
                <c:pt idx="3010">
                  <c:v>2270.3822399999999</c:v>
                </c:pt>
                <c:pt idx="3011">
                  <c:v>2286.94533</c:v>
                </c:pt>
                <c:pt idx="3012">
                  <c:v>2283.2154399999999</c:v>
                </c:pt>
                <c:pt idx="3013">
                  <c:v>2255.3619199999998</c:v>
                </c:pt>
                <c:pt idx="3014">
                  <c:v>2250.8011900000001</c:v>
                </c:pt>
                <c:pt idx="3015">
                  <c:v>2262.7556399999999</c:v>
                </c:pt>
                <c:pt idx="3016">
                  <c:v>2261.2860599999999</c:v>
                </c:pt>
                <c:pt idx="3017">
                  <c:v>2280.9264000000003</c:v>
                </c:pt>
                <c:pt idx="3018">
                  <c:v>2283.9510400000004</c:v>
                </c:pt>
                <c:pt idx="3019">
                  <c:v>2295.6780000000003</c:v>
                </c:pt>
                <c:pt idx="3020">
                  <c:v>2303.5014000000001</c:v>
                </c:pt>
                <c:pt idx="3021">
                  <c:v>2283.8055999999997</c:v>
                </c:pt>
                <c:pt idx="3022">
                  <c:v>2267.70102</c:v>
                </c:pt>
                <c:pt idx="3023">
                  <c:v>2285.3375999999998</c:v>
                </c:pt>
                <c:pt idx="3024">
                  <c:v>2277.3463999999999</c:v>
                </c:pt>
                <c:pt idx="3025">
                  <c:v>2278.6042200000002</c:v>
                </c:pt>
                <c:pt idx="3026">
                  <c:v>2266.9572600000001</c:v>
                </c:pt>
                <c:pt idx="3027">
                  <c:v>2265.01476</c:v>
                </c:pt>
                <c:pt idx="3028">
                  <c:v>2249.61</c:v>
                </c:pt>
                <c:pt idx="3029">
                  <c:v>2266.22912</c:v>
                </c:pt>
                <c:pt idx="3030">
                  <c:v>2246.3424</c:v>
                </c:pt>
                <c:pt idx="3031">
                  <c:v>2279.0424800000001</c:v>
                </c:pt>
                <c:pt idx="3032">
                  <c:v>2272.982</c:v>
                </c:pt>
                <c:pt idx="3033">
                  <c:v>2250.5000399999999</c:v>
                </c:pt>
                <c:pt idx="3034">
                  <c:v>2228.7800400000001</c:v>
                </c:pt>
                <c:pt idx="3035">
                  <c:v>2237.2338400000003</c:v>
                </c:pt>
                <c:pt idx="3036">
                  <c:v>2234.91264</c:v>
                </c:pt>
                <c:pt idx="3037">
                  <c:v>2234.78991</c:v>
                </c:pt>
                <c:pt idx="3038">
                  <c:v>2268.9605999999999</c:v>
                </c:pt>
                <c:pt idx="3039">
                  <c:v>2263.0148399999998</c:v>
                </c:pt>
                <c:pt idx="3040">
                  <c:v>2280.4414500000003</c:v>
                </c:pt>
                <c:pt idx="3041">
                  <c:v>2305.5912000000003</c:v>
                </c:pt>
                <c:pt idx="3042">
                  <c:v>2281.02864</c:v>
                </c:pt>
                <c:pt idx="3043">
                  <c:v>2232.68685</c:v>
                </c:pt>
                <c:pt idx="3044">
                  <c:v>2223.6246999999998</c:v>
                </c:pt>
                <c:pt idx="3045">
                  <c:v>2212.4534800000001</c:v>
                </c:pt>
                <c:pt idx="3046">
                  <c:v>2226.21128</c:v>
                </c:pt>
                <c:pt idx="3047">
                  <c:v>2227.0858800000001</c:v>
                </c:pt>
                <c:pt idx="3048">
                  <c:v>2219.0586600000001</c:v>
                </c:pt>
                <c:pt idx="3049">
                  <c:v>2203.5065</c:v>
                </c:pt>
                <c:pt idx="3050">
                  <c:v>2189.0304900000001</c:v>
                </c:pt>
                <c:pt idx="3051">
                  <c:v>2167.9168</c:v>
                </c:pt>
                <c:pt idx="3052">
                  <c:v>2159.8826000000004</c:v>
                </c:pt>
                <c:pt idx="3053">
                  <c:v>2173.5319399999998</c:v>
                </c:pt>
                <c:pt idx="3054">
                  <c:v>2187.6941299999999</c:v>
                </c:pt>
                <c:pt idx="3055">
                  <c:v>2175.44814</c:v>
                </c:pt>
                <c:pt idx="3056">
                  <c:v>2169.7020299999999</c:v>
                </c:pt>
                <c:pt idx="3057">
                  <c:v>2071.58133</c:v>
                </c:pt>
                <c:pt idx="3058">
                  <c:v>2068.1287199999997</c:v>
                </c:pt>
                <c:pt idx="3059">
                  <c:v>2035.5615200000002</c:v>
                </c:pt>
                <c:pt idx="3060">
                  <c:v>2035.8097600000001</c:v>
                </c:pt>
                <c:pt idx="3061">
                  <c:v>2046.75712</c:v>
                </c:pt>
                <c:pt idx="3062">
                  <c:v>2054.4051599999998</c:v>
                </c:pt>
                <c:pt idx="3063">
                  <c:v>2077.7568000000001</c:v>
                </c:pt>
                <c:pt idx="3064">
                  <c:v>2074.2271999999998</c:v>
                </c:pt>
                <c:pt idx="3065">
                  <c:v>2058.9592000000002</c:v>
                </c:pt>
                <c:pt idx="3066">
                  <c:v>2081.1313799999998</c:v>
                </c:pt>
                <c:pt idx="3067">
                  <c:v>2085.8404</c:v>
                </c:pt>
                <c:pt idx="3068">
                  <c:v>2078.2678000000001</c:v>
                </c:pt>
                <c:pt idx="3069">
                  <c:v>2097.7092399999997</c:v>
                </c:pt>
                <c:pt idx="3070">
                  <c:v>2123.2845900000002</c:v>
                </c:pt>
                <c:pt idx="3071">
                  <c:v>2128.6394999999998</c:v>
                </c:pt>
                <c:pt idx="3072">
                  <c:v>2176.1958</c:v>
                </c:pt>
                <c:pt idx="3073">
                  <c:v>2150.9665399999999</c:v>
                </c:pt>
                <c:pt idx="3074">
                  <c:v>2168.45172</c:v>
                </c:pt>
                <c:pt idx="3075">
                  <c:v>2202.3813599999999</c:v>
                </c:pt>
                <c:pt idx="3076">
                  <c:v>2196.3928699999997</c:v>
                </c:pt>
                <c:pt idx="3077">
                  <c:v>2215.2694900000001</c:v>
                </c:pt>
                <c:pt idx="3078">
                  <c:v>2198.26116</c:v>
                </c:pt>
                <c:pt idx="3079">
                  <c:v>2198.8526999999999</c:v>
                </c:pt>
                <c:pt idx="3080">
                  <c:v>2242.4103</c:v>
                </c:pt>
                <c:pt idx="3081">
                  <c:v>2225.7548999999999</c:v>
                </c:pt>
                <c:pt idx="3082">
                  <c:v>2224.8759599999998</c:v>
                </c:pt>
                <c:pt idx="3083">
                  <c:v>2221.3463999999999</c:v>
                </c:pt>
                <c:pt idx="3084">
                  <c:v>2195.82096</c:v>
                </c:pt>
                <c:pt idx="3085">
                  <c:v>2222.2981799999998</c:v>
                </c:pt>
                <c:pt idx="3086">
                  <c:v>2261.22084</c:v>
                </c:pt>
                <c:pt idx="3087">
                  <c:v>2251.0889999999999</c:v>
                </c:pt>
                <c:pt idx="3088">
                  <c:v>2274.1517899999999</c:v>
                </c:pt>
                <c:pt idx="3089">
                  <c:v>2268.7986799999999</c:v>
                </c:pt>
                <c:pt idx="3090">
                  <c:v>2231.7803699999999</c:v>
                </c:pt>
                <c:pt idx="3091">
                  <c:v>2235.1576</c:v>
                </c:pt>
                <c:pt idx="3092">
                  <c:v>2268.1369</c:v>
                </c:pt>
                <c:pt idx="3093">
                  <c:v>2285.8416000000002</c:v>
                </c:pt>
                <c:pt idx="3094">
                  <c:v>2301.19695</c:v>
                </c:pt>
                <c:pt idx="3095">
                  <c:v>2326.7687499999997</c:v>
                </c:pt>
                <c:pt idx="3096">
                  <c:v>2316.9075600000001</c:v>
                </c:pt>
                <c:pt idx="3097">
                  <c:v>2326.0057399999996</c:v>
                </c:pt>
                <c:pt idx="3098">
                  <c:v>2332.8737900000001</c:v>
                </c:pt>
                <c:pt idx="3099">
                  <c:v>2336.9814999999999</c:v>
                </c:pt>
                <c:pt idx="3100">
                  <c:v>2324.3820600000004</c:v>
                </c:pt>
                <c:pt idx="3101">
                  <c:v>2326.9121399999999</c:v>
                </c:pt>
                <c:pt idx="3102">
                  <c:v>2331.9362000000001</c:v>
                </c:pt>
                <c:pt idx="3103">
                  <c:v>2317.6773800000001</c:v>
                </c:pt>
                <c:pt idx="3104">
                  <c:v>2323.5507899999998</c:v>
                </c:pt>
                <c:pt idx="3105">
                  <c:v>2338.7721500000002</c:v>
                </c:pt>
                <c:pt idx="3106">
                  <c:v>2354.5262399999997</c:v>
                </c:pt>
                <c:pt idx="3107">
                  <c:v>2365.87365</c:v>
                </c:pt>
                <c:pt idx="3108">
                  <c:v>2350.3258799999999</c:v>
                </c:pt>
                <c:pt idx="3109">
                  <c:v>2323.2854599999996</c:v>
                </c:pt>
                <c:pt idx="3110">
                  <c:v>2319.9410399999997</c:v>
                </c:pt>
                <c:pt idx="3111">
                  <c:v>2363.0323199999998</c:v>
                </c:pt>
                <c:pt idx="3112">
                  <c:v>2367.70696</c:v>
                </c:pt>
                <c:pt idx="3113">
                  <c:v>2347.62565</c:v>
                </c:pt>
                <c:pt idx="3114">
                  <c:v>2347.6874400000002</c:v>
                </c:pt>
                <c:pt idx="3115">
                  <c:v>2332.9925499999999</c:v>
                </c:pt>
                <c:pt idx="3116">
                  <c:v>2325.5875499999997</c:v>
                </c:pt>
                <c:pt idx="3117">
                  <c:v>2319.4712199999999</c:v>
                </c:pt>
                <c:pt idx="3118">
                  <c:v>2295.3171900000002</c:v>
                </c:pt>
                <c:pt idx="3119">
                  <c:v>2317.3168700000001</c:v>
                </c:pt>
                <c:pt idx="3120">
                  <c:v>2337.0571600000003</c:v>
                </c:pt>
                <c:pt idx="3121">
                  <c:v>2303.8932599999998</c:v>
                </c:pt>
                <c:pt idx="3122">
                  <c:v>2321.1598800000002</c:v>
                </c:pt>
                <c:pt idx="3123">
                  <c:v>2330.2114500000002</c:v>
                </c:pt>
                <c:pt idx="3124">
                  <c:v>2322.2418299999999</c:v>
                </c:pt>
                <c:pt idx="3125">
                  <c:v>2337.8404500000001</c:v>
                </c:pt>
                <c:pt idx="3126">
                  <c:v>2335.4847999999997</c:v>
                </c:pt>
                <c:pt idx="3127">
                  <c:v>2392.32636</c:v>
                </c:pt>
                <c:pt idx="3128">
                  <c:v>2391.1785199999999</c:v>
                </c:pt>
                <c:pt idx="3129">
                  <c:v>2373.1972799999999</c:v>
                </c:pt>
                <c:pt idx="3130">
                  <c:v>2350.7993999999999</c:v>
                </c:pt>
                <c:pt idx="3131">
                  <c:v>2303.4857999999999</c:v>
                </c:pt>
                <c:pt idx="3132">
                  <c:v>2309.4948600000002</c:v>
                </c:pt>
                <c:pt idx="3133">
                  <c:v>2338.1514400000001</c:v>
                </c:pt>
                <c:pt idx="3134">
                  <c:v>2331.7979800000003</c:v>
                </c:pt>
                <c:pt idx="3135">
                  <c:v>2329.2805200000003</c:v>
                </c:pt>
                <c:pt idx="3136">
                  <c:v>2325.3301800000004</c:v>
                </c:pt>
                <c:pt idx="3137">
                  <c:v>2302.9659099999999</c:v>
                </c:pt>
                <c:pt idx="3138">
                  <c:v>2313.0686699999997</c:v>
                </c:pt>
                <c:pt idx="3139">
                  <c:v>2307.1622200000002</c:v>
                </c:pt>
                <c:pt idx="3140">
                  <c:v>2286.2259599999998</c:v>
                </c:pt>
                <c:pt idx="3141">
                  <c:v>2292.4236000000001</c:v>
                </c:pt>
                <c:pt idx="3142">
                  <c:v>2297.1215000000002</c:v>
                </c:pt>
                <c:pt idx="3143">
                  <c:v>2330.1590200000001</c:v>
                </c:pt>
                <c:pt idx="3144">
                  <c:v>2364.3150400000004</c:v>
                </c:pt>
                <c:pt idx="3145">
                  <c:v>2415.31772</c:v>
                </c:pt>
                <c:pt idx="3146">
                  <c:v>2437.6412999999998</c:v>
                </c:pt>
                <c:pt idx="3147">
                  <c:v>2422.46884</c:v>
                </c:pt>
                <c:pt idx="3148">
                  <c:v>2414.8193999999999</c:v>
                </c:pt>
                <c:pt idx="3149">
                  <c:v>2370.91228</c:v>
                </c:pt>
                <c:pt idx="3150">
                  <c:v>2410.88967</c:v>
                </c:pt>
                <c:pt idx="3151">
                  <c:v>2374.2967599999997</c:v>
                </c:pt>
                <c:pt idx="3152">
                  <c:v>2389.1654200000003</c:v>
                </c:pt>
                <c:pt idx="3153">
                  <c:v>2422.71236</c:v>
                </c:pt>
                <c:pt idx="3154">
                  <c:v>2383.5873200000001</c:v>
                </c:pt>
                <c:pt idx="3155">
                  <c:v>2391.06288</c:v>
                </c:pt>
                <c:pt idx="3156">
                  <c:v>2372.1585599999999</c:v>
                </c:pt>
                <c:pt idx="3157">
                  <c:v>2351.9495999999999</c:v>
                </c:pt>
                <c:pt idx="3158">
                  <c:v>2350.8952399999998</c:v>
                </c:pt>
                <c:pt idx="3159">
                  <c:v>2384.3951999999999</c:v>
                </c:pt>
                <c:pt idx="3160">
                  <c:v>2352.6736200000005</c:v>
                </c:pt>
                <c:pt idx="3161">
                  <c:v>2355.8212200000003</c:v>
                </c:pt>
                <c:pt idx="3162">
                  <c:v>2357.2857900000004</c:v>
                </c:pt>
                <c:pt idx="3163">
                  <c:v>2350.9691400000002</c:v>
                </c:pt>
                <c:pt idx="3164">
                  <c:v>2308.6792399999999</c:v>
                </c:pt>
                <c:pt idx="3165">
                  <c:v>2284.2587599999997</c:v>
                </c:pt>
                <c:pt idx="3166">
                  <c:v>2294.91633</c:v>
                </c:pt>
                <c:pt idx="3167">
                  <c:v>2312.9045999999998</c:v>
                </c:pt>
                <c:pt idx="3168">
                  <c:v>2312.8979999999997</c:v>
                </c:pt>
                <c:pt idx="3169">
                  <c:v>2357.6799599999999</c:v>
                </c:pt>
                <c:pt idx="3170">
                  <c:v>2356.8499400000005</c:v>
                </c:pt>
                <c:pt idx="3171">
                  <c:v>2349.3895199999997</c:v>
                </c:pt>
                <c:pt idx="3172">
                  <c:v>2300.1439999999998</c:v>
                </c:pt>
                <c:pt idx="3173">
                  <c:v>2276.3035800000002</c:v>
                </c:pt>
                <c:pt idx="3174">
                  <c:v>2313.2423200000003</c:v>
                </c:pt>
                <c:pt idx="3175">
                  <c:v>2301.8967399999997</c:v>
                </c:pt>
                <c:pt idx="3176">
                  <c:v>2304.0443299999997</c:v>
                </c:pt>
                <c:pt idx="3177">
                  <c:v>2359.3007400000001</c:v>
                </c:pt>
                <c:pt idx="3178">
                  <c:v>2360.8878300000001</c:v>
                </c:pt>
                <c:pt idx="3179">
                  <c:v>2381.4252799999999</c:v>
                </c:pt>
                <c:pt idx="3180">
                  <c:v>2393.4380799999999</c:v>
                </c:pt>
                <c:pt idx="3181">
                  <c:v>2421.6648300000002</c:v>
                </c:pt>
                <c:pt idx="3182">
                  <c:v>2443.2858000000001</c:v>
                </c:pt>
                <c:pt idx="3183">
                  <c:v>2388.9725099999996</c:v>
                </c:pt>
                <c:pt idx="3184">
                  <c:v>2410.8750599999998</c:v>
                </c:pt>
                <c:pt idx="3185">
                  <c:v>2418.4743699999999</c:v>
                </c:pt>
                <c:pt idx="3186">
                  <c:v>2389.0172000000002</c:v>
                </c:pt>
                <c:pt idx="3187">
                  <c:v>2361.3323699999996</c:v>
                </c:pt>
                <c:pt idx="3188">
                  <c:v>2358.7295599999998</c:v>
                </c:pt>
                <c:pt idx="3189">
                  <c:v>2340.2962499999999</c:v>
                </c:pt>
                <c:pt idx="3190">
                  <c:v>2363.1464999999998</c:v>
                </c:pt>
                <c:pt idx="3191">
                  <c:v>2370.9377999999997</c:v>
                </c:pt>
                <c:pt idx="3192">
                  <c:v>2412.4059999999999</c:v>
                </c:pt>
                <c:pt idx="3193">
                  <c:v>2384.8827000000001</c:v>
                </c:pt>
                <c:pt idx="3194">
                  <c:v>2366.5958499999997</c:v>
                </c:pt>
                <c:pt idx="3195">
                  <c:v>2368.7632800000001</c:v>
                </c:pt>
                <c:pt idx="3196">
                  <c:v>2385.5933099999997</c:v>
                </c:pt>
                <c:pt idx="3197">
                  <c:v>2416.6814100000001</c:v>
                </c:pt>
                <c:pt idx="3198">
                  <c:v>2430.0108100000002</c:v>
                </c:pt>
                <c:pt idx="3199">
                  <c:v>2481.6808500000002</c:v>
                </c:pt>
                <c:pt idx="3200">
                  <c:v>2500.6352499999998</c:v>
                </c:pt>
                <c:pt idx="3201">
                  <c:v>2466.25542</c:v>
                </c:pt>
                <c:pt idx="3202">
                  <c:v>2455.5891000000001</c:v>
                </c:pt>
                <c:pt idx="3203">
                  <c:v>2454.3367199999998</c:v>
                </c:pt>
                <c:pt idx="3204">
                  <c:v>2435.2007600000002</c:v>
                </c:pt>
                <c:pt idx="3205">
                  <c:v>2405.1192000000001</c:v>
                </c:pt>
                <c:pt idx="3206">
                  <c:v>2373.8565400000002</c:v>
                </c:pt>
                <c:pt idx="3207">
                  <c:v>2377.8243499999999</c:v>
                </c:pt>
                <c:pt idx="3208">
                  <c:v>2375.6485200000002</c:v>
                </c:pt>
                <c:pt idx="3209">
                  <c:v>2372.9738400000001</c:v>
                </c:pt>
                <c:pt idx="3210">
                  <c:v>2350.9043999999999</c:v>
                </c:pt>
                <c:pt idx="3211">
                  <c:v>2308.0814999999998</c:v>
                </c:pt>
                <c:pt idx="3212">
                  <c:v>2278.9084800000001</c:v>
                </c:pt>
                <c:pt idx="3213">
                  <c:v>2276.7607200000002</c:v>
                </c:pt>
                <c:pt idx="3214">
                  <c:v>2316.9939300000001</c:v>
                </c:pt>
                <c:pt idx="3215">
                  <c:v>2311.3600300000003</c:v>
                </c:pt>
                <c:pt idx="3216">
                  <c:v>2334.0930599999997</c:v>
                </c:pt>
                <c:pt idx="3217">
                  <c:v>2332.5863199999999</c:v>
                </c:pt>
                <c:pt idx="3218">
                  <c:v>2349.5483199999999</c:v>
                </c:pt>
                <c:pt idx="3219">
                  <c:v>2314.4708999999998</c:v>
                </c:pt>
                <c:pt idx="3220">
                  <c:v>2377.0271200000002</c:v>
                </c:pt>
                <c:pt idx="3221">
                  <c:v>2338.6317199999999</c:v>
                </c:pt>
                <c:pt idx="3222">
                  <c:v>2396.4447399999999</c:v>
                </c:pt>
                <c:pt idx="3223">
                  <c:v>2381.9274</c:v>
                </c:pt>
                <c:pt idx="3224">
                  <c:v>2440.4110799999999</c:v>
                </c:pt>
                <c:pt idx="3225">
                  <c:v>2491.8931499999999</c:v>
                </c:pt>
                <c:pt idx="3226">
                  <c:v>2470.5968599999997</c:v>
                </c:pt>
                <c:pt idx="3227">
                  <c:v>2488.5833699999998</c:v>
                </c:pt>
                <c:pt idx="3228">
                  <c:v>2504.5803400000004</c:v>
                </c:pt>
                <c:pt idx="3229">
                  <c:v>2501.9654999999998</c:v>
                </c:pt>
                <c:pt idx="3230">
                  <c:v>2501.8838799999999</c:v>
                </c:pt>
                <c:pt idx="3231">
                  <c:v>2511.5966999999996</c:v>
                </c:pt>
                <c:pt idx="3232">
                  <c:v>2547.74296</c:v>
                </c:pt>
                <c:pt idx="3233">
                  <c:v>2498.6799900000001</c:v>
                </c:pt>
                <c:pt idx="3234">
                  <c:v>2486.3263200000001</c:v>
                </c:pt>
                <c:pt idx="3235">
                  <c:v>2468.77378</c:v>
                </c:pt>
                <c:pt idx="3236">
                  <c:v>2436.89491</c:v>
                </c:pt>
                <c:pt idx="3237">
                  <c:v>2440.2323700000002</c:v>
                </c:pt>
                <c:pt idx="3238">
                  <c:v>2454.8179500000001</c:v>
                </c:pt>
                <c:pt idx="3239">
                  <c:v>2434.5120000000002</c:v>
                </c:pt>
                <c:pt idx="3240">
                  <c:v>2448.5510899999999</c:v>
                </c:pt>
                <c:pt idx="3241">
                  <c:v>2407.7596199999998</c:v>
                </c:pt>
                <c:pt idx="3242">
                  <c:v>2440.0655999999999</c:v>
                </c:pt>
                <c:pt idx="3243">
                  <c:v>2415.4749800000004</c:v>
                </c:pt>
                <c:pt idx="3244">
                  <c:v>2427.4420799999998</c:v>
                </c:pt>
                <c:pt idx="3245">
                  <c:v>2453.1408000000001</c:v>
                </c:pt>
                <c:pt idx="3246">
                  <c:v>2446.1494200000002</c:v>
                </c:pt>
                <c:pt idx="3247">
                  <c:v>2466.3719300000002</c:v>
                </c:pt>
                <c:pt idx="3248">
                  <c:v>2461.5762</c:v>
                </c:pt>
                <c:pt idx="3249">
                  <c:v>2459.3750599999998</c:v>
                </c:pt>
                <c:pt idx="3250">
                  <c:v>2450.7385600000002</c:v>
                </c:pt>
                <c:pt idx="3251">
                  <c:v>2456.3229900000001</c:v>
                </c:pt>
                <c:pt idx="3252">
                  <c:v>2442.7861499999999</c:v>
                </c:pt>
                <c:pt idx="3253">
                  <c:v>2430.8841600000001</c:v>
                </c:pt>
                <c:pt idx="3254">
                  <c:v>2427.2929400000003</c:v>
                </c:pt>
                <c:pt idx="3255">
                  <c:v>2447.6561200000001</c:v>
                </c:pt>
                <c:pt idx="3256">
                  <c:v>2442.7135800000001</c:v>
                </c:pt>
                <c:pt idx="3257">
                  <c:v>2449.33536</c:v>
                </c:pt>
                <c:pt idx="3258">
                  <c:v>2465.42688</c:v>
                </c:pt>
                <c:pt idx="3259">
                  <c:v>2481.7281699999999</c:v>
                </c:pt>
                <c:pt idx="3260">
                  <c:v>2484.50576</c:v>
                </c:pt>
                <c:pt idx="3261">
                  <c:v>2464.2580200000002</c:v>
                </c:pt>
                <c:pt idx="3262">
                  <c:v>2447.9402399999999</c:v>
                </c:pt>
                <c:pt idx="3263">
                  <c:v>2453.9539500000001</c:v>
                </c:pt>
                <c:pt idx="3264">
                  <c:v>2437.6911</c:v>
                </c:pt>
                <c:pt idx="3265">
                  <c:v>2459.6388800000004</c:v>
                </c:pt>
                <c:pt idx="3266">
                  <c:v>2457.7078200000001</c:v>
                </c:pt>
                <c:pt idx="3267">
                  <c:v>2431.6387800000002</c:v>
                </c:pt>
                <c:pt idx="3268">
                  <c:v>2447.1754599999999</c:v>
                </c:pt>
                <c:pt idx="3269">
                  <c:v>2417.4535999999998</c:v>
                </c:pt>
                <c:pt idx="3270">
                  <c:v>2409.18496</c:v>
                </c:pt>
                <c:pt idx="3271">
                  <c:v>2365.08448</c:v>
                </c:pt>
                <c:pt idx="3272">
                  <c:v>2333.2162499999999</c:v>
                </c:pt>
                <c:pt idx="3273">
                  <c:v>2342.2888800000001</c:v>
                </c:pt>
                <c:pt idx="3274">
                  <c:v>2337.9515500000002</c:v>
                </c:pt>
                <c:pt idx="3275">
                  <c:v>2331.58419</c:v>
                </c:pt>
                <c:pt idx="3276">
                  <c:v>2324.5075000000002</c:v>
                </c:pt>
                <c:pt idx="3277">
                  <c:v>2325.0529999999999</c:v>
                </c:pt>
                <c:pt idx="3278">
                  <c:v>2361.9222</c:v>
                </c:pt>
                <c:pt idx="3279">
                  <c:v>2337.4709600000001</c:v>
                </c:pt>
                <c:pt idx="3280">
                  <c:v>2336.48612</c:v>
                </c:pt>
                <c:pt idx="3281">
                  <c:v>2304.4649999999997</c:v>
                </c:pt>
                <c:pt idx="3282">
                  <c:v>2334.5546400000003</c:v>
                </c:pt>
                <c:pt idx="3283">
                  <c:v>2344.08167</c:v>
                </c:pt>
                <c:pt idx="3284">
                  <c:v>2336.2179999999998</c:v>
                </c:pt>
                <c:pt idx="3285">
                  <c:v>2352.7756800000002</c:v>
                </c:pt>
                <c:pt idx="3286">
                  <c:v>2374.5065500000001</c:v>
                </c:pt>
                <c:pt idx="3287">
                  <c:v>2397.7170100000003</c:v>
                </c:pt>
                <c:pt idx="3288">
                  <c:v>2399.6794799999998</c:v>
                </c:pt>
                <c:pt idx="3289">
                  <c:v>2376.4883100000002</c:v>
                </c:pt>
                <c:pt idx="3290">
                  <c:v>2381.1184599999997</c:v>
                </c:pt>
                <c:pt idx="3291">
                  <c:v>2370.4687799999997</c:v>
                </c:pt>
                <c:pt idx="3292">
                  <c:v>2370.2896999999998</c:v>
                </c:pt>
                <c:pt idx="3293">
                  <c:v>2370.6495999999997</c:v>
                </c:pt>
                <c:pt idx="3294">
                  <c:v>2403.3578400000001</c:v>
                </c:pt>
                <c:pt idx="3295">
                  <c:v>2430.7291800000003</c:v>
                </c:pt>
                <c:pt idx="3296">
                  <c:v>2459.7361999999998</c:v>
                </c:pt>
                <c:pt idx="3297">
                  <c:v>2426.9009999999998</c:v>
                </c:pt>
                <c:pt idx="3298">
                  <c:v>2413.0953</c:v>
                </c:pt>
                <c:pt idx="3299">
                  <c:v>2427.9626400000002</c:v>
                </c:pt>
                <c:pt idx="3300">
                  <c:v>2428.3553700000002</c:v>
                </c:pt>
                <c:pt idx="3301">
                  <c:v>2442.26496</c:v>
                </c:pt>
                <c:pt idx="3302">
                  <c:v>2435.46985</c:v>
                </c:pt>
                <c:pt idx="3303">
                  <c:v>2407.6621600000003</c:v>
                </c:pt>
                <c:pt idx="3304">
                  <c:v>2455.16743</c:v>
                </c:pt>
                <c:pt idx="3305">
                  <c:v>2448.9861599999999</c:v>
                </c:pt>
                <c:pt idx="3306">
                  <c:v>2420.0452300000002</c:v>
                </c:pt>
                <c:pt idx="3307">
                  <c:v>2437.1651700000002</c:v>
                </c:pt>
                <c:pt idx="3308">
                  <c:v>2444.3559200000004</c:v>
                </c:pt>
                <c:pt idx="3309">
                  <c:v>2431.3277099999996</c:v>
                </c:pt>
                <c:pt idx="3310">
                  <c:v>2391.5238599999998</c:v>
                </c:pt>
                <c:pt idx="3311">
                  <c:v>2406.3194900000003</c:v>
                </c:pt>
                <c:pt idx="3312">
                  <c:v>2409.1350000000002</c:v>
                </c:pt>
                <c:pt idx="3313">
                  <c:v>2421.8788500000001</c:v>
                </c:pt>
                <c:pt idx="3314">
                  <c:v>2467.2082399999999</c:v>
                </c:pt>
                <c:pt idx="3315">
                  <c:v>2473.5174099999999</c:v>
                </c:pt>
                <c:pt idx="3316">
                  <c:v>2501.4835199999998</c:v>
                </c:pt>
                <c:pt idx="3317">
                  <c:v>2465.1921600000001</c:v>
                </c:pt>
                <c:pt idx="3318">
                  <c:v>2498.0247599999998</c:v>
                </c:pt>
                <c:pt idx="3319">
                  <c:v>2506.2451700000001</c:v>
                </c:pt>
                <c:pt idx="3320">
                  <c:v>2501.1218699999999</c:v>
                </c:pt>
                <c:pt idx="3321">
                  <c:v>2468.5389</c:v>
                </c:pt>
                <c:pt idx="3322">
                  <c:v>2472.10833</c:v>
                </c:pt>
                <c:pt idx="3323">
                  <c:v>2491.26044</c:v>
                </c:pt>
                <c:pt idx="3324">
                  <c:v>2490.8955000000001</c:v>
                </c:pt>
                <c:pt idx="3325">
                  <c:v>2473.1516699999997</c:v>
                </c:pt>
                <c:pt idx="3326">
                  <c:v>2473.3828600000002</c:v>
                </c:pt>
                <c:pt idx="3327">
                  <c:v>2487.8634899999997</c:v>
                </c:pt>
                <c:pt idx="3328">
                  <c:v>2477.1715199999999</c:v>
                </c:pt>
                <c:pt idx="3329">
                  <c:v>2470.4885300000001</c:v>
                </c:pt>
                <c:pt idx="3330">
                  <c:v>2483.6134400000001</c:v>
                </c:pt>
                <c:pt idx="3331">
                  <c:v>2462.1706999999997</c:v>
                </c:pt>
                <c:pt idx="3332">
                  <c:v>2422.4911200000001</c:v>
                </c:pt>
                <c:pt idx="3333">
                  <c:v>2402.6552200000001</c:v>
                </c:pt>
                <c:pt idx="3334">
                  <c:v>2435.2882500000001</c:v>
                </c:pt>
                <c:pt idx="3335">
                  <c:v>2415.6250399999999</c:v>
                </c:pt>
                <c:pt idx="3336">
                  <c:v>2393.2230500000001</c:v>
                </c:pt>
                <c:pt idx="3337">
                  <c:v>2356.3984500000001</c:v>
                </c:pt>
                <c:pt idx="3338">
                  <c:v>2370.1450500000001</c:v>
                </c:pt>
                <c:pt idx="3339">
                  <c:v>2394.0352699999999</c:v>
                </c:pt>
                <c:pt idx="3340">
                  <c:v>2374.6386000000002</c:v>
                </c:pt>
                <c:pt idx="3341">
                  <c:v>2365.3557599999999</c:v>
                </c:pt>
                <c:pt idx="3342">
                  <c:v>2359.8445500000003</c:v>
                </c:pt>
                <c:pt idx="3343">
                  <c:v>2412.5412299999998</c:v>
                </c:pt>
                <c:pt idx="3344">
                  <c:v>2365.5485600000002</c:v>
                </c:pt>
                <c:pt idx="3345">
                  <c:v>2375.1428400000004</c:v>
                </c:pt>
                <c:pt idx="3346">
                  <c:v>2388.8982000000001</c:v>
                </c:pt>
                <c:pt idx="3347">
                  <c:v>2363.2300500000001</c:v>
                </c:pt>
                <c:pt idx="3348">
                  <c:v>2379.5299399999999</c:v>
                </c:pt>
                <c:pt idx="3349">
                  <c:v>2392.9155000000001</c:v>
                </c:pt>
                <c:pt idx="3350">
                  <c:v>2360.5796700000001</c:v>
                </c:pt>
                <c:pt idx="3351">
                  <c:v>2360.7187800000002</c:v>
                </c:pt>
                <c:pt idx="3352">
                  <c:v>2365.6059</c:v>
                </c:pt>
                <c:pt idx="3353">
                  <c:v>2412.7091300000002</c:v>
                </c:pt>
                <c:pt idx="3354">
                  <c:v>2443.9257599999996</c:v>
                </c:pt>
                <c:pt idx="3355">
                  <c:v>2435.1201300000002</c:v>
                </c:pt>
                <c:pt idx="3356">
                  <c:v>2446.08</c:v>
                </c:pt>
                <c:pt idx="3357">
                  <c:v>2420.7456000000002</c:v>
                </c:pt>
                <c:pt idx="3358">
                  <c:v>2440.7498900000001</c:v>
                </c:pt>
                <c:pt idx="3359">
                  <c:v>2400.5235899999998</c:v>
                </c:pt>
                <c:pt idx="3360">
                  <c:v>2386.8807999999999</c:v>
                </c:pt>
                <c:pt idx="3361">
                  <c:v>2393.4409999999998</c:v>
                </c:pt>
                <c:pt idx="3362">
                  <c:v>2389.4498600000002</c:v>
                </c:pt>
                <c:pt idx="3363">
                  <c:v>2355.1031200000002</c:v>
                </c:pt>
                <c:pt idx="3364">
                  <c:v>2341.3977600000003</c:v>
                </c:pt>
                <c:pt idx="3365">
                  <c:v>2344.5931599999999</c:v>
                </c:pt>
                <c:pt idx="3366">
                  <c:v>2325.3679500000003</c:v>
                </c:pt>
                <c:pt idx="3367">
                  <c:v>2331.36708</c:v>
                </c:pt>
                <c:pt idx="3368">
                  <c:v>2311.9115499999998</c:v>
                </c:pt>
                <c:pt idx="3369">
                  <c:v>2309.7397999999998</c:v>
                </c:pt>
                <c:pt idx="3370">
                  <c:v>2318.8390399999998</c:v>
                </c:pt>
                <c:pt idx="3371">
                  <c:v>2378.59024</c:v>
                </c:pt>
                <c:pt idx="3372">
                  <c:v>2426.7375000000002</c:v>
                </c:pt>
                <c:pt idx="3373">
                  <c:v>2426.1296299999999</c:v>
                </c:pt>
                <c:pt idx="3374">
                  <c:v>2423.9513999999999</c:v>
                </c:pt>
                <c:pt idx="3375">
                  <c:v>2425.4171900000001</c:v>
                </c:pt>
                <c:pt idx="3376">
                  <c:v>2434.1024200000002</c:v>
                </c:pt>
                <c:pt idx="3377">
                  <c:v>2421.0568800000001</c:v>
                </c:pt>
                <c:pt idx="3378">
                  <c:v>2458.9591000000005</c:v>
                </c:pt>
                <c:pt idx="3379">
                  <c:v>2442.7691199999999</c:v>
                </c:pt>
                <c:pt idx="3380">
                  <c:v>2437.3473600000002</c:v>
                </c:pt>
                <c:pt idx="3381">
                  <c:v>2450.3924999999999</c:v>
                </c:pt>
                <c:pt idx="3382">
                  <c:v>2427.53845</c:v>
                </c:pt>
                <c:pt idx="3383">
                  <c:v>2469.29648</c:v>
                </c:pt>
                <c:pt idx="3384">
                  <c:v>2501.7489000000005</c:v>
                </c:pt>
                <c:pt idx="3385">
                  <c:v>2489.2748999999999</c:v>
                </c:pt>
                <c:pt idx="3386">
                  <c:v>2472.3452200000002</c:v>
                </c:pt>
                <c:pt idx="3387">
                  <c:v>2436.97102</c:v>
                </c:pt>
                <c:pt idx="3388">
                  <c:v>2519.5737600000002</c:v>
                </c:pt>
                <c:pt idx="3389">
                  <c:v>2570.7451000000001</c:v>
                </c:pt>
                <c:pt idx="3390">
                  <c:v>2542.2397000000001</c:v>
                </c:pt>
                <c:pt idx="3391">
                  <c:v>2532.7417500000001</c:v>
                </c:pt>
                <c:pt idx="3392">
                  <c:v>2561.0367900000001</c:v>
                </c:pt>
                <c:pt idx="3393">
                  <c:v>2540.9731999999999</c:v>
                </c:pt>
                <c:pt idx="3394">
                  <c:v>2477.3334199999999</c:v>
                </c:pt>
                <c:pt idx="3395">
                  <c:v>2505.4931999999999</c:v>
                </c:pt>
                <c:pt idx="3396">
                  <c:v>2526.2768000000001</c:v>
                </c:pt>
                <c:pt idx="3397">
                  <c:v>2502.7257</c:v>
                </c:pt>
                <c:pt idx="3398">
                  <c:v>2449.8583199999998</c:v>
                </c:pt>
                <c:pt idx="3399">
                  <c:v>2456.5977800000001</c:v>
                </c:pt>
                <c:pt idx="3400">
                  <c:v>2407.0919600000002</c:v>
                </c:pt>
                <c:pt idx="3401">
                  <c:v>2395.2580699999999</c:v>
                </c:pt>
                <c:pt idx="3402">
                  <c:v>2419.0564800000002</c:v>
                </c:pt>
                <c:pt idx="3403">
                  <c:v>2445.3239999999996</c:v>
                </c:pt>
                <c:pt idx="3404">
                  <c:v>2450.0089600000001</c:v>
                </c:pt>
                <c:pt idx="3405">
                  <c:v>2436.2888399999997</c:v>
                </c:pt>
                <c:pt idx="3406">
                  <c:v>2464.6852599999997</c:v>
                </c:pt>
                <c:pt idx="3407">
                  <c:v>2409.1289399999996</c:v>
                </c:pt>
                <c:pt idx="3408">
                  <c:v>2407.8827999999999</c:v>
                </c:pt>
                <c:pt idx="3409">
                  <c:v>2367.55944</c:v>
                </c:pt>
                <c:pt idx="3410">
                  <c:v>2324.7103400000001</c:v>
                </c:pt>
                <c:pt idx="3411">
                  <c:v>2362.9046000000003</c:v>
                </c:pt>
                <c:pt idx="3412">
                  <c:v>2417.7399300000002</c:v>
                </c:pt>
                <c:pt idx="3413">
                  <c:v>2434.3527399999998</c:v>
                </c:pt>
                <c:pt idx="3414">
                  <c:v>2425.1619000000001</c:v>
                </c:pt>
                <c:pt idx="3415">
                  <c:v>2450.4309800000001</c:v>
                </c:pt>
                <c:pt idx="3416">
                  <c:v>2399.0800799999997</c:v>
                </c:pt>
                <c:pt idx="3417">
                  <c:v>2355.2595999999999</c:v>
                </c:pt>
                <c:pt idx="3418">
                  <c:v>2407.6307999999999</c:v>
                </c:pt>
                <c:pt idx="3419">
                  <c:v>2423.6888100000001</c:v>
                </c:pt>
                <c:pt idx="3420">
                  <c:v>2458.71594</c:v>
                </c:pt>
                <c:pt idx="3421">
                  <c:v>2413.9239000000002</c:v>
                </c:pt>
                <c:pt idx="3422">
                  <c:v>2412.80116</c:v>
                </c:pt>
                <c:pt idx="3423">
                  <c:v>2448.5676800000001</c:v>
                </c:pt>
                <c:pt idx="3424">
                  <c:v>2387.3925599999998</c:v>
                </c:pt>
                <c:pt idx="3425">
                  <c:v>2343.2357999999999</c:v>
                </c:pt>
                <c:pt idx="3426">
                  <c:v>2373.8537699999997</c:v>
                </c:pt>
                <c:pt idx="3427">
                  <c:v>2358.1044000000002</c:v>
                </c:pt>
                <c:pt idx="3428">
                  <c:v>2364.53087</c:v>
                </c:pt>
                <c:pt idx="3429">
                  <c:v>2317.7455</c:v>
                </c:pt>
                <c:pt idx="3430">
                  <c:v>2321.74748</c:v>
                </c:pt>
                <c:pt idx="3431">
                  <c:v>2352.0954999999999</c:v>
                </c:pt>
                <c:pt idx="3432">
                  <c:v>2393.01865</c:v>
                </c:pt>
                <c:pt idx="3433">
                  <c:v>2348.1790099999998</c:v>
                </c:pt>
                <c:pt idx="3434">
                  <c:v>2290.9485600000003</c:v>
                </c:pt>
                <c:pt idx="3435">
                  <c:v>2386.6857600000003</c:v>
                </c:pt>
                <c:pt idx="3436">
                  <c:v>2380.4409599999999</c:v>
                </c:pt>
                <c:pt idx="3437">
                  <c:v>2367.7444500000001</c:v>
                </c:pt>
                <c:pt idx="3438">
                  <c:v>2479.4816000000001</c:v>
                </c:pt>
                <c:pt idx="3439">
                  <c:v>2457.5665399999998</c:v>
                </c:pt>
                <c:pt idx="3440">
                  <c:v>2470.3583400000002</c:v>
                </c:pt>
                <c:pt idx="3441">
                  <c:v>2485.7644500000001</c:v>
                </c:pt>
                <c:pt idx="3442">
                  <c:v>2544.8153700000003</c:v>
                </c:pt>
                <c:pt idx="3443">
                  <c:v>2559.4483200000004</c:v>
                </c:pt>
                <c:pt idx="3444">
                  <c:v>2516.7259300000001</c:v>
                </c:pt>
                <c:pt idx="3445">
                  <c:v>2531.0561200000002</c:v>
                </c:pt>
                <c:pt idx="3446">
                  <c:v>2587.9885399999998</c:v>
                </c:pt>
                <c:pt idx="3447">
                  <c:v>2588.2617599999999</c:v>
                </c:pt>
                <c:pt idx="3448">
                  <c:v>2590.44722</c:v>
                </c:pt>
                <c:pt idx="3449">
                  <c:v>2544.8322899999998</c:v>
                </c:pt>
                <c:pt idx="3450">
                  <c:v>2556.8676</c:v>
                </c:pt>
                <c:pt idx="3451">
                  <c:v>2558.59935</c:v>
                </c:pt>
                <c:pt idx="3452">
                  <c:v>2574.6335999999997</c:v>
                </c:pt>
                <c:pt idx="3453">
                  <c:v>2579.8586999999998</c:v>
                </c:pt>
                <c:pt idx="3454">
                  <c:v>2559.3509000000004</c:v>
                </c:pt>
                <c:pt idx="3455">
                  <c:v>2586.7216800000001</c:v>
                </c:pt>
                <c:pt idx="3456">
                  <c:v>2577.6678400000001</c:v>
                </c:pt>
                <c:pt idx="3457">
                  <c:v>2586.1374100000003</c:v>
                </c:pt>
                <c:pt idx="3458">
                  <c:v>2597.3745699999999</c:v>
                </c:pt>
                <c:pt idx="3459">
                  <c:v>2598.1584200000002</c:v>
                </c:pt>
                <c:pt idx="3460">
                  <c:v>2580.5663100000002</c:v>
                </c:pt>
                <c:pt idx="3461">
                  <c:v>2565.6751200000003</c:v>
                </c:pt>
                <c:pt idx="3462">
                  <c:v>2559.09546</c:v>
                </c:pt>
                <c:pt idx="3463">
                  <c:v>2551.5023000000001</c:v>
                </c:pt>
                <c:pt idx="3464">
                  <c:v>2532.2001099999998</c:v>
                </c:pt>
                <c:pt idx="3465">
                  <c:v>2523.06086</c:v>
                </c:pt>
                <c:pt idx="3466">
                  <c:v>2526.8634299999999</c:v>
                </c:pt>
                <c:pt idx="3467">
                  <c:v>2503.5415499999999</c:v>
                </c:pt>
                <c:pt idx="3468">
                  <c:v>2447.1644499999998</c:v>
                </c:pt>
                <c:pt idx="3469">
                  <c:v>2431.0677999999998</c:v>
                </c:pt>
                <c:pt idx="3470">
                  <c:v>2425.5455999999999</c:v>
                </c:pt>
                <c:pt idx="3471">
                  <c:v>2434.9694400000003</c:v>
                </c:pt>
                <c:pt idx="3472">
                  <c:v>2451.5611199999998</c:v>
                </c:pt>
                <c:pt idx="3473">
                  <c:v>2491.6523199999997</c:v>
                </c:pt>
                <c:pt idx="3474">
                  <c:v>2507.4881999999998</c:v>
                </c:pt>
                <c:pt idx="3475">
                  <c:v>2509.8316799999998</c:v>
                </c:pt>
                <c:pt idx="3476">
                  <c:v>2508.8010399999998</c:v>
                </c:pt>
                <c:pt idx="3477">
                  <c:v>2507.4133200000001</c:v>
                </c:pt>
                <c:pt idx="3478">
                  <c:v>2523.7825899999998</c:v>
                </c:pt>
                <c:pt idx="3479">
                  <c:v>2531.6879999999996</c:v>
                </c:pt>
                <c:pt idx="3480">
                  <c:v>2501.8619000000003</c:v>
                </c:pt>
                <c:pt idx="3481">
                  <c:v>2493.22174</c:v>
                </c:pt>
                <c:pt idx="3482">
                  <c:v>2487.5592000000001</c:v>
                </c:pt>
                <c:pt idx="3483">
                  <c:v>2453.07636</c:v>
                </c:pt>
                <c:pt idx="3484">
                  <c:v>2432.6417999999999</c:v>
                </c:pt>
                <c:pt idx="3485">
                  <c:v>2428.55899</c:v>
                </c:pt>
                <c:pt idx="3486">
                  <c:v>2440.1227200000003</c:v>
                </c:pt>
                <c:pt idx="3487">
                  <c:v>2481.73092</c:v>
                </c:pt>
                <c:pt idx="3488">
                  <c:v>2476.7550000000001</c:v>
                </c:pt>
                <c:pt idx="3489">
                  <c:v>2468.7712000000001</c:v>
                </c:pt>
                <c:pt idx="3490">
                  <c:v>2526.2791400000001</c:v>
                </c:pt>
                <c:pt idx="3491">
                  <c:v>2471.3112500000002</c:v>
                </c:pt>
                <c:pt idx="3492">
                  <c:v>2461.8755999999998</c:v>
                </c:pt>
                <c:pt idx="3493">
                  <c:v>2486.7042199999996</c:v>
                </c:pt>
                <c:pt idx="3494">
                  <c:v>2432.74692</c:v>
                </c:pt>
                <c:pt idx="3495">
                  <c:v>2469.4044900000004</c:v>
                </c:pt>
                <c:pt idx="3496">
                  <c:v>2454.7527600000003</c:v>
                </c:pt>
                <c:pt idx="3497">
                  <c:v>2452.8512300000002</c:v>
                </c:pt>
                <c:pt idx="3498">
                  <c:v>2422.2537000000002</c:v>
                </c:pt>
                <c:pt idx="3499">
                  <c:v>2423.66</c:v>
                </c:pt>
                <c:pt idx="3500">
                  <c:v>2423.4391500000002</c:v>
                </c:pt>
                <c:pt idx="3501">
                  <c:v>2407.77783</c:v>
                </c:pt>
                <c:pt idx="3502">
                  <c:v>2402.5484799999999</c:v>
                </c:pt>
                <c:pt idx="3503">
                  <c:v>2390.7850400000002</c:v>
                </c:pt>
                <c:pt idx="3504">
                  <c:v>2399.61528</c:v>
                </c:pt>
                <c:pt idx="3505">
                  <c:v>2429.3325399999999</c:v>
                </c:pt>
                <c:pt idx="3506">
                  <c:v>2409.6608700000002</c:v>
                </c:pt>
                <c:pt idx="3507">
                  <c:v>2407.8599199999999</c:v>
                </c:pt>
                <c:pt idx="3508">
                  <c:v>2419.2501999999999</c:v>
                </c:pt>
                <c:pt idx="3509">
                  <c:v>2389.6509000000001</c:v>
                </c:pt>
                <c:pt idx="3510">
                  <c:v>2365.0320899999997</c:v>
                </c:pt>
                <c:pt idx="3511">
                  <c:v>2378.5000800000003</c:v>
                </c:pt>
                <c:pt idx="3512">
                  <c:v>2405.1666099999998</c:v>
                </c:pt>
                <c:pt idx="3513">
                  <c:v>2392.7019599999999</c:v>
                </c:pt>
                <c:pt idx="3514">
                  <c:v>2369.8333699999998</c:v>
                </c:pt>
                <c:pt idx="3515">
                  <c:v>2365.2384000000002</c:v>
                </c:pt>
                <c:pt idx="3516">
                  <c:v>2359.6256199999998</c:v>
                </c:pt>
                <c:pt idx="3517">
                  <c:v>2371.1849999999999</c:v>
                </c:pt>
                <c:pt idx="3518">
                  <c:v>2370.0134699999999</c:v>
                </c:pt>
                <c:pt idx="3519">
                  <c:v>2349.5098200000002</c:v>
                </c:pt>
                <c:pt idx="3520">
                  <c:v>2355.2869999999998</c:v>
                </c:pt>
                <c:pt idx="3521">
                  <c:v>2329.5649200000003</c:v>
                </c:pt>
                <c:pt idx="3522">
                  <c:v>2338.2209399999997</c:v>
                </c:pt>
                <c:pt idx="3523">
                  <c:v>2335.4090999999999</c:v>
                </c:pt>
                <c:pt idx="3524">
                  <c:v>2321.1261</c:v>
                </c:pt>
                <c:pt idx="3525">
                  <c:v>2296.3856500000002</c:v>
                </c:pt>
                <c:pt idx="3526">
                  <c:v>2292.0785000000001</c:v>
                </c:pt>
                <c:pt idx="3527">
                  <c:v>2294.8259700000003</c:v>
                </c:pt>
                <c:pt idx="3528">
                  <c:v>2283.9478399999998</c:v>
                </c:pt>
                <c:pt idx="3529">
                  <c:v>2259.5142000000001</c:v>
                </c:pt>
                <c:pt idx="3530">
                  <c:v>2259.5749999999998</c:v>
                </c:pt>
                <c:pt idx="3531">
                  <c:v>2260.14516</c:v>
                </c:pt>
                <c:pt idx="3532">
                  <c:v>2258.8558199999998</c:v>
                </c:pt>
                <c:pt idx="3533">
                  <c:v>2250.0085199999999</c:v>
                </c:pt>
                <c:pt idx="3534">
                  <c:v>2234.58176</c:v>
                </c:pt>
                <c:pt idx="3535">
                  <c:v>2223.6768000000002</c:v>
                </c:pt>
                <c:pt idx="3536">
                  <c:v>2198.7961</c:v>
                </c:pt>
                <c:pt idx="3537">
                  <c:v>2195.2290600000001</c:v>
                </c:pt>
                <c:pt idx="3538">
                  <c:v>2192.2026000000001</c:v>
                </c:pt>
                <c:pt idx="3539">
                  <c:v>2212.5875199999996</c:v>
                </c:pt>
                <c:pt idx="3540">
                  <c:v>2171.4796799999999</c:v>
                </c:pt>
                <c:pt idx="3541">
                  <c:v>2150.4161300000001</c:v>
                </c:pt>
                <c:pt idx="3542">
                  <c:v>2154.82368</c:v>
                </c:pt>
                <c:pt idx="3543">
                  <c:v>2148.7283200000002</c:v>
                </c:pt>
                <c:pt idx="3544">
                  <c:v>2098.8478500000001</c:v>
                </c:pt>
                <c:pt idx="3545">
                  <c:v>2084.0951700000001</c:v>
                </c:pt>
                <c:pt idx="3546">
                  <c:v>2076.6843599999997</c:v>
                </c:pt>
                <c:pt idx="3547">
                  <c:v>2064.01845</c:v>
                </c:pt>
                <c:pt idx="3548">
                  <c:v>2032.8525199999999</c:v>
                </c:pt>
                <c:pt idx="3549">
                  <c:v>2059.3527300000001</c:v>
                </c:pt>
                <c:pt idx="3550">
                  <c:v>2067.8645799999999</c:v>
                </c:pt>
                <c:pt idx="3551">
                  <c:v>2016.0963199999997</c:v>
                </c:pt>
                <c:pt idx="3552">
                  <c:v>2034.1737900000001</c:v>
                </c:pt>
                <c:pt idx="3553">
                  <c:v>2048.2983199999999</c:v>
                </c:pt>
                <c:pt idx="3554">
                  <c:v>2062.6622400000001</c:v>
                </c:pt>
                <c:pt idx="3555">
                  <c:v>2062.37916</c:v>
                </c:pt>
                <c:pt idx="3556">
                  <c:v>2054.82449</c:v>
                </c:pt>
                <c:pt idx="3557">
                  <c:v>2107.4779200000003</c:v>
                </c:pt>
                <c:pt idx="3558">
                  <c:v>2115.1517400000002</c:v>
                </c:pt>
                <c:pt idx="3559">
                  <c:v>2126.1115099999997</c:v>
                </c:pt>
                <c:pt idx="3560">
                  <c:v>2121.9168</c:v>
                </c:pt>
                <c:pt idx="3561">
                  <c:v>2132.9239200000002</c:v>
                </c:pt>
                <c:pt idx="3562">
                  <c:v>2135.12536</c:v>
                </c:pt>
                <c:pt idx="3563">
                  <c:v>2148.29898</c:v>
                </c:pt>
                <c:pt idx="3564">
                  <c:v>2150.1314199999997</c:v>
                </c:pt>
                <c:pt idx="3565">
                  <c:v>2168.0850300000002</c:v>
                </c:pt>
                <c:pt idx="3566">
                  <c:v>2168.0100400000001</c:v>
                </c:pt>
                <c:pt idx="3567">
                  <c:v>2169.2628</c:v>
                </c:pt>
                <c:pt idx="3568">
                  <c:v>2168.8262</c:v>
                </c:pt>
                <c:pt idx="3569">
                  <c:v>2144.7095599999998</c:v>
                </c:pt>
                <c:pt idx="3570">
                  <c:v>2175.8936100000001</c:v>
                </c:pt>
                <c:pt idx="3571">
                  <c:v>2160.0432000000001</c:v>
                </c:pt>
                <c:pt idx="3572">
                  <c:v>2185.2702300000001</c:v>
                </c:pt>
                <c:pt idx="3573">
                  <c:v>2210.4592499999999</c:v>
                </c:pt>
                <c:pt idx="3574">
                  <c:v>2189.1609600000002</c:v>
                </c:pt>
                <c:pt idx="3575">
                  <c:v>2189.6211199999998</c:v>
                </c:pt>
                <c:pt idx="3576">
                  <c:v>2188.8508000000002</c:v>
                </c:pt>
                <c:pt idx="3577">
                  <c:v>2170.4819200000002</c:v>
                </c:pt>
                <c:pt idx="3578">
                  <c:v>2159.1955799999996</c:v>
                </c:pt>
                <c:pt idx="3579">
                  <c:v>2153.2952</c:v>
                </c:pt>
                <c:pt idx="3580">
                  <c:v>2131.8397800000002</c:v>
                </c:pt>
                <c:pt idx="3581">
                  <c:v>2169.3533399999997</c:v>
                </c:pt>
                <c:pt idx="3582">
                  <c:v>2180.99406</c:v>
                </c:pt>
                <c:pt idx="3583">
                  <c:v>2179.9100699999999</c:v>
                </c:pt>
                <c:pt idx="3584">
                  <c:v>2202.1190099999999</c:v>
                </c:pt>
                <c:pt idx="3585">
                  <c:v>2196.9989099999998</c:v>
                </c:pt>
                <c:pt idx="3586">
                  <c:v>2179.8904400000001</c:v>
                </c:pt>
                <c:pt idx="3587">
                  <c:v>2188.7475599999998</c:v>
                </c:pt>
                <c:pt idx="3588">
                  <c:v>2187.6420499999999</c:v>
                </c:pt>
                <c:pt idx="3589">
                  <c:v>2256.8811099999998</c:v>
                </c:pt>
                <c:pt idx="3590">
                  <c:v>2249.3912000000005</c:v>
                </c:pt>
                <c:pt idx="3591">
                  <c:v>2286.3014200000002</c:v>
                </c:pt>
                <c:pt idx="3592">
                  <c:v>2292.77045</c:v>
                </c:pt>
                <c:pt idx="3593">
                  <c:v>2259.3233700000001</c:v>
                </c:pt>
                <c:pt idx="3594">
                  <c:v>2243.0537399999998</c:v>
                </c:pt>
                <c:pt idx="3595">
                  <c:v>2209.9186399999999</c:v>
                </c:pt>
                <c:pt idx="3596">
                  <c:v>2204.08104</c:v>
                </c:pt>
                <c:pt idx="3597">
                  <c:v>2203.5187599999999</c:v>
                </c:pt>
                <c:pt idx="3598">
                  <c:v>2181.9861000000001</c:v>
                </c:pt>
                <c:pt idx="3599">
                  <c:v>2202.62095</c:v>
                </c:pt>
                <c:pt idx="3600">
                  <c:v>2212.8111199999998</c:v>
                </c:pt>
                <c:pt idx="3601">
                  <c:v>2207.8518900000004</c:v>
                </c:pt>
                <c:pt idx="3602">
                  <c:v>2190.39084</c:v>
                </c:pt>
                <c:pt idx="3603">
                  <c:v>2170.3980000000001</c:v>
                </c:pt>
                <c:pt idx="3604">
                  <c:v>2174.20192</c:v>
                </c:pt>
                <c:pt idx="3605">
                  <c:v>2167.4305599999998</c:v>
                </c:pt>
                <c:pt idx="3606">
                  <c:v>2143.7337599999996</c:v>
                </c:pt>
                <c:pt idx="3607">
                  <c:v>2147.26568</c:v>
                </c:pt>
                <c:pt idx="3608">
                  <c:v>2131.5748100000001</c:v>
                </c:pt>
                <c:pt idx="3609">
                  <c:v>2142.6865200000002</c:v>
                </c:pt>
                <c:pt idx="3610">
                  <c:v>2172.6533199999999</c:v>
                </c:pt>
                <c:pt idx="3611">
                  <c:v>2190.7063800000001</c:v>
                </c:pt>
                <c:pt idx="3612">
                  <c:v>2150.1226499999998</c:v>
                </c:pt>
                <c:pt idx="3613">
                  <c:v>2153.6304399999999</c:v>
                </c:pt>
                <c:pt idx="3614">
                  <c:v>2110.0002199999999</c:v>
                </c:pt>
                <c:pt idx="3615">
                  <c:v>2115.8275600000002</c:v>
                </c:pt>
                <c:pt idx="3616">
                  <c:v>2103.11004</c:v>
                </c:pt>
                <c:pt idx="3617">
                  <c:v>2079.6371999999997</c:v>
                </c:pt>
                <c:pt idx="3618">
                  <c:v>2087.6547399999999</c:v>
                </c:pt>
                <c:pt idx="3619">
                  <c:v>2141.1829600000001</c:v>
                </c:pt>
                <c:pt idx="3620">
                  <c:v>2146.7620900000002</c:v>
                </c:pt>
                <c:pt idx="3621">
                  <c:v>2128.71182</c:v>
                </c:pt>
                <c:pt idx="3622">
                  <c:v>2117.0635199999997</c:v>
                </c:pt>
                <c:pt idx="3623">
                  <c:v>2155.9383000000003</c:v>
                </c:pt>
                <c:pt idx="3624">
                  <c:v>2158.8732499999996</c:v>
                </c:pt>
                <c:pt idx="3625">
                  <c:v>2158.21848</c:v>
                </c:pt>
                <c:pt idx="3626">
                  <c:v>2124.5733599999999</c:v>
                </c:pt>
                <c:pt idx="3627">
                  <c:v>2128.721</c:v>
                </c:pt>
                <c:pt idx="3628">
                  <c:v>2145.8865000000001</c:v>
                </c:pt>
                <c:pt idx="3629">
                  <c:v>2146.2952800000003</c:v>
                </c:pt>
                <c:pt idx="3630">
                  <c:v>2132.0312000000004</c:v>
                </c:pt>
                <c:pt idx="3631">
                  <c:v>2111.1176099999998</c:v>
                </c:pt>
                <c:pt idx="3632">
                  <c:v>2096.5694399999998</c:v>
                </c:pt>
                <c:pt idx="3633">
                  <c:v>2104.9128799999999</c:v>
                </c:pt>
                <c:pt idx="3634">
                  <c:v>2079.35088</c:v>
                </c:pt>
                <c:pt idx="3635">
                  <c:v>2083.5672399999999</c:v>
                </c:pt>
                <c:pt idx="3636">
                  <c:v>2085.9707999999996</c:v>
                </c:pt>
                <c:pt idx="3637">
                  <c:v>2054.63978</c:v>
                </c:pt>
                <c:pt idx="3638">
                  <c:v>2040.5782799999999</c:v>
                </c:pt>
                <c:pt idx="3639">
                  <c:v>2030.6015399999999</c:v>
                </c:pt>
                <c:pt idx="3640">
                  <c:v>2034.4679299999998</c:v>
                </c:pt>
                <c:pt idx="3641">
                  <c:v>2053.58176</c:v>
                </c:pt>
                <c:pt idx="3642">
                  <c:v>2059.3812600000001</c:v>
                </c:pt>
                <c:pt idx="3643">
                  <c:v>2052.1734999999999</c:v>
                </c:pt>
                <c:pt idx="3644">
                  <c:v>2039.38968</c:v>
                </c:pt>
                <c:pt idx="3645">
                  <c:v>2023.6142</c:v>
                </c:pt>
                <c:pt idx="3646">
                  <c:v>2020.5512000000001</c:v>
                </c:pt>
                <c:pt idx="3647">
                  <c:v>2022.4614300000001</c:v>
                </c:pt>
                <c:pt idx="3648">
                  <c:v>2022.43445</c:v>
                </c:pt>
                <c:pt idx="3649">
                  <c:v>2028.9555799999998</c:v>
                </c:pt>
                <c:pt idx="3650">
                  <c:v>2042.6282400000002</c:v>
                </c:pt>
                <c:pt idx="3651">
                  <c:v>2019.5548800000001</c:v>
                </c:pt>
                <c:pt idx="3652">
                  <c:v>2011.0782600000002</c:v>
                </c:pt>
                <c:pt idx="3653">
                  <c:v>1976.5403700000002</c:v>
                </c:pt>
                <c:pt idx="3654">
                  <c:v>1959.5264</c:v>
                </c:pt>
                <c:pt idx="3655">
                  <c:v>1954.7127600000001</c:v>
                </c:pt>
                <c:pt idx="3656">
                  <c:v>1964.18948</c:v>
                </c:pt>
                <c:pt idx="3657">
                  <c:v>1954.93175</c:v>
                </c:pt>
                <c:pt idx="3658">
                  <c:v>1958.72262</c:v>
                </c:pt>
                <c:pt idx="3659">
                  <c:v>1971.96363</c:v>
                </c:pt>
                <c:pt idx="3660">
                  <c:v>1960.0067699999997</c:v>
                </c:pt>
                <c:pt idx="3661">
                  <c:v>1965.3150600000001</c:v>
                </c:pt>
                <c:pt idx="3662">
                  <c:v>1935.6555599999999</c:v>
                </c:pt>
                <c:pt idx="3663">
                  <c:v>1903.4877399999998</c:v>
                </c:pt>
                <c:pt idx="3664">
                  <c:v>1919.5638299999998</c:v>
                </c:pt>
                <c:pt idx="3665">
                  <c:v>1930.1214600000001</c:v>
                </c:pt>
                <c:pt idx="3666">
                  <c:v>1938.0737800000002</c:v>
                </c:pt>
                <c:pt idx="3667">
                  <c:v>1888.1604300000001</c:v>
                </c:pt>
                <c:pt idx="3668">
                  <c:v>1917.1862999999998</c:v>
                </c:pt>
                <c:pt idx="3669">
                  <c:v>1932.9429599999999</c:v>
                </c:pt>
                <c:pt idx="3670">
                  <c:v>1955.2017599999999</c:v>
                </c:pt>
                <c:pt idx="3671">
                  <c:v>1947.22621</c:v>
                </c:pt>
                <c:pt idx="3672">
                  <c:v>1961.6086</c:v>
                </c:pt>
                <c:pt idx="3673">
                  <c:v>2001.0185899999999</c:v>
                </c:pt>
                <c:pt idx="3674">
                  <c:v>2039.6115600000001</c:v>
                </c:pt>
                <c:pt idx="3675">
                  <c:v>2042.8750299999999</c:v>
                </c:pt>
                <c:pt idx="3676">
                  <c:v>2027.8886399999997</c:v>
                </c:pt>
                <c:pt idx="3677">
                  <c:v>2034.0400800000002</c:v>
                </c:pt>
                <c:pt idx="3678">
                  <c:v>2015.88282</c:v>
                </c:pt>
                <c:pt idx="3679">
                  <c:v>2000.9963500000003</c:v>
                </c:pt>
                <c:pt idx="3680">
                  <c:v>1972.2093500000001</c:v>
                </c:pt>
                <c:pt idx="3681">
                  <c:v>1945.8995600000001</c:v>
                </c:pt>
                <c:pt idx="3682">
                  <c:v>1935.7990599999998</c:v>
                </c:pt>
                <c:pt idx="3683">
                  <c:v>1969.8956800000003</c:v>
                </c:pt>
                <c:pt idx="3684">
                  <c:v>1970.0699099999997</c:v>
                </c:pt>
                <c:pt idx="3685">
                  <c:v>1932.9572399999997</c:v>
                </c:pt>
                <c:pt idx="3686">
                  <c:v>1960.9254000000001</c:v>
                </c:pt>
                <c:pt idx="3687">
                  <c:v>1978.2341799999999</c:v>
                </c:pt>
                <c:pt idx="3688">
                  <c:v>1972.31062</c:v>
                </c:pt>
                <c:pt idx="3689">
                  <c:v>1969.4528699999998</c:v>
                </c:pt>
                <c:pt idx="3690">
                  <c:v>1967.4756</c:v>
                </c:pt>
                <c:pt idx="3691">
                  <c:v>1964.0824700000001</c:v>
                </c:pt>
                <c:pt idx="3692">
                  <c:v>1954.9926400000002</c:v>
                </c:pt>
                <c:pt idx="3693">
                  <c:v>1954.5312599999997</c:v>
                </c:pt>
                <c:pt idx="3694">
                  <c:v>1963.82556</c:v>
                </c:pt>
                <c:pt idx="3695">
                  <c:v>1977.2501100000002</c:v>
                </c:pt>
                <c:pt idx="3696">
                  <c:v>1981.6016</c:v>
                </c:pt>
                <c:pt idx="3697">
                  <c:v>1965.7029999999997</c:v>
                </c:pt>
                <c:pt idx="3698">
                  <c:v>1951.63804</c:v>
                </c:pt>
                <c:pt idx="3699">
                  <c:v>1962.6341000000002</c:v>
                </c:pt>
                <c:pt idx="3700">
                  <c:v>1977.16392</c:v>
                </c:pt>
                <c:pt idx="3701">
                  <c:v>1982.0098799999998</c:v>
                </c:pt>
                <c:pt idx="3702">
                  <c:v>1985.41904</c:v>
                </c:pt>
                <c:pt idx="3703">
                  <c:v>1984.6574000000001</c:v>
                </c:pt>
                <c:pt idx="3704">
                  <c:v>1986.3417600000002</c:v>
                </c:pt>
                <c:pt idx="3705">
                  <c:v>1985.2128</c:v>
                </c:pt>
                <c:pt idx="3706">
                  <c:v>1972.2882300000001</c:v>
                </c:pt>
                <c:pt idx="3707">
                  <c:v>1961.0388800000001</c:v>
                </c:pt>
                <c:pt idx="3708">
                  <c:v>1965.4143300000001</c:v>
                </c:pt>
                <c:pt idx="3709">
                  <c:v>1969.42698</c:v>
                </c:pt>
                <c:pt idx="3710">
                  <c:v>1966.61058</c:v>
                </c:pt>
                <c:pt idx="3711">
                  <c:v>1948.1667300000001</c:v>
                </c:pt>
                <c:pt idx="3712">
                  <c:v>1933.1762200000001</c:v>
                </c:pt>
                <c:pt idx="3713">
                  <c:v>1934.1460200000001</c:v>
                </c:pt>
                <c:pt idx="3714">
                  <c:v>1937.2259400000003</c:v>
                </c:pt>
                <c:pt idx="3715">
                  <c:v>1928.5432000000001</c:v>
                </c:pt>
                <c:pt idx="3716">
                  <c:v>1903.3494999999998</c:v>
                </c:pt>
                <c:pt idx="3717">
                  <c:v>1889.6335199999999</c:v>
                </c:pt>
                <c:pt idx="3718">
                  <c:v>1877.9423400000001</c:v>
                </c:pt>
                <c:pt idx="3719">
                  <c:v>1883.6928</c:v>
                </c:pt>
                <c:pt idx="3720">
                  <c:v>1846.9703999999999</c:v>
                </c:pt>
                <c:pt idx="3721">
                  <c:v>1831.3446300000001</c:v>
                </c:pt>
                <c:pt idx="3722">
                  <c:v>1828.6589999999999</c:v>
                </c:pt>
                <c:pt idx="3723">
                  <c:v>1829.4793</c:v>
                </c:pt>
                <c:pt idx="3724">
                  <c:v>1854.5102099999999</c:v>
                </c:pt>
                <c:pt idx="3725">
                  <c:v>1841.91452</c:v>
                </c:pt>
                <c:pt idx="3726">
                  <c:v>1861.6012800000001</c:v>
                </c:pt>
                <c:pt idx="3727">
                  <c:v>1875.7516699999999</c:v>
                </c:pt>
                <c:pt idx="3728">
                  <c:v>1856.42616</c:v>
                </c:pt>
                <c:pt idx="3729">
                  <c:v>1854.7051600000002</c:v>
                </c:pt>
                <c:pt idx="3730">
                  <c:v>1858.5678600000001</c:v>
                </c:pt>
                <c:pt idx="3731">
                  <c:v>1873.0650200000002</c:v>
                </c:pt>
                <c:pt idx="3732">
                  <c:v>1866.4774999999997</c:v>
                </c:pt>
                <c:pt idx="3733">
                  <c:v>1870.1564000000001</c:v>
                </c:pt>
                <c:pt idx="3734">
                  <c:v>1880.8691200000001</c:v>
                </c:pt>
                <c:pt idx="3735">
                  <c:v>1876.9998399999999</c:v>
                </c:pt>
                <c:pt idx="3736">
                  <c:v>1880.93842</c:v>
                </c:pt>
                <c:pt idx="3737">
                  <c:v>1852.6206500000001</c:v>
                </c:pt>
                <c:pt idx="3738">
                  <c:v>1849.87986</c:v>
                </c:pt>
                <c:pt idx="3739">
                  <c:v>1871.76585</c:v>
                </c:pt>
                <c:pt idx="3740">
                  <c:v>1856.3040799999999</c:v>
                </c:pt>
                <c:pt idx="3741">
                  <c:v>1857.16734</c:v>
                </c:pt>
                <c:pt idx="3742">
                  <c:v>1856.2587199999998</c:v>
                </c:pt>
                <c:pt idx="3743">
                  <c:v>1819.2655000000002</c:v>
                </c:pt>
                <c:pt idx="3744">
                  <c:v>1798.8198299999999</c:v>
                </c:pt>
                <c:pt idx="3745">
                  <c:v>1788.37006</c:v>
                </c:pt>
                <c:pt idx="3746">
                  <c:v>1780.5213400000002</c:v>
                </c:pt>
                <c:pt idx="3747">
                  <c:v>1767.7384399999999</c:v>
                </c:pt>
                <c:pt idx="3748">
                  <c:v>1777.2160000000001</c:v>
                </c:pt>
                <c:pt idx="3749">
                  <c:v>1777.9969600000002</c:v>
                </c:pt>
                <c:pt idx="3750">
                  <c:v>1777.9551999999999</c:v>
                </c:pt>
                <c:pt idx="3751">
                  <c:v>1773.4390799999999</c:v>
                </c:pt>
                <c:pt idx="3752">
                  <c:v>1759.7902400000003</c:v>
                </c:pt>
                <c:pt idx="3753">
                  <c:v>1753.5960699999998</c:v>
                </c:pt>
                <c:pt idx="3754">
                  <c:v>1752.4284</c:v>
                </c:pt>
                <c:pt idx="3755">
                  <c:v>1754.93768</c:v>
                </c:pt>
                <c:pt idx="3756">
                  <c:v>1772.42345</c:v>
                </c:pt>
                <c:pt idx="3757">
                  <c:v>1751.8900100000001</c:v>
                </c:pt>
                <c:pt idx="3758">
                  <c:v>1743.9897800000001</c:v>
                </c:pt>
                <c:pt idx="3759">
                  <c:v>1768.3538600000002</c:v>
                </c:pt>
                <c:pt idx="3760">
                  <c:v>1778.4422400000001</c:v>
                </c:pt>
                <c:pt idx="3761">
                  <c:v>1779.94803</c:v>
                </c:pt>
                <c:pt idx="3762">
                  <c:v>1740.7056</c:v>
                </c:pt>
                <c:pt idx="3763">
                  <c:v>1729.0572000000002</c:v>
                </c:pt>
                <c:pt idx="3764">
                  <c:v>1712.6068399999999</c:v>
                </c:pt>
                <c:pt idx="3765">
                  <c:v>1696.9244100000001</c:v>
                </c:pt>
                <c:pt idx="3766">
                  <c:v>1664.1882199999998</c:v>
                </c:pt>
                <c:pt idx="3767">
                  <c:v>1669.91473</c:v>
                </c:pt>
                <c:pt idx="3768">
                  <c:v>1675.6895999999999</c:v>
                </c:pt>
                <c:pt idx="3769">
                  <c:v>1689.2647400000001</c:v>
                </c:pt>
                <c:pt idx="3770">
                  <c:v>1668.6783399999999</c:v>
                </c:pt>
                <c:pt idx="3771">
                  <c:v>1685.1809499999999</c:v>
                </c:pt>
                <c:pt idx="3772">
                  <c:v>1683.5252099999998</c:v>
                </c:pt>
                <c:pt idx="3773">
                  <c:v>1698.827</c:v>
                </c:pt>
                <c:pt idx="3774">
                  <c:v>1713.5792399999998</c:v>
                </c:pt>
                <c:pt idx="3775">
                  <c:v>1678.105</c:v>
                </c:pt>
                <c:pt idx="3776">
                  <c:v>1671.87132</c:v>
                </c:pt>
                <c:pt idx="3777">
                  <c:v>1644.1246799999999</c:v>
                </c:pt>
                <c:pt idx="3778">
                  <c:v>1663.8267799999999</c:v>
                </c:pt>
                <c:pt idx="3779">
                  <c:v>1687.1708699999999</c:v>
                </c:pt>
                <c:pt idx="3780">
                  <c:v>1704.3719399999998</c:v>
                </c:pt>
                <c:pt idx="3781">
                  <c:v>1704.2991999999999</c:v>
                </c:pt>
                <c:pt idx="3782">
                  <c:v>1676.8415800000002</c:v>
                </c:pt>
                <c:pt idx="3783">
                  <c:v>1698.5594999999998</c:v>
                </c:pt>
                <c:pt idx="3784">
                  <c:v>1720.53945</c:v>
                </c:pt>
                <c:pt idx="3785">
                  <c:v>1695.5531999999998</c:v>
                </c:pt>
                <c:pt idx="3786">
                  <c:v>1702.1615400000001</c:v>
                </c:pt>
                <c:pt idx="3787">
                  <c:v>1688.27405</c:v>
                </c:pt>
                <c:pt idx="3788">
                  <c:v>1695.1877399999998</c:v>
                </c:pt>
                <c:pt idx="3789">
                  <c:v>1667.8032799999999</c:v>
                </c:pt>
                <c:pt idx="3790">
                  <c:v>1637.0011399999999</c:v>
                </c:pt>
                <c:pt idx="3791">
                  <c:v>1601.7759900000001</c:v>
                </c:pt>
                <c:pt idx="3792">
                  <c:v>1701.2757299999998</c:v>
                </c:pt>
                <c:pt idx="3793">
                  <c:v>1684.06701</c:v>
                </c:pt>
                <c:pt idx="3794">
                  <c:v>1711.3184499999998</c:v>
                </c:pt>
                <c:pt idx="3795">
                  <c:v>1733.4099000000001</c:v>
                </c:pt>
                <c:pt idx="3796">
                  <c:v>1760.7700000000002</c:v>
                </c:pt>
                <c:pt idx="3797">
                  <c:v>1745.6451999999999</c:v>
                </c:pt>
                <c:pt idx="3798">
                  <c:v>1728.8279599999998</c:v>
                </c:pt>
                <c:pt idx="3799">
                  <c:v>1728.5281199999999</c:v>
                </c:pt>
                <c:pt idx="3800">
                  <c:v>1747.8753600000002</c:v>
                </c:pt>
                <c:pt idx="3801">
                  <c:v>1762.7084</c:v>
                </c:pt>
                <c:pt idx="3802">
                  <c:v>1717.6750600000003</c:v>
                </c:pt>
                <c:pt idx="3803">
                  <c:v>1751.64444</c:v>
                </c:pt>
                <c:pt idx="3804">
                  <c:v>1768.76097</c:v>
                </c:pt>
                <c:pt idx="3805">
                  <c:v>1768.5344999999998</c:v>
                </c:pt>
                <c:pt idx="3806">
                  <c:v>1749.8445900000002</c:v>
                </c:pt>
                <c:pt idx="3807">
                  <c:v>1771.4171999999999</c:v>
                </c:pt>
                <c:pt idx="3808">
                  <c:v>1780.9921600000002</c:v>
                </c:pt>
                <c:pt idx="3809">
                  <c:v>1808.5728000000001</c:v>
                </c:pt>
                <c:pt idx="3810">
                  <c:v>1788.4644000000001</c:v>
                </c:pt>
                <c:pt idx="3811">
                  <c:v>1787.8579399999999</c:v>
                </c:pt>
                <c:pt idx="3812">
                  <c:v>1765.0206000000001</c:v>
                </c:pt>
                <c:pt idx="3813">
                  <c:v>1757.4943800000003</c:v>
                </c:pt>
                <c:pt idx="3814">
                  <c:v>1718.2448599999998</c:v>
                </c:pt>
                <c:pt idx="3815">
                  <c:v>1724.1268799999998</c:v>
                </c:pt>
                <c:pt idx="3816">
                  <c:v>1722.6161299999999</c:v>
                </c:pt>
                <c:pt idx="3817">
                  <c:v>1734.6602700000003</c:v>
                </c:pt>
                <c:pt idx="3818">
                  <c:v>1741.2856000000002</c:v>
                </c:pt>
                <c:pt idx="3819">
                  <c:v>1739.0025900000001</c:v>
                </c:pt>
                <c:pt idx="3820">
                  <c:v>1762.6822500000001</c:v>
                </c:pt>
                <c:pt idx="3821">
                  <c:v>1744.5591999999999</c:v>
                </c:pt>
                <c:pt idx="3822">
                  <c:v>1734.2899</c:v>
                </c:pt>
                <c:pt idx="3823">
                  <c:v>1731.9304200000001</c:v>
                </c:pt>
                <c:pt idx="3824">
                  <c:v>1719.8131199999998</c:v>
                </c:pt>
                <c:pt idx="3825">
                  <c:v>1674.7856000000002</c:v>
                </c:pt>
                <c:pt idx="3826">
                  <c:v>1657.7351199999998</c:v>
                </c:pt>
                <c:pt idx="3827">
                  <c:v>1670.40328</c:v>
                </c:pt>
                <c:pt idx="3828">
                  <c:v>1645.8876</c:v>
                </c:pt>
                <c:pt idx="3829">
                  <c:v>1634.8999200000001</c:v>
                </c:pt>
                <c:pt idx="3830">
                  <c:v>1667.4248</c:v>
                </c:pt>
                <c:pt idx="3831">
                  <c:v>1684.2264299999999</c:v>
                </c:pt>
                <c:pt idx="3832">
                  <c:v>1689.8332499999999</c:v>
                </c:pt>
                <c:pt idx="3833">
                  <c:v>1707.33888</c:v>
                </c:pt>
                <c:pt idx="3834">
                  <c:v>1704.6814400000001</c:v>
                </c:pt>
                <c:pt idx="3835">
                  <c:v>1685.5348099999999</c:v>
                </c:pt>
                <c:pt idx="3836">
                  <c:v>1686.6124399999999</c:v>
                </c:pt>
                <c:pt idx="3837">
                  <c:v>1718.57698</c:v>
                </c:pt>
                <c:pt idx="3838">
                  <c:v>1719.0535500000001</c:v>
                </c:pt>
                <c:pt idx="3839">
                  <c:v>1723.3102900000001</c:v>
                </c:pt>
                <c:pt idx="3840">
                  <c:v>1745.0318199999999</c:v>
                </c:pt>
                <c:pt idx="3841">
                  <c:v>1734.3920099999998</c:v>
                </c:pt>
                <c:pt idx="3842">
                  <c:v>1717.7799599999998</c:v>
                </c:pt>
                <c:pt idx="3843">
                  <c:v>1747.8028800000002</c:v>
                </c:pt>
                <c:pt idx="3844">
                  <c:v>1738.3466699999999</c:v>
                </c:pt>
                <c:pt idx="3845">
                  <c:v>1719.87354</c:v>
                </c:pt>
                <c:pt idx="3846">
                  <c:v>1717.8275399999998</c:v>
                </c:pt>
                <c:pt idx="3847">
                  <c:v>1732.7248400000001</c:v>
                </c:pt>
                <c:pt idx="3848">
                  <c:v>1734.1106200000002</c:v>
                </c:pt>
                <c:pt idx="3849">
                  <c:v>1721.6008899999999</c:v>
                </c:pt>
                <c:pt idx="3850">
                  <c:v>1708.5950199999997</c:v>
                </c:pt>
                <c:pt idx="3851">
                  <c:v>1709.1177400000001</c:v>
                </c:pt>
                <c:pt idx="3852">
                  <c:v>1743.0000000000002</c:v>
                </c:pt>
                <c:pt idx="3853">
                  <c:v>1738.9422500000001</c:v>
                </c:pt>
                <c:pt idx="3854">
                  <c:v>1756.9975999999999</c:v>
                </c:pt>
                <c:pt idx="3855">
                  <c:v>1758.96525</c:v>
                </c:pt>
                <c:pt idx="3856">
                  <c:v>1752.10096</c:v>
                </c:pt>
                <c:pt idx="3857">
                  <c:v>1723.8761099999999</c:v>
                </c:pt>
                <c:pt idx="3858">
                  <c:v>1765.32944</c:v>
                </c:pt>
                <c:pt idx="3859">
                  <c:v>1800.0756000000001</c:v>
                </c:pt>
                <c:pt idx="3860">
                  <c:v>1769.9076</c:v>
                </c:pt>
                <c:pt idx="3861">
                  <c:v>1729.9894800000002</c:v>
                </c:pt>
                <c:pt idx="3862">
                  <c:v>1693.70471</c:v>
                </c:pt>
                <c:pt idx="3863">
                  <c:v>1707.6785899999998</c:v>
                </c:pt>
                <c:pt idx="3864">
                  <c:v>1727.8314499999999</c:v>
                </c:pt>
                <c:pt idx="3865">
                  <c:v>1747.1590799999999</c:v>
                </c:pt>
                <c:pt idx="3866">
                  <c:v>1759.54683</c:v>
                </c:pt>
                <c:pt idx="3867">
                  <c:v>1767.5629800000002</c:v>
                </c:pt>
                <c:pt idx="3868">
                  <c:v>1752.7333999999998</c:v>
                </c:pt>
                <c:pt idx="3869">
                  <c:v>1770.34356</c:v>
                </c:pt>
                <c:pt idx="3870">
                  <c:v>1756.6839599999998</c:v>
                </c:pt>
                <c:pt idx="3871">
                  <c:v>1785.9588599999997</c:v>
                </c:pt>
                <c:pt idx="3872">
                  <c:v>1779.9616199999998</c:v>
                </c:pt>
                <c:pt idx="3873">
                  <c:v>1768.7160000000001</c:v>
                </c:pt>
                <c:pt idx="3874">
                  <c:v>1754.4623000000001</c:v>
                </c:pt>
                <c:pt idx="3875">
                  <c:v>1736.4239899999998</c:v>
                </c:pt>
                <c:pt idx="3876">
                  <c:v>1724.3448599999999</c:v>
                </c:pt>
                <c:pt idx="3877">
                  <c:v>1729.5692599999998</c:v>
                </c:pt>
                <c:pt idx="3878">
                  <c:v>1732.3664799999999</c:v>
                </c:pt>
                <c:pt idx="3879">
                  <c:v>1701.7421999999999</c:v>
                </c:pt>
                <c:pt idx="3880">
                  <c:v>1697.2934399999999</c:v>
                </c:pt>
                <c:pt idx="3881">
                  <c:v>1713.8597499999998</c:v>
                </c:pt>
                <c:pt idx="3882">
                  <c:v>1703.0318500000001</c:v>
                </c:pt>
                <c:pt idx="3883">
                  <c:v>1680.4780799999999</c:v>
                </c:pt>
                <c:pt idx="3884">
                  <c:v>1652.1441300000001</c:v>
                </c:pt>
                <c:pt idx="3885">
                  <c:v>1641.38778</c:v>
                </c:pt>
                <c:pt idx="3886">
                  <c:v>1645.5428800000002</c:v>
                </c:pt>
                <c:pt idx="3887">
                  <c:v>1645.0736800000002</c:v>
                </c:pt>
                <c:pt idx="3888">
                  <c:v>1630.8445400000001</c:v>
                </c:pt>
                <c:pt idx="3889">
                  <c:v>1625.1204199999997</c:v>
                </c:pt>
                <c:pt idx="3890">
                  <c:v>1634.80898</c:v>
                </c:pt>
                <c:pt idx="3891">
                  <c:v>1633.6884</c:v>
                </c:pt>
                <c:pt idx="3892">
                  <c:v>1629.44102</c:v>
                </c:pt>
                <c:pt idx="3893">
                  <c:v>1617.9235200000001</c:v>
                </c:pt>
                <c:pt idx="3894">
                  <c:v>1607.8202699999999</c:v>
                </c:pt>
                <c:pt idx="3895">
                  <c:v>1592.33088</c:v>
                </c:pt>
                <c:pt idx="3896">
                  <c:v>1583.0450999999998</c:v>
                </c:pt>
                <c:pt idx="3897">
                  <c:v>1594.4100800000001</c:v>
                </c:pt>
                <c:pt idx="3898">
                  <c:v>1576.0279499999999</c:v>
                </c:pt>
                <c:pt idx="3899">
                  <c:v>1553.3953199999999</c:v>
                </c:pt>
                <c:pt idx="3900">
                  <c:v>1545.7934699999998</c:v>
                </c:pt>
                <c:pt idx="3901">
                  <c:v>1539.8441999999998</c:v>
                </c:pt>
                <c:pt idx="3902">
                  <c:v>1554.9048799999998</c:v>
                </c:pt>
                <c:pt idx="3903">
                  <c:v>1550.8042</c:v>
                </c:pt>
                <c:pt idx="3904">
                  <c:v>1552.7483999999999</c:v>
                </c:pt>
                <c:pt idx="3905">
                  <c:v>1538.32204</c:v>
                </c:pt>
                <c:pt idx="3906">
                  <c:v>1527.12084</c:v>
                </c:pt>
                <c:pt idx="3907">
                  <c:v>1517.0667799999999</c:v>
                </c:pt>
                <c:pt idx="3908">
                  <c:v>1487.5497</c:v>
                </c:pt>
                <c:pt idx="3909">
                  <c:v>1468.5555199999999</c:v>
                </c:pt>
                <c:pt idx="3910">
                  <c:v>1478.9985000000001</c:v>
                </c:pt>
                <c:pt idx="3911">
                  <c:v>1492.5965000000001</c:v>
                </c:pt>
                <c:pt idx="3912">
                  <c:v>1473.03514</c:v>
                </c:pt>
                <c:pt idx="3913">
                  <c:v>1461.5040000000001</c:v>
                </c:pt>
                <c:pt idx="3914">
                  <c:v>1457.1408200000001</c:v>
                </c:pt>
                <c:pt idx="3915">
                  <c:v>1444.1801499999999</c:v>
                </c:pt>
                <c:pt idx="3916">
                  <c:v>1455.5857699999999</c:v>
                </c:pt>
                <c:pt idx="3917">
                  <c:v>1491.06474</c:v>
                </c:pt>
                <c:pt idx="3918">
                  <c:v>1519.4737600000001</c:v>
                </c:pt>
                <c:pt idx="3919">
                  <c:v>1519.2834</c:v>
                </c:pt>
                <c:pt idx="3920">
                  <c:v>1531.4447399999999</c:v>
                </c:pt>
                <c:pt idx="3921">
                  <c:v>1529.6235000000001</c:v>
                </c:pt>
                <c:pt idx="3922">
                  <c:v>1497.1904399999999</c:v>
                </c:pt>
                <c:pt idx="3923">
                  <c:v>1502.7932000000001</c:v>
                </c:pt>
                <c:pt idx="3924">
                  <c:v>1504.0183399999999</c:v>
                </c:pt>
                <c:pt idx="3925">
                  <c:v>1514.6507599999998</c:v>
                </c:pt>
                <c:pt idx="3926">
                  <c:v>1501.1371800000002</c:v>
                </c:pt>
                <c:pt idx="3927">
                  <c:v>1509.5791200000001</c:v>
                </c:pt>
                <c:pt idx="3928">
                  <c:v>1473.5726999999999</c:v>
                </c:pt>
                <c:pt idx="3929">
                  <c:v>1489.7399499999999</c:v>
                </c:pt>
                <c:pt idx="3930">
                  <c:v>1501.7213499999998</c:v>
                </c:pt>
                <c:pt idx="3931">
                  <c:v>1490.2560000000001</c:v>
                </c:pt>
                <c:pt idx="3932">
                  <c:v>1466.2072799999999</c:v>
                </c:pt>
                <c:pt idx="3933">
                  <c:v>1485.6882799999998</c:v>
                </c:pt>
                <c:pt idx="3934">
                  <c:v>1475.4719400000001</c:v>
                </c:pt>
                <c:pt idx="3935">
                  <c:v>1478.9817600000001</c:v>
                </c:pt>
                <c:pt idx="3936">
                  <c:v>1490.0659799999999</c:v>
                </c:pt>
                <c:pt idx="3937">
                  <c:v>1484.9449999999999</c:v>
                </c:pt>
                <c:pt idx="3938">
                  <c:v>1474.1080499999998</c:v>
                </c:pt>
                <c:pt idx="3939">
                  <c:v>1490.8160999999998</c:v>
                </c:pt>
                <c:pt idx="3940">
                  <c:v>1509.3860399999999</c:v>
                </c:pt>
                <c:pt idx="3941">
                  <c:v>1503.2869800000001</c:v>
                </c:pt>
                <c:pt idx="3942">
                  <c:v>1513.2299799999998</c:v>
                </c:pt>
                <c:pt idx="3943">
                  <c:v>1509.93264</c:v>
                </c:pt>
                <c:pt idx="3944">
                  <c:v>1504.7660599999999</c:v>
                </c:pt>
                <c:pt idx="3945">
                  <c:v>1498.3347700000002</c:v>
                </c:pt>
                <c:pt idx="3946">
                  <c:v>1511.06962</c:v>
                </c:pt>
                <c:pt idx="3947">
                  <c:v>1496.19886</c:v>
                </c:pt>
                <c:pt idx="3948">
                  <c:v>1513.0731900000001</c:v>
                </c:pt>
                <c:pt idx="3949">
                  <c:v>1513.69515</c:v>
                </c:pt>
                <c:pt idx="3950">
                  <c:v>1487.0244699999998</c:v>
                </c:pt>
                <c:pt idx="3951">
                  <c:v>1507.7640000000001</c:v>
                </c:pt>
                <c:pt idx="3952">
                  <c:v>1501.3610000000001</c:v>
                </c:pt>
                <c:pt idx="3953">
                  <c:v>1512.3240000000001</c:v>
                </c:pt>
                <c:pt idx="3954">
                  <c:v>1515.5254799999998</c:v>
                </c:pt>
                <c:pt idx="3955">
                  <c:v>1521.40032</c:v>
                </c:pt>
                <c:pt idx="3956">
                  <c:v>1523.8828399999998</c:v>
                </c:pt>
                <c:pt idx="3957">
                  <c:v>1502.3314799999998</c:v>
                </c:pt>
                <c:pt idx="3958">
                  <c:v>1505.1951999999999</c:v>
                </c:pt>
                <c:pt idx="3959">
                  <c:v>1511.04856</c:v>
                </c:pt>
                <c:pt idx="3960">
                  <c:v>1488.1879199999998</c:v>
                </c:pt>
                <c:pt idx="3961">
                  <c:v>1500.2951</c:v>
                </c:pt>
                <c:pt idx="3962">
                  <c:v>1470.1900500000002</c:v>
                </c:pt>
                <c:pt idx="3963">
                  <c:v>1467.0719999999999</c:v>
                </c:pt>
                <c:pt idx="3964">
                  <c:v>1482.2028800000001</c:v>
                </c:pt>
                <c:pt idx="3965">
                  <c:v>1496.0508399999999</c:v>
                </c:pt>
                <c:pt idx="3966">
                  <c:v>1516.54412</c:v>
                </c:pt>
                <c:pt idx="3967">
                  <c:v>1526.3388</c:v>
                </c:pt>
                <c:pt idx="3968">
                  <c:v>1535.18634</c:v>
                </c:pt>
                <c:pt idx="3969">
                  <c:v>1521.7604999999999</c:v>
                </c:pt>
                <c:pt idx="3970">
                  <c:v>1527.6019499999998</c:v>
                </c:pt>
                <c:pt idx="3971">
                  <c:v>1511.4316599999997</c:v>
                </c:pt>
                <c:pt idx="3972">
                  <c:v>1520.3552</c:v>
                </c:pt>
                <c:pt idx="3973">
                  <c:v>1548.1066800000001</c:v>
                </c:pt>
                <c:pt idx="3974">
                  <c:v>1548.3815999999999</c:v>
                </c:pt>
                <c:pt idx="3975">
                  <c:v>1552.6232600000003</c:v>
                </c:pt>
                <c:pt idx="3976">
                  <c:v>1557.3733199999999</c:v>
                </c:pt>
                <c:pt idx="3977">
                  <c:v>1571.31909</c:v>
                </c:pt>
                <c:pt idx="3978">
                  <c:v>1579.6767</c:v>
                </c:pt>
                <c:pt idx="3979">
                  <c:v>1577.2629600000002</c:v>
                </c:pt>
                <c:pt idx="3980">
                  <c:v>1588.028</c:v>
                </c:pt>
                <c:pt idx="3981">
                  <c:v>1550.0929599999999</c:v>
                </c:pt>
                <c:pt idx="3982">
                  <c:v>1539.8599400000001</c:v>
                </c:pt>
                <c:pt idx="3983">
                  <c:v>1530.4138600000001</c:v>
                </c:pt>
                <c:pt idx="3984">
                  <c:v>1527.8173200000001</c:v>
                </c:pt>
                <c:pt idx="3985">
                  <c:v>1530.11502</c:v>
                </c:pt>
                <c:pt idx="3986">
                  <c:v>1514.3167900000001</c:v>
                </c:pt>
                <c:pt idx="3987">
                  <c:v>1510.42832</c:v>
                </c:pt>
                <c:pt idx="3988">
                  <c:v>1534.6680000000001</c:v>
                </c:pt>
                <c:pt idx="3989">
                  <c:v>1528.0790400000001</c:v>
                </c:pt>
                <c:pt idx="3990">
                  <c:v>1535.2154799999998</c:v>
                </c:pt>
                <c:pt idx="3991">
                  <c:v>1524.7427499999999</c:v>
                </c:pt>
                <c:pt idx="3992">
                  <c:v>1517.04702</c:v>
                </c:pt>
                <c:pt idx="3993">
                  <c:v>1515.0545</c:v>
                </c:pt>
                <c:pt idx="3994">
                  <c:v>1501.7936399999999</c:v>
                </c:pt>
                <c:pt idx="3995">
                  <c:v>1522.3094599999999</c:v>
                </c:pt>
                <c:pt idx="3996">
                  <c:v>1521.5885200000002</c:v>
                </c:pt>
                <c:pt idx="3997">
                  <c:v>1510.1229599999999</c:v>
                </c:pt>
                <c:pt idx="3998">
                  <c:v>1497.9672399999999</c:v>
                </c:pt>
                <c:pt idx="3999">
                  <c:v>1511.6224300000001</c:v>
                </c:pt>
                <c:pt idx="4000">
                  <c:v>1521.1443800000002</c:v>
                </c:pt>
                <c:pt idx="4001">
                  <c:v>1522.1251500000001</c:v>
                </c:pt>
                <c:pt idx="4002">
                  <c:v>1521.2781599999998</c:v>
                </c:pt>
                <c:pt idx="4003">
                  <c:v>1508.55996</c:v>
                </c:pt>
                <c:pt idx="4004">
                  <c:v>1493.7164</c:v>
                </c:pt>
                <c:pt idx="4005">
                  <c:v>1507.2193000000002</c:v>
                </c:pt>
                <c:pt idx="4006">
                  <c:v>1496.442</c:v>
                </c:pt>
                <c:pt idx="4007">
                  <c:v>1522.2584999999999</c:v>
                </c:pt>
                <c:pt idx="4008">
                  <c:v>1528.2702600000002</c:v>
                </c:pt>
                <c:pt idx="4009">
                  <c:v>1507.1010900000001</c:v>
                </c:pt>
                <c:pt idx="4010">
                  <c:v>1496.00594</c:v>
                </c:pt>
                <c:pt idx="4011">
                  <c:v>1486.2029</c:v>
                </c:pt>
                <c:pt idx="4012">
                  <c:v>1489.5644399999999</c:v>
                </c:pt>
                <c:pt idx="4013">
                  <c:v>1482.54684</c:v>
                </c:pt>
                <c:pt idx="4014">
                  <c:v>1487.8237799999999</c:v>
                </c:pt>
                <c:pt idx="4015">
                  <c:v>1479.6677499999998</c:v>
                </c:pt>
                <c:pt idx="4016">
                  <c:v>1462.2508799999998</c:v>
                </c:pt>
                <c:pt idx="4017">
                  <c:v>1473.5936599999998</c:v>
                </c:pt>
                <c:pt idx="4018">
                  <c:v>1482.9780000000001</c:v>
                </c:pt>
                <c:pt idx="4019">
                  <c:v>1479.3324</c:v>
                </c:pt>
                <c:pt idx="4020">
                  <c:v>1481.6983</c:v>
                </c:pt>
                <c:pt idx="4021">
                  <c:v>1482.9021700000001</c:v>
                </c:pt>
                <c:pt idx="4022">
                  <c:v>1486.31052</c:v>
                </c:pt>
                <c:pt idx="4023">
                  <c:v>1497.0759100000002</c:v>
                </c:pt>
                <c:pt idx="4024">
                  <c:v>1491.2419200000002</c:v>
                </c:pt>
                <c:pt idx="4025">
                  <c:v>1485.0233999999998</c:v>
                </c:pt>
                <c:pt idx="4026">
                  <c:v>1518.56448</c:v>
                </c:pt>
                <c:pt idx="4027">
                  <c:v>1489.2143699999999</c:v>
                </c:pt>
                <c:pt idx="4028">
                  <c:v>1485.4075599999999</c:v>
                </c:pt>
                <c:pt idx="4029">
                  <c:v>1475.18912</c:v>
                </c:pt>
                <c:pt idx="4030">
                  <c:v>1470.69912</c:v>
                </c:pt>
                <c:pt idx="4031">
                  <c:v>1472.1333</c:v>
                </c:pt>
                <c:pt idx="4032">
                  <c:v>1510.04486</c:v>
                </c:pt>
                <c:pt idx="4033">
                  <c:v>1510.6034400000001</c:v>
                </c:pt>
                <c:pt idx="4034">
                  <c:v>1540.9814400000002</c:v>
                </c:pt>
                <c:pt idx="4035">
                  <c:v>1528.41472</c:v>
                </c:pt>
                <c:pt idx="4036">
                  <c:v>1533.5807</c:v>
                </c:pt>
                <c:pt idx="4037">
                  <c:v>1542.1749200000002</c:v>
                </c:pt>
                <c:pt idx="4038">
                  <c:v>1556.4506399999998</c:v>
                </c:pt>
                <c:pt idx="4039">
                  <c:v>1584.36375</c:v>
                </c:pt>
                <c:pt idx="4040">
                  <c:v>1544.1568200000002</c:v>
                </c:pt>
                <c:pt idx="4041">
                  <c:v>1525.28656</c:v>
                </c:pt>
                <c:pt idx="4042">
                  <c:v>1526.5759599999999</c:v>
                </c:pt>
                <c:pt idx="4043">
                  <c:v>1499.04573</c:v>
                </c:pt>
                <c:pt idx="4044">
                  <c:v>1531.6131600000001</c:v>
                </c:pt>
                <c:pt idx="4045">
                  <c:v>1541.5842</c:v>
                </c:pt>
                <c:pt idx="4046">
                  <c:v>1506.41715</c:v>
                </c:pt>
                <c:pt idx="4047">
                  <c:v>1493.0521200000001</c:v>
                </c:pt>
                <c:pt idx="4048">
                  <c:v>1487.3859</c:v>
                </c:pt>
                <c:pt idx="4049">
                  <c:v>1481.9909500000001</c:v>
                </c:pt>
                <c:pt idx="4050">
                  <c:v>1451.8406299999999</c:v>
                </c:pt>
                <c:pt idx="4051">
                  <c:v>1449.8924299999999</c:v>
                </c:pt>
                <c:pt idx="4052">
                  <c:v>1458.8662200000001</c:v>
                </c:pt>
                <c:pt idx="4053">
                  <c:v>1448.5819000000001</c:v>
                </c:pt>
                <c:pt idx="4054">
                  <c:v>1444.6157599999999</c:v>
                </c:pt>
                <c:pt idx="4055">
                  <c:v>1392.39769</c:v>
                </c:pt>
                <c:pt idx="4056">
                  <c:v>1412.2842000000001</c:v>
                </c:pt>
                <c:pt idx="4057">
                  <c:v>1427.8996</c:v>
                </c:pt>
                <c:pt idx="4058">
                  <c:v>1428.3174300000001</c:v>
                </c:pt>
                <c:pt idx="4059">
                  <c:v>1455.39075</c:v>
                </c:pt>
                <c:pt idx="4060">
                  <c:v>1486.9595000000002</c:v>
                </c:pt>
                <c:pt idx="4061">
                  <c:v>1480.0307499999999</c:v>
                </c:pt>
                <c:pt idx="4062">
                  <c:v>1491.0928600000002</c:v>
                </c:pt>
                <c:pt idx="4063">
                  <c:v>1504.6148600000001</c:v>
                </c:pt>
                <c:pt idx="4064">
                  <c:v>1476.3021299999998</c:v>
                </c:pt>
                <c:pt idx="4065">
                  <c:v>1484.3932600000001</c:v>
                </c:pt>
                <c:pt idx="4066">
                  <c:v>1495.8671999999999</c:v>
                </c:pt>
                <c:pt idx="4067">
                  <c:v>1496.17725</c:v>
                </c:pt>
                <c:pt idx="4068">
                  <c:v>1497.11869</c:v>
                </c:pt>
                <c:pt idx="4069">
                  <c:v>1498.1347700000001</c:v>
                </c:pt>
                <c:pt idx="4070">
                  <c:v>1499.0674499999998</c:v>
                </c:pt>
                <c:pt idx="4071">
                  <c:v>1496.65284</c:v>
                </c:pt>
                <c:pt idx="4072">
                  <c:v>1483.2729200000001</c:v>
                </c:pt>
                <c:pt idx="4073">
                  <c:v>1492.41299</c:v>
                </c:pt>
                <c:pt idx="4074">
                  <c:v>1472.4152999999999</c:v>
                </c:pt>
                <c:pt idx="4075">
                  <c:v>1480.2443000000001</c:v>
                </c:pt>
                <c:pt idx="4076">
                  <c:v>1480.8353999999999</c:v>
                </c:pt>
                <c:pt idx="4077">
                  <c:v>1480.7607799999998</c:v>
                </c:pt>
                <c:pt idx="4078">
                  <c:v>1492.6082200000001</c:v>
                </c:pt>
                <c:pt idx="4079">
                  <c:v>1473.89616</c:v>
                </c:pt>
                <c:pt idx="4080">
                  <c:v>1494.2478599999999</c:v>
                </c:pt>
                <c:pt idx="4081">
                  <c:v>1477.4903099999999</c:v>
                </c:pt>
                <c:pt idx="4082">
                  <c:v>1486.7379000000001</c:v>
                </c:pt>
                <c:pt idx="4083">
                  <c:v>1460.7269200000001</c:v>
                </c:pt>
                <c:pt idx="4084">
                  <c:v>1452.2458799999999</c:v>
                </c:pt>
                <c:pt idx="4085">
                  <c:v>1423.0215900000001</c:v>
                </c:pt>
                <c:pt idx="4086">
                  <c:v>1418.3812300000002</c:v>
                </c:pt>
                <c:pt idx="4087">
                  <c:v>1428.7392600000001</c:v>
                </c:pt>
                <c:pt idx="4088">
                  <c:v>1425.6745000000001</c:v>
                </c:pt>
                <c:pt idx="4089">
                  <c:v>1437.2854600000001</c:v>
                </c:pt>
                <c:pt idx="4090">
                  <c:v>1424.9894399999998</c:v>
                </c:pt>
                <c:pt idx="4091">
                  <c:v>1429.0934399999999</c:v>
                </c:pt>
                <c:pt idx="4092">
                  <c:v>1439.5875599999999</c:v>
                </c:pt>
                <c:pt idx="4093">
                  <c:v>1418.9302400000001</c:v>
                </c:pt>
                <c:pt idx="4094">
                  <c:v>1413.0508800000002</c:v>
                </c:pt>
                <c:pt idx="4095">
                  <c:v>1434.4904000000001</c:v>
                </c:pt>
                <c:pt idx="4096">
                  <c:v>1428.1538399999999</c:v>
                </c:pt>
                <c:pt idx="4097">
                  <c:v>1416.86356</c:v>
                </c:pt>
                <c:pt idx="4098">
                  <c:v>1428.867</c:v>
                </c:pt>
                <c:pt idx="4099">
                  <c:v>1412.5472600000001</c:v>
                </c:pt>
                <c:pt idx="4100">
                  <c:v>1398.0345600000001</c:v>
                </c:pt>
                <c:pt idx="4101">
                  <c:v>1405.55216</c:v>
                </c:pt>
                <c:pt idx="4102">
                  <c:v>1396.70388</c:v>
                </c:pt>
                <c:pt idx="4103">
                  <c:v>1393.5276399999998</c:v>
                </c:pt>
                <c:pt idx="4104">
                  <c:v>1392.44832</c:v>
                </c:pt>
                <c:pt idx="4105">
                  <c:v>1403.4124800000002</c:v>
                </c:pt>
                <c:pt idx="4106">
                  <c:v>1387.6612300000002</c:v>
                </c:pt>
                <c:pt idx="4107">
                  <c:v>1375.52952</c:v>
                </c:pt>
                <c:pt idx="4108">
                  <c:v>1379.89742</c:v>
                </c:pt>
                <c:pt idx="4109">
                  <c:v>1381.7951</c:v>
                </c:pt>
                <c:pt idx="4110">
                  <c:v>1382.4712</c:v>
                </c:pt>
                <c:pt idx="4111">
                  <c:v>1411.7524000000001</c:v>
                </c:pt>
                <c:pt idx="4112">
                  <c:v>1424.06963</c:v>
                </c:pt>
                <c:pt idx="4113">
                  <c:v>1427.2302399999999</c:v>
                </c:pt>
                <c:pt idx="4114">
                  <c:v>1431.0044</c:v>
                </c:pt>
                <c:pt idx="4115">
                  <c:v>1408.38716</c:v>
                </c:pt>
                <c:pt idx="4116">
                  <c:v>1375.6862399999998</c:v>
                </c:pt>
                <c:pt idx="4117">
                  <c:v>1417.4653599999999</c:v>
                </c:pt>
                <c:pt idx="4118">
                  <c:v>1416.68488</c:v>
                </c:pt>
                <c:pt idx="4119">
                  <c:v>1390.6266000000001</c:v>
                </c:pt>
                <c:pt idx="4120">
                  <c:v>1378.5814399999999</c:v>
                </c:pt>
                <c:pt idx="4121">
                  <c:v>1378.4522600000003</c:v>
                </c:pt>
                <c:pt idx="4122">
                  <c:v>1380.70218</c:v>
                </c:pt>
                <c:pt idx="4123">
                  <c:v>1385.3575199999998</c:v>
                </c:pt>
                <c:pt idx="4124">
                  <c:v>1380.2911199999999</c:v>
                </c:pt>
                <c:pt idx="4125">
                  <c:v>1391.1313500000001</c:v>
                </c:pt>
                <c:pt idx="4126">
                  <c:v>1392.6</c:v>
                </c:pt>
                <c:pt idx="4127">
                  <c:v>1377.8693799999999</c:v>
                </c:pt>
                <c:pt idx="4128">
                  <c:v>1361.9166999999998</c:v>
                </c:pt>
                <c:pt idx="4129">
                  <c:v>1349.3270399999999</c:v>
                </c:pt>
                <c:pt idx="4130">
                  <c:v>1383.7401600000001</c:v>
                </c:pt>
                <c:pt idx="4131">
                  <c:v>1387.3173999999999</c:v>
                </c:pt>
                <c:pt idx="4132">
                  <c:v>1369.97245</c:v>
                </c:pt>
                <c:pt idx="4133">
                  <c:v>1362.4790700000001</c:v>
                </c:pt>
                <c:pt idx="4134">
                  <c:v>1349.4785000000002</c:v>
                </c:pt>
                <c:pt idx="4135">
                  <c:v>1341.2290600000001</c:v>
                </c:pt>
                <c:pt idx="4136">
                  <c:v>1332.0345600000001</c:v>
                </c:pt>
                <c:pt idx="4137">
                  <c:v>1369.605</c:v>
                </c:pt>
                <c:pt idx="4138">
                  <c:v>1368.7757999999999</c:v>
                </c:pt>
                <c:pt idx="4139">
                  <c:v>1397.3176799999999</c:v>
                </c:pt>
                <c:pt idx="4140">
                  <c:v>1399.24279</c:v>
                </c:pt>
                <c:pt idx="4141">
                  <c:v>1398.1822999999999</c:v>
                </c:pt>
                <c:pt idx="4142">
                  <c:v>1381.104</c:v>
                </c:pt>
                <c:pt idx="4143">
                  <c:v>1401.1357499999999</c:v>
                </c:pt>
                <c:pt idx="4144">
                  <c:v>1402.8033599999999</c:v>
                </c:pt>
                <c:pt idx="4145">
                  <c:v>1386.3425599999998</c:v>
                </c:pt>
                <c:pt idx="4146">
                  <c:v>1369.8199400000001</c:v>
                </c:pt>
                <c:pt idx="4147">
                  <c:v>1356.3885</c:v>
                </c:pt>
                <c:pt idx="4148">
                  <c:v>1354.8600000000001</c:v>
                </c:pt>
                <c:pt idx="4149">
                  <c:v>1350.0761400000001</c:v>
                </c:pt>
                <c:pt idx="4150">
                  <c:v>1358.8205799999998</c:v>
                </c:pt>
                <c:pt idx="4151">
                  <c:v>1379.4748499999998</c:v>
                </c:pt>
                <c:pt idx="4152">
                  <c:v>1388.9203199999999</c:v>
                </c:pt>
                <c:pt idx="4153">
                  <c:v>1344.6960000000001</c:v>
                </c:pt>
                <c:pt idx="4154">
                  <c:v>1352.0229599999998</c:v>
                </c:pt>
                <c:pt idx="4155">
                  <c:v>1357.4304</c:v>
                </c:pt>
                <c:pt idx="4156">
                  <c:v>1344.5222399999998</c:v>
                </c:pt>
                <c:pt idx="4157">
                  <c:v>1354.2888399999999</c:v>
                </c:pt>
                <c:pt idx="4158">
                  <c:v>1342.7029199999999</c:v>
                </c:pt>
                <c:pt idx="4159">
                  <c:v>1328.4648</c:v>
                </c:pt>
                <c:pt idx="4160">
                  <c:v>1305.5921999999998</c:v>
                </c:pt>
                <c:pt idx="4161">
                  <c:v>1292.7411199999999</c:v>
                </c:pt>
                <c:pt idx="4162">
                  <c:v>1281.7991999999999</c:v>
                </c:pt>
                <c:pt idx="4163">
                  <c:v>1266.1103699999999</c:v>
                </c:pt>
                <c:pt idx="4164">
                  <c:v>1258.9468200000001</c:v>
                </c:pt>
                <c:pt idx="4165">
                  <c:v>1270.9062300000001</c:v>
                </c:pt>
                <c:pt idx="4166">
                  <c:v>1270.3981999999999</c:v>
                </c:pt>
                <c:pt idx="4167">
                  <c:v>1239.9351199999999</c:v>
                </c:pt>
                <c:pt idx="4168">
                  <c:v>1225.2416800000001</c:v>
                </c:pt>
                <c:pt idx="4169">
                  <c:v>1244.8742399999999</c:v>
                </c:pt>
                <c:pt idx="4170">
                  <c:v>1237.3110100000001</c:v>
                </c:pt>
                <c:pt idx="4171">
                  <c:v>1208.92436</c:v>
                </c:pt>
                <c:pt idx="4172">
                  <c:v>1197.9341000000002</c:v>
                </c:pt>
                <c:pt idx="4173">
                  <c:v>1193.18499</c:v>
                </c:pt>
                <c:pt idx="4174">
                  <c:v>1187.41896</c:v>
                </c:pt>
                <c:pt idx="4175">
                  <c:v>1195.0186799999999</c:v>
                </c:pt>
                <c:pt idx="4176">
                  <c:v>1182.174</c:v>
                </c:pt>
                <c:pt idx="4177">
                  <c:v>1196.7723900000001</c:v>
                </c:pt>
                <c:pt idx="4178">
                  <c:v>1170.73125</c:v>
                </c:pt>
                <c:pt idx="4179">
                  <c:v>1162.09212</c:v>
                </c:pt>
                <c:pt idx="4180">
                  <c:v>1188.79314</c:v>
                </c:pt>
                <c:pt idx="4181">
                  <c:v>1231.4969799999999</c:v>
                </c:pt>
                <c:pt idx="4182">
                  <c:v>1238.5731600000001</c:v>
                </c:pt>
                <c:pt idx="4183">
                  <c:v>1263.15723</c:v>
                </c:pt>
                <c:pt idx="4184">
                  <c:v>1263.3415399999999</c:v>
                </c:pt>
                <c:pt idx="4185">
                  <c:v>1242.8321399999998</c:v>
                </c:pt>
                <c:pt idx="4186">
                  <c:v>1263.0453200000002</c:v>
                </c:pt>
                <c:pt idx="4187">
                  <c:v>1241.54242</c:v>
                </c:pt>
                <c:pt idx="4188">
                  <c:v>1241.52252</c:v>
                </c:pt>
                <c:pt idx="4189">
                  <c:v>1226.62644</c:v>
                </c:pt>
                <c:pt idx="4190">
                  <c:v>1225.8654999999999</c:v>
                </c:pt>
                <c:pt idx="4191">
                  <c:v>1220.7902799999999</c:v>
                </c:pt>
                <c:pt idx="4192">
                  <c:v>1239.9156</c:v>
                </c:pt>
                <c:pt idx="4193">
                  <c:v>1254.68712</c:v>
                </c:pt>
                <c:pt idx="4194">
                  <c:v>1246.1043099999999</c:v>
                </c:pt>
                <c:pt idx="4195">
                  <c:v>1222.3043600000001</c:v>
                </c:pt>
                <c:pt idx="4196">
                  <c:v>1260.49872</c:v>
                </c:pt>
                <c:pt idx="4197">
                  <c:v>1266.6490800000001</c:v>
                </c:pt>
                <c:pt idx="4198">
                  <c:v>1299.3867600000001</c:v>
                </c:pt>
                <c:pt idx="4199">
                  <c:v>1310.7320500000001</c:v>
                </c:pt>
                <c:pt idx="4200">
                  <c:v>1296.8896500000001</c:v>
                </c:pt>
                <c:pt idx="4201">
                  <c:v>1295.22496</c:v>
                </c:pt>
                <c:pt idx="4202">
                  <c:v>1293.1168599999999</c:v>
                </c:pt>
                <c:pt idx="4203">
                  <c:v>1263.6920799999998</c:v>
                </c:pt>
                <c:pt idx="4204">
                  <c:v>1268.9982199999999</c:v>
                </c:pt>
                <c:pt idx="4205">
                  <c:v>1299.5355999999999</c:v>
                </c:pt>
                <c:pt idx="4206">
                  <c:v>1316.55</c:v>
                </c:pt>
                <c:pt idx="4207">
                  <c:v>1343.5128</c:v>
                </c:pt>
                <c:pt idx="4208">
                  <c:v>1350.4766799999998</c:v>
                </c:pt>
                <c:pt idx="4209">
                  <c:v>1358.20436</c:v>
                </c:pt>
                <c:pt idx="4210">
                  <c:v>1369.0648799999999</c:v>
                </c:pt>
                <c:pt idx="4211">
                  <c:v>1370.3657099999998</c:v>
                </c:pt>
                <c:pt idx="4212">
                  <c:v>1374.4699499999999</c:v>
                </c:pt>
                <c:pt idx="4213">
                  <c:v>1350.7413299999998</c:v>
                </c:pt>
                <c:pt idx="4214">
                  <c:v>1342.7497499999999</c:v>
                </c:pt>
                <c:pt idx="4215">
                  <c:v>1356.2106600000002</c:v>
                </c:pt>
                <c:pt idx="4216">
                  <c:v>1341.57088</c:v>
                </c:pt>
                <c:pt idx="4217">
                  <c:v>1370.6457200000002</c:v>
                </c:pt>
                <c:pt idx="4218">
                  <c:v>1380.89355</c:v>
                </c:pt>
                <c:pt idx="4219">
                  <c:v>1404.6645600000002</c:v>
                </c:pt>
                <c:pt idx="4220">
                  <c:v>1411.92742</c:v>
                </c:pt>
                <c:pt idx="4221">
                  <c:v>1414.4145699999999</c:v>
                </c:pt>
                <c:pt idx="4222">
                  <c:v>1429.9787999999999</c:v>
                </c:pt>
                <c:pt idx="4223">
                  <c:v>1444.3842599999998</c:v>
                </c:pt>
                <c:pt idx="4224">
                  <c:v>1426.4954</c:v>
                </c:pt>
                <c:pt idx="4225">
                  <c:v>1447.7472000000002</c:v>
                </c:pt>
                <c:pt idx="4226">
                  <c:v>1451.7449800000002</c:v>
                </c:pt>
                <c:pt idx="4227">
                  <c:v>1436.0517499999999</c:v>
                </c:pt>
                <c:pt idx="4228">
                  <c:v>1474.2781799999998</c:v>
                </c:pt>
                <c:pt idx="4229">
                  <c:v>1482.48632</c:v>
                </c:pt>
                <c:pt idx="4230">
                  <c:v>1495.5288000000003</c:v>
                </c:pt>
                <c:pt idx="4231">
                  <c:v>1504.5912000000003</c:v>
                </c:pt>
                <c:pt idx="4232">
                  <c:v>1500.0516299999999</c:v>
                </c:pt>
                <c:pt idx="4233">
                  <c:v>1516.8746399999998</c:v>
                </c:pt>
                <c:pt idx="4234">
                  <c:v>1509.5463599999998</c:v>
                </c:pt>
                <c:pt idx="4235">
                  <c:v>1535.60374</c:v>
                </c:pt>
                <c:pt idx="4236">
                  <c:v>1541.5431500000002</c:v>
                </c:pt>
                <c:pt idx="4237">
                  <c:v>1508.3790000000001</c:v>
                </c:pt>
                <c:pt idx="4238">
                  <c:v>1523.6100000000001</c:v>
                </c:pt>
                <c:pt idx="4239">
                  <c:v>1515.63888</c:v>
                </c:pt>
                <c:pt idx="4240">
                  <c:v>1546.2460299999998</c:v>
                </c:pt>
                <c:pt idx="4241">
                  <c:v>1551.8793600000001</c:v>
                </c:pt>
                <c:pt idx="4242">
                  <c:v>1515.4892</c:v>
                </c:pt>
                <c:pt idx="4243">
                  <c:v>1524.3760000000002</c:v>
                </c:pt>
                <c:pt idx="4244">
                  <c:v>1510.8184799999997</c:v>
                </c:pt>
                <c:pt idx="4245">
                  <c:v>1505.1016500000001</c:v>
                </c:pt>
                <c:pt idx="4246">
                  <c:v>1492.9001999999998</c:v>
                </c:pt>
                <c:pt idx="4247">
                  <c:v>1482.9428799999998</c:v>
                </c:pt>
                <c:pt idx="4248">
                  <c:v>1462.27781</c:v>
                </c:pt>
                <c:pt idx="4249">
                  <c:v>1431.16436</c:v>
                </c:pt>
                <c:pt idx="4250">
                  <c:v>1425.8187</c:v>
                </c:pt>
                <c:pt idx="4251">
                  <c:v>1411.5024000000001</c:v>
                </c:pt>
                <c:pt idx="4252">
                  <c:v>1410.5371</c:v>
                </c:pt>
                <c:pt idx="4253">
                  <c:v>1386.1166200000002</c:v>
                </c:pt>
                <c:pt idx="4254">
                  <c:v>1387.8302100000001</c:v>
                </c:pt>
                <c:pt idx="4255">
                  <c:v>1392.3862800000002</c:v>
                </c:pt>
                <c:pt idx="4256">
                  <c:v>1398.7079799999999</c:v>
                </c:pt>
                <c:pt idx="4257">
                  <c:v>1353.8340000000001</c:v>
                </c:pt>
                <c:pt idx="4258">
                  <c:v>1347.1437000000001</c:v>
                </c:pt>
                <c:pt idx="4259">
                  <c:v>1377.3240000000001</c:v>
                </c:pt>
                <c:pt idx="4260">
                  <c:v>1373.25405</c:v>
                </c:pt>
                <c:pt idx="4261">
                  <c:v>1368.2111000000002</c:v>
                </c:pt>
                <c:pt idx="4262">
                  <c:v>1390.8382200000001</c:v>
                </c:pt>
                <c:pt idx="4263">
                  <c:v>1385.2611199999999</c:v>
                </c:pt>
                <c:pt idx="4264">
                  <c:v>1403.6007000000002</c:v>
                </c:pt>
                <c:pt idx="4265">
                  <c:v>1400.79088</c:v>
                </c:pt>
                <c:pt idx="4266">
                  <c:v>1376.27064</c:v>
                </c:pt>
                <c:pt idx="4267">
                  <c:v>1363.14885</c:v>
                </c:pt>
                <c:pt idx="4268">
                  <c:v>1373.90615</c:v>
                </c:pt>
                <c:pt idx="4269">
                  <c:v>1398.28098</c:v>
                </c:pt>
                <c:pt idx="4270">
                  <c:v>1388.8344</c:v>
                </c:pt>
                <c:pt idx="4271">
                  <c:v>1370.5632000000001</c:v>
                </c:pt>
                <c:pt idx="4272">
                  <c:v>1404.60436</c:v>
                </c:pt>
                <c:pt idx="4273">
                  <c:v>1360.8211200000001</c:v>
                </c:pt>
                <c:pt idx="4274">
                  <c:v>1370.4130399999999</c:v>
                </c:pt>
                <c:pt idx="4275">
                  <c:v>1386.3134499999999</c:v>
                </c:pt>
                <c:pt idx="4276">
                  <c:v>1385.3107499999999</c:v>
                </c:pt>
                <c:pt idx="4277">
                  <c:v>1395.9888999999998</c:v>
                </c:pt>
                <c:pt idx="4278">
                  <c:v>1386.4047</c:v>
                </c:pt>
                <c:pt idx="4279">
                  <c:v>1405.9748</c:v>
                </c:pt>
                <c:pt idx="4280">
                  <c:v>1402.7745600000001</c:v>
                </c:pt>
                <c:pt idx="4281">
                  <c:v>1431.9644000000001</c:v>
                </c:pt>
                <c:pt idx="4282">
                  <c:v>1436.1477800000002</c:v>
                </c:pt>
                <c:pt idx="4283">
                  <c:v>1448.5128</c:v>
                </c:pt>
                <c:pt idx="4284">
                  <c:v>1436.6989999999998</c:v>
                </c:pt>
                <c:pt idx="4285">
                  <c:v>1433.1396</c:v>
                </c:pt>
                <c:pt idx="4286">
                  <c:v>1421.3293499999997</c:v>
                </c:pt>
                <c:pt idx="4287">
                  <c:v>1443.42616</c:v>
                </c:pt>
                <c:pt idx="4288">
                  <c:v>1430.0166800000002</c:v>
                </c:pt>
                <c:pt idx="4289">
                  <c:v>1435.8311100000001</c:v>
                </c:pt>
                <c:pt idx="4290">
                  <c:v>1416.807</c:v>
                </c:pt>
                <c:pt idx="4291">
                  <c:v>1402.3551600000001</c:v>
                </c:pt>
                <c:pt idx="4292">
                  <c:v>1418.4687300000001</c:v>
                </c:pt>
                <c:pt idx="4293">
                  <c:v>1452.37409</c:v>
                </c:pt>
                <c:pt idx="4294">
                  <c:v>1475.6925699999999</c:v>
                </c:pt>
                <c:pt idx="4295">
                  <c:v>1495.8349800000001</c:v>
                </c:pt>
                <c:pt idx="4296">
                  <c:v>1463.5052799999999</c:v>
                </c:pt>
                <c:pt idx="4297">
                  <c:v>1464.8005900000001</c:v>
                </c:pt>
                <c:pt idx="4298">
                  <c:v>1467.7221999999999</c:v>
                </c:pt>
                <c:pt idx="4299">
                  <c:v>1471.1733800000002</c:v>
                </c:pt>
                <c:pt idx="4300">
                  <c:v>1493.69955</c:v>
                </c:pt>
                <c:pt idx="4301">
                  <c:v>1495.3651600000001</c:v>
                </c:pt>
                <c:pt idx="4302">
                  <c:v>1487.4036000000001</c:v>
                </c:pt>
                <c:pt idx="4303">
                  <c:v>1471.5238399999998</c:v>
                </c:pt>
                <c:pt idx="4304">
                  <c:v>1481.05404</c:v>
                </c:pt>
                <c:pt idx="4305">
                  <c:v>1461.4165499999999</c:v>
                </c:pt>
                <c:pt idx="4306">
                  <c:v>1464.66956</c:v>
                </c:pt>
                <c:pt idx="4307">
                  <c:v>1460.7637499999998</c:v>
                </c:pt>
                <c:pt idx="4308">
                  <c:v>1457.9460000000001</c:v>
                </c:pt>
                <c:pt idx="4309">
                  <c:v>1471.78683</c:v>
                </c:pt>
                <c:pt idx="4310">
                  <c:v>1457.155</c:v>
                </c:pt>
                <c:pt idx="4311">
                  <c:v>1461.9163199999998</c:v>
                </c:pt>
                <c:pt idx="4312">
                  <c:v>1487.4106800000002</c:v>
                </c:pt>
                <c:pt idx="4313">
                  <c:v>1494.2236999999998</c:v>
                </c:pt>
                <c:pt idx="4314">
                  <c:v>1493.29125</c:v>
                </c:pt>
                <c:pt idx="4315">
                  <c:v>1486.7520000000002</c:v>
                </c:pt>
                <c:pt idx="4316">
                  <c:v>1480.11472</c:v>
                </c:pt>
                <c:pt idx="4317">
                  <c:v>1463.4885599999998</c:v>
                </c:pt>
                <c:pt idx="4318">
                  <c:v>1474.1856000000002</c:v>
                </c:pt>
                <c:pt idx="4319">
                  <c:v>1468.38627</c:v>
                </c:pt>
                <c:pt idx="4320">
                  <c:v>1475.2060000000001</c:v>
                </c:pt>
                <c:pt idx="4321">
                  <c:v>1464.7546499999999</c:v>
                </c:pt>
                <c:pt idx="4322">
                  <c:v>1479.4115099999999</c:v>
                </c:pt>
                <c:pt idx="4323">
                  <c:v>1483.7862499999999</c:v>
                </c:pt>
                <c:pt idx="4324">
                  <c:v>1492.3348000000001</c:v>
                </c:pt>
                <c:pt idx="4325">
                  <c:v>1464.6441599999998</c:v>
                </c:pt>
                <c:pt idx="4326">
                  <c:v>1464.0507499999999</c:v>
                </c:pt>
                <c:pt idx="4327">
                  <c:v>1470.3405500000001</c:v>
                </c:pt>
                <c:pt idx="4328">
                  <c:v>1473.4383</c:v>
                </c:pt>
                <c:pt idx="4329">
                  <c:v>1521.0013600000002</c:v>
                </c:pt>
                <c:pt idx="4330">
                  <c:v>1511.7976999999998</c:v>
                </c:pt>
                <c:pt idx="4331">
                  <c:v>1517.1316200000001</c:v>
                </c:pt>
                <c:pt idx="4332">
                  <c:v>1512.5690199999999</c:v>
                </c:pt>
                <c:pt idx="4333">
                  <c:v>1496.1904</c:v>
                </c:pt>
                <c:pt idx="4334">
                  <c:v>1488.6684200000002</c:v>
                </c:pt>
                <c:pt idx="4335">
                  <c:v>1490.0739599999999</c:v>
                </c:pt>
                <c:pt idx="4336">
                  <c:v>1481.2016800000001</c:v>
                </c:pt>
                <c:pt idx="4337">
                  <c:v>1474.2719400000001</c:v>
                </c:pt>
                <c:pt idx="4338">
                  <c:v>1505.2093600000001</c:v>
                </c:pt>
                <c:pt idx="4339">
                  <c:v>1527.32375</c:v>
                </c:pt>
                <c:pt idx="4340">
                  <c:v>1532.4065499999999</c:v>
                </c:pt>
                <c:pt idx="4341">
                  <c:v>1515.9516000000001</c:v>
                </c:pt>
                <c:pt idx="4342">
                  <c:v>1531.8947599999999</c:v>
                </c:pt>
                <c:pt idx="4343">
                  <c:v>1522.1889999999999</c:v>
                </c:pt>
                <c:pt idx="4344">
                  <c:v>1524.2870499999999</c:v>
                </c:pt>
                <c:pt idx="4345">
                  <c:v>1513.1031</c:v>
                </c:pt>
                <c:pt idx="4346">
                  <c:v>1531.3304699999999</c:v>
                </c:pt>
                <c:pt idx="4347">
                  <c:v>1504.7941999999998</c:v>
                </c:pt>
                <c:pt idx="4348">
                  <c:v>1515.4861600000002</c:v>
                </c:pt>
                <c:pt idx="4349">
                  <c:v>1527.05511</c:v>
                </c:pt>
                <c:pt idx="4350">
                  <c:v>1522.7717400000001</c:v>
                </c:pt>
                <c:pt idx="4351">
                  <c:v>1531.5695999999998</c:v>
                </c:pt>
                <c:pt idx="4352">
                  <c:v>1519.3873600000002</c:v>
                </c:pt>
                <c:pt idx="4353">
                  <c:v>1497.6208000000001</c:v>
                </c:pt>
                <c:pt idx="4354">
                  <c:v>1488.7355</c:v>
                </c:pt>
                <c:pt idx="4355">
                  <c:v>1499.3014599999999</c:v>
                </c:pt>
                <c:pt idx="4356">
                  <c:v>1511.4024999999999</c:v>
                </c:pt>
                <c:pt idx="4357">
                  <c:v>1508.8606399999996</c:v>
                </c:pt>
                <c:pt idx="4358">
                  <c:v>1507.17084</c:v>
                </c:pt>
                <c:pt idx="4359">
                  <c:v>1515.0915</c:v>
                </c:pt>
                <c:pt idx="4360">
                  <c:v>1525.62501</c:v>
                </c:pt>
                <c:pt idx="4361">
                  <c:v>1494.1125</c:v>
                </c:pt>
                <c:pt idx="4362">
                  <c:v>1461.91164</c:v>
                </c:pt>
                <c:pt idx="4363">
                  <c:v>1485.2103</c:v>
                </c:pt>
                <c:pt idx="4364">
                  <c:v>1478.4995199999998</c:v>
                </c:pt>
                <c:pt idx="4365">
                  <c:v>1454.3312000000001</c:v>
                </c:pt>
                <c:pt idx="4366">
                  <c:v>1491.1336000000001</c:v>
                </c:pt>
                <c:pt idx="4367">
                  <c:v>1530.76549</c:v>
                </c:pt>
                <c:pt idx="4368">
                  <c:v>1526.9463000000001</c:v>
                </c:pt>
                <c:pt idx="4369">
                  <c:v>1562.1588000000002</c:v>
                </c:pt>
                <c:pt idx="4370">
                  <c:v>1535.5340000000001</c:v>
                </c:pt>
                <c:pt idx="4371">
                  <c:v>1510.12392</c:v>
                </c:pt>
                <c:pt idx="4372">
                  <c:v>1512.71208</c:v>
                </c:pt>
                <c:pt idx="4373">
                  <c:v>1529.23126</c:v>
                </c:pt>
                <c:pt idx="4374">
                  <c:v>1513.70652</c:v>
                </c:pt>
                <c:pt idx="4375">
                  <c:v>1495.4730000000002</c:v>
                </c:pt>
                <c:pt idx="4376">
                  <c:v>1511.5305699999999</c:v>
                </c:pt>
                <c:pt idx="4377">
                  <c:v>1480.80474</c:v>
                </c:pt>
                <c:pt idx="4378">
                  <c:v>1491.7727000000002</c:v>
                </c:pt>
                <c:pt idx="4379">
                  <c:v>1503.3056999999999</c:v>
                </c:pt>
                <c:pt idx="4380">
                  <c:v>1496.46144</c:v>
                </c:pt>
                <c:pt idx="4381">
                  <c:v>1472.1265599999999</c:v>
                </c:pt>
                <c:pt idx="4382">
                  <c:v>1475.7248</c:v>
                </c:pt>
                <c:pt idx="4383">
                  <c:v>1475.3455800000002</c:v>
                </c:pt>
                <c:pt idx="4384">
                  <c:v>1486.7467799999999</c:v>
                </c:pt>
                <c:pt idx="4385">
                  <c:v>1521.5360799999999</c:v>
                </c:pt>
                <c:pt idx="4386">
                  <c:v>1529.5616</c:v>
                </c:pt>
                <c:pt idx="4387">
                  <c:v>1524.9787800000001</c:v>
                </c:pt>
                <c:pt idx="4388">
                  <c:v>1497.748</c:v>
                </c:pt>
                <c:pt idx="4389">
                  <c:v>1481.0010499999999</c:v>
                </c:pt>
                <c:pt idx="4390">
                  <c:v>1476.6571999999999</c:v>
                </c:pt>
                <c:pt idx="4391">
                  <c:v>1460.1400199999998</c:v>
                </c:pt>
                <c:pt idx="4392">
                  <c:v>1466.3903999999998</c:v>
                </c:pt>
                <c:pt idx="4393">
                  <c:v>1425.8556199999998</c:v>
                </c:pt>
                <c:pt idx="4394">
                  <c:v>1408.8774000000001</c:v>
                </c:pt>
                <c:pt idx="4395">
                  <c:v>1403.2592500000001</c:v>
                </c:pt>
                <c:pt idx="4396">
                  <c:v>1379.0672400000001</c:v>
                </c:pt>
                <c:pt idx="4397">
                  <c:v>1396.18622</c:v>
                </c:pt>
                <c:pt idx="4398">
                  <c:v>1401.87744</c:v>
                </c:pt>
                <c:pt idx="4399">
                  <c:v>1366.0873799999999</c:v>
                </c:pt>
                <c:pt idx="4400">
                  <c:v>1375.3039999999999</c:v>
                </c:pt>
                <c:pt idx="4401">
                  <c:v>1377.30495</c:v>
                </c:pt>
                <c:pt idx="4402">
                  <c:v>1392.5175200000001</c:v>
                </c:pt>
                <c:pt idx="4403">
                  <c:v>1399.2049999999999</c:v>
                </c:pt>
                <c:pt idx="4404">
                  <c:v>1405.7358800000002</c:v>
                </c:pt>
                <c:pt idx="4405">
                  <c:v>1413.3099500000001</c:v>
                </c:pt>
                <c:pt idx="4406">
                  <c:v>1417.6817500000002</c:v>
                </c:pt>
                <c:pt idx="4407">
                  <c:v>1404.9075399999999</c:v>
                </c:pt>
                <c:pt idx="4408">
                  <c:v>1422.2629499999998</c:v>
                </c:pt>
                <c:pt idx="4409">
                  <c:v>1447.76522</c:v>
                </c:pt>
                <c:pt idx="4410">
                  <c:v>1447.31916</c:v>
                </c:pt>
                <c:pt idx="4411">
                  <c:v>1453.1743600000002</c:v>
                </c:pt>
                <c:pt idx="4412">
                  <c:v>1427.96992</c:v>
                </c:pt>
                <c:pt idx="4413">
                  <c:v>1409.1525000000001</c:v>
                </c:pt>
                <c:pt idx="4414">
                  <c:v>1389.2616499999999</c:v>
                </c:pt>
                <c:pt idx="4415">
                  <c:v>1427.1230099999998</c:v>
                </c:pt>
                <c:pt idx="4416">
                  <c:v>1336.1919</c:v>
                </c:pt>
                <c:pt idx="4417">
                  <c:v>1436.3810999999998</c:v>
                </c:pt>
                <c:pt idx="4418">
                  <c:v>1463.4456299999999</c:v>
                </c:pt>
                <c:pt idx="4419">
                  <c:v>1489.12078</c:v>
                </c:pt>
                <c:pt idx="4420">
                  <c:v>1529.6164600000002</c:v>
                </c:pt>
                <c:pt idx="4421">
                  <c:v>1520.5544000000002</c:v>
                </c:pt>
                <c:pt idx="4422">
                  <c:v>1515.8413599999999</c:v>
                </c:pt>
                <c:pt idx="4423">
                  <c:v>1531.08384</c:v>
                </c:pt>
                <c:pt idx="4424">
                  <c:v>1540.25559</c:v>
                </c:pt>
                <c:pt idx="4425">
                  <c:v>1535.88552</c:v>
                </c:pt>
                <c:pt idx="4426">
                  <c:v>1539.9896199999998</c:v>
                </c:pt>
                <c:pt idx="4427">
                  <c:v>1548.1213499999999</c:v>
                </c:pt>
                <c:pt idx="4428">
                  <c:v>1564.3419200000003</c:v>
                </c:pt>
                <c:pt idx="4429">
                  <c:v>1572.7397699999997</c:v>
                </c:pt>
                <c:pt idx="4430">
                  <c:v>1618.0652599999999</c:v>
                </c:pt>
                <c:pt idx="4431">
                  <c:v>1605.1780799999999</c:v>
                </c:pt>
                <c:pt idx="4432">
                  <c:v>1619.3242</c:v>
                </c:pt>
                <c:pt idx="4433">
                  <c:v>1609.0452700000001</c:v>
                </c:pt>
                <c:pt idx="4434">
                  <c:v>1622.9507199999998</c:v>
                </c:pt>
                <c:pt idx="4435">
                  <c:v>1625.9449500000001</c:v>
                </c:pt>
                <c:pt idx="4436">
                  <c:v>1628.0771299999999</c:v>
                </c:pt>
                <c:pt idx="4437">
                  <c:v>1643.8067000000001</c:v>
                </c:pt>
                <c:pt idx="4438">
                  <c:v>1641.4285400000001</c:v>
                </c:pt>
                <c:pt idx="4439">
                  <c:v>1653.2053200000003</c:v>
                </c:pt>
                <c:pt idx="4440">
                  <c:v>1645.2922500000002</c:v>
                </c:pt>
                <c:pt idx="4441">
                  <c:v>1665.98478</c:v>
                </c:pt>
                <c:pt idx="4442">
                  <c:v>1651.0181399999999</c:v>
                </c:pt>
                <c:pt idx="4443">
                  <c:v>1644.5347000000002</c:v>
                </c:pt>
                <c:pt idx="4444">
                  <c:v>1615.2119499999999</c:v>
                </c:pt>
                <c:pt idx="4445">
                  <c:v>1589.4816000000001</c:v>
                </c:pt>
                <c:pt idx="4446">
                  <c:v>1568.2344599999999</c:v>
                </c:pt>
                <c:pt idx="4447">
                  <c:v>1569.5780999999999</c:v>
                </c:pt>
                <c:pt idx="4448">
                  <c:v>1570.2686400000002</c:v>
                </c:pt>
                <c:pt idx="4449">
                  <c:v>1582.0159999999998</c:v>
                </c:pt>
                <c:pt idx="4450">
                  <c:v>1576.3448800000001</c:v>
                </c:pt>
                <c:pt idx="4451">
                  <c:v>1593.3439500000002</c:v>
                </c:pt>
                <c:pt idx="4452">
                  <c:v>1588.6923199999999</c:v>
                </c:pt>
                <c:pt idx="4453">
                  <c:v>1573.6012799999999</c:v>
                </c:pt>
                <c:pt idx="4454">
                  <c:v>1567.6978500000002</c:v>
                </c:pt>
                <c:pt idx="4455">
                  <c:v>1568.6860799999997</c:v>
                </c:pt>
                <c:pt idx="4456">
                  <c:v>1546.9039299999999</c:v>
                </c:pt>
                <c:pt idx="4457">
                  <c:v>1538.4127599999999</c:v>
                </c:pt>
                <c:pt idx="4458">
                  <c:v>1527.4506000000001</c:v>
                </c:pt>
                <c:pt idx="4459">
                  <c:v>1543.0463999999999</c:v>
                </c:pt>
                <c:pt idx="4460">
                  <c:v>1555.71478</c:v>
                </c:pt>
                <c:pt idx="4461">
                  <c:v>1552.67984</c:v>
                </c:pt>
                <c:pt idx="4462">
                  <c:v>1555.7574999999999</c:v>
                </c:pt>
                <c:pt idx="4463">
                  <c:v>1577.4655</c:v>
                </c:pt>
                <c:pt idx="4464">
                  <c:v>1588.4337</c:v>
                </c:pt>
                <c:pt idx="4465">
                  <c:v>1578.31456</c:v>
                </c:pt>
                <c:pt idx="4466">
                  <c:v>1571.58375</c:v>
                </c:pt>
                <c:pt idx="4467">
                  <c:v>1586.9034000000001</c:v>
                </c:pt>
                <c:pt idx="4468">
                  <c:v>1622.7319199999999</c:v>
                </c:pt>
                <c:pt idx="4469">
                  <c:v>1603.0128</c:v>
                </c:pt>
                <c:pt idx="4470">
                  <c:v>1609.0274200000001</c:v>
                </c:pt>
                <c:pt idx="4471">
                  <c:v>1632.45046</c:v>
                </c:pt>
                <c:pt idx="4472">
                  <c:v>1642.2082599999999</c:v>
                </c:pt>
                <c:pt idx="4473">
                  <c:v>1661.0995399999999</c:v>
                </c:pt>
                <c:pt idx="4474">
                  <c:v>1662.587</c:v>
                </c:pt>
                <c:pt idx="4475">
                  <c:v>1678.5030399999998</c:v>
                </c:pt>
                <c:pt idx="4476">
                  <c:v>1668.3482200000001</c:v>
                </c:pt>
                <c:pt idx="4477">
                  <c:v>1678.9274499999999</c:v>
                </c:pt>
                <c:pt idx="4478">
                  <c:v>1683.2823000000001</c:v>
                </c:pt>
                <c:pt idx="4479">
                  <c:v>1693.7889499999997</c:v>
                </c:pt>
                <c:pt idx="4480">
                  <c:v>1699.8371999999999</c:v>
                </c:pt>
                <c:pt idx="4481">
                  <c:v>1699.4683699999998</c:v>
                </c:pt>
                <c:pt idx="4482">
                  <c:v>1699.3429600000002</c:v>
                </c:pt>
                <c:pt idx="4483">
                  <c:v>1662.3080400000001</c:v>
                </c:pt>
                <c:pt idx="4484">
                  <c:v>1663.42876</c:v>
                </c:pt>
                <c:pt idx="4485">
                  <c:v>1657.38156</c:v>
                </c:pt>
                <c:pt idx="4486">
                  <c:v>1698.8958</c:v>
                </c:pt>
                <c:pt idx="4487">
                  <c:v>1691.1637000000001</c:v>
                </c:pt>
                <c:pt idx="4488">
                  <c:v>1721.8674000000001</c:v>
                </c:pt>
                <c:pt idx="4489">
                  <c:v>1708.9670699999999</c:v>
                </c:pt>
                <c:pt idx="4490">
                  <c:v>1714.9475</c:v>
                </c:pt>
                <c:pt idx="4491">
                  <c:v>1715.2681200000002</c:v>
                </c:pt>
                <c:pt idx="4492">
                  <c:v>1733.3434</c:v>
                </c:pt>
                <c:pt idx="4493">
                  <c:v>1758.4443799999999</c:v>
                </c:pt>
                <c:pt idx="4494">
                  <c:v>1752.8070000000002</c:v>
                </c:pt>
                <c:pt idx="4495">
                  <c:v>1755.7145999999998</c:v>
                </c:pt>
                <c:pt idx="4496">
                  <c:v>1748.21624</c:v>
                </c:pt>
                <c:pt idx="4497">
                  <c:v>1746.6653399999998</c:v>
                </c:pt>
                <c:pt idx="4498">
                  <c:v>1758.8997999999999</c:v>
                </c:pt>
                <c:pt idx="4499">
                  <c:v>1759.2009300000002</c:v>
                </c:pt>
                <c:pt idx="4500">
                  <c:v>1760.0047400000001</c:v>
                </c:pt>
                <c:pt idx="4501">
                  <c:v>1739.7708</c:v>
                </c:pt>
                <c:pt idx="4502">
                  <c:v>1754.1720099999998</c:v>
                </c:pt>
                <c:pt idx="4503">
                  <c:v>1729.8506400000003</c:v>
                </c:pt>
                <c:pt idx="4504">
                  <c:v>1738.0429199999999</c:v>
                </c:pt>
                <c:pt idx="4505">
                  <c:v>1738.0898400000003</c:v>
                </c:pt>
                <c:pt idx="4506">
                  <c:v>1717.9846200000002</c:v>
                </c:pt>
                <c:pt idx="4507">
                  <c:v>1722.66318</c:v>
                </c:pt>
                <c:pt idx="4508">
                  <c:v>1715.2801999999999</c:v>
                </c:pt>
                <c:pt idx="4509">
                  <c:v>1700.3600800000002</c:v>
                </c:pt>
                <c:pt idx="4510">
                  <c:v>1679.4435599999999</c:v>
                </c:pt>
                <c:pt idx="4511">
                  <c:v>1690.7505299999998</c:v>
                </c:pt>
                <c:pt idx="4512">
                  <c:v>1678.6534199999999</c:v>
                </c:pt>
                <c:pt idx="4513">
                  <c:v>1669.8995</c:v>
                </c:pt>
                <c:pt idx="4514">
                  <c:v>1653.21597</c:v>
                </c:pt>
                <c:pt idx="4515">
                  <c:v>1636.2547499999998</c:v>
                </c:pt>
                <c:pt idx="4516">
                  <c:v>1646.66392</c:v>
                </c:pt>
                <c:pt idx="4517">
                  <c:v>1609.8456000000001</c:v>
                </c:pt>
                <c:pt idx="4518">
                  <c:v>1612.0065</c:v>
                </c:pt>
                <c:pt idx="4519">
                  <c:v>1615.3092799999997</c:v>
                </c:pt>
                <c:pt idx="4520">
                  <c:v>1619.4470999999999</c:v>
                </c:pt>
                <c:pt idx="4521">
                  <c:v>1636.6715999999999</c:v>
                </c:pt>
                <c:pt idx="4522">
                  <c:v>1622.62824</c:v>
                </c:pt>
                <c:pt idx="4523">
                  <c:v>1608.2976000000001</c:v>
                </c:pt>
                <c:pt idx="4524">
                  <c:v>1600.5174999999999</c:v>
                </c:pt>
                <c:pt idx="4525">
                  <c:v>1589.6696000000002</c:v>
                </c:pt>
                <c:pt idx="4526">
                  <c:v>1596.3673200000001</c:v>
                </c:pt>
                <c:pt idx="4527">
                  <c:v>1595.3708100000001</c:v>
                </c:pt>
                <c:pt idx="4528">
                  <c:v>1580.01214</c:v>
                </c:pt>
                <c:pt idx="4529">
                  <c:v>1581.34591</c:v>
                </c:pt>
                <c:pt idx="4530">
                  <c:v>1566.7073999999998</c:v>
                </c:pt>
                <c:pt idx="4531">
                  <c:v>1569.8537799999999</c:v>
                </c:pt>
                <c:pt idx="4532">
                  <c:v>1565.62725</c:v>
                </c:pt>
                <c:pt idx="4533">
                  <c:v>1565.7048000000002</c:v>
                </c:pt>
                <c:pt idx="4534">
                  <c:v>1572.2353800000001</c:v>
                </c:pt>
                <c:pt idx="4535">
                  <c:v>1578.5158999999999</c:v>
                </c:pt>
                <c:pt idx="4536">
                  <c:v>1573.4555499999999</c:v>
                </c:pt>
                <c:pt idx="4537">
                  <c:v>1576.57773</c:v>
                </c:pt>
                <c:pt idx="4538">
                  <c:v>1569.6790199999998</c:v>
                </c:pt>
                <c:pt idx="4539">
                  <c:v>1586.1363200000001</c:v>
                </c:pt>
                <c:pt idx="4540">
                  <c:v>1576.8468</c:v>
                </c:pt>
                <c:pt idx="4541">
                  <c:v>1559.0188000000001</c:v>
                </c:pt>
                <c:pt idx="4542">
                  <c:v>1558.3266000000001</c:v>
                </c:pt>
                <c:pt idx="4543">
                  <c:v>1546.7264400000001</c:v>
                </c:pt>
                <c:pt idx="4544">
                  <c:v>1545.1213399999999</c:v>
                </c:pt>
                <c:pt idx="4545">
                  <c:v>1541.65825</c:v>
                </c:pt>
                <c:pt idx="4546">
                  <c:v>1525.8061000000002</c:v>
                </c:pt>
                <c:pt idx="4547">
                  <c:v>1548.8746799999999</c:v>
                </c:pt>
                <c:pt idx="4548">
                  <c:v>1542.41867</c:v>
                </c:pt>
                <c:pt idx="4549">
                  <c:v>1523.30295</c:v>
                </c:pt>
                <c:pt idx="4550">
                  <c:v>1519.22866</c:v>
                </c:pt>
                <c:pt idx="4551">
                  <c:v>1536.2657099999999</c:v>
                </c:pt>
                <c:pt idx="4552">
                  <c:v>1513.4</c:v>
                </c:pt>
                <c:pt idx="4553">
                  <c:v>1522.4025599999998</c:v>
                </c:pt>
                <c:pt idx="4554">
                  <c:v>1512.0242699999999</c:v>
                </c:pt>
                <c:pt idx="4555">
                  <c:v>1495.6205</c:v>
                </c:pt>
                <c:pt idx="4556">
                  <c:v>1502.6297400000001</c:v>
                </c:pt>
                <c:pt idx="4557">
                  <c:v>1506.4998399999999</c:v>
                </c:pt>
                <c:pt idx="4558">
                  <c:v>1508.3496</c:v>
                </c:pt>
                <c:pt idx="4559">
                  <c:v>1486.0345500000001</c:v>
                </c:pt>
                <c:pt idx="4560">
                  <c:v>1491.8634</c:v>
                </c:pt>
                <c:pt idx="4561">
                  <c:v>1498.1564700000001</c:v>
                </c:pt>
                <c:pt idx="4562">
                  <c:v>1491.1277499999999</c:v>
                </c:pt>
                <c:pt idx="4563">
                  <c:v>1505.4216300000001</c:v>
                </c:pt>
                <c:pt idx="4564">
                  <c:v>1500.8333400000001</c:v>
                </c:pt>
                <c:pt idx="4565">
                  <c:v>1546.1275000000001</c:v>
                </c:pt>
                <c:pt idx="4566">
                  <c:v>1543.5898499999998</c:v>
                </c:pt>
                <c:pt idx="4567">
                  <c:v>1548.22434</c:v>
                </c:pt>
                <c:pt idx="4568">
                  <c:v>1552.9095400000001</c:v>
                </c:pt>
                <c:pt idx="4569">
                  <c:v>1540.7762499999999</c:v>
                </c:pt>
                <c:pt idx="4570">
                  <c:v>1527.6928000000003</c:v>
                </c:pt>
                <c:pt idx="4571">
                  <c:v>1514.5829999999999</c:v>
                </c:pt>
                <c:pt idx="4572">
                  <c:v>1526.3550399999999</c:v>
                </c:pt>
                <c:pt idx="4573">
                  <c:v>1553.59428</c:v>
                </c:pt>
                <c:pt idx="4574">
                  <c:v>1541.2105999999999</c:v>
                </c:pt>
                <c:pt idx="4575">
                  <c:v>1555.2174600000001</c:v>
                </c:pt>
                <c:pt idx="4576">
                  <c:v>1551.3489999999999</c:v>
                </c:pt>
                <c:pt idx="4577">
                  <c:v>1564.86843</c:v>
                </c:pt>
                <c:pt idx="4578">
                  <c:v>1553.89707</c:v>
                </c:pt>
                <c:pt idx="4579">
                  <c:v>1523.6194399999999</c:v>
                </c:pt>
                <c:pt idx="4580">
                  <c:v>1544.4817499999999</c:v>
                </c:pt>
                <c:pt idx="4581">
                  <c:v>1531.6659999999999</c:v>
                </c:pt>
                <c:pt idx="4582">
                  <c:v>1536.3613499999999</c:v>
                </c:pt>
                <c:pt idx="4583">
                  <c:v>1536.57826</c:v>
                </c:pt>
                <c:pt idx="4584">
                  <c:v>1565.9318000000001</c:v>
                </c:pt>
                <c:pt idx="4585">
                  <c:v>1565.1839200000002</c:v>
                </c:pt>
                <c:pt idx="4586">
                  <c:v>1581.7155399999999</c:v>
                </c:pt>
                <c:pt idx="4587">
                  <c:v>1580.9211199999997</c:v>
                </c:pt>
                <c:pt idx="4588">
                  <c:v>1572.1376</c:v>
                </c:pt>
                <c:pt idx="4589">
                  <c:v>1556.0958400000002</c:v>
                </c:pt>
                <c:pt idx="4590">
                  <c:v>1561.90984</c:v>
                </c:pt>
                <c:pt idx="4591">
                  <c:v>1567.0870599999998</c:v>
                </c:pt>
                <c:pt idx="4592">
                  <c:v>1560.2495999999999</c:v>
                </c:pt>
                <c:pt idx="4593">
                  <c:v>1557.6940999999999</c:v>
                </c:pt>
                <c:pt idx="4594">
                  <c:v>1536.5847200000001</c:v>
                </c:pt>
                <c:pt idx="4595">
                  <c:v>1541.0056000000002</c:v>
                </c:pt>
                <c:pt idx="4596">
                  <c:v>1524.0445999999997</c:v>
                </c:pt>
                <c:pt idx="4597">
                  <c:v>1511.5407300000002</c:v>
                </c:pt>
                <c:pt idx="4598">
                  <c:v>1519.2768000000001</c:v>
                </c:pt>
                <c:pt idx="4599">
                  <c:v>1517.65</c:v>
                </c:pt>
                <c:pt idx="4600">
                  <c:v>1514.87</c:v>
                </c:pt>
                <c:pt idx="4601">
                  <c:v>1511.2831799999999</c:v>
                </c:pt>
                <c:pt idx="4602">
                  <c:v>1523.7961200000002</c:v>
                </c:pt>
                <c:pt idx="4603">
                  <c:v>1542.9299199999998</c:v>
                </c:pt>
                <c:pt idx="4604">
                  <c:v>1539.7696499999997</c:v>
                </c:pt>
                <c:pt idx="4605">
                  <c:v>1542.5182199999999</c:v>
                </c:pt>
                <c:pt idx="4606">
                  <c:v>1533.8178600000001</c:v>
                </c:pt>
                <c:pt idx="4607">
                  <c:v>1526.48847</c:v>
                </c:pt>
                <c:pt idx="4608">
                  <c:v>1541.8336499999998</c:v>
                </c:pt>
                <c:pt idx="4609">
                  <c:v>1554.7418499999999</c:v>
                </c:pt>
                <c:pt idx="4610">
                  <c:v>1551.2535</c:v>
                </c:pt>
                <c:pt idx="4611">
                  <c:v>1553.3081999999999</c:v>
                </c:pt>
                <c:pt idx="4612">
                  <c:v>1573.30495</c:v>
                </c:pt>
                <c:pt idx="4613">
                  <c:v>1556.2635899999998</c:v>
                </c:pt>
                <c:pt idx="4614">
                  <c:v>1548.365</c:v>
                </c:pt>
                <c:pt idx="4615">
                  <c:v>1551.2028000000003</c:v>
                </c:pt>
                <c:pt idx="4616">
                  <c:v>1536.4700000000003</c:v>
                </c:pt>
                <c:pt idx="4617">
                  <c:v>1529.4695999999999</c:v>
                </c:pt>
                <c:pt idx="4618">
                  <c:v>1523.6624499999998</c:v>
                </c:pt>
                <c:pt idx="4619">
                  <c:v>1534.0152599999999</c:v>
                </c:pt>
                <c:pt idx="4620">
                  <c:v>1530.7056</c:v>
                </c:pt>
                <c:pt idx="4621">
                  <c:v>1519.2372800000001</c:v>
                </c:pt>
                <c:pt idx="4622">
                  <c:v>1520.9270999999999</c:v>
                </c:pt>
                <c:pt idx="4623">
                  <c:v>1509.8167200000003</c:v>
                </c:pt>
                <c:pt idx="4624">
                  <c:v>1529.36122</c:v>
                </c:pt>
                <c:pt idx="4625">
                  <c:v>1563.9319</c:v>
                </c:pt>
                <c:pt idx="4626">
                  <c:v>1557.3269</c:v>
                </c:pt>
                <c:pt idx="4627">
                  <c:v>1538.7472500000001</c:v>
                </c:pt>
                <c:pt idx="4628">
                  <c:v>1532.0660999999998</c:v>
                </c:pt>
                <c:pt idx="4629">
                  <c:v>1539.7416800000001</c:v>
                </c:pt>
                <c:pt idx="4630">
                  <c:v>1544.1952800000001</c:v>
                </c:pt>
                <c:pt idx="4631">
                  <c:v>1517.1928799999998</c:v>
                </c:pt>
                <c:pt idx="4632">
                  <c:v>1513.7966799999999</c:v>
                </c:pt>
                <c:pt idx="4633">
                  <c:v>1494.99</c:v>
                </c:pt>
                <c:pt idx="4634">
                  <c:v>1518.60445</c:v>
                </c:pt>
                <c:pt idx="4635">
                  <c:v>1511.42112</c:v>
                </c:pt>
                <c:pt idx="4636">
                  <c:v>1521.4390100000001</c:v>
                </c:pt>
                <c:pt idx="4637">
                  <c:v>1536.1071599999998</c:v>
                </c:pt>
                <c:pt idx="4638">
                  <c:v>1514.01847</c:v>
                </c:pt>
                <c:pt idx="4639">
                  <c:v>1501.4285000000002</c:v>
                </c:pt>
                <c:pt idx="4640">
                  <c:v>1491.2704800000001</c:v>
                </c:pt>
                <c:pt idx="4641">
                  <c:v>1530.36114</c:v>
                </c:pt>
                <c:pt idx="4642">
                  <c:v>1519.7826</c:v>
                </c:pt>
                <c:pt idx="4643">
                  <c:v>1515.0090500000001</c:v>
                </c:pt>
                <c:pt idx="4644">
                  <c:v>1508.6586</c:v>
                </c:pt>
                <c:pt idx="4645">
                  <c:v>1516.0216200000002</c:v>
                </c:pt>
                <c:pt idx="4646">
                  <c:v>1527.17082</c:v>
                </c:pt>
                <c:pt idx="4647">
                  <c:v>1520.2323000000001</c:v>
                </c:pt>
                <c:pt idx="4648">
                  <c:v>1524.5452499999999</c:v>
                </c:pt>
                <c:pt idx="4649">
                  <c:v>1545.2600199999999</c:v>
                </c:pt>
                <c:pt idx="4650">
                  <c:v>1539.7452800000001</c:v>
                </c:pt>
                <c:pt idx="4651">
                  <c:v>1535.1340999999998</c:v>
                </c:pt>
                <c:pt idx="4652">
                  <c:v>1529.5948799999999</c:v>
                </c:pt>
                <c:pt idx="4653">
                  <c:v>1506.7987999999998</c:v>
                </c:pt>
                <c:pt idx="4654">
                  <c:v>1524.8958999999998</c:v>
                </c:pt>
                <c:pt idx="4655">
                  <c:v>1523.7964000000002</c:v>
                </c:pt>
                <c:pt idx="4656">
                  <c:v>1486.2020399999999</c:v>
                </c:pt>
                <c:pt idx="4657">
                  <c:v>1466.3236000000002</c:v>
                </c:pt>
                <c:pt idx="4658">
                  <c:v>1461.6974399999999</c:v>
                </c:pt>
                <c:pt idx="4659">
                  <c:v>1485.0689100000002</c:v>
                </c:pt>
                <c:pt idx="4660">
                  <c:v>1495.8183999999999</c:v>
                </c:pt>
                <c:pt idx="4661">
                  <c:v>1480.73216</c:v>
                </c:pt>
                <c:pt idx="4662">
                  <c:v>1488.806</c:v>
                </c:pt>
                <c:pt idx="4663">
                  <c:v>1489.9341600000002</c:v>
                </c:pt>
                <c:pt idx="4664">
                  <c:v>1512.3682700000002</c:v>
                </c:pt>
                <c:pt idx="4665">
                  <c:v>1496.3081399999999</c:v>
                </c:pt>
                <c:pt idx="4666">
                  <c:v>1508.8920000000001</c:v>
                </c:pt>
                <c:pt idx="4667">
                  <c:v>1498.32518</c:v>
                </c:pt>
                <c:pt idx="4668">
                  <c:v>1507.42</c:v>
                </c:pt>
                <c:pt idx="4669">
                  <c:v>1509.91002</c:v>
                </c:pt>
                <c:pt idx="4670">
                  <c:v>1508.46462</c:v>
                </c:pt>
                <c:pt idx="4671">
                  <c:v>1542.6376000000002</c:v>
                </c:pt>
                <c:pt idx="4672">
                  <c:v>1519.2972599999998</c:v>
                </c:pt>
                <c:pt idx="4673">
                  <c:v>1527.5720200000001</c:v>
                </c:pt>
                <c:pt idx="4674">
                  <c:v>1529.4546399999999</c:v>
                </c:pt>
                <c:pt idx="4675">
                  <c:v>1534.9818500000001</c:v>
                </c:pt>
                <c:pt idx="4676">
                  <c:v>1532.0771999999999</c:v>
                </c:pt>
                <c:pt idx="4677">
                  <c:v>1525.1416000000002</c:v>
                </c:pt>
                <c:pt idx="4678">
                  <c:v>1515.72885</c:v>
                </c:pt>
                <c:pt idx="4679">
                  <c:v>1524.0370599999999</c:v>
                </c:pt>
                <c:pt idx="4680">
                  <c:v>1498.3453199999999</c:v>
                </c:pt>
                <c:pt idx="4681">
                  <c:v>1486.5789499999998</c:v>
                </c:pt>
                <c:pt idx="4682">
                  <c:v>1465.5206799999999</c:v>
                </c:pt>
                <c:pt idx="4683">
                  <c:v>1469.95027</c:v>
                </c:pt>
                <c:pt idx="4684">
                  <c:v>1475.307</c:v>
                </c:pt>
                <c:pt idx="4685">
                  <c:v>1463.9428</c:v>
                </c:pt>
                <c:pt idx="4686">
                  <c:v>1460.8730699999999</c:v>
                </c:pt>
                <c:pt idx="4687">
                  <c:v>1450.8752999999997</c:v>
                </c:pt>
                <c:pt idx="4688">
                  <c:v>1430.1609300000002</c:v>
                </c:pt>
                <c:pt idx="4689">
                  <c:v>1444.7523200000001</c:v>
                </c:pt>
                <c:pt idx="4690">
                  <c:v>1432.0425299999999</c:v>
                </c:pt>
                <c:pt idx="4691">
                  <c:v>1418.2191799999998</c:v>
                </c:pt>
                <c:pt idx="4692">
                  <c:v>1383.5071799999998</c:v>
                </c:pt>
                <c:pt idx="4693">
                  <c:v>1372.806</c:v>
                </c:pt>
                <c:pt idx="4694">
                  <c:v>1365.4352999999999</c:v>
                </c:pt>
                <c:pt idx="4695">
                  <c:v>1368.8434199999999</c:v>
                </c:pt>
                <c:pt idx="4696">
                  <c:v>1361.9312</c:v>
                </c:pt>
                <c:pt idx="4697">
                  <c:v>1357.8058400000002</c:v>
                </c:pt>
                <c:pt idx="4698">
                  <c:v>1373.85016</c:v>
                </c:pt>
                <c:pt idx="4699">
                  <c:v>1385.14095</c:v>
                </c:pt>
                <c:pt idx="4700">
                  <c:v>1382.9721</c:v>
                </c:pt>
                <c:pt idx="4701">
                  <c:v>1374.3680299999999</c:v>
                </c:pt>
                <c:pt idx="4702">
                  <c:v>1378.7508</c:v>
                </c:pt>
                <c:pt idx="4703">
                  <c:v>1368.0575999999999</c:v>
                </c:pt>
                <c:pt idx="4704">
                  <c:v>1375.6026999999999</c:v>
                </c:pt>
                <c:pt idx="4705">
                  <c:v>1375.14102</c:v>
                </c:pt>
                <c:pt idx="4706">
                  <c:v>1393.2926600000001</c:v>
                </c:pt>
                <c:pt idx="4707">
                  <c:v>1394.6396399999999</c:v>
                </c:pt>
                <c:pt idx="4708">
                  <c:v>1390.8226500000001</c:v>
                </c:pt>
                <c:pt idx="4709">
                  <c:v>1391.1343999999999</c:v>
                </c:pt>
                <c:pt idx="4710">
                  <c:v>1382.88417</c:v>
                </c:pt>
                <c:pt idx="4711">
                  <c:v>1386.97225</c:v>
                </c:pt>
                <c:pt idx="4712">
                  <c:v>1386.4484100000002</c:v>
                </c:pt>
                <c:pt idx="4713">
                  <c:v>1371.7222599999998</c:v>
                </c:pt>
                <c:pt idx="4714">
                  <c:v>1389.1106999999997</c:v>
                </c:pt>
                <c:pt idx="4715">
                  <c:v>1413.34825</c:v>
                </c:pt>
                <c:pt idx="4716">
                  <c:v>1402.3437399999998</c:v>
                </c:pt>
                <c:pt idx="4717">
                  <c:v>1408.6317299999998</c:v>
                </c:pt>
                <c:pt idx="4718">
                  <c:v>1391.7867199999998</c:v>
                </c:pt>
                <c:pt idx="4719">
                  <c:v>1383.2040000000002</c:v>
                </c:pt>
                <c:pt idx="4720">
                  <c:v>1357.6658399999999</c:v>
                </c:pt>
                <c:pt idx="4721">
                  <c:v>1347.7648499999998</c:v>
                </c:pt>
                <c:pt idx="4722">
                  <c:v>1336.3156800000002</c:v>
                </c:pt>
                <c:pt idx="4723">
                  <c:v>1338.9445000000001</c:v>
                </c:pt>
                <c:pt idx="4724">
                  <c:v>1328.6835000000001</c:v>
                </c:pt>
                <c:pt idx="4725">
                  <c:v>1328.2287500000002</c:v>
                </c:pt>
                <c:pt idx="4726">
                  <c:v>1348.1535999999999</c:v>
                </c:pt>
                <c:pt idx="4727">
                  <c:v>1358.0416</c:v>
                </c:pt>
                <c:pt idx="4728">
                  <c:v>1376.3063999999999</c:v>
                </c:pt>
                <c:pt idx="4729">
                  <c:v>1383.0240600000002</c:v>
                </c:pt>
                <c:pt idx="4730">
                  <c:v>1366.9312499999999</c:v>
                </c:pt>
                <c:pt idx="4731">
                  <c:v>1347.5132800000001</c:v>
                </c:pt>
                <c:pt idx="4732">
                  <c:v>1342.0306800000001</c:v>
                </c:pt>
                <c:pt idx="4733">
                  <c:v>1312.24395</c:v>
                </c:pt>
                <c:pt idx="4734">
                  <c:v>1336.8969999999999</c:v>
                </c:pt>
                <c:pt idx="4735">
                  <c:v>1340.78208</c:v>
                </c:pt>
                <c:pt idx="4736">
                  <c:v>1325.3029999999999</c:v>
                </c:pt>
                <c:pt idx="4737">
                  <c:v>1322.0819199999999</c:v>
                </c:pt>
                <c:pt idx="4738">
                  <c:v>1336.1733299999999</c:v>
                </c:pt>
                <c:pt idx="4739">
                  <c:v>1355.3150000000001</c:v>
                </c:pt>
                <c:pt idx="4740">
                  <c:v>1359.9116799999999</c:v>
                </c:pt>
                <c:pt idx="4741">
                  <c:v>1330.2792000000002</c:v>
                </c:pt>
                <c:pt idx="4742">
                  <c:v>1301.6894400000001</c:v>
                </c:pt>
                <c:pt idx="4743">
                  <c:v>1299.5149699999999</c:v>
                </c:pt>
                <c:pt idx="4744">
                  <c:v>1321.2852800000003</c:v>
                </c:pt>
                <c:pt idx="4745">
                  <c:v>1317.8541499999999</c:v>
                </c:pt>
                <c:pt idx="4746">
                  <c:v>1328.36202</c:v>
                </c:pt>
                <c:pt idx="4747">
                  <c:v>1338.8841</c:v>
                </c:pt>
                <c:pt idx="4748">
                  <c:v>1338.3862000000001</c:v>
                </c:pt>
                <c:pt idx="4749">
                  <c:v>1339.4007000000001</c:v>
                </c:pt>
                <c:pt idx="4750">
                  <c:v>1366.5162499999999</c:v>
                </c:pt>
                <c:pt idx="4751">
                  <c:v>1386.0091199999999</c:v>
                </c:pt>
                <c:pt idx="4752">
                  <c:v>1385.1670000000001</c:v>
                </c:pt>
                <c:pt idx="4753">
                  <c:v>1395.58851</c:v>
                </c:pt>
                <c:pt idx="4754">
                  <c:v>1378.0883799999999</c:v>
                </c:pt>
                <c:pt idx="4755">
                  <c:v>1374.7494000000002</c:v>
                </c:pt>
                <c:pt idx="4756">
                  <c:v>1368.7380000000001</c:v>
                </c:pt>
                <c:pt idx="4757">
                  <c:v>1379.5064600000003</c:v>
                </c:pt>
                <c:pt idx="4758">
                  <c:v>1392.2728200000001</c:v>
                </c:pt>
                <c:pt idx="4759">
                  <c:v>1401.4989499999999</c:v>
                </c:pt>
                <c:pt idx="4760">
                  <c:v>1387.3976999999998</c:v>
                </c:pt>
                <c:pt idx="4761">
                  <c:v>1385.6167799999998</c:v>
                </c:pt>
                <c:pt idx="4762">
                  <c:v>1361.3241100000002</c:v>
                </c:pt>
                <c:pt idx="4763">
                  <c:v>1344.6658400000001</c:v>
                </c:pt>
                <c:pt idx="4764">
                  <c:v>1329.5543600000001</c:v>
                </c:pt>
                <c:pt idx="4765">
                  <c:v>1316.2000799999998</c:v>
                </c:pt>
                <c:pt idx="4766">
                  <c:v>1301.9533999999999</c:v>
                </c:pt>
                <c:pt idx="4767">
                  <c:v>1311.2073600000001</c:v>
                </c:pt>
                <c:pt idx="4768">
                  <c:v>1317.998</c:v>
                </c:pt>
                <c:pt idx="4769">
                  <c:v>1305.9158</c:v>
                </c:pt>
                <c:pt idx="4770">
                  <c:v>1307.0327200000002</c:v>
                </c:pt>
                <c:pt idx="4771">
                  <c:v>1317.7168200000001</c:v>
                </c:pt>
                <c:pt idx="4772">
                  <c:v>1321.9309999999998</c:v>
                </c:pt>
                <c:pt idx="4773">
                  <c:v>1323.8575000000001</c:v>
                </c:pt>
                <c:pt idx="4774">
                  <c:v>1354.4076</c:v>
                </c:pt>
                <c:pt idx="4775">
                  <c:v>1356.4360000000001</c:v>
                </c:pt>
                <c:pt idx="4776">
                  <c:v>1365.7937299999999</c:v>
                </c:pt>
                <c:pt idx="4777">
                  <c:v>1367.78226</c:v>
                </c:pt>
                <c:pt idx="4778">
                  <c:v>1370.76475</c:v>
                </c:pt>
                <c:pt idx="4779">
                  <c:v>1356.6004</c:v>
                </c:pt>
                <c:pt idx="4780">
                  <c:v>1361.65392</c:v>
                </c:pt>
                <c:pt idx="4781">
                  <c:v>1350.5342000000001</c:v>
                </c:pt>
                <c:pt idx="4782">
                  <c:v>1340.5489399999999</c:v>
                </c:pt>
                <c:pt idx="4783">
                  <c:v>1344.636</c:v>
                </c:pt>
                <c:pt idx="4784">
                  <c:v>1355.2839000000001</c:v>
                </c:pt>
                <c:pt idx="4785">
                  <c:v>1344.43896</c:v>
                </c:pt>
                <c:pt idx="4786">
                  <c:v>1368.2407600000001</c:v>
                </c:pt>
                <c:pt idx="4787">
                  <c:v>1381.5356000000002</c:v>
                </c:pt>
                <c:pt idx="4788">
                  <c:v>1385.6177499999999</c:v>
                </c:pt>
                <c:pt idx="4789">
                  <c:v>1374.0353</c:v>
                </c:pt>
                <c:pt idx="4790">
                  <c:v>1400.1327000000001</c:v>
                </c:pt>
                <c:pt idx="4791">
                  <c:v>1416.55952</c:v>
                </c:pt>
                <c:pt idx="4792">
                  <c:v>1432.6073699999999</c:v>
                </c:pt>
                <c:pt idx="4793">
                  <c:v>1430.5449999999998</c:v>
                </c:pt>
                <c:pt idx="4794">
                  <c:v>1425.6729</c:v>
                </c:pt>
                <c:pt idx="4795">
                  <c:v>1450.6079999999999</c:v>
                </c:pt>
                <c:pt idx="4796">
                  <c:v>1443.6012799999999</c:v>
                </c:pt>
                <c:pt idx="4797">
                  <c:v>1448.3876699999998</c:v>
                </c:pt>
                <c:pt idx="4798">
                  <c:v>1424.7138600000003</c:v>
                </c:pt>
                <c:pt idx="4799">
                  <c:v>1439.0814800000001</c:v>
                </c:pt>
                <c:pt idx="4800">
                  <c:v>1430.8774199999998</c:v>
                </c:pt>
                <c:pt idx="4801">
                  <c:v>1425.0367999999999</c:v>
                </c:pt>
                <c:pt idx="4802">
                  <c:v>1389.7130399999999</c:v>
                </c:pt>
                <c:pt idx="4803">
                  <c:v>1378.9586199999999</c:v>
                </c:pt>
                <c:pt idx="4804">
                  <c:v>1394.5714999999998</c:v>
                </c:pt>
                <c:pt idx="4805">
                  <c:v>1398.86707</c:v>
                </c:pt>
                <c:pt idx="4806">
                  <c:v>1385.8866300000002</c:v>
                </c:pt>
                <c:pt idx="4807">
                  <c:v>1384.7091700000001</c:v>
                </c:pt>
                <c:pt idx="4808">
                  <c:v>1360.0405500000002</c:v>
                </c:pt>
                <c:pt idx="4809">
                  <c:v>1354.50756</c:v>
                </c:pt>
                <c:pt idx="4810">
                  <c:v>1348.1184099999998</c:v>
                </c:pt>
                <c:pt idx="4811">
                  <c:v>1343.4269999999999</c:v>
                </c:pt>
                <c:pt idx="4812">
                  <c:v>1330.8072999999999</c:v>
                </c:pt>
                <c:pt idx="4813">
                  <c:v>1339.10889</c:v>
                </c:pt>
                <c:pt idx="4814">
                  <c:v>1338.9992</c:v>
                </c:pt>
                <c:pt idx="4815">
                  <c:v>1339.73244</c:v>
                </c:pt>
                <c:pt idx="4816">
                  <c:v>1352.2836</c:v>
                </c:pt>
                <c:pt idx="4817">
                  <c:v>1358.92832</c:v>
                </c:pt>
                <c:pt idx="4818">
                  <c:v>1386.7438200000001</c:v>
                </c:pt>
                <c:pt idx="4819">
                  <c:v>1389.6989999999998</c:v>
                </c:pt>
                <c:pt idx="4820">
                  <c:v>1388.3966</c:v>
                </c:pt>
                <c:pt idx="4821">
                  <c:v>1388.8041599999999</c:v>
                </c:pt>
                <c:pt idx="4822">
                  <c:v>1392.6230499999999</c:v>
                </c:pt>
                <c:pt idx="4823">
                  <c:v>1365.34401</c:v>
                </c:pt>
                <c:pt idx="4824">
                  <c:v>1366.11672</c:v>
                </c:pt>
                <c:pt idx="4825">
                  <c:v>1332.7439400000001</c:v>
                </c:pt>
                <c:pt idx="4826">
                  <c:v>1337.028</c:v>
                </c:pt>
                <c:pt idx="4827">
                  <c:v>1334.501</c:v>
                </c:pt>
                <c:pt idx="4828">
                  <c:v>1269.3806999999999</c:v>
                </c:pt>
                <c:pt idx="4829">
                  <c:v>1284.3894</c:v>
                </c:pt>
                <c:pt idx="4830">
                  <c:v>1262.4967799999999</c:v>
                </c:pt>
                <c:pt idx="4831">
                  <c:v>1316.2577999999999</c:v>
                </c:pt>
                <c:pt idx="4832">
                  <c:v>1309.0572</c:v>
                </c:pt>
                <c:pt idx="4833">
                  <c:v>1335.0416</c:v>
                </c:pt>
                <c:pt idx="4834">
                  <c:v>1323.96</c:v>
                </c:pt>
                <c:pt idx="4835">
                  <c:v>1325.6808000000001</c:v>
                </c:pt>
                <c:pt idx="4836">
                  <c:v>1315.0081000000002</c:v>
                </c:pt>
                <c:pt idx="4837">
                  <c:v>1291.6875399999999</c:v>
                </c:pt>
                <c:pt idx="4838">
                  <c:v>1282.4178000000002</c:v>
                </c:pt>
                <c:pt idx="4839">
                  <c:v>1282.80672</c:v>
                </c:pt>
                <c:pt idx="4840">
                  <c:v>1299.8341199999998</c:v>
                </c:pt>
                <c:pt idx="4841">
                  <c:v>1307.2178900000001</c:v>
                </c:pt>
                <c:pt idx="4842">
                  <c:v>1294.6273800000001</c:v>
                </c:pt>
                <c:pt idx="4843">
                  <c:v>1296.4455</c:v>
                </c:pt>
                <c:pt idx="4844">
                  <c:v>1297.73405</c:v>
                </c:pt>
                <c:pt idx="4845">
                  <c:v>1321.0562399999999</c:v>
                </c:pt>
                <c:pt idx="4846">
                  <c:v>1336.7714400000002</c:v>
                </c:pt>
                <c:pt idx="4847">
                  <c:v>1310.2422799999999</c:v>
                </c:pt>
                <c:pt idx="4848">
                  <c:v>1325.8687199999999</c:v>
                </c:pt>
                <c:pt idx="4849">
                  <c:v>1316.0279599999999</c:v>
                </c:pt>
                <c:pt idx="4850">
                  <c:v>1291.473</c:v>
                </c:pt>
                <c:pt idx="4851">
                  <c:v>1292.0372500000001</c:v>
                </c:pt>
                <c:pt idx="4852">
                  <c:v>1297.07078</c:v>
                </c:pt>
                <c:pt idx="4853">
                  <c:v>1289.4913799999999</c:v>
                </c:pt>
                <c:pt idx="4854">
                  <c:v>1256.8072</c:v>
                </c:pt>
                <c:pt idx="4855">
                  <c:v>1253.3534999999999</c:v>
                </c:pt>
                <c:pt idx="4856">
                  <c:v>1242.6666599999999</c:v>
                </c:pt>
                <c:pt idx="4857">
                  <c:v>1255.89624</c:v>
                </c:pt>
                <c:pt idx="4858">
                  <c:v>1283.6583600000001</c:v>
                </c:pt>
                <c:pt idx="4859">
                  <c:v>1280.0141600000002</c:v>
                </c:pt>
                <c:pt idx="4860">
                  <c:v>1288.76358</c:v>
                </c:pt>
                <c:pt idx="4861">
                  <c:v>1285.8731600000001</c:v>
                </c:pt>
                <c:pt idx="4862">
                  <c:v>1285.6635900000001</c:v>
                </c:pt>
                <c:pt idx="4863">
                  <c:v>1300.7695800000001</c:v>
                </c:pt>
                <c:pt idx="4864">
                  <c:v>1303.2027799999998</c:v>
                </c:pt>
                <c:pt idx="4865">
                  <c:v>1298.8523600000001</c:v>
                </c:pt>
                <c:pt idx="4866">
                  <c:v>1307.9648400000001</c:v>
                </c:pt>
                <c:pt idx="4867">
                  <c:v>1302.4590600000001</c:v>
                </c:pt>
                <c:pt idx="4868">
                  <c:v>1297.6392000000001</c:v>
                </c:pt>
                <c:pt idx="4869">
                  <c:v>1307.5287000000001</c:v>
                </c:pt>
                <c:pt idx="4870">
                  <c:v>1309.4449500000001</c:v>
                </c:pt>
                <c:pt idx="4871">
                  <c:v>1327.6499099999999</c:v>
                </c:pt>
                <c:pt idx="4872">
                  <c:v>1329.4258400000001</c:v>
                </c:pt>
                <c:pt idx="4873">
                  <c:v>1335.07999</c:v>
                </c:pt>
                <c:pt idx="4874">
                  <c:v>1337.1810399999999</c:v>
                </c:pt>
                <c:pt idx="4875">
                  <c:v>1339.1388000000002</c:v>
                </c:pt>
                <c:pt idx="4876">
                  <c:v>1346.1417000000001</c:v>
                </c:pt>
                <c:pt idx="4877">
                  <c:v>1351.47615</c:v>
                </c:pt>
                <c:pt idx="4878">
                  <c:v>1336.1353799999999</c:v>
                </c:pt>
                <c:pt idx="4879">
                  <c:v>1311.9031200000002</c:v>
                </c:pt>
                <c:pt idx="4880">
                  <c:v>1327.6631199999999</c:v>
                </c:pt>
                <c:pt idx="4881">
                  <c:v>1336.4363499999999</c:v>
                </c:pt>
                <c:pt idx="4882">
                  <c:v>1344.7245</c:v>
                </c:pt>
                <c:pt idx="4883">
                  <c:v>1350.8386399999999</c:v>
                </c:pt>
                <c:pt idx="4884">
                  <c:v>1360.56675</c:v>
                </c:pt>
                <c:pt idx="4885">
                  <c:v>1343.29305</c:v>
                </c:pt>
                <c:pt idx="4886">
                  <c:v>1366.1144200000001</c:v>
                </c:pt>
                <c:pt idx="4887">
                  <c:v>1355.9594999999999</c:v>
                </c:pt>
                <c:pt idx="4888">
                  <c:v>1357.08122</c:v>
                </c:pt>
                <c:pt idx="4889">
                  <c:v>1347.0103299999998</c:v>
                </c:pt>
                <c:pt idx="4890">
                  <c:v>1337.4591999999998</c:v>
                </c:pt>
                <c:pt idx="4891">
                  <c:v>1325.4317999999998</c:v>
                </c:pt>
                <c:pt idx="4892">
                  <c:v>1323.11725</c:v>
                </c:pt>
                <c:pt idx="4893">
                  <c:v>1335.9789000000001</c:v>
                </c:pt>
                <c:pt idx="4894">
                  <c:v>1326.6487000000002</c:v>
                </c:pt>
                <c:pt idx="4895">
                  <c:v>1335.0040200000001</c:v>
                </c:pt>
                <c:pt idx="4896">
                  <c:v>1326.7312000000002</c:v>
                </c:pt>
                <c:pt idx="4897">
                  <c:v>1313.8419999999999</c:v>
                </c:pt>
                <c:pt idx="4898">
                  <c:v>1306.8028799999997</c:v>
                </c:pt>
                <c:pt idx="4899">
                  <c:v>1285.2855</c:v>
                </c:pt>
                <c:pt idx="4900">
                  <c:v>1269.22515</c:v>
                </c:pt>
                <c:pt idx="4901">
                  <c:v>1278.6665600000001</c:v>
                </c:pt>
                <c:pt idx="4902">
                  <c:v>1273.077</c:v>
                </c:pt>
                <c:pt idx="4903">
                  <c:v>1280.3218199999999</c:v>
                </c:pt>
                <c:pt idx="4904">
                  <c:v>1278.6410500000002</c:v>
                </c:pt>
                <c:pt idx="4905">
                  <c:v>1289.43569</c:v>
                </c:pt>
                <c:pt idx="4906">
                  <c:v>1264.4377200000001</c:v>
                </c:pt>
                <c:pt idx="4907">
                  <c:v>1270.136</c:v>
                </c:pt>
                <c:pt idx="4908">
                  <c:v>1219.2239999999999</c:v>
                </c:pt>
                <c:pt idx="4909">
                  <c:v>1215.0481</c:v>
                </c:pt>
                <c:pt idx="4910">
                  <c:v>1219.4924999999998</c:v>
                </c:pt>
                <c:pt idx="4911">
                  <c:v>1215.4811999999997</c:v>
                </c:pt>
                <c:pt idx="4912">
                  <c:v>1222.2755999999997</c:v>
                </c:pt>
                <c:pt idx="4913">
                  <c:v>1238.787</c:v>
                </c:pt>
                <c:pt idx="4914">
                  <c:v>1239.24</c:v>
                </c:pt>
                <c:pt idx="4915">
                  <c:v>1239.24</c:v>
                </c:pt>
                <c:pt idx="4916">
                  <c:v>1257.9419999999998</c:v>
                </c:pt>
                <c:pt idx="4917">
                  <c:v>1246.3184999999999</c:v>
                </c:pt>
                <c:pt idx="4918">
                  <c:v>1238.241</c:v>
                </c:pt>
                <c:pt idx="4919">
                  <c:v>1236.519</c:v>
                </c:pt>
                <c:pt idx="4920">
                  <c:v>1264.5031000000001</c:v>
                </c:pt>
                <c:pt idx="4921">
                  <c:v>1258.7256</c:v>
                </c:pt>
                <c:pt idx="4922">
                  <c:v>1255.73532</c:v>
                </c:pt>
                <c:pt idx="4923">
                  <c:v>1269.2979599999999</c:v>
                </c:pt>
                <c:pt idx="4924">
                  <c:v>1281.4790400000002</c:v>
                </c:pt>
                <c:pt idx="4925">
                  <c:v>1277.23036</c:v>
                </c:pt>
                <c:pt idx="4926">
                  <c:v>1295.44415</c:v>
                </c:pt>
                <c:pt idx="4927">
                  <c:v>1289.8249599999999</c:v>
                </c:pt>
                <c:pt idx="4928">
                  <c:v>1287.3721599999999</c:v>
                </c:pt>
                <c:pt idx="4929">
                  <c:v>1278.50135</c:v>
                </c:pt>
                <c:pt idx="4930">
                  <c:v>1294.89879</c:v>
                </c:pt>
                <c:pt idx="4931">
                  <c:v>1299.5229000000002</c:v>
                </c:pt>
                <c:pt idx="4932">
                  <c:v>1290.854</c:v>
                </c:pt>
                <c:pt idx="4933">
                  <c:v>1283.4680700000001</c:v>
                </c:pt>
                <c:pt idx="4934">
                  <c:v>1286.78394</c:v>
                </c:pt>
                <c:pt idx="4935">
                  <c:v>1281.15336</c:v>
                </c:pt>
                <c:pt idx="4936">
                  <c:v>1305.0899999999999</c:v>
                </c:pt>
                <c:pt idx="4937">
                  <c:v>1308.4617000000001</c:v>
                </c:pt>
                <c:pt idx="4938">
                  <c:v>1318.1579300000001</c:v>
                </c:pt>
                <c:pt idx="4939">
                  <c:v>1331.7253499999999</c:v>
                </c:pt>
                <c:pt idx="4940">
                  <c:v>1354.1185600000001</c:v>
                </c:pt>
                <c:pt idx="4941">
                  <c:v>1360.6667100000002</c:v>
                </c:pt>
                <c:pt idx="4942">
                  <c:v>1357.4628300000002</c:v>
                </c:pt>
                <c:pt idx="4943">
                  <c:v>1337.4019499999999</c:v>
                </c:pt>
                <c:pt idx="4944">
                  <c:v>1346.9036799999999</c:v>
                </c:pt>
                <c:pt idx="4945">
                  <c:v>1356.47424</c:v>
                </c:pt>
                <c:pt idx="4946">
                  <c:v>1363.9469199999999</c:v>
                </c:pt>
                <c:pt idx="4947">
                  <c:v>1366.1587099999999</c:v>
                </c:pt>
                <c:pt idx="4948">
                  <c:v>1371.9287000000002</c:v>
                </c:pt>
                <c:pt idx="4949">
                  <c:v>1370.3679999999999</c:v>
                </c:pt>
                <c:pt idx="4950">
                  <c:v>1378.2735800000003</c:v>
                </c:pt>
                <c:pt idx="4951">
                  <c:v>1382.4636</c:v>
                </c:pt>
                <c:pt idx="4952">
                  <c:v>1379.3905399999999</c:v>
                </c:pt>
                <c:pt idx="4953">
                  <c:v>1364.76493</c:v>
                </c:pt>
                <c:pt idx="4954">
                  <c:v>1390.1378399999999</c:v>
                </c:pt>
                <c:pt idx="4955">
                  <c:v>1380.9072800000001</c:v>
                </c:pt>
                <c:pt idx="4956">
                  <c:v>1373.259</c:v>
                </c:pt>
                <c:pt idx="4957">
                  <c:v>1386.2691</c:v>
                </c:pt>
                <c:pt idx="4958">
                  <c:v>1382.6298200000001</c:v>
                </c:pt>
                <c:pt idx="4959">
                  <c:v>1387.9863</c:v>
                </c:pt>
                <c:pt idx="4960">
                  <c:v>1367.0384000000001</c:v>
                </c:pt>
                <c:pt idx="4961">
                  <c:v>1365.02</c:v>
                </c:pt>
                <c:pt idx="4962">
                  <c:v>1375.6019200000001</c:v>
                </c:pt>
                <c:pt idx="4963">
                  <c:v>1386.2171700000001</c:v>
                </c:pt>
                <c:pt idx="4964">
                  <c:v>1389.5471700000001</c:v>
                </c:pt>
                <c:pt idx="4965">
                  <c:v>1403.3660399999999</c:v>
                </c:pt>
                <c:pt idx="4966">
                  <c:v>1413.258</c:v>
                </c:pt>
                <c:pt idx="4967">
                  <c:v>1389.6109499999998</c:v>
                </c:pt>
                <c:pt idx="4968">
                  <c:v>1392.4104599999998</c:v>
                </c:pt>
                <c:pt idx="4969">
                  <c:v>1382.81836</c:v>
                </c:pt>
                <c:pt idx="4970">
                  <c:v>1373.85375</c:v>
                </c:pt>
                <c:pt idx="4971">
                  <c:v>1368.85608</c:v>
                </c:pt>
                <c:pt idx="4972">
                  <c:v>1365.6747199999998</c:v>
                </c:pt>
                <c:pt idx="4973">
                  <c:v>1392.4592</c:v>
                </c:pt>
                <c:pt idx="4974">
                  <c:v>1397.4492600000001</c:v>
                </c:pt>
                <c:pt idx="4975">
                  <c:v>1417.3871700000002</c:v>
                </c:pt>
                <c:pt idx="4976">
                  <c:v>1399.1373999999998</c:v>
                </c:pt>
                <c:pt idx="4977">
                  <c:v>1395.0701999999999</c:v>
                </c:pt>
                <c:pt idx="4978">
                  <c:v>1408.6464000000001</c:v>
                </c:pt>
                <c:pt idx="4979">
                  <c:v>1411.7055</c:v>
                </c:pt>
                <c:pt idx="4980">
                  <c:v>1411.4172000000001</c:v>
                </c:pt>
                <c:pt idx="4981">
                  <c:v>1413.1729</c:v>
                </c:pt>
                <c:pt idx="4982">
                  <c:v>1428.8126000000002</c:v>
                </c:pt>
                <c:pt idx="4983">
                  <c:v>1431.4677999999999</c:v>
                </c:pt>
                <c:pt idx="4984">
                  <c:v>1439.0810000000001</c:v>
                </c:pt>
                <c:pt idx="4985">
                  <c:v>1417.4804000000001</c:v>
                </c:pt>
                <c:pt idx="4986">
                  <c:v>1399.9776000000002</c:v>
                </c:pt>
                <c:pt idx="4987">
                  <c:v>1388.3870000000002</c:v>
                </c:pt>
                <c:pt idx="4988">
                  <c:v>1390.6080000000002</c:v>
                </c:pt>
                <c:pt idx="4989">
                  <c:v>1401.2640000000001</c:v>
                </c:pt>
                <c:pt idx="4990">
                  <c:v>1396.5375000000001</c:v>
                </c:pt>
                <c:pt idx="4991">
                  <c:v>1411.2900000000002</c:v>
                </c:pt>
                <c:pt idx="4992">
                  <c:v>1397.7900000000002</c:v>
                </c:pt>
                <c:pt idx="4993">
                  <c:v>1368.3057000000001</c:v>
                </c:pt>
                <c:pt idx="4994">
                  <c:v>1366.5120000000002</c:v>
                </c:pt>
                <c:pt idx="4995">
                  <c:v>1398.4940000000001</c:v>
                </c:pt>
                <c:pt idx="4996">
                  <c:v>1393.5810999999999</c:v>
                </c:pt>
                <c:pt idx="4997">
                  <c:v>1410.9857999999999</c:v>
                </c:pt>
                <c:pt idx="4998">
                  <c:v>1416.3420000000001</c:v>
                </c:pt>
                <c:pt idx="4999">
                  <c:v>1390.5294000000001</c:v>
                </c:pt>
                <c:pt idx="5000">
                  <c:v>1384.2528000000002</c:v>
                </c:pt>
                <c:pt idx="5001">
                  <c:v>1386.9699000000001</c:v>
                </c:pt>
                <c:pt idx="5002">
                  <c:v>1371.8064000000002</c:v>
                </c:pt>
                <c:pt idx="5003">
                  <c:v>1352.588</c:v>
                </c:pt>
                <c:pt idx="5004">
                  <c:v>1361.5020000000002</c:v>
                </c:pt>
                <c:pt idx="5005">
                  <c:v>1358.2800000000002</c:v>
                </c:pt>
                <c:pt idx="5006">
                  <c:v>1327.8474000000001</c:v>
                </c:pt>
                <c:pt idx="5007">
                  <c:v>1349.0610000000001</c:v>
                </c:pt>
                <c:pt idx="5008">
                  <c:v>1353.4584000000002</c:v>
                </c:pt>
                <c:pt idx="5009">
                  <c:v>1336.3340000000001</c:v>
                </c:pt>
                <c:pt idx="5010">
                  <c:v>1324.6135000000002</c:v>
                </c:pt>
                <c:pt idx="5011">
                  <c:v>1317.5387000000001</c:v>
                </c:pt>
                <c:pt idx="5012">
                  <c:v>1320.9612000000002</c:v>
                </c:pt>
                <c:pt idx="5013">
                  <c:v>1305.4724000000001</c:v>
                </c:pt>
                <c:pt idx="5014">
                  <c:v>1291.7736</c:v>
                </c:pt>
                <c:pt idx="5015">
                  <c:v>1286.1100000000001</c:v>
                </c:pt>
                <c:pt idx="5016">
                  <c:v>1264.0324000000001</c:v>
                </c:pt>
                <c:pt idx="5017">
                  <c:v>1257.2496000000001</c:v>
                </c:pt>
                <c:pt idx="5018">
                  <c:v>1251.4666999999999</c:v>
                </c:pt>
                <c:pt idx="5019">
                  <c:v>1243.3691000000001</c:v>
                </c:pt>
                <c:pt idx="5020">
                  <c:v>1253.0308</c:v>
                </c:pt>
                <c:pt idx="5021">
                  <c:v>1236.934</c:v>
                </c:pt>
                <c:pt idx="5022">
                  <c:v>1262.9806000000001</c:v>
                </c:pt>
                <c:pt idx="5023">
                  <c:v>1260.6155999999999</c:v>
                </c:pt>
                <c:pt idx="5024">
                  <c:v>1271.1680000000001</c:v>
                </c:pt>
                <c:pt idx="5025">
                  <c:v>1284.6600000000001</c:v>
                </c:pt>
                <c:pt idx="5026">
                  <c:v>1281.7539000000002</c:v>
                </c:pt>
                <c:pt idx="5027">
                  <c:v>1291.0632000000001</c:v>
                </c:pt>
                <c:pt idx="5028">
                  <c:v>1291.8728000000001</c:v>
                </c:pt>
                <c:pt idx="5029">
                  <c:v>1299.0615</c:v>
                </c:pt>
                <c:pt idx="5030">
                  <c:v>1296.3216</c:v>
                </c:pt>
                <c:pt idx="5031">
                  <c:v>1300.6335000000001</c:v>
                </c:pt>
                <c:pt idx="5032">
                  <c:v>1317.8384000000001</c:v>
                </c:pt>
                <c:pt idx="5033">
                  <c:v>1310.7204999999999</c:v>
                </c:pt>
                <c:pt idx="5034">
                  <c:v>1302.2396000000001</c:v>
                </c:pt>
                <c:pt idx="5035">
                  <c:v>1285.1571999999999</c:v>
                </c:pt>
                <c:pt idx="5036">
                  <c:v>1274.0721000000001</c:v>
                </c:pt>
                <c:pt idx="5037">
                  <c:v>1309.5071</c:v>
                </c:pt>
                <c:pt idx="5038">
                  <c:v>1297.8792000000001</c:v>
                </c:pt>
                <c:pt idx="5039">
                  <c:v>1313.0785000000001</c:v>
                </c:pt>
                <c:pt idx="5040">
                  <c:v>1328.2795000000001</c:v>
                </c:pt>
                <c:pt idx="5041">
                  <c:v>1327.336</c:v>
                </c:pt>
                <c:pt idx="5042">
                  <c:v>1334.0627999999999</c:v>
                </c:pt>
                <c:pt idx="5043">
                  <c:v>1348.8378</c:v>
                </c:pt>
                <c:pt idx="5044">
                  <c:v>1367.2296000000001</c:v>
                </c:pt>
                <c:pt idx="5045">
                  <c:v>1361.0016000000001</c:v>
                </c:pt>
                <c:pt idx="5046">
                  <c:v>1358.3724000000002</c:v>
                </c:pt>
                <c:pt idx="5047">
                  <c:v>1370.5865000000001</c:v>
                </c:pt>
                <c:pt idx="5048">
                  <c:v>1351.1566</c:v>
                </c:pt>
                <c:pt idx="5049">
                  <c:v>1338.7275</c:v>
                </c:pt>
                <c:pt idx="5050">
                  <c:v>1360.2294000000002</c:v>
                </c:pt>
                <c:pt idx="5051">
                  <c:v>1362.4135000000001</c:v>
                </c:pt>
                <c:pt idx="5052">
                  <c:v>1364.4540000000002</c:v>
                </c:pt>
                <c:pt idx="5053">
                  <c:v>1348.1272000000001</c:v>
                </c:pt>
                <c:pt idx="5054">
                  <c:v>1354.8842999999999</c:v>
                </c:pt>
                <c:pt idx="5055">
                  <c:v>1356.8246999999999</c:v>
                </c:pt>
                <c:pt idx="5056">
                  <c:v>1368.9599999999998</c:v>
                </c:pt>
                <c:pt idx="5057">
                  <c:v>1379.655</c:v>
                </c:pt>
                <c:pt idx="5058">
                  <c:v>1396.1396</c:v>
                </c:pt>
                <c:pt idx="5059">
                  <c:v>1384.4393999999998</c:v>
                </c:pt>
                <c:pt idx="5060">
                  <c:v>1374.2051999999999</c:v>
                </c:pt>
                <c:pt idx="5061">
                  <c:v>1361.7288999999998</c:v>
                </c:pt>
                <c:pt idx="5062">
                  <c:v>1342.8894</c:v>
                </c:pt>
                <c:pt idx="5063">
                  <c:v>1354.6891999999998</c:v>
                </c:pt>
                <c:pt idx="5064">
                  <c:v>1349.6135999999999</c:v>
                </c:pt>
                <c:pt idx="5065">
                  <c:v>1345.0436999999999</c:v>
                </c:pt>
                <c:pt idx="5066">
                  <c:v>1321.7211</c:v>
                </c:pt>
                <c:pt idx="5067">
                  <c:v>1306.9472999999998</c:v>
                </c:pt>
                <c:pt idx="5068">
                  <c:v>1312.5712999999998</c:v>
                </c:pt>
                <c:pt idx="5069">
                  <c:v>1315.2064</c:v>
                </c:pt>
                <c:pt idx="5070">
                  <c:v>1300.6353999999999</c:v>
                </c:pt>
                <c:pt idx="5071">
                  <c:v>1306.6325999999999</c:v>
                </c:pt>
                <c:pt idx="5072">
                  <c:v>1305.0506</c:v>
                </c:pt>
                <c:pt idx="5073">
                  <c:v>1311.395</c:v>
                </c:pt>
                <c:pt idx="5074">
                  <c:v>1273.6943999999999</c:v>
                </c:pt>
                <c:pt idx="5075">
                  <c:v>1274.2447999999999</c:v>
                </c:pt>
                <c:pt idx="5076">
                  <c:v>1319.6479999999999</c:v>
                </c:pt>
                <c:pt idx="5077">
                  <c:v>1314.12</c:v>
                </c:pt>
                <c:pt idx="5078">
                  <c:v>1351.72</c:v>
                </c:pt>
                <c:pt idx="5079">
                  <c:v>1361.9177999999999</c:v>
                </c:pt>
                <c:pt idx="5080">
                  <c:v>1364.0088000000001</c:v>
                </c:pt>
                <c:pt idx="5081">
                  <c:v>1362.4204</c:v>
                </c:pt>
                <c:pt idx="5082">
                  <c:v>1352.9821999999999</c:v>
                </c:pt>
                <c:pt idx="5083">
                  <c:v>1344.7456</c:v>
                </c:pt>
                <c:pt idx="5084">
                  <c:v>1358.048</c:v>
                </c:pt>
                <c:pt idx="5085">
                  <c:v>1358.5103999999999</c:v>
                </c:pt>
                <c:pt idx="5086">
                  <c:v>1358.1936000000001</c:v>
                </c:pt>
                <c:pt idx="5087">
                  <c:v>1347.6007999999999</c:v>
                </c:pt>
                <c:pt idx="5088">
                  <c:v>1348.45</c:v>
                </c:pt>
                <c:pt idx="5089">
                  <c:v>1358.8756000000001</c:v>
                </c:pt>
                <c:pt idx="5090">
                  <c:v>1369.1348999999998</c:v>
                </c:pt>
                <c:pt idx="5091">
                  <c:v>1369.4407999999999</c:v>
                </c:pt>
                <c:pt idx="5092">
                  <c:v>1347.7125999999998</c:v>
                </c:pt>
                <c:pt idx="5093">
                  <c:v>1359.2172</c:v>
                </c:pt>
                <c:pt idx="5094">
                  <c:v>1334.0326</c:v>
                </c:pt>
                <c:pt idx="5095">
                  <c:v>1327.5052000000001</c:v>
                </c:pt>
                <c:pt idx="5096">
                  <c:v>1317.615</c:v>
                </c:pt>
                <c:pt idx="5097">
                  <c:v>1313.0463999999999</c:v>
                </c:pt>
                <c:pt idx="5098">
                  <c:v>1308.3119999999999</c:v>
                </c:pt>
                <c:pt idx="5099">
                  <c:v>1311.336</c:v>
                </c:pt>
                <c:pt idx="5100">
                  <c:v>1292.3208</c:v>
                </c:pt>
                <c:pt idx="5101">
                  <c:v>1284.2175999999999</c:v>
                </c:pt>
                <c:pt idx="5102">
                  <c:v>1292.8095999999998</c:v>
                </c:pt>
                <c:pt idx="5103">
                  <c:v>1290.6464999999998</c:v>
                </c:pt>
                <c:pt idx="5104">
                  <c:v>1290.6719999999998</c:v>
                </c:pt>
                <c:pt idx="5105">
                  <c:v>1286.8206</c:v>
                </c:pt>
                <c:pt idx="5106">
                  <c:v>1298.664</c:v>
                </c:pt>
                <c:pt idx="5107">
                  <c:v>1327.8006</c:v>
                </c:pt>
                <c:pt idx="5108">
                  <c:v>1314.3312000000001</c:v>
                </c:pt>
                <c:pt idx="5109">
                  <c:v>1322.6976</c:v>
                </c:pt>
                <c:pt idx="5110">
                  <c:v>1308.2707</c:v>
                </c:pt>
                <c:pt idx="5111">
                  <c:v>1306.4004</c:v>
                </c:pt>
                <c:pt idx="5112">
                  <c:v>1318.1895999999999</c:v>
                </c:pt>
                <c:pt idx="5113">
                  <c:v>1315.73</c:v>
                </c:pt>
                <c:pt idx="5114">
                  <c:v>1315.606</c:v>
                </c:pt>
                <c:pt idx="5115">
                  <c:v>1325.5953999999999</c:v>
                </c:pt>
                <c:pt idx="5116">
                  <c:v>1334.4858999999999</c:v>
                </c:pt>
                <c:pt idx="5117">
                  <c:v>1355.634</c:v>
                </c:pt>
                <c:pt idx="5118">
                  <c:v>1379.3868</c:v>
                </c:pt>
                <c:pt idx="5119">
                  <c:v>1371.2972</c:v>
                </c:pt>
                <c:pt idx="5120">
                  <c:v>1366.6365000000001</c:v>
                </c:pt>
                <c:pt idx="5121">
                  <c:v>1372.6777999999999</c:v>
                </c:pt>
                <c:pt idx="5122">
                  <c:v>1347.6489999999999</c:v>
                </c:pt>
                <c:pt idx="5123">
                  <c:v>1343.6878000000002</c:v>
                </c:pt>
                <c:pt idx="5124">
                  <c:v>1334.5254</c:v>
                </c:pt>
                <c:pt idx="5125">
                  <c:v>1338.6422</c:v>
                </c:pt>
                <c:pt idx="5126">
                  <c:v>1339.6068</c:v>
                </c:pt>
                <c:pt idx="5127">
                  <c:v>1349.0952</c:v>
                </c:pt>
                <c:pt idx="5128">
                  <c:v>1341.1371999999999</c:v>
                </c:pt>
                <c:pt idx="5129">
                  <c:v>1350.54</c:v>
                </c:pt>
                <c:pt idx="5130">
                  <c:v>1357.2393999999999</c:v>
                </c:pt>
                <c:pt idx="5131">
                  <c:v>1354.0445999999999</c:v>
                </c:pt>
                <c:pt idx="5132">
                  <c:v>1383.3855999999998</c:v>
                </c:pt>
                <c:pt idx="5133">
                  <c:v>1390.3920000000001</c:v>
                </c:pt>
                <c:pt idx="5134">
                  <c:v>1375.8147000000001</c:v>
                </c:pt>
                <c:pt idx="5135">
                  <c:v>1370.6971999999998</c:v>
                </c:pt>
                <c:pt idx="5136">
                  <c:v>1385.9692</c:v>
                </c:pt>
                <c:pt idx="5137">
                  <c:v>1373.5727999999999</c:v>
                </c:pt>
                <c:pt idx="5138">
                  <c:v>1378.2349999999999</c:v>
                </c:pt>
                <c:pt idx="5139">
                  <c:v>1361.4623999999999</c:v>
                </c:pt>
                <c:pt idx="5140">
                  <c:v>1357.0381</c:v>
                </c:pt>
                <c:pt idx="5141">
                  <c:v>1332.896</c:v>
                </c:pt>
                <c:pt idx="5142">
                  <c:v>1327.6318000000001</c:v>
                </c:pt>
                <c:pt idx="5143">
                  <c:v>1324.896</c:v>
                </c:pt>
                <c:pt idx="5144">
                  <c:v>1334.0222999999999</c:v>
                </c:pt>
                <c:pt idx="5145">
                  <c:v>1351.5099</c:v>
                </c:pt>
                <c:pt idx="5146">
                  <c:v>1339.3500999999999</c:v>
                </c:pt>
                <c:pt idx="5147">
                  <c:v>1355.6378</c:v>
                </c:pt>
                <c:pt idx="5148">
                  <c:v>1353.6428000000001</c:v>
                </c:pt>
                <c:pt idx="5149">
                  <c:v>1344.5828000000001</c:v>
                </c:pt>
                <c:pt idx="5150">
                  <c:v>1365.5219999999999</c:v>
                </c:pt>
                <c:pt idx="5151">
                  <c:v>1360.6795999999999</c:v>
                </c:pt>
                <c:pt idx="5152">
                  <c:v>1364.6448</c:v>
                </c:pt>
                <c:pt idx="5153">
                  <c:v>1383.6807999999999</c:v>
                </c:pt>
                <c:pt idx="5154">
                  <c:v>1379.5247999999999</c:v>
                </c:pt>
                <c:pt idx="5155">
                  <c:v>1368.1668</c:v>
                </c:pt>
                <c:pt idx="5156">
                  <c:v>1354.1264000000001</c:v>
                </c:pt>
                <c:pt idx="5157">
                  <c:v>1367.7375999999999</c:v>
                </c:pt>
                <c:pt idx="5158">
                  <c:v>1389.1997999999999</c:v>
                </c:pt>
                <c:pt idx="5159">
                  <c:v>1404.4004</c:v>
                </c:pt>
                <c:pt idx="5160">
                  <c:v>1387.8584000000001</c:v>
                </c:pt>
                <c:pt idx="5161">
                  <c:v>1408.4250000000002</c:v>
                </c:pt>
                <c:pt idx="5162">
                  <c:v>1411.3543</c:v>
                </c:pt>
                <c:pt idx="5163">
                  <c:v>1400.4648</c:v>
                </c:pt>
                <c:pt idx="5164">
                  <c:v>1421.6559999999999</c:v>
                </c:pt>
                <c:pt idx="5165">
                  <c:v>1434.2598</c:v>
                </c:pt>
                <c:pt idx="5166">
                  <c:v>1440.8249999999998</c:v>
                </c:pt>
                <c:pt idx="5167">
                  <c:v>1426.9198999999999</c:v>
                </c:pt>
                <c:pt idx="5168">
                  <c:v>1439.5919000000001</c:v>
                </c:pt>
                <c:pt idx="5169">
                  <c:v>1449.8483999999999</c:v>
                </c:pt>
                <c:pt idx="5170">
                  <c:v>1460.7750000000001</c:v>
                </c:pt>
                <c:pt idx="5171">
                  <c:v>1466.0991999999999</c:v>
                </c:pt>
                <c:pt idx="5172">
                  <c:v>1485.6912</c:v>
                </c:pt>
                <c:pt idx="5173">
                  <c:v>1509.4458000000002</c:v>
                </c:pt>
                <c:pt idx="5174">
                  <c:v>1489.5814</c:v>
                </c:pt>
                <c:pt idx="5175">
                  <c:v>1499.0064</c:v>
                </c:pt>
                <c:pt idx="5176">
                  <c:v>1481.568</c:v>
                </c:pt>
                <c:pt idx="5177">
                  <c:v>1481.1461999999999</c:v>
                </c:pt>
                <c:pt idx="5178">
                  <c:v>1502.7402</c:v>
                </c:pt>
                <c:pt idx="5179">
                  <c:v>1491.0629000000001</c:v>
                </c:pt>
                <c:pt idx="5180">
                  <c:v>1482.76</c:v>
                </c:pt>
                <c:pt idx="5181">
                  <c:v>1492.7042000000001</c:v>
                </c:pt>
                <c:pt idx="5182">
                  <c:v>1482.1110000000001</c:v>
                </c:pt>
                <c:pt idx="5183">
                  <c:v>1488.0428000000002</c:v>
                </c:pt>
                <c:pt idx="5184">
                  <c:v>1484.8144000000002</c:v>
                </c:pt>
                <c:pt idx="5185">
                  <c:v>1479.2992000000002</c:v>
                </c:pt>
                <c:pt idx="5186">
                  <c:v>1504.0389</c:v>
                </c:pt>
                <c:pt idx="5187">
                  <c:v>1523.7894000000001</c:v>
                </c:pt>
                <c:pt idx="5188">
                  <c:v>1494.82</c:v>
                </c:pt>
                <c:pt idx="5189">
                  <c:v>1477.5375000000001</c:v>
                </c:pt>
                <c:pt idx="5190">
                  <c:v>1487.204</c:v>
                </c:pt>
                <c:pt idx="5191">
                  <c:v>1491.7623000000001</c:v>
                </c:pt>
                <c:pt idx="5192">
                  <c:v>1503.2672</c:v>
                </c:pt>
                <c:pt idx="5193">
                  <c:v>1531.2339000000002</c:v>
                </c:pt>
                <c:pt idx="5194">
                  <c:v>1532.8383000000001</c:v>
                </c:pt>
                <c:pt idx="5195">
                  <c:v>1531.1561999999999</c:v>
                </c:pt>
                <c:pt idx="5196">
                  <c:v>1521.4648999999999</c:v>
                </c:pt>
                <c:pt idx="5197">
                  <c:v>1514.9848</c:v>
                </c:pt>
                <c:pt idx="5198">
                  <c:v>1529.2914000000001</c:v>
                </c:pt>
                <c:pt idx="5199">
                  <c:v>1533.558</c:v>
                </c:pt>
                <c:pt idx="5200">
                  <c:v>1540.7873999999999</c:v>
                </c:pt>
                <c:pt idx="5201">
                  <c:v>1539.9261000000001</c:v>
                </c:pt>
                <c:pt idx="5202">
                  <c:v>1553.3648000000001</c:v>
                </c:pt>
                <c:pt idx="5203">
                  <c:v>1557.2748000000001</c:v>
                </c:pt>
                <c:pt idx="5204">
                  <c:v>1561.4820000000002</c:v>
                </c:pt>
                <c:pt idx="5205">
                  <c:v>1546.3352</c:v>
                </c:pt>
                <c:pt idx="5206">
                  <c:v>1544.8607999999999</c:v>
                </c:pt>
                <c:pt idx="5207">
                  <c:v>1539.1960000000001</c:v>
                </c:pt>
                <c:pt idx="5208">
                  <c:v>1530.9231</c:v>
                </c:pt>
                <c:pt idx="5209">
                  <c:v>1562.0684000000001</c:v>
                </c:pt>
                <c:pt idx="5210">
                  <c:v>1567.0256000000002</c:v>
                </c:pt>
                <c:pt idx="5211">
                  <c:v>1587.6441</c:v>
                </c:pt>
                <c:pt idx="5212">
                  <c:v>1580.5531000000001</c:v>
                </c:pt>
                <c:pt idx="5213">
                  <c:v>1576.251</c:v>
                </c:pt>
                <c:pt idx="5214">
                  <c:v>1596.3267999999998</c:v>
                </c:pt>
                <c:pt idx="5215">
                  <c:v>1613.5088000000001</c:v>
                </c:pt>
                <c:pt idx="5216">
                  <c:v>1620.1615000000002</c:v>
                </c:pt>
                <c:pt idx="5217">
                  <c:v>1616.9430000000002</c:v>
                </c:pt>
                <c:pt idx="5218">
                  <c:v>1604.8500000000001</c:v>
                </c:pt>
                <c:pt idx="5219">
                  <c:v>1568.7616</c:v>
                </c:pt>
                <c:pt idx="5220">
                  <c:v>1569.46</c:v>
                </c:pt>
                <c:pt idx="5221">
                  <c:v>1558.2735</c:v>
                </c:pt>
                <c:pt idx="5222">
                  <c:v>1562.085</c:v>
                </c:pt>
                <c:pt idx="5223">
                  <c:v>1577.8164000000002</c:v>
                </c:pt>
                <c:pt idx="5224">
                  <c:v>1575.6156000000001</c:v>
                </c:pt>
                <c:pt idx="5225">
                  <c:v>1576.7023999999999</c:v>
                </c:pt>
                <c:pt idx="5226">
                  <c:v>1572.7475000000002</c:v>
                </c:pt>
                <c:pt idx="5227">
                  <c:v>1557.0475000000001</c:v>
                </c:pt>
                <c:pt idx="5228">
                  <c:v>1566.1566</c:v>
                </c:pt>
                <c:pt idx="5229">
                  <c:v>1574.9229</c:v>
                </c:pt>
                <c:pt idx="5230">
                  <c:v>1577.4234000000001</c:v>
                </c:pt>
                <c:pt idx="5231">
                  <c:v>1591.0779</c:v>
                </c:pt>
                <c:pt idx="5232">
                  <c:v>1599.1053000000002</c:v>
                </c:pt>
                <c:pt idx="5233">
                  <c:v>1596.0152</c:v>
                </c:pt>
                <c:pt idx="5234">
                  <c:v>1615.3410000000001</c:v>
                </c:pt>
                <c:pt idx="5235">
                  <c:v>1623.04</c:v>
                </c:pt>
                <c:pt idx="5236">
                  <c:v>1600.8628000000001</c:v>
                </c:pt>
                <c:pt idx="5237">
                  <c:v>1614.0885000000001</c:v>
                </c:pt>
                <c:pt idx="5238">
                  <c:v>1606.1422000000002</c:v>
                </c:pt>
                <c:pt idx="5239">
                  <c:v>1580.7615000000001</c:v>
                </c:pt>
                <c:pt idx="5240">
                  <c:v>1560.0701000000001</c:v>
                </c:pt>
                <c:pt idx="5241">
                  <c:v>1558.0092000000002</c:v>
                </c:pt>
                <c:pt idx="5242">
                  <c:v>1554.8288</c:v>
                </c:pt>
                <c:pt idx="5243">
                  <c:v>1570.6623000000002</c:v>
                </c:pt>
                <c:pt idx="5244">
                  <c:v>1571.3507999999999</c:v>
                </c:pt>
                <c:pt idx="5245">
                  <c:v>1551.1448</c:v>
                </c:pt>
                <c:pt idx="5246">
                  <c:v>1566.74</c:v>
                </c:pt>
                <c:pt idx="5247">
                  <c:v>1568.2184000000002</c:v>
                </c:pt>
                <c:pt idx="5248">
                  <c:v>1564.1055999999999</c:v>
                </c:pt>
                <c:pt idx="5249">
                  <c:v>1555.5540000000001</c:v>
                </c:pt>
                <c:pt idx="5250">
                  <c:v>1516.5486000000001</c:v>
                </c:pt>
                <c:pt idx="5251">
                  <c:v>1483.0891999999999</c:v>
                </c:pt>
                <c:pt idx="5252">
                  <c:v>1468.8050000000001</c:v>
                </c:pt>
                <c:pt idx="5253">
                  <c:v>1455.183</c:v>
                </c:pt>
                <c:pt idx="5254">
                  <c:v>1459.6130000000001</c:v>
                </c:pt>
                <c:pt idx="5255">
                  <c:v>1455.2594999999999</c:v>
                </c:pt>
                <c:pt idx="5256">
                  <c:v>1479.6822</c:v>
                </c:pt>
                <c:pt idx="5257">
                  <c:v>1476.4827</c:v>
                </c:pt>
                <c:pt idx="5258">
                  <c:v>1462.8642</c:v>
                </c:pt>
                <c:pt idx="5259">
                  <c:v>1446.1124</c:v>
                </c:pt>
                <c:pt idx="5260">
                  <c:v>1469.5671</c:v>
                </c:pt>
                <c:pt idx="5261">
                  <c:v>1466.7345</c:v>
                </c:pt>
                <c:pt idx="5262">
                  <c:v>1462.5183999999999</c:v>
                </c:pt>
                <c:pt idx="5263">
                  <c:v>1452.5932</c:v>
                </c:pt>
                <c:pt idx="5264">
                  <c:v>1500.93</c:v>
                </c:pt>
                <c:pt idx="5265">
                  <c:v>1498.5491999999999</c:v>
                </c:pt>
                <c:pt idx="5266">
                  <c:v>1494.2745</c:v>
                </c:pt>
                <c:pt idx="5267">
                  <c:v>1491.8079</c:v>
                </c:pt>
                <c:pt idx="5268">
                  <c:v>1508.6592000000001</c:v>
                </c:pt>
                <c:pt idx="5269">
                  <c:v>1537.7468000000001</c:v>
                </c:pt>
                <c:pt idx="5270">
                  <c:v>1539.3015</c:v>
                </c:pt>
                <c:pt idx="5271">
                  <c:v>1553.8734000000002</c:v>
                </c:pt>
                <c:pt idx="5272">
                  <c:v>1565.8127999999999</c:v>
                </c:pt>
                <c:pt idx="5273">
                  <c:v>1561.6923000000002</c:v>
                </c:pt>
                <c:pt idx="5274">
                  <c:v>1564.1055999999999</c:v>
                </c:pt>
                <c:pt idx="5275">
                  <c:v>1574.3520000000001</c:v>
                </c:pt>
                <c:pt idx="5276">
                  <c:v>1564.8552</c:v>
                </c:pt>
                <c:pt idx="5277">
                  <c:v>1558.68</c:v>
                </c:pt>
                <c:pt idx="5278">
                  <c:v>1573.4160000000002</c:v>
                </c:pt>
                <c:pt idx="5279">
                  <c:v>1568.2146</c:v>
                </c:pt>
                <c:pt idx="5280">
                  <c:v>1590.5065</c:v>
                </c:pt>
                <c:pt idx="5281">
                  <c:v>1578.5572000000002</c:v>
                </c:pt>
                <c:pt idx="5282">
                  <c:v>1587.3825000000002</c:v>
                </c:pt>
                <c:pt idx="5283">
                  <c:v>1613.1010000000001</c:v>
                </c:pt>
                <c:pt idx="5284">
                  <c:v>1605.9306000000001</c:v>
                </c:pt>
                <c:pt idx="5285">
                  <c:v>1617.9114000000002</c:v>
                </c:pt>
                <c:pt idx="5286">
                  <c:v>1639.0310999999999</c:v>
                </c:pt>
                <c:pt idx="5287">
                  <c:v>1636.1958</c:v>
                </c:pt>
                <c:pt idx="5288">
                  <c:v>1622.7772</c:v>
                </c:pt>
                <c:pt idx="5289">
                  <c:v>1617.472</c:v>
                </c:pt>
                <c:pt idx="5290">
                  <c:v>1625.6356000000001</c:v>
                </c:pt>
                <c:pt idx="5291">
                  <c:v>1618.7790000000002</c:v>
                </c:pt>
                <c:pt idx="5292">
                  <c:v>1631.1810000000003</c:v>
                </c:pt>
                <c:pt idx="5293">
                  <c:v>1598.586</c:v>
                </c:pt>
                <c:pt idx="5294">
                  <c:v>1581.4764</c:v>
                </c:pt>
                <c:pt idx="5295">
                  <c:v>1571.3836000000001</c:v>
                </c:pt>
                <c:pt idx="5296">
                  <c:v>1545.6004</c:v>
                </c:pt>
                <c:pt idx="5297">
                  <c:v>1541.1052999999999</c:v>
                </c:pt>
                <c:pt idx="5298">
                  <c:v>1548.0608</c:v>
                </c:pt>
                <c:pt idx="5299">
                  <c:v>1527.5304000000001</c:v>
                </c:pt>
                <c:pt idx="5300">
                  <c:v>1548.9362000000001</c:v>
                </c:pt>
                <c:pt idx="5301">
                  <c:v>1572.9947999999999</c:v>
                </c:pt>
                <c:pt idx="5302">
                  <c:v>1569.1770000000001</c:v>
                </c:pt>
                <c:pt idx="5303">
                  <c:v>1607.3684000000001</c:v>
                </c:pt>
                <c:pt idx="5304">
                  <c:v>1612.3437000000001</c:v>
                </c:pt>
                <c:pt idx="5305">
                  <c:v>1594.2444</c:v>
                </c:pt>
                <c:pt idx="5306">
                  <c:v>1603.4331999999999</c:v>
                </c:pt>
                <c:pt idx="5307">
                  <c:v>1581.4607000000001</c:v>
                </c:pt>
                <c:pt idx="5308">
                  <c:v>1563.606</c:v>
                </c:pt>
                <c:pt idx="5309">
                  <c:v>1619.3756999999998</c:v>
                </c:pt>
                <c:pt idx="5310">
                  <c:v>1629.5519999999999</c:v>
                </c:pt>
                <c:pt idx="5311">
                  <c:v>1644.9480000000001</c:v>
                </c:pt>
                <c:pt idx="5312">
                  <c:v>1631.2590000000002</c:v>
                </c:pt>
                <c:pt idx="5313">
                  <c:v>1642.5990000000002</c:v>
                </c:pt>
                <c:pt idx="5314">
                  <c:v>1658.961</c:v>
                </c:pt>
                <c:pt idx="5315">
                  <c:v>1649.8151999999998</c:v>
                </c:pt>
                <c:pt idx="5316">
                  <c:v>1626.6227000000001</c:v>
                </c:pt>
                <c:pt idx="5317">
                  <c:v>1608.96</c:v>
                </c:pt>
                <c:pt idx="5318">
                  <c:v>1601.1010000000001</c:v>
                </c:pt>
                <c:pt idx="5319">
                  <c:v>1597.4192</c:v>
                </c:pt>
                <c:pt idx="5320">
                  <c:v>1564.674</c:v>
                </c:pt>
                <c:pt idx="5321">
                  <c:v>1564.279</c:v>
                </c:pt>
                <c:pt idx="5322">
                  <c:v>1592.942</c:v>
                </c:pt>
                <c:pt idx="5323">
                  <c:v>1597.9064000000001</c:v>
                </c:pt>
                <c:pt idx="5324">
                  <c:v>1602.0959</c:v>
                </c:pt>
                <c:pt idx="5325">
                  <c:v>1635.7795000000001</c:v>
                </c:pt>
                <c:pt idx="5326">
                  <c:v>1643.4387000000002</c:v>
                </c:pt>
                <c:pt idx="5327">
                  <c:v>1669.4055000000001</c:v>
                </c:pt>
                <c:pt idx="5328">
                  <c:v>1627.2558000000001</c:v>
                </c:pt>
                <c:pt idx="5329">
                  <c:v>1630.6084000000003</c:v>
                </c:pt>
                <c:pt idx="5330">
                  <c:v>1651.9293</c:v>
                </c:pt>
                <c:pt idx="5331">
                  <c:v>1657.5405000000001</c:v>
                </c:pt>
                <c:pt idx="5332">
                  <c:v>1666.6056000000003</c:v>
                </c:pt>
                <c:pt idx="5333">
                  <c:v>1663.2357</c:v>
                </c:pt>
                <c:pt idx="5334">
                  <c:v>1669.6428000000003</c:v>
                </c:pt>
                <c:pt idx="5335">
                  <c:v>1646.3600000000001</c:v>
                </c:pt>
                <c:pt idx="5336">
                  <c:v>1653.7752</c:v>
                </c:pt>
                <c:pt idx="5337">
                  <c:v>1652.5522000000003</c:v>
                </c:pt>
                <c:pt idx="5338">
                  <c:v>1670.2583999999999</c:v>
                </c:pt>
                <c:pt idx="5339">
                  <c:v>1655.3690000000001</c:v>
                </c:pt>
                <c:pt idx="5340">
                  <c:v>1628.2394999999999</c:v>
                </c:pt>
                <c:pt idx="5341">
                  <c:v>1651.3432000000003</c:v>
                </c:pt>
                <c:pt idx="5342">
                  <c:v>1648.6022</c:v>
                </c:pt>
                <c:pt idx="5343">
                  <c:v>1668.48</c:v>
                </c:pt>
                <c:pt idx="5344">
                  <c:v>1670.5920000000001</c:v>
                </c:pt>
                <c:pt idx="5345">
                  <c:v>1642.41</c:v>
                </c:pt>
                <c:pt idx="5346">
                  <c:v>1680.883</c:v>
                </c:pt>
                <c:pt idx="5347">
                  <c:v>1698.7370000000003</c:v>
                </c:pt>
                <c:pt idx="5348">
                  <c:v>1688.0731000000001</c:v>
                </c:pt>
                <c:pt idx="5349">
                  <c:v>1661.6555999999998</c:v>
                </c:pt>
                <c:pt idx="5350">
                  <c:v>1698.4014</c:v>
                </c:pt>
                <c:pt idx="5351">
                  <c:v>1716.5491</c:v>
                </c:pt>
                <c:pt idx="5352">
                  <c:v>1730.2054000000001</c:v>
                </c:pt>
                <c:pt idx="5353">
                  <c:v>1713.0687</c:v>
                </c:pt>
                <c:pt idx="5354">
                  <c:v>1717.1819</c:v>
                </c:pt>
                <c:pt idx="5355">
                  <c:v>1719.0011999999999</c:v>
                </c:pt>
                <c:pt idx="5356">
                  <c:v>1717.7173</c:v>
                </c:pt>
                <c:pt idx="5357">
                  <c:v>1742.5730000000001</c:v>
                </c:pt>
                <c:pt idx="5358">
                  <c:v>1759.854</c:v>
                </c:pt>
                <c:pt idx="5359">
                  <c:v>1754.4384</c:v>
                </c:pt>
                <c:pt idx="5360">
                  <c:v>1797.1759000000002</c:v>
                </c:pt>
                <c:pt idx="5361">
                  <c:v>1799.9996000000001</c:v>
                </c:pt>
                <c:pt idx="5362">
                  <c:v>1769.2175999999999</c:v>
                </c:pt>
                <c:pt idx="5363">
                  <c:v>1772.9179999999999</c:v>
                </c:pt>
                <c:pt idx="5364">
                  <c:v>1770.8316000000002</c:v>
                </c:pt>
                <c:pt idx="5365">
                  <c:v>1731.443</c:v>
                </c:pt>
                <c:pt idx="5366">
                  <c:v>1738.5758000000001</c:v>
                </c:pt>
                <c:pt idx="5367">
                  <c:v>1721.1259</c:v>
                </c:pt>
                <c:pt idx="5368">
                  <c:v>1723.2032999999999</c:v>
                </c:pt>
                <c:pt idx="5369">
                  <c:v>1748.3426999999999</c:v>
                </c:pt>
                <c:pt idx="5370">
                  <c:v>1757.4803999999999</c:v>
                </c:pt>
                <c:pt idx="5371">
                  <c:v>1733.6196000000002</c:v>
                </c:pt>
                <c:pt idx="5372">
                  <c:v>1714.4925000000001</c:v>
                </c:pt>
                <c:pt idx="5373">
                  <c:v>1720.6623000000002</c:v>
                </c:pt>
                <c:pt idx="5374">
                  <c:v>1689.8802000000003</c:v>
                </c:pt>
                <c:pt idx="5375">
                  <c:v>1669.1120000000003</c:v>
                </c:pt>
                <c:pt idx="5376">
                  <c:v>1685.7001</c:v>
                </c:pt>
                <c:pt idx="5377">
                  <c:v>1695.2711999999999</c:v>
                </c:pt>
                <c:pt idx="5378">
                  <c:v>1683.0104000000001</c:v>
                </c:pt>
                <c:pt idx="5379">
                  <c:v>1680.0840000000001</c:v>
                </c:pt>
                <c:pt idx="5380">
                  <c:v>1691.7116999999998</c:v>
                </c:pt>
                <c:pt idx="5381">
                  <c:v>1686.412</c:v>
                </c:pt>
                <c:pt idx="5382">
                  <c:v>1673.2814000000001</c:v>
                </c:pt>
                <c:pt idx="5383">
                  <c:v>1661.2896000000001</c:v>
                </c:pt>
                <c:pt idx="5384">
                  <c:v>1657.7778000000003</c:v>
                </c:pt>
                <c:pt idx="5385">
                  <c:v>1620.6534000000001</c:v>
                </c:pt>
                <c:pt idx="5386">
                  <c:v>1590.5862000000002</c:v>
                </c:pt>
                <c:pt idx="5387">
                  <c:v>1567.1760000000002</c:v>
                </c:pt>
                <c:pt idx="5388">
                  <c:v>1551.8459</c:v>
                </c:pt>
                <c:pt idx="5389">
                  <c:v>1561.835</c:v>
                </c:pt>
                <c:pt idx="5390">
                  <c:v>1572.5673000000002</c:v>
                </c:pt>
                <c:pt idx="5391">
                  <c:v>1576.4623000000001</c:v>
                </c:pt>
                <c:pt idx="5392">
                  <c:v>1567.1313</c:v>
                </c:pt>
                <c:pt idx="5393">
                  <c:v>1558.7574999999999</c:v>
                </c:pt>
                <c:pt idx="5394">
                  <c:v>1566.3108000000002</c:v>
                </c:pt>
                <c:pt idx="5395">
                  <c:v>1578.6504</c:v>
                </c:pt>
                <c:pt idx="5396">
                  <c:v>1569.8857</c:v>
                </c:pt>
                <c:pt idx="5397">
                  <c:v>1579.9662000000001</c:v>
                </c:pt>
                <c:pt idx="5398">
                  <c:v>1592.7434000000001</c:v>
                </c:pt>
                <c:pt idx="5399">
                  <c:v>1589.0317</c:v>
                </c:pt>
                <c:pt idx="5400">
                  <c:v>1573.1343000000002</c:v>
                </c:pt>
                <c:pt idx="5401">
                  <c:v>1569.6172000000001</c:v>
                </c:pt>
                <c:pt idx="5402">
                  <c:v>1574.865</c:v>
                </c:pt>
                <c:pt idx="5403">
                  <c:v>1539.71</c:v>
                </c:pt>
                <c:pt idx="5404">
                  <c:v>1543.423</c:v>
                </c:pt>
                <c:pt idx="5405">
                  <c:v>1546.6176</c:v>
                </c:pt>
                <c:pt idx="5406">
                  <c:v>1571.0051000000001</c:v>
                </c:pt>
                <c:pt idx="5407">
                  <c:v>1560.3062</c:v>
                </c:pt>
                <c:pt idx="5408">
                  <c:v>1558.354</c:v>
                </c:pt>
                <c:pt idx="5409">
                  <c:v>1550.4090000000001</c:v>
                </c:pt>
                <c:pt idx="5410">
                  <c:v>1585.1533000000002</c:v>
                </c:pt>
                <c:pt idx="5411">
                  <c:v>1612.2513000000001</c:v>
                </c:pt>
                <c:pt idx="5412">
                  <c:v>1634.7828</c:v>
                </c:pt>
                <c:pt idx="5413">
                  <c:v>1621.1299000000001</c:v>
                </c:pt>
                <c:pt idx="5414">
                  <c:v>1604.239</c:v>
                </c:pt>
                <c:pt idx="5415">
                  <c:v>1607.6490000000001</c:v>
                </c:pt>
                <c:pt idx="5416">
                  <c:v>1591.1280000000002</c:v>
                </c:pt>
                <c:pt idx="5417">
                  <c:v>1571.7942</c:v>
                </c:pt>
                <c:pt idx="5418">
                  <c:v>1562.0450000000001</c:v>
                </c:pt>
                <c:pt idx="5419">
                  <c:v>1578.3285000000001</c:v>
                </c:pt>
                <c:pt idx="5420">
                  <c:v>1581.6339</c:v>
                </c:pt>
                <c:pt idx="5421">
                  <c:v>1605.2348</c:v>
                </c:pt>
                <c:pt idx="5422">
                  <c:v>1626.4520000000002</c:v>
                </c:pt>
                <c:pt idx="5423">
                  <c:v>1631.903</c:v>
                </c:pt>
                <c:pt idx="5424">
                  <c:v>1646.4390000000001</c:v>
                </c:pt>
                <c:pt idx="5425">
                  <c:v>1650.3513</c:v>
                </c:pt>
                <c:pt idx="5426">
                  <c:v>1633.7034000000001</c:v>
                </c:pt>
                <c:pt idx="5427">
                  <c:v>1602.7132000000001</c:v>
                </c:pt>
                <c:pt idx="5428">
                  <c:v>1598.1984</c:v>
                </c:pt>
                <c:pt idx="5429">
                  <c:v>1591.2547000000002</c:v>
                </c:pt>
                <c:pt idx="5430">
                  <c:v>1587.0309</c:v>
                </c:pt>
                <c:pt idx="5431">
                  <c:v>1594.1814000000002</c:v>
                </c:pt>
                <c:pt idx="5432">
                  <c:v>1593.1531</c:v>
                </c:pt>
                <c:pt idx="5433">
                  <c:v>1586.9042000000002</c:v>
                </c:pt>
                <c:pt idx="5434">
                  <c:v>1612.4552000000001</c:v>
                </c:pt>
                <c:pt idx="5435">
                  <c:v>1616.7096000000001</c:v>
                </c:pt>
                <c:pt idx="5436">
                  <c:v>1595.5014000000001</c:v>
                </c:pt>
                <c:pt idx="5437">
                  <c:v>1597.7016000000001</c:v>
                </c:pt>
                <c:pt idx="5438">
                  <c:v>1588.421</c:v>
                </c:pt>
                <c:pt idx="5439">
                  <c:v>1589.5640000000001</c:v>
                </c:pt>
                <c:pt idx="5440">
                  <c:v>1591.2918</c:v>
                </c:pt>
                <c:pt idx="5441">
                  <c:v>1579.1758000000002</c:v>
                </c:pt>
                <c:pt idx="5442">
                  <c:v>1577.2470000000001</c:v>
                </c:pt>
                <c:pt idx="5443">
                  <c:v>1568.3088</c:v>
                </c:pt>
                <c:pt idx="5444">
                  <c:v>1548.8352</c:v>
                </c:pt>
                <c:pt idx="5445">
                  <c:v>1528.6075000000001</c:v>
                </c:pt>
                <c:pt idx="5446">
                  <c:v>1531.4672</c:v>
                </c:pt>
                <c:pt idx="5447">
                  <c:v>1526.241</c:v>
                </c:pt>
                <c:pt idx="5448">
                  <c:v>1512.0924</c:v>
                </c:pt>
                <c:pt idx="5449">
                  <c:v>1506.1386000000002</c:v>
                </c:pt>
                <c:pt idx="5450">
                  <c:v>1516.2623000000001</c:v>
                </c:pt>
                <c:pt idx="5451">
                  <c:v>1523.7423000000001</c:v>
                </c:pt>
                <c:pt idx="5452">
                  <c:v>1507.6000000000001</c:v>
                </c:pt>
                <c:pt idx="5453">
                  <c:v>1503.5094000000001</c:v>
                </c:pt>
                <c:pt idx="5454">
                  <c:v>1508.3214</c:v>
                </c:pt>
                <c:pt idx="5455">
                  <c:v>1506.4768000000001</c:v>
                </c:pt>
                <c:pt idx="5456">
                  <c:v>1500.0006000000001</c:v>
                </c:pt>
                <c:pt idx="5457">
                  <c:v>1487.0565000000001</c:v>
                </c:pt>
                <c:pt idx="5458">
                  <c:v>1485.4209000000001</c:v>
                </c:pt>
                <c:pt idx="5459">
                  <c:v>1490.4697000000001</c:v>
                </c:pt>
                <c:pt idx="5460">
                  <c:v>1507.4648</c:v>
                </c:pt>
                <c:pt idx="5461">
                  <c:v>1513.4867999999999</c:v>
                </c:pt>
                <c:pt idx="5462">
                  <c:v>1491.7570000000001</c:v>
                </c:pt>
                <c:pt idx="5463">
                  <c:v>1491.9159000000002</c:v>
                </c:pt>
                <c:pt idx="5464">
                  <c:v>1513.8732</c:v>
                </c:pt>
                <c:pt idx="5465">
                  <c:v>1516.405</c:v>
                </c:pt>
                <c:pt idx="5466">
                  <c:v>1540.9170000000001</c:v>
                </c:pt>
                <c:pt idx="5467">
                  <c:v>1545.2725</c:v>
                </c:pt>
                <c:pt idx="5468">
                  <c:v>1562.067</c:v>
                </c:pt>
                <c:pt idx="5469">
                  <c:v>1541.8176000000001</c:v>
                </c:pt>
                <c:pt idx="5470">
                  <c:v>1530.7650000000001</c:v>
                </c:pt>
                <c:pt idx="5471">
                  <c:v>1524.3444</c:v>
                </c:pt>
                <c:pt idx="5472">
                  <c:v>1524.7338000000002</c:v>
                </c:pt>
                <c:pt idx="5473">
                  <c:v>1506.6834000000001</c:v>
                </c:pt>
                <c:pt idx="5474">
                  <c:v>1514.4855</c:v>
                </c:pt>
                <c:pt idx="5475">
                  <c:v>1526.2345</c:v>
                </c:pt>
                <c:pt idx="5476">
                  <c:v>1519.8810000000001</c:v>
                </c:pt>
                <c:pt idx="5477">
                  <c:v>1516.1120000000001</c:v>
                </c:pt>
                <c:pt idx="5478">
                  <c:v>1486.5617999999999</c:v>
                </c:pt>
                <c:pt idx="5479">
                  <c:v>1474.7824000000001</c:v>
                </c:pt>
                <c:pt idx="5480">
                  <c:v>1462.0176000000001</c:v>
                </c:pt>
                <c:pt idx="5481">
                  <c:v>1446.8806</c:v>
                </c:pt>
                <c:pt idx="5482">
                  <c:v>1459.0642</c:v>
                </c:pt>
                <c:pt idx="5483">
                  <c:v>1449.6716000000001</c:v>
                </c:pt>
                <c:pt idx="5484">
                  <c:v>1453.8985</c:v>
                </c:pt>
                <c:pt idx="5485">
                  <c:v>1434.8532</c:v>
                </c:pt>
                <c:pt idx="5486">
                  <c:v>1433.9159999999999</c:v>
                </c:pt>
                <c:pt idx="5487">
                  <c:v>1448.46</c:v>
                </c:pt>
                <c:pt idx="5488">
                  <c:v>1432.5236</c:v>
                </c:pt>
                <c:pt idx="5489">
                  <c:v>1427.8082999999999</c:v>
                </c:pt>
                <c:pt idx="5490">
                  <c:v>1433.0392000000002</c:v>
                </c:pt>
                <c:pt idx="5491">
                  <c:v>1429.2637999999999</c:v>
                </c:pt>
                <c:pt idx="5492">
                  <c:v>1415.5016000000001</c:v>
                </c:pt>
                <c:pt idx="5493">
                  <c:v>1402.4539</c:v>
                </c:pt>
                <c:pt idx="5494">
                  <c:v>1401.1722</c:v>
                </c:pt>
                <c:pt idx="5495">
                  <c:v>1387.395</c:v>
                </c:pt>
                <c:pt idx="5496">
                  <c:v>1396.6056000000001</c:v>
                </c:pt>
                <c:pt idx="5497">
                  <c:v>1392.8130000000001</c:v>
                </c:pt>
                <c:pt idx="5498">
                  <c:v>1397.8580000000002</c:v>
                </c:pt>
                <c:pt idx="5499">
                  <c:v>1383.5146</c:v>
                </c:pt>
                <c:pt idx="5500">
                  <c:v>1376.2281</c:v>
                </c:pt>
                <c:pt idx="5501">
                  <c:v>1370.9584</c:v>
                </c:pt>
                <c:pt idx="5502">
                  <c:v>1377.2628</c:v>
                </c:pt>
                <c:pt idx="5503">
                  <c:v>1368.9880000000001</c:v>
                </c:pt>
                <c:pt idx="5504">
                  <c:v>1367.924</c:v>
                </c:pt>
                <c:pt idx="5505">
                  <c:v>1367.8975</c:v>
                </c:pt>
                <c:pt idx="5506">
                  <c:v>1359.3285000000001</c:v>
                </c:pt>
                <c:pt idx="5507">
                  <c:v>1354.9354000000001</c:v>
                </c:pt>
                <c:pt idx="5508">
                  <c:v>1340.1663000000001</c:v>
                </c:pt>
                <c:pt idx="5509">
                  <c:v>1330.2761</c:v>
                </c:pt>
                <c:pt idx="5510">
                  <c:v>1332.0172</c:v>
                </c:pt>
                <c:pt idx="5511">
                  <c:v>1333.5840000000001</c:v>
                </c:pt>
                <c:pt idx="5512">
                  <c:v>1315.9773</c:v>
                </c:pt>
                <c:pt idx="5513">
                  <c:v>1306.1538</c:v>
                </c:pt>
                <c:pt idx="5514">
                  <c:v>1292.7503999999999</c:v>
                </c:pt>
                <c:pt idx="5515">
                  <c:v>1294.5229999999999</c:v>
                </c:pt>
                <c:pt idx="5516">
                  <c:v>1282.8205</c:v>
                </c:pt>
                <c:pt idx="5517">
                  <c:v>1280.5936000000002</c:v>
                </c:pt>
                <c:pt idx="5518">
                  <c:v>1280.0658000000001</c:v>
                </c:pt>
                <c:pt idx="5519">
                  <c:v>1295.5045</c:v>
                </c:pt>
                <c:pt idx="5520">
                  <c:v>1303.7339999999999</c:v>
                </c:pt>
                <c:pt idx="5521">
                  <c:v>1311.7190000000001</c:v>
                </c:pt>
                <c:pt idx="5522">
                  <c:v>1299.4559999999999</c:v>
                </c:pt>
                <c:pt idx="5523">
                  <c:v>1301.404</c:v>
                </c:pt>
                <c:pt idx="5524">
                  <c:v>1303.5074999999999</c:v>
                </c:pt>
                <c:pt idx="5525">
                  <c:v>1300.0457999999999</c:v>
                </c:pt>
                <c:pt idx="5526">
                  <c:v>1281.7728</c:v>
                </c:pt>
                <c:pt idx="5527">
                  <c:v>1272.9815000000001</c:v>
                </c:pt>
                <c:pt idx="5528">
                  <c:v>1277.6498000000001</c:v>
                </c:pt>
                <c:pt idx="5529">
                  <c:v>1287.0429000000001</c:v>
                </c:pt>
                <c:pt idx="5530">
                  <c:v>1283.9723999999999</c:v>
                </c:pt>
                <c:pt idx="5531">
                  <c:v>1285.0056</c:v>
                </c:pt>
                <c:pt idx="5532">
                  <c:v>1286.0387999999998</c:v>
                </c:pt>
                <c:pt idx="5533">
                  <c:v>1271.8751999999999</c:v>
                </c:pt>
                <c:pt idx="5534">
                  <c:v>1275.2516000000001</c:v>
                </c:pt>
                <c:pt idx="5535">
                  <c:v>1293.675</c:v>
                </c:pt>
                <c:pt idx="5536">
                  <c:v>1295.7626</c:v>
                </c:pt>
                <c:pt idx="5537">
                  <c:v>1274.1495</c:v>
                </c:pt>
                <c:pt idx="5538">
                  <c:v>1263.4608000000001</c:v>
                </c:pt>
                <c:pt idx="5539">
                  <c:v>1247.6216999999999</c:v>
                </c:pt>
                <c:pt idx="5540">
                  <c:v>1259.4593</c:v>
                </c:pt>
                <c:pt idx="5541">
                  <c:v>1251.4823999999999</c:v>
                </c:pt>
                <c:pt idx="5542">
                  <c:v>1253.4292</c:v>
                </c:pt>
                <c:pt idx="5543">
                  <c:v>1247.2416000000001</c:v>
                </c:pt>
                <c:pt idx="5544">
                  <c:v>1259.5914</c:v>
                </c:pt>
                <c:pt idx="5545">
                  <c:v>1269.0783000000001</c:v>
                </c:pt>
                <c:pt idx="5546">
                  <c:v>1253.4918</c:v>
                </c:pt>
                <c:pt idx="5547">
                  <c:v>1270.3283999999999</c:v>
                </c:pt>
                <c:pt idx="5548">
                  <c:v>1256.9880000000001</c:v>
                </c:pt>
                <c:pt idx="5549">
                  <c:v>1245.3816000000002</c:v>
                </c:pt>
                <c:pt idx="5550">
                  <c:v>1256.2439999999999</c:v>
                </c:pt>
                <c:pt idx="5551">
                  <c:v>1261.8240000000001</c:v>
                </c:pt>
                <c:pt idx="5552">
                  <c:v>1255.518</c:v>
                </c:pt>
                <c:pt idx="5553">
                  <c:v>1236.0620999999999</c:v>
                </c:pt>
                <c:pt idx="5554">
                  <c:v>1233.1693</c:v>
                </c:pt>
                <c:pt idx="5555">
                  <c:v>1247.048</c:v>
                </c:pt>
                <c:pt idx="5556">
                  <c:v>1246.1600000000001</c:v>
                </c:pt>
                <c:pt idx="5557">
                  <c:v>1266.5172</c:v>
                </c:pt>
                <c:pt idx="5558">
                  <c:v>1266.4431</c:v>
                </c:pt>
                <c:pt idx="5559">
                  <c:v>1269.8399999999999</c:v>
                </c:pt>
                <c:pt idx="5560">
                  <c:v>1271.1987000000001</c:v>
                </c:pt>
                <c:pt idx="5561">
                  <c:v>1266.9416000000001</c:v>
                </c:pt>
                <c:pt idx="5562">
                  <c:v>1266.5856000000001</c:v>
                </c:pt>
                <c:pt idx="5563">
                  <c:v>1267.3979999999999</c:v>
                </c:pt>
                <c:pt idx="5564">
                  <c:v>1255.248</c:v>
                </c:pt>
                <c:pt idx="5565">
                  <c:v>1262.7758000000001</c:v>
                </c:pt>
                <c:pt idx="5566">
                  <c:v>1266.2026000000001</c:v>
                </c:pt>
                <c:pt idx="5567">
                  <c:v>1267.1632999999999</c:v>
                </c:pt>
                <c:pt idx="5568">
                  <c:v>1255.7088000000001</c:v>
                </c:pt>
                <c:pt idx="5569">
                  <c:v>1235.6333999999999</c:v>
                </c:pt>
                <c:pt idx="5570">
                  <c:v>1228.2180000000001</c:v>
                </c:pt>
                <c:pt idx="5571">
                  <c:v>1237.7637</c:v>
                </c:pt>
                <c:pt idx="5572">
                  <c:v>1255.6676</c:v>
                </c:pt>
                <c:pt idx="5573">
                  <c:v>1265.8404</c:v>
                </c:pt>
                <c:pt idx="5574">
                  <c:v>1245.5652</c:v>
                </c:pt>
                <c:pt idx="5575">
                  <c:v>1237.4555</c:v>
                </c:pt>
                <c:pt idx="5576">
                  <c:v>1248.528</c:v>
                </c:pt>
                <c:pt idx="5577">
                  <c:v>1247.8619999999999</c:v>
                </c:pt>
                <c:pt idx="5578">
                  <c:v>1254.0863999999999</c:v>
                </c:pt>
                <c:pt idx="5579">
                  <c:v>1243.0008</c:v>
                </c:pt>
                <c:pt idx="5580">
                  <c:v>1238.538</c:v>
                </c:pt>
                <c:pt idx="5581">
                  <c:v>1235.8</c:v>
                </c:pt>
                <c:pt idx="5582">
                  <c:v>1231.0515</c:v>
                </c:pt>
                <c:pt idx="5583">
                  <c:v>1250.3779999999999</c:v>
                </c:pt>
                <c:pt idx="5584">
                  <c:v>1241.0208</c:v>
                </c:pt>
                <c:pt idx="5585">
                  <c:v>1245.0798</c:v>
                </c:pt>
                <c:pt idx="5586">
                  <c:v>1228.5312000000001</c:v>
                </c:pt>
                <c:pt idx="5587">
                  <c:v>1229.7456</c:v>
                </c:pt>
                <c:pt idx="5588">
                  <c:v>1257.2688000000001</c:v>
                </c:pt>
                <c:pt idx="5589">
                  <c:v>1261.2911999999999</c:v>
                </c:pt>
                <c:pt idx="5590">
                  <c:v>1257.2187999999999</c:v>
                </c:pt>
                <c:pt idx="5591">
                  <c:v>1244.5836999999999</c:v>
                </c:pt>
                <c:pt idx="5592">
                  <c:v>1236.1400000000001</c:v>
                </c:pt>
                <c:pt idx="5593">
                  <c:v>1233.9359999999999</c:v>
                </c:pt>
                <c:pt idx="5594">
                  <c:v>1241.7640000000001</c:v>
                </c:pt>
                <c:pt idx="5595">
                  <c:v>1234.5242000000001</c:v>
                </c:pt>
                <c:pt idx="5596">
                  <c:v>1251.79</c:v>
                </c:pt>
                <c:pt idx="5597">
                  <c:v>1236.2944</c:v>
                </c:pt>
                <c:pt idx="5598">
                  <c:v>1210.2894000000001</c:v>
                </c:pt>
                <c:pt idx="5599">
                  <c:v>1207.8989999999999</c:v>
                </c:pt>
                <c:pt idx="5600">
                  <c:v>1209.7848000000001</c:v>
                </c:pt>
                <c:pt idx="5601">
                  <c:v>1216.2445</c:v>
                </c:pt>
                <c:pt idx="5602">
                  <c:v>1218.2378000000001</c:v>
                </c:pt>
                <c:pt idx="5603">
                  <c:v>1208.0379</c:v>
                </c:pt>
                <c:pt idx="5604">
                  <c:v>1228.3656000000001</c:v>
                </c:pt>
                <c:pt idx="5605">
                  <c:v>1224.1152</c:v>
                </c:pt>
                <c:pt idx="5606">
                  <c:v>1232.5401000000002</c:v>
                </c:pt>
                <c:pt idx="5607">
                  <c:v>1224.6864</c:v>
                </c:pt>
                <c:pt idx="5608">
                  <c:v>1226.8679999999999</c:v>
                </c:pt>
                <c:pt idx="5609">
                  <c:v>1230.1163999999999</c:v>
                </c:pt>
                <c:pt idx="5610">
                  <c:v>1220.7239999999999</c:v>
                </c:pt>
                <c:pt idx="5611">
                  <c:v>1209.0857999999998</c:v>
                </c:pt>
                <c:pt idx="5612">
                  <c:v>1198.3340000000001</c:v>
                </c:pt>
                <c:pt idx="5613">
                  <c:v>1193.8724999999999</c:v>
                </c:pt>
                <c:pt idx="5614">
                  <c:v>1171.94</c:v>
                </c:pt>
                <c:pt idx="5615">
                  <c:v>1161.5675000000001</c:v>
                </c:pt>
                <c:pt idx="5616">
                  <c:v>1156.8016</c:v>
                </c:pt>
                <c:pt idx="5617">
                  <c:v>1152.1867</c:v>
                </c:pt>
                <c:pt idx="5618">
                  <c:v>1149.3019999999999</c:v>
                </c:pt>
                <c:pt idx="5619">
                  <c:v>1152.0749999999998</c:v>
                </c:pt>
                <c:pt idx="5620">
                  <c:v>1152.1224</c:v>
                </c:pt>
                <c:pt idx="5621">
                  <c:v>1151.2467999999999</c:v>
                </c:pt>
                <c:pt idx="5622">
                  <c:v>1157.2639999999999</c:v>
                </c:pt>
                <c:pt idx="5623">
                  <c:v>1166.6130000000001</c:v>
                </c:pt>
                <c:pt idx="5624">
                  <c:v>1153.942</c:v>
                </c:pt>
                <c:pt idx="5625">
                  <c:v>1163.4840000000002</c:v>
                </c:pt>
                <c:pt idx="5626">
                  <c:v>1162.5036</c:v>
                </c:pt>
                <c:pt idx="5627">
                  <c:v>1178.3378</c:v>
                </c:pt>
                <c:pt idx="5628">
                  <c:v>1164.3818999999999</c:v>
                </c:pt>
                <c:pt idx="5629">
                  <c:v>1141.0962000000002</c:v>
                </c:pt>
                <c:pt idx="5630">
                  <c:v>1129.6544000000001</c:v>
                </c:pt>
                <c:pt idx="5631">
                  <c:v>1141.4608000000001</c:v>
                </c:pt>
                <c:pt idx="5632">
                  <c:v>1145.7472</c:v>
                </c:pt>
                <c:pt idx="5633">
                  <c:v>1134.3104000000001</c:v>
                </c:pt>
                <c:pt idx="5634">
                  <c:v>1153.4908</c:v>
                </c:pt>
                <c:pt idx="5635">
                  <c:v>1167.6548</c:v>
                </c:pt>
                <c:pt idx="5636">
                  <c:v>1186.5049000000001</c:v>
                </c:pt>
                <c:pt idx="5637">
                  <c:v>1186.8033</c:v>
                </c:pt>
                <c:pt idx="5638">
                  <c:v>1176.6544000000001</c:v>
                </c:pt>
                <c:pt idx="5639">
                  <c:v>1153.3588999999999</c:v>
                </c:pt>
                <c:pt idx="5640">
                  <c:v>1154.2505000000001</c:v>
                </c:pt>
                <c:pt idx="5641">
                  <c:v>1145.2239999999999</c:v>
                </c:pt>
                <c:pt idx="5642">
                  <c:v>1138.4724000000001</c:v>
                </c:pt>
                <c:pt idx="5643">
                  <c:v>1142.19</c:v>
                </c:pt>
                <c:pt idx="5644">
                  <c:v>1143.6029000000001</c:v>
                </c:pt>
                <c:pt idx="5645">
                  <c:v>1124.1090000000002</c:v>
                </c:pt>
                <c:pt idx="5646">
                  <c:v>1106.7839999999999</c:v>
                </c:pt>
                <c:pt idx="5647">
                  <c:v>1105.7304999999999</c:v>
                </c:pt>
                <c:pt idx="5648">
                  <c:v>1120.4128000000001</c:v>
                </c:pt>
                <c:pt idx="5649">
                  <c:v>1132.2178000000001</c:v>
                </c:pt>
                <c:pt idx="5650">
                  <c:v>1124.3818999999999</c:v>
                </c:pt>
                <c:pt idx="5651">
                  <c:v>1122.6890999999998</c:v>
                </c:pt>
                <c:pt idx="5652">
                  <c:v>1107.7209</c:v>
                </c:pt>
                <c:pt idx="5653">
                  <c:v>1099.8628999999999</c:v>
                </c:pt>
                <c:pt idx="5654">
                  <c:v>1077.6362999999999</c:v>
                </c:pt>
                <c:pt idx="5655">
                  <c:v>1072.2976000000001</c:v>
                </c:pt>
                <c:pt idx="5656">
                  <c:v>1064.2697999999998</c:v>
                </c:pt>
                <c:pt idx="5657">
                  <c:v>1073.5255999999999</c:v>
                </c:pt>
                <c:pt idx="5658">
                  <c:v>1074.702</c:v>
                </c:pt>
                <c:pt idx="5659">
                  <c:v>1076.2796000000001</c:v>
                </c:pt>
                <c:pt idx="5660">
                  <c:v>1076.6682000000001</c:v>
                </c:pt>
                <c:pt idx="5661">
                  <c:v>1070.9059999999999</c:v>
                </c:pt>
                <c:pt idx="5662">
                  <c:v>1083.3102000000001</c:v>
                </c:pt>
                <c:pt idx="5663">
                  <c:v>1076.2992000000002</c:v>
                </c:pt>
                <c:pt idx="5664">
                  <c:v>1075.2449999999999</c:v>
                </c:pt>
              </c:numCache>
            </c:numRef>
          </c:val>
          <c:smooth val="0"/>
          <c:extLst>
            <c:ext xmlns:c16="http://schemas.microsoft.com/office/drawing/2014/chart" uri="{C3380CC4-5D6E-409C-BE32-E72D297353CC}">
              <c16:uniqueId val="{00000000-37CE-4AE4-AB9B-6456CDAB3BE5}"/>
            </c:ext>
          </c:extLst>
        </c:ser>
        <c:dLbls>
          <c:showLegendKey val="0"/>
          <c:showVal val="0"/>
          <c:showCatName val="0"/>
          <c:showSerName val="0"/>
          <c:showPercent val="0"/>
          <c:showBubbleSize val="0"/>
        </c:dLbls>
        <c:marker val="1"/>
        <c:smooth val="0"/>
        <c:axId val="657861599"/>
        <c:axId val="1"/>
      </c:lineChart>
      <c:lineChart>
        <c:grouping val="standard"/>
        <c:varyColors val="0"/>
        <c:ser>
          <c:idx val="1"/>
          <c:order val="1"/>
          <c:spPr>
            <a:ln w="12700" cap="rnd">
              <a:solidFill>
                <a:schemeClr val="accent2"/>
              </a:solidFill>
              <a:round/>
            </a:ln>
            <a:effectLst/>
          </c:spPr>
          <c:marker>
            <c:symbol val="none"/>
          </c:marker>
          <c:cat>
            <c:numRef>
              <c:f>'Stock Returns'!$A$2:$A$5666</c:f>
              <c:numCache>
                <c:formatCode>d\-mmm\-yy</c:formatCode>
                <c:ptCount val="5665"/>
                <c:pt idx="0">
                  <c:v>42095</c:v>
                </c:pt>
                <c:pt idx="1">
                  <c:v>42094</c:v>
                </c:pt>
                <c:pt idx="2">
                  <c:v>42093</c:v>
                </c:pt>
                <c:pt idx="3">
                  <c:v>42092</c:v>
                </c:pt>
                <c:pt idx="4">
                  <c:v>42091</c:v>
                </c:pt>
                <c:pt idx="5">
                  <c:v>42090</c:v>
                </c:pt>
                <c:pt idx="6">
                  <c:v>42089</c:v>
                </c:pt>
                <c:pt idx="7">
                  <c:v>42088</c:v>
                </c:pt>
                <c:pt idx="8">
                  <c:v>42087</c:v>
                </c:pt>
                <c:pt idx="9">
                  <c:v>42086</c:v>
                </c:pt>
                <c:pt idx="10">
                  <c:v>42085</c:v>
                </c:pt>
                <c:pt idx="11">
                  <c:v>42084</c:v>
                </c:pt>
                <c:pt idx="12">
                  <c:v>42083</c:v>
                </c:pt>
                <c:pt idx="13">
                  <c:v>42082</c:v>
                </c:pt>
                <c:pt idx="14">
                  <c:v>42081</c:v>
                </c:pt>
                <c:pt idx="15">
                  <c:v>42080</c:v>
                </c:pt>
                <c:pt idx="16">
                  <c:v>42079</c:v>
                </c:pt>
                <c:pt idx="17">
                  <c:v>42078</c:v>
                </c:pt>
                <c:pt idx="18">
                  <c:v>42077</c:v>
                </c:pt>
                <c:pt idx="19">
                  <c:v>42076</c:v>
                </c:pt>
                <c:pt idx="20">
                  <c:v>42075</c:v>
                </c:pt>
                <c:pt idx="21">
                  <c:v>42074</c:v>
                </c:pt>
                <c:pt idx="22">
                  <c:v>42073</c:v>
                </c:pt>
                <c:pt idx="23">
                  <c:v>42072</c:v>
                </c:pt>
                <c:pt idx="24">
                  <c:v>42071</c:v>
                </c:pt>
                <c:pt idx="25">
                  <c:v>42070</c:v>
                </c:pt>
                <c:pt idx="26">
                  <c:v>42069</c:v>
                </c:pt>
                <c:pt idx="27">
                  <c:v>42068</c:v>
                </c:pt>
                <c:pt idx="28">
                  <c:v>42067</c:v>
                </c:pt>
                <c:pt idx="29">
                  <c:v>42066</c:v>
                </c:pt>
                <c:pt idx="30">
                  <c:v>42065</c:v>
                </c:pt>
                <c:pt idx="31">
                  <c:v>42064</c:v>
                </c:pt>
                <c:pt idx="32">
                  <c:v>42063</c:v>
                </c:pt>
                <c:pt idx="33">
                  <c:v>42062</c:v>
                </c:pt>
                <c:pt idx="34">
                  <c:v>42061</c:v>
                </c:pt>
                <c:pt idx="35">
                  <c:v>42060</c:v>
                </c:pt>
                <c:pt idx="36">
                  <c:v>42059</c:v>
                </c:pt>
                <c:pt idx="37">
                  <c:v>42058</c:v>
                </c:pt>
                <c:pt idx="38">
                  <c:v>42057</c:v>
                </c:pt>
                <c:pt idx="39">
                  <c:v>42056</c:v>
                </c:pt>
                <c:pt idx="40">
                  <c:v>42055</c:v>
                </c:pt>
                <c:pt idx="41">
                  <c:v>42054</c:v>
                </c:pt>
                <c:pt idx="42">
                  <c:v>42053</c:v>
                </c:pt>
                <c:pt idx="43">
                  <c:v>42052</c:v>
                </c:pt>
                <c:pt idx="44">
                  <c:v>42051</c:v>
                </c:pt>
                <c:pt idx="45">
                  <c:v>42050</c:v>
                </c:pt>
                <c:pt idx="46">
                  <c:v>42049</c:v>
                </c:pt>
                <c:pt idx="47">
                  <c:v>42048</c:v>
                </c:pt>
                <c:pt idx="48">
                  <c:v>42047</c:v>
                </c:pt>
                <c:pt idx="49">
                  <c:v>42046</c:v>
                </c:pt>
                <c:pt idx="50">
                  <c:v>42045</c:v>
                </c:pt>
                <c:pt idx="51">
                  <c:v>42044</c:v>
                </c:pt>
                <c:pt idx="52">
                  <c:v>42043</c:v>
                </c:pt>
                <c:pt idx="53">
                  <c:v>42042</c:v>
                </c:pt>
                <c:pt idx="54">
                  <c:v>42041</c:v>
                </c:pt>
                <c:pt idx="55">
                  <c:v>42040</c:v>
                </c:pt>
                <c:pt idx="56">
                  <c:v>42039</c:v>
                </c:pt>
                <c:pt idx="57">
                  <c:v>42038</c:v>
                </c:pt>
                <c:pt idx="58">
                  <c:v>42037</c:v>
                </c:pt>
                <c:pt idx="59">
                  <c:v>42036</c:v>
                </c:pt>
                <c:pt idx="60">
                  <c:v>42035</c:v>
                </c:pt>
                <c:pt idx="61">
                  <c:v>42034</c:v>
                </c:pt>
                <c:pt idx="62">
                  <c:v>42033</c:v>
                </c:pt>
                <c:pt idx="63">
                  <c:v>42032</c:v>
                </c:pt>
                <c:pt idx="64">
                  <c:v>42031</c:v>
                </c:pt>
                <c:pt idx="65">
                  <c:v>42030</c:v>
                </c:pt>
                <c:pt idx="66">
                  <c:v>42029</c:v>
                </c:pt>
                <c:pt idx="67">
                  <c:v>42028</c:v>
                </c:pt>
                <c:pt idx="68">
                  <c:v>42027</c:v>
                </c:pt>
                <c:pt idx="69">
                  <c:v>42026</c:v>
                </c:pt>
                <c:pt idx="70">
                  <c:v>42025</c:v>
                </c:pt>
                <c:pt idx="71">
                  <c:v>42024</c:v>
                </c:pt>
                <c:pt idx="72">
                  <c:v>42023</c:v>
                </c:pt>
                <c:pt idx="73">
                  <c:v>42022</c:v>
                </c:pt>
                <c:pt idx="74">
                  <c:v>42021</c:v>
                </c:pt>
                <c:pt idx="75">
                  <c:v>42020</c:v>
                </c:pt>
                <c:pt idx="76">
                  <c:v>42019</c:v>
                </c:pt>
                <c:pt idx="77">
                  <c:v>42018</c:v>
                </c:pt>
                <c:pt idx="78">
                  <c:v>42017</c:v>
                </c:pt>
                <c:pt idx="79">
                  <c:v>42016</c:v>
                </c:pt>
                <c:pt idx="80">
                  <c:v>42015</c:v>
                </c:pt>
                <c:pt idx="81">
                  <c:v>42014</c:v>
                </c:pt>
                <c:pt idx="82">
                  <c:v>42013</c:v>
                </c:pt>
                <c:pt idx="83">
                  <c:v>42012</c:v>
                </c:pt>
                <c:pt idx="84">
                  <c:v>42011</c:v>
                </c:pt>
                <c:pt idx="85">
                  <c:v>42010</c:v>
                </c:pt>
                <c:pt idx="86">
                  <c:v>42009</c:v>
                </c:pt>
                <c:pt idx="87">
                  <c:v>42008</c:v>
                </c:pt>
                <c:pt idx="88">
                  <c:v>42007</c:v>
                </c:pt>
                <c:pt idx="89">
                  <c:v>42006</c:v>
                </c:pt>
                <c:pt idx="90">
                  <c:v>42005</c:v>
                </c:pt>
                <c:pt idx="91">
                  <c:v>42004</c:v>
                </c:pt>
                <c:pt idx="92">
                  <c:v>42003</c:v>
                </c:pt>
                <c:pt idx="93">
                  <c:v>42002</c:v>
                </c:pt>
                <c:pt idx="94">
                  <c:v>42001</c:v>
                </c:pt>
                <c:pt idx="95">
                  <c:v>42000</c:v>
                </c:pt>
                <c:pt idx="96">
                  <c:v>41999</c:v>
                </c:pt>
                <c:pt idx="97">
                  <c:v>41998</c:v>
                </c:pt>
                <c:pt idx="98">
                  <c:v>41997</c:v>
                </c:pt>
                <c:pt idx="99">
                  <c:v>41996</c:v>
                </c:pt>
                <c:pt idx="100">
                  <c:v>41995</c:v>
                </c:pt>
                <c:pt idx="101">
                  <c:v>41994</c:v>
                </c:pt>
                <c:pt idx="102">
                  <c:v>41993</c:v>
                </c:pt>
                <c:pt idx="103">
                  <c:v>41992</c:v>
                </c:pt>
                <c:pt idx="104">
                  <c:v>41991</c:v>
                </c:pt>
                <c:pt idx="105">
                  <c:v>41990</c:v>
                </c:pt>
                <c:pt idx="106">
                  <c:v>41989</c:v>
                </c:pt>
                <c:pt idx="107">
                  <c:v>41988</c:v>
                </c:pt>
                <c:pt idx="108">
                  <c:v>41987</c:v>
                </c:pt>
                <c:pt idx="109">
                  <c:v>41986</c:v>
                </c:pt>
                <c:pt idx="110">
                  <c:v>41985</c:v>
                </c:pt>
                <c:pt idx="111">
                  <c:v>41984</c:v>
                </c:pt>
                <c:pt idx="112">
                  <c:v>41983</c:v>
                </c:pt>
                <c:pt idx="113">
                  <c:v>41982</c:v>
                </c:pt>
                <c:pt idx="114">
                  <c:v>41981</c:v>
                </c:pt>
                <c:pt idx="115">
                  <c:v>41980</c:v>
                </c:pt>
                <c:pt idx="116">
                  <c:v>41979</c:v>
                </c:pt>
                <c:pt idx="117">
                  <c:v>41978</c:v>
                </c:pt>
                <c:pt idx="118">
                  <c:v>41977</c:v>
                </c:pt>
                <c:pt idx="119">
                  <c:v>41976</c:v>
                </c:pt>
                <c:pt idx="120">
                  <c:v>41975</c:v>
                </c:pt>
                <c:pt idx="121">
                  <c:v>41974</c:v>
                </c:pt>
                <c:pt idx="122">
                  <c:v>41973</c:v>
                </c:pt>
                <c:pt idx="123">
                  <c:v>41972</c:v>
                </c:pt>
                <c:pt idx="124">
                  <c:v>41971</c:v>
                </c:pt>
                <c:pt idx="125">
                  <c:v>41970</c:v>
                </c:pt>
                <c:pt idx="126">
                  <c:v>41969</c:v>
                </c:pt>
                <c:pt idx="127">
                  <c:v>41968</c:v>
                </c:pt>
                <c:pt idx="128">
                  <c:v>41967</c:v>
                </c:pt>
                <c:pt idx="129">
                  <c:v>41966</c:v>
                </c:pt>
                <c:pt idx="130">
                  <c:v>41965</c:v>
                </c:pt>
                <c:pt idx="131">
                  <c:v>41964</c:v>
                </c:pt>
                <c:pt idx="132">
                  <c:v>41963</c:v>
                </c:pt>
                <c:pt idx="133">
                  <c:v>41962</c:v>
                </c:pt>
                <c:pt idx="134">
                  <c:v>41961</c:v>
                </c:pt>
                <c:pt idx="135">
                  <c:v>41960</c:v>
                </c:pt>
                <c:pt idx="136">
                  <c:v>41959</c:v>
                </c:pt>
                <c:pt idx="137">
                  <c:v>41958</c:v>
                </c:pt>
                <c:pt idx="138">
                  <c:v>41957</c:v>
                </c:pt>
                <c:pt idx="139">
                  <c:v>41956</c:v>
                </c:pt>
                <c:pt idx="140">
                  <c:v>41955</c:v>
                </c:pt>
                <c:pt idx="141">
                  <c:v>41954</c:v>
                </c:pt>
                <c:pt idx="142">
                  <c:v>41953</c:v>
                </c:pt>
                <c:pt idx="143">
                  <c:v>41952</c:v>
                </c:pt>
                <c:pt idx="144">
                  <c:v>41951</c:v>
                </c:pt>
                <c:pt idx="145">
                  <c:v>41950</c:v>
                </c:pt>
                <c:pt idx="146">
                  <c:v>41949</c:v>
                </c:pt>
                <c:pt idx="147">
                  <c:v>41948</c:v>
                </c:pt>
                <c:pt idx="148">
                  <c:v>41947</c:v>
                </c:pt>
                <c:pt idx="149">
                  <c:v>41946</c:v>
                </c:pt>
                <c:pt idx="150">
                  <c:v>41945</c:v>
                </c:pt>
                <c:pt idx="151">
                  <c:v>41944</c:v>
                </c:pt>
                <c:pt idx="152">
                  <c:v>41943</c:v>
                </c:pt>
                <c:pt idx="153">
                  <c:v>41942</c:v>
                </c:pt>
                <c:pt idx="154">
                  <c:v>41941</c:v>
                </c:pt>
                <c:pt idx="155">
                  <c:v>41940</c:v>
                </c:pt>
                <c:pt idx="156">
                  <c:v>41939</c:v>
                </c:pt>
                <c:pt idx="157">
                  <c:v>41938</c:v>
                </c:pt>
                <c:pt idx="158">
                  <c:v>41937</c:v>
                </c:pt>
                <c:pt idx="159">
                  <c:v>41936</c:v>
                </c:pt>
                <c:pt idx="160">
                  <c:v>41935</c:v>
                </c:pt>
                <c:pt idx="161">
                  <c:v>41934</c:v>
                </c:pt>
                <c:pt idx="162">
                  <c:v>41933</c:v>
                </c:pt>
                <c:pt idx="163">
                  <c:v>41932</c:v>
                </c:pt>
                <c:pt idx="164">
                  <c:v>41931</c:v>
                </c:pt>
                <c:pt idx="165">
                  <c:v>41930</c:v>
                </c:pt>
                <c:pt idx="166">
                  <c:v>41929</c:v>
                </c:pt>
                <c:pt idx="167">
                  <c:v>41928</c:v>
                </c:pt>
                <c:pt idx="168">
                  <c:v>41927</c:v>
                </c:pt>
                <c:pt idx="169">
                  <c:v>41926</c:v>
                </c:pt>
                <c:pt idx="170">
                  <c:v>41925</c:v>
                </c:pt>
                <c:pt idx="171">
                  <c:v>41924</c:v>
                </c:pt>
                <c:pt idx="172">
                  <c:v>41923</c:v>
                </c:pt>
                <c:pt idx="173">
                  <c:v>41922</c:v>
                </c:pt>
                <c:pt idx="174">
                  <c:v>41921</c:v>
                </c:pt>
                <c:pt idx="175">
                  <c:v>41920</c:v>
                </c:pt>
                <c:pt idx="176">
                  <c:v>41919</c:v>
                </c:pt>
                <c:pt idx="177">
                  <c:v>41918</c:v>
                </c:pt>
                <c:pt idx="178">
                  <c:v>41917</c:v>
                </c:pt>
                <c:pt idx="179">
                  <c:v>41916</c:v>
                </c:pt>
                <c:pt idx="180">
                  <c:v>41915</c:v>
                </c:pt>
                <c:pt idx="181">
                  <c:v>41914</c:v>
                </c:pt>
                <c:pt idx="182">
                  <c:v>41913</c:v>
                </c:pt>
                <c:pt idx="183">
                  <c:v>41912</c:v>
                </c:pt>
                <c:pt idx="184">
                  <c:v>41911</c:v>
                </c:pt>
                <c:pt idx="185">
                  <c:v>41910</c:v>
                </c:pt>
                <c:pt idx="186">
                  <c:v>41909</c:v>
                </c:pt>
                <c:pt idx="187">
                  <c:v>41908</c:v>
                </c:pt>
                <c:pt idx="188">
                  <c:v>41907</c:v>
                </c:pt>
                <c:pt idx="189">
                  <c:v>41906</c:v>
                </c:pt>
                <c:pt idx="190">
                  <c:v>41905</c:v>
                </c:pt>
                <c:pt idx="191">
                  <c:v>41904</c:v>
                </c:pt>
                <c:pt idx="192">
                  <c:v>41903</c:v>
                </c:pt>
                <c:pt idx="193">
                  <c:v>41902</c:v>
                </c:pt>
                <c:pt idx="194">
                  <c:v>41901</c:v>
                </c:pt>
                <c:pt idx="195">
                  <c:v>41900</c:v>
                </c:pt>
                <c:pt idx="196">
                  <c:v>41899</c:v>
                </c:pt>
                <c:pt idx="197">
                  <c:v>41898</c:v>
                </c:pt>
                <c:pt idx="198">
                  <c:v>41897</c:v>
                </c:pt>
                <c:pt idx="199">
                  <c:v>41896</c:v>
                </c:pt>
                <c:pt idx="200">
                  <c:v>41895</c:v>
                </c:pt>
                <c:pt idx="201">
                  <c:v>41894</c:v>
                </c:pt>
                <c:pt idx="202">
                  <c:v>41893</c:v>
                </c:pt>
                <c:pt idx="203">
                  <c:v>41892</c:v>
                </c:pt>
                <c:pt idx="204">
                  <c:v>41891</c:v>
                </c:pt>
                <c:pt idx="205">
                  <c:v>41890</c:v>
                </c:pt>
                <c:pt idx="206">
                  <c:v>41889</c:v>
                </c:pt>
                <c:pt idx="207">
                  <c:v>41888</c:v>
                </c:pt>
                <c:pt idx="208">
                  <c:v>41887</c:v>
                </c:pt>
                <c:pt idx="209">
                  <c:v>41886</c:v>
                </c:pt>
                <c:pt idx="210">
                  <c:v>41885</c:v>
                </c:pt>
                <c:pt idx="211">
                  <c:v>41884</c:v>
                </c:pt>
                <c:pt idx="212">
                  <c:v>41883</c:v>
                </c:pt>
                <c:pt idx="213">
                  <c:v>41882</c:v>
                </c:pt>
                <c:pt idx="214">
                  <c:v>41881</c:v>
                </c:pt>
                <c:pt idx="215">
                  <c:v>41880</c:v>
                </c:pt>
                <c:pt idx="216">
                  <c:v>41879</c:v>
                </c:pt>
                <c:pt idx="217">
                  <c:v>41878</c:v>
                </c:pt>
                <c:pt idx="218">
                  <c:v>41877</c:v>
                </c:pt>
                <c:pt idx="219">
                  <c:v>41876</c:v>
                </c:pt>
                <c:pt idx="220">
                  <c:v>41874</c:v>
                </c:pt>
                <c:pt idx="221">
                  <c:v>41873</c:v>
                </c:pt>
                <c:pt idx="222">
                  <c:v>41872</c:v>
                </c:pt>
                <c:pt idx="223">
                  <c:v>41871</c:v>
                </c:pt>
                <c:pt idx="224">
                  <c:v>41870</c:v>
                </c:pt>
                <c:pt idx="225">
                  <c:v>41869</c:v>
                </c:pt>
                <c:pt idx="226">
                  <c:v>41868</c:v>
                </c:pt>
                <c:pt idx="227">
                  <c:v>41867</c:v>
                </c:pt>
                <c:pt idx="228">
                  <c:v>41866</c:v>
                </c:pt>
                <c:pt idx="229">
                  <c:v>41865</c:v>
                </c:pt>
                <c:pt idx="230">
                  <c:v>41864</c:v>
                </c:pt>
                <c:pt idx="231">
                  <c:v>41863</c:v>
                </c:pt>
                <c:pt idx="232">
                  <c:v>41862</c:v>
                </c:pt>
                <c:pt idx="233">
                  <c:v>41861</c:v>
                </c:pt>
                <c:pt idx="234">
                  <c:v>41860</c:v>
                </c:pt>
                <c:pt idx="235">
                  <c:v>41859</c:v>
                </c:pt>
                <c:pt idx="236">
                  <c:v>41858</c:v>
                </c:pt>
                <c:pt idx="237">
                  <c:v>41857</c:v>
                </c:pt>
                <c:pt idx="238">
                  <c:v>41856</c:v>
                </c:pt>
                <c:pt idx="239">
                  <c:v>41855</c:v>
                </c:pt>
                <c:pt idx="240">
                  <c:v>41854</c:v>
                </c:pt>
                <c:pt idx="241">
                  <c:v>41853</c:v>
                </c:pt>
                <c:pt idx="242">
                  <c:v>41852</c:v>
                </c:pt>
                <c:pt idx="243">
                  <c:v>41851</c:v>
                </c:pt>
                <c:pt idx="244">
                  <c:v>41850</c:v>
                </c:pt>
                <c:pt idx="245">
                  <c:v>41849</c:v>
                </c:pt>
                <c:pt idx="246">
                  <c:v>41848</c:v>
                </c:pt>
                <c:pt idx="247">
                  <c:v>41847</c:v>
                </c:pt>
                <c:pt idx="248">
                  <c:v>41846</c:v>
                </c:pt>
                <c:pt idx="249">
                  <c:v>41845</c:v>
                </c:pt>
                <c:pt idx="250">
                  <c:v>41844</c:v>
                </c:pt>
                <c:pt idx="251">
                  <c:v>41843</c:v>
                </c:pt>
                <c:pt idx="252">
                  <c:v>41842</c:v>
                </c:pt>
                <c:pt idx="253">
                  <c:v>41841</c:v>
                </c:pt>
                <c:pt idx="254">
                  <c:v>41840</c:v>
                </c:pt>
                <c:pt idx="255">
                  <c:v>41839</c:v>
                </c:pt>
                <c:pt idx="256">
                  <c:v>41838</c:v>
                </c:pt>
                <c:pt idx="257">
                  <c:v>41837</c:v>
                </c:pt>
                <c:pt idx="258">
                  <c:v>41836</c:v>
                </c:pt>
                <c:pt idx="259">
                  <c:v>41835</c:v>
                </c:pt>
                <c:pt idx="260">
                  <c:v>41834</c:v>
                </c:pt>
                <c:pt idx="261">
                  <c:v>41833</c:v>
                </c:pt>
                <c:pt idx="262">
                  <c:v>41832</c:v>
                </c:pt>
                <c:pt idx="263">
                  <c:v>41831</c:v>
                </c:pt>
                <c:pt idx="264">
                  <c:v>41830</c:v>
                </c:pt>
                <c:pt idx="265">
                  <c:v>41829</c:v>
                </c:pt>
                <c:pt idx="266">
                  <c:v>41828</c:v>
                </c:pt>
                <c:pt idx="267">
                  <c:v>41827</c:v>
                </c:pt>
                <c:pt idx="268">
                  <c:v>41826</c:v>
                </c:pt>
                <c:pt idx="269">
                  <c:v>41825</c:v>
                </c:pt>
                <c:pt idx="270">
                  <c:v>41824</c:v>
                </c:pt>
                <c:pt idx="271">
                  <c:v>41823</c:v>
                </c:pt>
                <c:pt idx="272">
                  <c:v>41822</c:v>
                </c:pt>
                <c:pt idx="273">
                  <c:v>41821</c:v>
                </c:pt>
                <c:pt idx="274">
                  <c:v>41820</c:v>
                </c:pt>
                <c:pt idx="275">
                  <c:v>41819</c:v>
                </c:pt>
                <c:pt idx="276">
                  <c:v>41818</c:v>
                </c:pt>
                <c:pt idx="277">
                  <c:v>41817</c:v>
                </c:pt>
                <c:pt idx="278">
                  <c:v>41816</c:v>
                </c:pt>
                <c:pt idx="279">
                  <c:v>41815</c:v>
                </c:pt>
                <c:pt idx="280">
                  <c:v>41814</c:v>
                </c:pt>
                <c:pt idx="281">
                  <c:v>41813</c:v>
                </c:pt>
                <c:pt idx="282">
                  <c:v>41812</c:v>
                </c:pt>
                <c:pt idx="283">
                  <c:v>41811</c:v>
                </c:pt>
                <c:pt idx="284">
                  <c:v>41810</c:v>
                </c:pt>
                <c:pt idx="285">
                  <c:v>41809</c:v>
                </c:pt>
                <c:pt idx="286">
                  <c:v>41808</c:v>
                </c:pt>
                <c:pt idx="287">
                  <c:v>41807</c:v>
                </c:pt>
                <c:pt idx="288">
                  <c:v>41806</c:v>
                </c:pt>
                <c:pt idx="289">
                  <c:v>41805</c:v>
                </c:pt>
                <c:pt idx="290">
                  <c:v>41804</c:v>
                </c:pt>
                <c:pt idx="291">
                  <c:v>41803</c:v>
                </c:pt>
                <c:pt idx="292">
                  <c:v>41802</c:v>
                </c:pt>
                <c:pt idx="293">
                  <c:v>41801</c:v>
                </c:pt>
                <c:pt idx="294">
                  <c:v>41800</c:v>
                </c:pt>
                <c:pt idx="295">
                  <c:v>41799</c:v>
                </c:pt>
                <c:pt idx="296">
                  <c:v>41798</c:v>
                </c:pt>
                <c:pt idx="297">
                  <c:v>41797</c:v>
                </c:pt>
                <c:pt idx="298">
                  <c:v>41796</c:v>
                </c:pt>
                <c:pt idx="299">
                  <c:v>41795</c:v>
                </c:pt>
                <c:pt idx="300">
                  <c:v>41794</c:v>
                </c:pt>
                <c:pt idx="301">
                  <c:v>41793</c:v>
                </c:pt>
                <c:pt idx="302">
                  <c:v>41792</c:v>
                </c:pt>
                <c:pt idx="303">
                  <c:v>41791</c:v>
                </c:pt>
                <c:pt idx="304">
                  <c:v>41790</c:v>
                </c:pt>
                <c:pt idx="305">
                  <c:v>41789</c:v>
                </c:pt>
                <c:pt idx="306">
                  <c:v>41788</c:v>
                </c:pt>
                <c:pt idx="307">
                  <c:v>41787</c:v>
                </c:pt>
                <c:pt idx="308">
                  <c:v>41786</c:v>
                </c:pt>
                <c:pt idx="309">
                  <c:v>41785</c:v>
                </c:pt>
                <c:pt idx="310">
                  <c:v>41784</c:v>
                </c:pt>
                <c:pt idx="311">
                  <c:v>41783</c:v>
                </c:pt>
                <c:pt idx="312">
                  <c:v>41782</c:v>
                </c:pt>
                <c:pt idx="313">
                  <c:v>41781</c:v>
                </c:pt>
                <c:pt idx="314">
                  <c:v>41780</c:v>
                </c:pt>
                <c:pt idx="315">
                  <c:v>41779</c:v>
                </c:pt>
                <c:pt idx="316">
                  <c:v>41778</c:v>
                </c:pt>
                <c:pt idx="317">
                  <c:v>41776</c:v>
                </c:pt>
                <c:pt idx="318">
                  <c:v>41775</c:v>
                </c:pt>
                <c:pt idx="319">
                  <c:v>41774</c:v>
                </c:pt>
                <c:pt idx="320">
                  <c:v>41773</c:v>
                </c:pt>
                <c:pt idx="321">
                  <c:v>41772</c:v>
                </c:pt>
                <c:pt idx="322">
                  <c:v>41771</c:v>
                </c:pt>
                <c:pt idx="323">
                  <c:v>41770</c:v>
                </c:pt>
                <c:pt idx="324">
                  <c:v>41769</c:v>
                </c:pt>
                <c:pt idx="325">
                  <c:v>41768</c:v>
                </c:pt>
                <c:pt idx="326">
                  <c:v>41767</c:v>
                </c:pt>
                <c:pt idx="327">
                  <c:v>41766</c:v>
                </c:pt>
                <c:pt idx="328">
                  <c:v>41765</c:v>
                </c:pt>
                <c:pt idx="329">
                  <c:v>41764</c:v>
                </c:pt>
                <c:pt idx="330">
                  <c:v>41763</c:v>
                </c:pt>
                <c:pt idx="331">
                  <c:v>41762</c:v>
                </c:pt>
                <c:pt idx="332">
                  <c:v>41761</c:v>
                </c:pt>
                <c:pt idx="333">
                  <c:v>41760</c:v>
                </c:pt>
                <c:pt idx="334">
                  <c:v>41759</c:v>
                </c:pt>
                <c:pt idx="335">
                  <c:v>41758</c:v>
                </c:pt>
                <c:pt idx="336">
                  <c:v>41757</c:v>
                </c:pt>
                <c:pt idx="337">
                  <c:v>41756</c:v>
                </c:pt>
                <c:pt idx="338">
                  <c:v>41755</c:v>
                </c:pt>
                <c:pt idx="339">
                  <c:v>41754</c:v>
                </c:pt>
                <c:pt idx="340">
                  <c:v>41753</c:v>
                </c:pt>
                <c:pt idx="341">
                  <c:v>41752</c:v>
                </c:pt>
                <c:pt idx="342">
                  <c:v>41751</c:v>
                </c:pt>
                <c:pt idx="343">
                  <c:v>41750</c:v>
                </c:pt>
                <c:pt idx="344">
                  <c:v>41749</c:v>
                </c:pt>
                <c:pt idx="345">
                  <c:v>41748</c:v>
                </c:pt>
                <c:pt idx="346">
                  <c:v>41747</c:v>
                </c:pt>
                <c:pt idx="347">
                  <c:v>41746</c:v>
                </c:pt>
                <c:pt idx="348">
                  <c:v>41745</c:v>
                </c:pt>
                <c:pt idx="349">
                  <c:v>41744</c:v>
                </c:pt>
                <c:pt idx="350">
                  <c:v>41743</c:v>
                </c:pt>
                <c:pt idx="351">
                  <c:v>41742</c:v>
                </c:pt>
                <c:pt idx="352">
                  <c:v>41741</c:v>
                </c:pt>
                <c:pt idx="353">
                  <c:v>41740</c:v>
                </c:pt>
                <c:pt idx="354">
                  <c:v>41739</c:v>
                </c:pt>
                <c:pt idx="355">
                  <c:v>41738</c:v>
                </c:pt>
                <c:pt idx="356">
                  <c:v>41737</c:v>
                </c:pt>
                <c:pt idx="357">
                  <c:v>41736</c:v>
                </c:pt>
                <c:pt idx="358">
                  <c:v>41735</c:v>
                </c:pt>
                <c:pt idx="359">
                  <c:v>41734</c:v>
                </c:pt>
                <c:pt idx="360">
                  <c:v>41733</c:v>
                </c:pt>
                <c:pt idx="361">
                  <c:v>41732</c:v>
                </c:pt>
                <c:pt idx="362">
                  <c:v>41731</c:v>
                </c:pt>
                <c:pt idx="363">
                  <c:v>41730</c:v>
                </c:pt>
                <c:pt idx="364">
                  <c:v>41729</c:v>
                </c:pt>
                <c:pt idx="365">
                  <c:v>41728</c:v>
                </c:pt>
                <c:pt idx="366">
                  <c:v>41727</c:v>
                </c:pt>
                <c:pt idx="367">
                  <c:v>41726</c:v>
                </c:pt>
                <c:pt idx="368">
                  <c:v>41725</c:v>
                </c:pt>
                <c:pt idx="369">
                  <c:v>41724</c:v>
                </c:pt>
                <c:pt idx="370">
                  <c:v>41723</c:v>
                </c:pt>
                <c:pt idx="371">
                  <c:v>41722</c:v>
                </c:pt>
                <c:pt idx="372">
                  <c:v>41721</c:v>
                </c:pt>
                <c:pt idx="373">
                  <c:v>41720</c:v>
                </c:pt>
                <c:pt idx="374">
                  <c:v>41719</c:v>
                </c:pt>
                <c:pt idx="375">
                  <c:v>41718</c:v>
                </c:pt>
                <c:pt idx="376">
                  <c:v>41717</c:v>
                </c:pt>
                <c:pt idx="377">
                  <c:v>41716</c:v>
                </c:pt>
                <c:pt idx="378">
                  <c:v>41715</c:v>
                </c:pt>
                <c:pt idx="379">
                  <c:v>41714</c:v>
                </c:pt>
                <c:pt idx="380">
                  <c:v>41713</c:v>
                </c:pt>
                <c:pt idx="381">
                  <c:v>41712</c:v>
                </c:pt>
                <c:pt idx="382">
                  <c:v>41711</c:v>
                </c:pt>
                <c:pt idx="383">
                  <c:v>41710</c:v>
                </c:pt>
                <c:pt idx="384">
                  <c:v>41709</c:v>
                </c:pt>
                <c:pt idx="385">
                  <c:v>41708</c:v>
                </c:pt>
                <c:pt idx="386">
                  <c:v>41707</c:v>
                </c:pt>
                <c:pt idx="387">
                  <c:v>41706</c:v>
                </c:pt>
                <c:pt idx="388">
                  <c:v>41705</c:v>
                </c:pt>
                <c:pt idx="389">
                  <c:v>41704</c:v>
                </c:pt>
                <c:pt idx="390">
                  <c:v>41703</c:v>
                </c:pt>
                <c:pt idx="391">
                  <c:v>41702</c:v>
                </c:pt>
                <c:pt idx="392">
                  <c:v>41701</c:v>
                </c:pt>
                <c:pt idx="393">
                  <c:v>41700</c:v>
                </c:pt>
                <c:pt idx="394">
                  <c:v>41699</c:v>
                </c:pt>
                <c:pt idx="395">
                  <c:v>41698</c:v>
                </c:pt>
                <c:pt idx="396">
                  <c:v>41697</c:v>
                </c:pt>
                <c:pt idx="397">
                  <c:v>41696</c:v>
                </c:pt>
                <c:pt idx="398">
                  <c:v>41695</c:v>
                </c:pt>
                <c:pt idx="399">
                  <c:v>41694</c:v>
                </c:pt>
                <c:pt idx="400">
                  <c:v>41693</c:v>
                </c:pt>
                <c:pt idx="401">
                  <c:v>41692</c:v>
                </c:pt>
                <c:pt idx="402">
                  <c:v>41691</c:v>
                </c:pt>
                <c:pt idx="403">
                  <c:v>41690</c:v>
                </c:pt>
                <c:pt idx="404">
                  <c:v>41689</c:v>
                </c:pt>
                <c:pt idx="405">
                  <c:v>41688</c:v>
                </c:pt>
                <c:pt idx="406">
                  <c:v>41687</c:v>
                </c:pt>
                <c:pt idx="407">
                  <c:v>41686</c:v>
                </c:pt>
                <c:pt idx="408">
                  <c:v>41685</c:v>
                </c:pt>
                <c:pt idx="409">
                  <c:v>41684</c:v>
                </c:pt>
                <c:pt idx="410">
                  <c:v>41683</c:v>
                </c:pt>
                <c:pt idx="411">
                  <c:v>41682</c:v>
                </c:pt>
                <c:pt idx="412">
                  <c:v>41681</c:v>
                </c:pt>
                <c:pt idx="413">
                  <c:v>41680</c:v>
                </c:pt>
                <c:pt idx="414">
                  <c:v>41679</c:v>
                </c:pt>
                <c:pt idx="415">
                  <c:v>41678</c:v>
                </c:pt>
                <c:pt idx="416">
                  <c:v>41677</c:v>
                </c:pt>
                <c:pt idx="417">
                  <c:v>41676</c:v>
                </c:pt>
                <c:pt idx="418">
                  <c:v>41675</c:v>
                </c:pt>
                <c:pt idx="419">
                  <c:v>41674</c:v>
                </c:pt>
                <c:pt idx="420">
                  <c:v>41673</c:v>
                </c:pt>
                <c:pt idx="421">
                  <c:v>41672</c:v>
                </c:pt>
                <c:pt idx="422">
                  <c:v>41671</c:v>
                </c:pt>
                <c:pt idx="423">
                  <c:v>41670</c:v>
                </c:pt>
                <c:pt idx="424">
                  <c:v>41669</c:v>
                </c:pt>
                <c:pt idx="425">
                  <c:v>41668</c:v>
                </c:pt>
                <c:pt idx="426">
                  <c:v>41667</c:v>
                </c:pt>
                <c:pt idx="427">
                  <c:v>41666</c:v>
                </c:pt>
                <c:pt idx="428">
                  <c:v>41665</c:v>
                </c:pt>
                <c:pt idx="429">
                  <c:v>41664</c:v>
                </c:pt>
                <c:pt idx="430">
                  <c:v>41663</c:v>
                </c:pt>
                <c:pt idx="431">
                  <c:v>41662</c:v>
                </c:pt>
                <c:pt idx="432">
                  <c:v>41661</c:v>
                </c:pt>
                <c:pt idx="433">
                  <c:v>41660</c:v>
                </c:pt>
                <c:pt idx="434">
                  <c:v>41659</c:v>
                </c:pt>
                <c:pt idx="435">
                  <c:v>41658</c:v>
                </c:pt>
                <c:pt idx="436">
                  <c:v>41657</c:v>
                </c:pt>
                <c:pt idx="437">
                  <c:v>41656</c:v>
                </c:pt>
                <c:pt idx="438">
                  <c:v>41655</c:v>
                </c:pt>
                <c:pt idx="439">
                  <c:v>41654</c:v>
                </c:pt>
                <c:pt idx="440">
                  <c:v>41653</c:v>
                </c:pt>
                <c:pt idx="441">
                  <c:v>41652</c:v>
                </c:pt>
                <c:pt idx="442">
                  <c:v>41651</c:v>
                </c:pt>
                <c:pt idx="443">
                  <c:v>41650</c:v>
                </c:pt>
                <c:pt idx="444">
                  <c:v>41649</c:v>
                </c:pt>
                <c:pt idx="445">
                  <c:v>41648</c:v>
                </c:pt>
                <c:pt idx="446">
                  <c:v>41647</c:v>
                </c:pt>
                <c:pt idx="447">
                  <c:v>41646</c:v>
                </c:pt>
                <c:pt idx="448">
                  <c:v>41645</c:v>
                </c:pt>
                <c:pt idx="449">
                  <c:v>41644</c:v>
                </c:pt>
                <c:pt idx="450">
                  <c:v>41643</c:v>
                </c:pt>
                <c:pt idx="451">
                  <c:v>41642</c:v>
                </c:pt>
                <c:pt idx="452">
                  <c:v>41641</c:v>
                </c:pt>
                <c:pt idx="453">
                  <c:v>41640</c:v>
                </c:pt>
                <c:pt idx="454">
                  <c:v>41639</c:v>
                </c:pt>
                <c:pt idx="455">
                  <c:v>41638</c:v>
                </c:pt>
                <c:pt idx="456">
                  <c:v>41637</c:v>
                </c:pt>
                <c:pt idx="457">
                  <c:v>41636</c:v>
                </c:pt>
                <c:pt idx="458">
                  <c:v>41635</c:v>
                </c:pt>
                <c:pt idx="459">
                  <c:v>41634</c:v>
                </c:pt>
                <c:pt idx="460">
                  <c:v>41633</c:v>
                </c:pt>
                <c:pt idx="461">
                  <c:v>41632</c:v>
                </c:pt>
                <c:pt idx="462">
                  <c:v>41631</c:v>
                </c:pt>
                <c:pt idx="463">
                  <c:v>41630</c:v>
                </c:pt>
                <c:pt idx="464">
                  <c:v>41629</c:v>
                </c:pt>
                <c:pt idx="465">
                  <c:v>41628</c:v>
                </c:pt>
                <c:pt idx="466">
                  <c:v>41627</c:v>
                </c:pt>
                <c:pt idx="467">
                  <c:v>41626</c:v>
                </c:pt>
                <c:pt idx="468">
                  <c:v>41625</c:v>
                </c:pt>
                <c:pt idx="469">
                  <c:v>41624</c:v>
                </c:pt>
                <c:pt idx="470">
                  <c:v>41623</c:v>
                </c:pt>
                <c:pt idx="471">
                  <c:v>41622</c:v>
                </c:pt>
                <c:pt idx="472">
                  <c:v>41621</c:v>
                </c:pt>
                <c:pt idx="473">
                  <c:v>41620</c:v>
                </c:pt>
                <c:pt idx="474">
                  <c:v>41619</c:v>
                </c:pt>
                <c:pt idx="475">
                  <c:v>41618</c:v>
                </c:pt>
                <c:pt idx="476">
                  <c:v>41617</c:v>
                </c:pt>
                <c:pt idx="477">
                  <c:v>41616</c:v>
                </c:pt>
                <c:pt idx="478">
                  <c:v>41615</c:v>
                </c:pt>
                <c:pt idx="479">
                  <c:v>41614</c:v>
                </c:pt>
                <c:pt idx="480">
                  <c:v>41613</c:v>
                </c:pt>
                <c:pt idx="481">
                  <c:v>41612</c:v>
                </c:pt>
                <c:pt idx="482">
                  <c:v>41611</c:v>
                </c:pt>
                <c:pt idx="483">
                  <c:v>41610</c:v>
                </c:pt>
                <c:pt idx="484">
                  <c:v>41609</c:v>
                </c:pt>
                <c:pt idx="485">
                  <c:v>41608</c:v>
                </c:pt>
                <c:pt idx="486">
                  <c:v>41607</c:v>
                </c:pt>
                <c:pt idx="487">
                  <c:v>41606</c:v>
                </c:pt>
                <c:pt idx="488">
                  <c:v>41605</c:v>
                </c:pt>
                <c:pt idx="489">
                  <c:v>41604</c:v>
                </c:pt>
                <c:pt idx="490">
                  <c:v>41603</c:v>
                </c:pt>
                <c:pt idx="491">
                  <c:v>41602</c:v>
                </c:pt>
                <c:pt idx="492">
                  <c:v>41601</c:v>
                </c:pt>
                <c:pt idx="493">
                  <c:v>41600</c:v>
                </c:pt>
                <c:pt idx="494">
                  <c:v>41599</c:v>
                </c:pt>
                <c:pt idx="495">
                  <c:v>41598</c:v>
                </c:pt>
                <c:pt idx="496">
                  <c:v>41597</c:v>
                </c:pt>
                <c:pt idx="497">
                  <c:v>41596</c:v>
                </c:pt>
                <c:pt idx="498">
                  <c:v>41595</c:v>
                </c:pt>
                <c:pt idx="499">
                  <c:v>41594</c:v>
                </c:pt>
                <c:pt idx="500">
                  <c:v>41593</c:v>
                </c:pt>
                <c:pt idx="501">
                  <c:v>41592</c:v>
                </c:pt>
                <c:pt idx="502">
                  <c:v>41591</c:v>
                </c:pt>
                <c:pt idx="503">
                  <c:v>41590</c:v>
                </c:pt>
                <c:pt idx="504">
                  <c:v>41589</c:v>
                </c:pt>
                <c:pt idx="505">
                  <c:v>41588</c:v>
                </c:pt>
                <c:pt idx="506">
                  <c:v>41587</c:v>
                </c:pt>
                <c:pt idx="507">
                  <c:v>41586</c:v>
                </c:pt>
                <c:pt idx="508">
                  <c:v>41585</c:v>
                </c:pt>
                <c:pt idx="509">
                  <c:v>41584</c:v>
                </c:pt>
                <c:pt idx="510">
                  <c:v>41583</c:v>
                </c:pt>
                <c:pt idx="511">
                  <c:v>41582</c:v>
                </c:pt>
                <c:pt idx="512">
                  <c:v>41581</c:v>
                </c:pt>
                <c:pt idx="513">
                  <c:v>41580</c:v>
                </c:pt>
                <c:pt idx="514">
                  <c:v>41579</c:v>
                </c:pt>
                <c:pt idx="515">
                  <c:v>41578</c:v>
                </c:pt>
                <c:pt idx="516">
                  <c:v>41577</c:v>
                </c:pt>
                <c:pt idx="517">
                  <c:v>41576</c:v>
                </c:pt>
                <c:pt idx="518">
                  <c:v>41575</c:v>
                </c:pt>
                <c:pt idx="519">
                  <c:v>41574</c:v>
                </c:pt>
                <c:pt idx="520">
                  <c:v>41573</c:v>
                </c:pt>
                <c:pt idx="521">
                  <c:v>41572</c:v>
                </c:pt>
                <c:pt idx="522">
                  <c:v>41571</c:v>
                </c:pt>
                <c:pt idx="523">
                  <c:v>41570</c:v>
                </c:pt>
                <c:pt idx="524">
                  <c:v>41569</c:v>
                </c:pt>
                <c:pt idx="525">
                  <c:v>41568</c:v>
                </c:pt>
                <c:pt idx="526">
                  <c:v>41567</c:v>
                </c:pt>
                <c:pt idx="527">
                  <c:v>41566</c:v>
                </c:pt>
                <c:pt idx="528">
                  <c:v>41565</c:v>
                </c:pt>
                <c:pt idx="529">
                  <c:v>41564</c:v>
                </c:pt>
                <c:pt idx="530">
                  <c:v>41563</c:v>
                </c:pt>
                <c:pt idx="531">
                  <c:v>41562</c:v>
                </c:pt>
                <c:pt idx="532">
                  <c:v>41561</c:v>
                </c:pt>
                <c:pt idx="533">
                  <c:v>41560</c:v>
                </c:pt>
                <c:pt idx="534">
                  <c:v>41559</c:v>
                </c:pt>
                <c:pt idx="535">
                  <c:v>41558</c:v>
                </c:pt>
                <c:pt idx="536">
                  <c:v>41557</c:v>
                </c:pt>
                <c:pt idx="537">
                  <c:v>41556</c:v>
                </c:pt>
                <c:pt idx="538">
                  <c:v>41555</c:v>
                </c:pt>
                <c:pt idx="539">
                  <c:v>41554</c:v>
                </c:pt>
                <c:pt idx="540">
                  <c:v>41553</c:v>
                </c:pt>
                <c:pt idx="541">
                  <c:v>41552</c:v>
                </c:pt>
                <c:pt idx="542">
                  <c:v>41551</c:v>
                </c:pt>
                <c:pt idx="543">
                  <c:v>41550</c:v>
                </c:pt>
                <c:pt idx="544">
                  <c:v>41549</c:v>
                </c:pt>
                <c:pt idx="545">
                  <c:v>41548</c:v>
                </c:pt>
                <c:pt idx="546">
                  <c:v>41547</c:v>
                </c:pt>
                <c:pt idx="547">
                  <c:v>41546</c:v>
                </c:pt>
                <c:pt idx="548">
                  <c:v>41545</c:v>
                </c:pt>
                <c:pt idx="549">
                  <c:v>41544</c:v>
                </c:pt>
                <c:pt idx="550">
                  <c:v>41543</c:v>
                </c:pt>
                <c:pt idx="551">
                  <c:v>41542</c:v>
                </c:pt>
                <c:pt idx="552">
                  <c:v>41541</c:v>
                </c:pt>
                <c:pt idx="553">
                  <c:v>41540</c:v>
                </c:pt>
                <c:pt idx="554">
                  <c:v>41539</c:v>
                </c:pt>
                <c:pt idx="555">
                  <c:v>41538</c:v>
                </c:pt>
                <c:pt idx="556">
                  <c:v>41537</c:v>
                </c:pt>
                <c:pt idx="557">
                  <c:v>41536</c:v>
                </c:pt>
                <c:pt idx="558">
                  <c:v>41535</c:v>
                </c:pt>
                <c:pt idx="559">
                  <c:v>41534</c:v>
                </c:pt>
                <c:pt idx="560">
                  <c:v>41533</c:v>
                </c:pt>
                <c:pt idx="561">
                  <c:v>41532</c:v>
                </c:pt>
                <c:pt idx="562">
                  <c:v>41531</c:v>
                </c:pt>
                <c:pt idx="563">
                  <c:v>41530</c:v>
                </c:pt>
                <c:pt idx="564">
                  <c:v>41529</c:v>
                </c:pt>
                <c:pt idx="565">
                  <c:v>41528</c:v>
                </c:pt>
                <c:pt idx="566">
                  <c:v>41527</c:v>
                </c:pt>
                <c:pt idx="567">
                  <c:v>41526</c:v>
                </c:pt>
                <c:pt idx="568">
                  <c:v>41525</c:v>
                </c:pt>
                <c:pt idx="569">
                  <c:v>41524</c:v>
                </c:pt>
                <c:pt idx="570">
                  <c:v>41523</c:v>
                </c:pt>
                <c:pt idx="571">
                  <c:v>41522</c:v>
                </c:pt>
                <c:pt idx="572">
                  <c:v>41521</c:v>
                </c:pt>
                <c:pt idx="573">
                  <c:v>41520</c:v>
                </c:pt>
                <c:pt idx="574">
                  <c:v>41519</c:v>
                </c:pt>
                <c:pt idx="575">
                  <c:v>41518</c:v>
                </c:pt>
                <c:pt idx="576">
                  <c:v>41517</c:v>
                </c:pt>
                <c:pt idx="577">
                  <c:v>41516</c:v>
                </c:pt>
                <c:pt idx="578">
                  <c:v>41515</c:v>
                </c:pt>
                <c:pt idx="579">
                  <c:v>41514</c:v>
                </c:pt>
                <c:pt idx="580">
                  <c:v>41513</c:v>
                </c:pt>
                <c:pt idx="581">
                  <c:v>41512</c:v>
                </c:pt>
                <c:pt idx="582">
                  <c:v>41511</c:v>
                </c:pt>
                <c:pt idx="583">
                  <c:v>41510</c:v>
                </c:pt>
                <c:pt idx="584">
                  <c:v>41509</c:v>
                </c:pt>
                <c:pt idx="585">
                  <c:v>41508</c:v>
                </c:pt>
                <c:pt idx="586">
                  <c:v>41507</c:v>
                </c:pt>
                <c:pt idx="587">
                  <c:v>41506</c:v>
                </c:pt>
                <c:pt idx="588">
                  <c:v>41505</c:v>
                </c:pt>
                <c:pt idx="589">
                  <c:v>41504</c:v>
                </c:pt>
                <c:pt idx="590">
                  <c:v>41503</c:v>
                </c:pt>
                <c:pt idx="591">
                  <c:v>41502</c:v>
                </c:pt>
                <c:pt idx="592">
                  <c:v>41501</c:v>
                </c:pt>
                <c:pt idx="593">
                  <c:v>41500</c:v>
                </c:pt>
                <c:pt idx="594">
                  <c:v>41499</c:v>
                </c:pt>
                <c:pt idx="595">
                  <c:v>41498</c:v>
                </c:pt>
                <c:pt idx="596">
                  <c:v>41497</c:v>
                </c:pt>
                <c:pt idx="597">
                  <c:v>41496</c:v>
                </c:pt>
                <c:pt idx="598">
                  <c:v>41495</c:v>
                </c:pt>
                <c:pt idx="599">
                  <c:v>41494</c:v>
                </c:pt>
                <c:pt idx="600">
                  <c:v>41493</c:v>
                </c:pt>
                <c:pt idx="601">
                  <c:v>41492</c:v>
                </c:pt>
                <c:pt idx="602">
                  <c:v>41491</c:v>
                </c:pt>
                <c:pt idx="603">
                  <c:v>41490</c:v>
                </c:pt>
                <c:pt idx="604">
                  <c:v>41489</c:v>
                </c:pt>
                <c:pt idx="605">
                  <c:v>41488</c:v>
                </c:pt>
                <c:pt idx="606">
                  <c:v>41487</c:v>
                </c:pt>
                <c:pt idx="607">
                  <c:v>41486</c:v>
                </c:pt>
                <c:pt idx="608">
                  <c:v>41485</c:v>
                </c:pt>
                <c:pt idx="609">
                  <c:v>41484</c:v>
                </c:pt>
                <c:pt idx="610">
                  <c:v>41483</c:v>
                </c:pt>
                <c:pt idx="611">
                  <c:v>41482</c:v>
                </c:pt>
                <c:pt idx="612">
                  <c:v>41481</c:v>
                </c:pt>
                <c:pt idx="613">
                  <c:v>41480</c:v>
                </c:pt>
                <c:pt idx="614">
                  <c:v>41479</c:v>
                </c:pt>
                <c:pt idx="615">
                  <c:v>41478</c:v>
                </c:pt>
                <c:pt idx="616">
                  <c:v>41477</c:v>
                </c:pt>
                <c:pt idx="617">
                  <c:v>41476</c:v>
                </c:pt>
                <c:pt idx="618">
                  <c:v>41475</c:v>
                </c:pt>
                <c:pt idx="619">
                  <c:v>41474</c:v>
                </c:pt>
                <c:pt idx="620">
                  <c:v>41473</c:v>
                </c:pt>
                <c:pt idx="621">
                  <c:v>41472</c:v>
                </c:pt>
                <c:pt idx="622">
                  <c:v>41471</c:v>
                </c:pt>
                <c:pt idx="623">
                  <c:v>41470</c:v>
                </c:pt>
                <c:pt idx="624">
                  <c:v>41469</c:v>
                </c:pt>
                <c:pt idx="625">
                  <c:v>41468</c:v>
                </c:pt>
                <c:pt idx="626">
                  <c:v>41467</c:v>
                </c:pt>
                <c:pt idx="627">
                  <c:v>41466</c:v>
                </c:pt>
                <c:pt idx="628">
                  <c:v>41465</c:v>
                </c:pt>
                <c:pt idx="629">
                  <c:v>41464</c:v>
                </c:pt>
                <c:pt idx="630">
                  <c:v>41463</c:v>
                </c:pt>
                <c:pt idx="631">
                  <c:v>41462</c:v>
                </c:pt>
                <c:pt idx="632">
                  <c:v>41461</c:v>
                </c:pt>
                <c:pt idx="633">
                  <c:v>41460</c:v>
                </c:pt>
                <c:pt idx="634">
                  <c:v>41459</c:v>
                </c:pt>
                <c:pt idx="635">
                  <c:v>41458</c:v>
                </c:pt>
                <c:pt idx="636">
                  <c:v>41457</c:v>
                </c:pt>
                <c:pt idx="637">
                  <c:v>41456</c:v>
                </c:pt>
                <c:pt idx="638">
                  <c:v>41455</c:v>
                </c:pt>
                <c:pt idx="639">
                  <c:v>41454</c:v>
                </c:pt>
                <c:pt idx="640">
                  <c:v>41453</c:v>
                </c:pt>
                <c:pt idx="641">
                  <c:v>41452</c:v>
                </c:pt>
                <c:pt idx="642">
                  <c:v>41451</c:v>
                </c:pt>
                <c:pt idx="643">
                  <c:v>41450</c:v>
                </c:pt>
                <c:pt idx="644">
                  <c:v>41449</c:v>
                </c:pt>
                <c:pt idx="645">
                  <c:v>41448</c:v>
                </c:pt>
                <c:pt idx="646">
                  <c:v>41447</c:v>
                </c:pt>
                <c:pt idx="647">
                  <c:v>41446</c:v>
                </c:pt>
                <c:pt idx="648">
                  <c:v>41445</c:v>
                </c:pt>
                <c:pt idx="649">
                  <c:v>41444</c:v>
                </c:pt>
                <c:pt idx="650">
                  <c:v>41443</c:v>
                </c:pt>
                <c:pt idx="651">
                  <c:v>41442</c:v>
                </c:pt>
                <c:pt idx="652">
                  <c:v>41441</c:v>
                </c:pt>
                <c:pt idx="653">
                  <c:v>41440</c:v>
                </c:pt>
                <c:pt idx="654">
                  <c:v>41439</c:v>
                </c:pt>
                <c:pt idx="655">
                  <c:v>41438</c:v>
                </c:pt>
                <c:pt idx="656">
                  <c:v>41437</c:v>
                </c:pt>
                <c:pt idx="657">
                  <c:v>41436</c:v>
                </c:pt>
                <c:pt idx="658">
                  <c:v>41435</c:v>
                </c:pt>
                <c:pt idx="659">
                  <c:v>41434</c:v>
                </c:pt>
                <c:pt idx="660">
                  <c:v>41433</c:v>
                </c:pt>
                <c:pt idx="661">
                  <c:v>41432</c:v>
                </c:pt>
                <c:pt idx="662">
                  <c:v>41431</c:v>
                </c:pt>
                <c:pt idx="663">
                  <c:v>41430</c:v>
                </c:pt>
                <c:pt idx="664">
                  <c:v>41429</c:v>
                </c:pt>
                <c:pt idx="665">
                  <c:v>41428</c:v>
                </c:pt>
                <c:pt idx="666">
                  <c:v>41427</c:v>
                </c:pt>
                <c:pt idx="667">
                  <c:v>41426</c:v>
                </c:pt>
                <c:pt idx="668">
                  <c:v>41425</c:v>
                </c:pt>
                <c:pt idx="669">
                  <c:v>41424</c:v>
                </c:pt>
                <c:pt idx="670">
                  <c:v>41423</c:v>
                </c:pt>
                <c:pt idx="671">
                  <c:v>41422</c:v>
                </c:pt>
                <c:pt idx="672">
                  <c:v>41421</c:v>
                </c:pt>
                <c:pt idx="673">
                  <c:v>41420</c:v>
                </c:pt>
                <c:pt idx="674">
                  <c:v>41419</c:v>
                </c:pt>
                <c:pt idx="675">
                  <c:v>41418</c:v>
                </c:pt>
                <c:pt idx="676">
                  <c:v>41417</c:v>
                </c:pt>
                <c:pt idx="677">
                  <c:v>41416</c:v>
                </c:pt>
                <c:pt idx="678">
                  <c:v>41415</c:v>
                </c:pt>
                <c:pt idx="679">
                  <c:v>41414</c:v>
                </c:pt>
                <c:pt idx="680">
                  <c:v>41413</c:v>
                </c:pt>
                <c:pt idx="681">
                  <c:v>41412</c:v>
                </c:pt>
                <c:pt idx="682">
                  <c:v>41411</c:v>
                </c:pt>
                <c:pt idx="683">
                  <c:v>41410</c:v>
                </c:pt>
                <c:pt idx="684">
                  <c:v>41409</c:v>
                </c:pt>
                <c:pt idx="685">
                  <c:v>41408</c:v>
                </c:pt>
                <c:pt idx="686">
                  <c:v>41407</c:v>
                </c:pt>
                <c:pt idx="687">
                  <c:v>41406</c:v>
                </c:pt>
                <c:pt idx="688">
                  <c:v>41405</c:v>
                </c:pt>
                <c:pt idx="689">
                  <c:v>41404</c:v>
                </c:pt>
                <c:pt idx="690">
                  <c:v>41403</c:v>
                </c:pt>
                <c:pt idx="691">
                  <c:v>41402</c:v>
                </c:pt>
                <c:pt idx="692">
                  <c:v>41401</c:v>
                </c:pt>
                <c:pt idx="693">
                  <c:v>41400</c:v>
                </c:pt>
                <c:pt idx="694">
                  <c:v>41399</c:v>
                </c:pt>
                <c:pt idx="695">
                  <c:v>41398</c:v>
                </c:pt>
                <c:pt idx="696">
                  <c:v>41397</c:v>
                </c:pt>
                <c:pt idx="697">
                  <c:v>41396</c:v>
                </c:pt>
                <c:pt idx="698">
                  <c:v>41395</c:v>
                </c:pt>
                <c:pt idx="699">
                  <c:v>41394</c:v>
                </c:pt>
                <c:pt idx="700">
                  <c:v>41393</c:v>
                </c:pt>
                <c:pt idx="701">
                  <c:v>41392</c:v>
                </c:pt>
                <c:pt idx="702">
                  <c:v>41391</c:v>
                </c:pt>
                <c:pt idx="703">
                  <c:v>41390</c:v>
                </c:pt>
                <c:pt idx="704">
                  <c:v>41389</c:v>
                </c:pt>
                <c:pt idx="705">
                  <c:v>41388</c:v>
                </c:pt>
                <c:pt idx="706">
                  <c:v>41387</c:v>
                </c:pt>
                <c:pt idx="707">
                  <c:v>41386</c:v>
                </c:pt>
                <c:pt idx="708">
                  <c:v>41385</c:v>
                </c:pt>
                <c:pt idx="709">
                  <c:v>41384</c:v>
                </c:pt>
                <c:pt idx="710">
                  <c:v>41383</c:v>
                </c:pt>
                <c:pt idx="711">
                  <c:v>41382</c:v>
                </c:pt>
                <c:pt idx="712">
                  <c:v>41381</c:v>
                </c:pt>
                <c:pt idx="713">
                  <c:v>41380</c:v>
                </c:pt>
                <c:pt idx="714">
                  <c:v>41379</c:v>
                </c:pt>
                <c:pt idx="715">
                  <c:v>41378</c:v>
                </c:pt>
                <c:pt idx="716">
                  <c:v>41377</c:v>
                </c:pt>
                <c:pt idx="717">
                  <c:v>41376</c:v>
                </c:pt>
                <c:pt idx="718">
                  <c:v>41375</c:v>
                </c:pt>
                <c:pt idx="719">
                  <c:v>41374</c:v>
                </c:pt>
                <c:pt idx="720">
                  <c:v>41373</c:v>
                </c:pt>
                <c:pt idx="721">
                  <c:v>41372</c:v>
                </c:pt>
                <c:pt idx="722">
                  <c:v>41371</c:v>
                </c:pt>
                <c:pt idx="723">
                  <c:v>41370</c:v>
                </c:pt>
                <c:pt idx="724">
                  <c:v>41369</c:v>
                </c:pt>
                <c:pt idx="725">
                  <c:v>41368</c:v>
                </c:pt>
                <c:pt idx="726">
                  <c:v>41367</c:v>
                </c:pt>
                <c:pt idx="727">
                  <c:v>41366</c:v>
                </c:pt>
                <c:pt idx="728">
                  <c:v>41365</c:v>
                </c:pt>
                <c:pt idx="729">
                  <c:v>41364</c:v>
                </c:pt>
                <c:pt idx="730">
                  <c:v>41363</c:v>
                </c:pt>
                <c:pt idx="731">
                  <c:v>41362</c:v>
                </c:pt>
                <c:pt idx="732">
                  <c:v>41361</c:v>
                </c:pt>
                <c:pt idx="733">
                  <c:v>41360</c:v>
                </c:pt>
                <c:pt idx="734">
                  <c:v>41359</c:v>
                </c:pt>
                <c:pt idx="735">
                  <c:v>41358</c:v>
                </c:pt>
                <c:pt idx="736">
                  <c:v>41357</c:v>
                </c:pt>
                <c:pt idx="737">
                  <c:v>41356</c:v>
                </c:pt>
                <c:pt idx="738">
                  <c:v>41355</c:v>
                </c:pt>
                <c:pt idx="739">
                  <c:v>41354</c:v>
                </c:pt>
                <c:pt idx="740">
                  <c:v>41353</c:v>
                </c:pt>
                <c:pt idx="741">
                  <c:v>41352</c:v>
                </c:pt>
                <c:pt idx="742">
                  <c:v>41351</c:v>
                </c:pt>
                <c:pt idx="743">
                  <c:v>41350</c:v>
                </c:pt>
                <c:pt idx="744">
                  <c:v>41349</c:v>
                </c:pt>
                <c:pt idx="745">
                  <c:v>41348</c:v>
                </c:pt>
                <c:pt idx="746">
                  <c:v>41347</c:v>
                </c:pt>
                <c:pt idx="747">
                  <c:v>41346</c:v>
                </c:pt>
                <c:pt idx="748">
                  <c:v>41345</c:v>
                </c:pt>
                <c:pt idx="749">
                  <c:v>41344</c:v>
                </c:pt>
                <c:pt idx="750">
                  <c:v>41343</c:v>
                </c:pt>
                <c:pt idx="751">
                  <c:v>41342</c:v>
                </c:pt>
                <c:pt idx="752">
                  <c:v>41341</c:v>
                </c:pt>
                <c:pt idx="753">
                  <c:v>41340</c:v>
                </c:pt>
                <c:pt idx="754">
                  <c:v>41339</c:v>
                </c:pt>
                <c:pt idx="755">
                  <c:v>41338</c:v>
                </c:pt>
                <c:pt idx="756">
                  <c:v>41337</c:v>
                </c:pt>
                <c:pt idx="757">
                  <c:v>41336</c:v>
                </c:pt>
                <c:pt idx="758">
                  <c:v>41335</c:v>
                </c:pt>
                <c:pt idx="759">
                  <c:v>41334</c:v>
                </c:pt>
                <c:pt idx="760">
                  <c:v>41333</c:v>
                </c:pt>
                <c:pt idx="761">
                  <c:v>41332</c:v>
                </c:pt>
                <c:pt idx="762">
                  <c:v>41331</c:v>
                </c:pt>
                <c:pt idx="763">
                  <c:v>41330</c:v>
                </c:pt>
                <c:pt idx="764">
                  <c:v>41329</c:v>
                </c:pt>
                <c:pt idx="765">
                  <c:v>41328</c:v>
                </c:pt>
                <c:pt idx="766">
                  <c:v>41327</c:v>
                </c:pt>
                <c:pt idx="767">
                  <c:v>41326</c:v>
                </c:pt>
                <c:pt idx="768">
                  <c:v>41325</c:v>
                </c:pt>
                <c:pt idx="769">
                  <c:v>41324</c:v>
                </c:pt>
                <c:pt idx="770">
                  <c:v>41323</c:v>
                </c:pt>
                <c:pt idx="771">
                  <c:v>41322</c:v>
                </c:pt>
                <c:pt idx="772">
                  <c:v>41321</c:v>
                </c:pt>
                <c:pt idx="773">
                  <c:v>41320</c:v>
                </c:pt>
                <c:pt idx="774">
                  <c:v>41319</c:v>
                </c:pt>
                <c:pt idx="775">
                  <c:v>41318</c:v>
                </c:pt>
                <c:pt idx="776">
                  <c:v>41317</c:v>
                </c:pt>
                <c:pt idx="777">
                  <c:v>41316</c:v>
                </c:pt>
                <c:pt idx="778">
                  <c:v>41315</c:v>
                </c:pt>
                <c:pt idx="779">
                  <c:v>41314</c:v>
                </c:pt>
                <c:pt idx="780">
                  <c:v>41313</c:v>
                </c:pt>
                <c:pt idx="781">
                  <c:v>41312</c:v>
                </c:pt>
                <c:pt idx="782">
                  <c:v>41311</c:v>
                </c:pt>
                <c:pt idx="783">
                  <c:v>41310</c:v>
                </c:pt>
                <c:pt idx="784">
                  <c:v>41309</c:v>
                </c:pt>
                <c:pt idx="785">
                  <c:v>41308</c:v>
                </c:pt>
                <c:pt idx="786">
                  <c:v>41307</c:v>
                </c:pt>
                <c:pt idx="787">
                  <c:v>41306</c:v>
                </c:pt>
                <c:pt idx="788">
                  <c:v>41305</c:v>
                </c:pt>
                <c:pt idx="789">
                  <c:v>41304</c:v>
                </c:pt>
                <c:pt idx="790">
                  <c:v>41303</c:v>
                </c:pt>
                <c:pt idx="791">
                  <c:v>41302</c:v>
                </c:pt>
                <c:pt idx="792">
                  <c:v>41301</c:v>
                </c:pt>
                <c:pt idx="793">
                  <c:v>41300</c:v>
                </c:pt>
                <c:pt idx="794">
                  <c:v>41299</c:v>
                </c:pt>
                <c:pt idx="795">
                  <c:v>41298</c:v>
                </c:pt>
                <c:pt idx="796">
                  <c:v>41297</c:v>
                </c:pt>
                <c:pt idx="797">
                  <c:v>41296</c:v>
                </c:pt>
                <c:pt idx="798">
                  <c:v>41295</c:v>
                </c:pt>
                <c:pt idx="799">
                  <c:v>41294</c:v>
                </c:pt>
                <c:pt idx="800">
                  <c:v>41293</c:v>
                </c:pt>
                <c:pt idx="801">
                  <c:v>41292</c:v>
                </c:pt>
                <c:pt idx="802">
                  <c:v>41291</c:v>
                </c:pt>
                <c:pt idx="803">
                  <c:v>41290</c:v>
                </c:pt>
                <c:pt idx="804">
                  <c:v>41289</c:v>
                </c:pt>
                <c:pt idx="805">
                  <c:v>41288</c:v>
                </c:pt>
                <c:pt idx="806">
                  <c:v>41287</c:v>
                </c:pt>
                <c:pt idx="807">
                  <c:v>41286</c:v>
                </c:pt>
                <c:pt idx="808">
                  <c:v>41285</c:v>
                </c:pt>
                <c:pt idx="809">
                  <c:v>41284</c:v>
                </c:pt>
                <c:pt idx="810">
                  <c:v>41283</c:v>
                </c:pt>
                <c:pt idx="811">
                  <c:v>41282</c:v>
                </c:pt>
                <c:pt idx="812">
                  <c:v>41281</c:v>
                </c:pt>
                <c:pt idx="813">
                  <c:v>41280</c:v>
                </c:pt>
                <c:pt idx="814">
                  <c:v>41279</c:v>
                </c:pt>
                <c:pt idx="815">
                  <c:v>41278</c:v>
                </c:pt>
                <c:pt idx="816">
                  <c:v>41277</c:v>
                </c:pt>
                <c:pt idx="817">
                  <c:v>41276</c:v>
                </c:pt>
                <c:pt idx="818">
                  <c:v>41275</c:v>
                </c:pt>
                <c:pt idx="819">
                  <c:v>41274</c:v>
                </c:pt>
                <c:pt idx="820">
                  <c:v>41273</c:v>
                </c:pt>
                <c:pt idx="821">
                  <c:v>41272</c:v>
                </c:pt>
                <c:pt idx="822">
                  <c:v>41271</c:v>
                </c:pt>
                <c:pt idx="823">
                  <c:v>41270</c:v>
                </c:pt>
                <c:pt idx="824">
                  <c:v>41269</c:v>
                </c:pt>
                <c:pt idx="825">
                  <c:v>41268</c:v>
                </c:pt>
                <c:pt idx="826">
                  <c:v>41267</c:v>
                </c:pt>
                <c:pt idx="827">
                  <c:v>41266</c:v>
                </c:pt>
                <c:pt idx="828">
                  <c:v>41265</c:v>
                </c:pt>
                <c:pt idx="829">
                  <c:v>41264</c:v>
                </c:pt>
                <c:pt idx="830">
                  <c:v>41263</c:v>
                </c:pt>
                <c:pt idx="831">
                  <c:v>41262</c:v>
                </c:pt>
                <c:pt idx="832">
                  <c:v>41261</c:v>
                </c:pt>
                <c:pt idx="833">
                  <c:v>41260</c:v>
                </c:pt>
                <c:pt idx="834">
                  <c:v>41259</c:v>
                </c:pt>
                <c:pt idx="835">
                  <c:v>41258</c:v>
                </c:pt>
                <c:pt idx="836">
                  <c:v>41257</c:v>
                </c:pt>
                <c:pt idx="837">
                  <c:v>41256</c:v>
                </c:pt>
                <c:pt idx="838">
                  <c:v>41255</c:v>
                </c:pt>
                <c:pt idx="839">
                  <c:v>41254</c:v>
                </c:pt>
                <c:pt idx="840">
                  <c:v>41253</c:v>
                </c:pt>
                <c:pt idx="841">
                  <c:v>41252</c:v>
                </c:pt>
                <c:pt idx="842">
                  <c:v>41251</c:v>
                </c:pt>
                <c:pt idx="843">
                  <c:v>41250</c:v>
                </c:pt>
                <c:pt idx="844">
                  <c:v>41249</c:v>
                </c:pt>
                <c:pt idx="845">
                  <c:v>41248</c:v>
                </c:pt>
                <c:pt idx="846">
                  <c:v>41247</c:v>
                </c:pt>
                <c:pt idx="847">
                  <c:v>41246</c:v>
                </c:pt>
                <c:pt idx="848">
                  <c:v>41245</c:v>
                </c:pt>
                <c:pt idx="849">
                  <c:v>41244</c:v>
                </c:pt>
                <c:pt idx="850">
                  <c:v>41243</c:v>
                </c:pt>
                <c:pt idx="851">
                  <c:v>41242</c:v>
                </c:pt>
                <c:pt idx="852">
                  <c:v>41241</c:v>
                </c:pt>
                <c:pt idx="853">
                  <c:v>41240</c:v>
                </c:pt>
                <c:pt idx="854">
                  <c:v>41239</c:v>
                </c:pt>
                <c:pt idx="855">
                  <c:v>41238</c:v>
                </c:pt>
                <c:pt idx="856">
                  <c:v>41237</c:v>
                </c:pt>
                <c:pt idx="857">
                  <c:v>41236</c:v>
                </c:pt>
                <c:pt idx="858">
                  <c:v>41235</c:v>
                </c:pt>
                <c:pt idx="859">
                  <c:v>41234</c:v>
                </c:pt>
                <c:pt idx="860">
                  <c:v>41233</c:v>
                </c:pt>
                <c:pt idx="861">
                  <c:v>41232</c:v>
                </c:pt>
                <c:pt idx="862">
                  <c:v>41231</c:v>
                </c:pt>
                <c:pt idx="863">
                  <c:v>41230</c:v>
                </c:pt>
                <c:pt idx="864">
                  <c:v>41229</c:v>
                </c:pt>
                <c:pt idx="865">
                  <c:v>41228</c:v>
                </c:pt>
                <c:pt idx="866">
                  <c:v>41227</c:v>
                </c:pt>
                <c:pt idx="867">
                  <c:v>41226</c:v>
                </c:pt>
                <c:pt idx="868">
                  <c:v>41225</c:v>
                </c:pt>
                <c:pt idx="869">
                  <c:v>41224</c:v>
                </c:pt>
                <c:pt idx="870">
                  <c:v>41223</c:v>
                </c:pt>
                <c:pt idx="871">
                  <c:v>41222</c:v>
                </c:pt>
                <c:pt idx="872">
                  <c:v>41221</c:v>
                </c:pt>
                <c:pt idx="873">
                  <c:v>41220</c:v>
                </c:pt>
                <c:pt idx="874">
                  <c:v>41219</c:v>
                </c:pt>
                <c:pt idx="875">
                  <c:v>41218</c:v>
                </c:pt>
                <c:pt idx="876">
                  <c:v>41217</c:v>
                </c:pt>
                <c:pt idx="877">
                  <c:v>41216</c:v>
                </c:pt>
                <c:pt idx="878">
                  <c:v>41215</c:v>
                </c:pt>
                <c:pt idx="879">
                  <c:v>41214</c:v>
                </c:pt>
                <c:pt idx="880">
                  <c:v>41213</c:v>
                </c:pt>
                <c:pt idx="881">
                  <c:v>41212</c:v>
                </c:pt>
                <c:pt idx="882">
                  <c:v>41211</c:v>
                </c:pt>
                <c:pt idx="883">
                  <c:v>41210</c:v>
                </c:pt>
                <c:pt idx="884">
                  <c:v>41209</c:v>
                </c:pt>
                <c:pt idx="885">
                  <c:v>41208</c:v>
                </c:pt>
                <c:pt idx="886">
                  <c:v>41207</c:v>
                </c:pt>
                <c:pt idx="887">
                  <c:v>41206</c:v>
                </c:pt>
                <c:pt idx="888">
                  <c:v>41205</c:v>
                </c:pt>
                <c:pt idx="889">
                  <c:v>41204</c:v>
                </c:pt>
                <c:pt idx="890">
                  <c:v>41203</c:v>
                </c:pt>
                <c:pt idx="891">
                  <c:v>41202</c:v>
                </c:pt>
                <c:pt idx="892">
                  <c:v>41201</c:v>
                </c:pt>
                <c:pt idx="893">
                  <c:v>41200</c:v>
                </c:pt>
                <c:pt idx="894">
                  <c:v>41199</c:v>
                </c:pt>
                <c:pt idx="895">
                  <c:v>41198</c:v>
                </c:pt>
                <c:pt idx="896">
                  <c:v>41197</c:v>
                </c:pt>
                <c:pt idx="897">
                  <c:v>41196</c:v>
                </c:pt>
                <c:pt idx="898">
                  <c:v>41195</c:v>
                </c:pt>
                <c:pt idx="899">
                  <c:v>41194</c:v>
                </c:pt>
                <c:pt idx="900">
                  <c:v>41193</c:v>
                </c:pt>
                <c:pt idx="901">
                  <c:v>41192</c:v>
                </c:pt>
                <c:pt idx="902">
                  <c:v>41191</c:v>
                </c:pt>
                <c:pt idx="903">
                  <c:v>41190</c:v>
                </c:pt>
                <c:pt idx="904">
                  <c:v>41189</c:v>
                </c:pt>
                <c:pt idx="905">
                  <c:v>41188</c:v>
                </c:pt>
                <c:pt idx="906">
                  <c:v>41187</c:v>
                </c:pt>
                <c:pt idx="907">
                  <c:v>41186</c:v>
                </c:pt>
                <c:pt idx="908">
                  <c:v>41185</c:v>
                </c:pt>
                <c:pt idx="909">
                  <c:v>41184</c:v>
                </c:pt>
                <c:pt idx="910">
                  <c:v>41183</c:v>
                </c:pt>
                <c:pt idx="911">
                  <c:v>41182</c:v>
                </c:pt>
                <c:pt idx="912">
                  <c:v>41181</c:v>
                </c:pt>
                <c:pt idx="913">
                  <c:v>41180</c:v>
                </c:pt>
                <c:pt idx="914">
                  <c:v>41179</c:v>
                </c:pt>
                <c:pt idx="915">
                  <c:v>41178</c:v>
                </c:pt>
                <c:pt idx="916">
                  <c:v>41177</c:v>
                </c:pt>
                <c:pt idx="917">
                  <c:v>41176</c:v>
                </c:pt>
                <c:pt idx="918">
                  <c:v>41175</c:v>
                </c:pt>
                <c:pt idx="919">
                  <c:v>41174</c:v>
                </c:pt>
                <c:pt idx="920">
                  <c:v>41173</c:v>
                </c:pt>
                <c:pt idx="921">
                  <c:v>41172</c:v>
                </c:pt>
                <c:pt idx="922">
                  <c:v>41171</c:v>
                </c:pt>
                <c:pt idx="923">
                  <c:v>41170</c:v>
                </c:pt>
                <c:pt idx="924">
                  <c:v>41169</c:v>
                </c:pt>
                <c:pt idx="925">
                  <c:v>41168</c:v>
                </c:pt>
                <c:pt idx="926">
                  <c:v>41167</c:v>
                </c:pt>
                <c:pt idx="927">
                  <c:v>41166</c:v>
                </c:pt>
                <c:pt idx="928">
                  <c:v>41165</c:v>
                </c:pt>
                <c:pt idx="929">
                  <c:v>41164</c:v>
                </c:pt>
                <c:pt idx="930">
                  <c:v>41163</c:v>
                </c:pt>
                <c:pt idx="931">
                  <c:v>41162</c:v>
                </c:pt>
                <c:pt idx="932">
                  <c:v>41161</c:v>
                </c:pt>
                <c:pt idx="933">
                  <c:v>41160</c:v>
                </c:pt>
                <c:pt idx="934">
                  <c:v>41159</c:v>
                </c:pt>
                <c:pt idx="935">
                  <c:v>41158</c:v>
                </c:pt>
                <c:pt idx="936">
                  <c:v>41157</c:v>
                </c:pt>
                <c:pt idx="937">
                  <c:v>41156</c:v>
                </c:pt>
                <c:pt idx="938">
                  <c:v>41155</c:v>
                </c:pt>
                <c:pt idx="939">
                  <c:v>41154</c:v>
                </c:pt>
                <c:pt idx="940">
                  <c:v>41153</c:v>
                </c:pt>
                <c:pt idx="941">
                  <c:v>41152</c:v>
                </c:pt>
                <c:pt idx="942">
                  <c:v>41151</c:v>
                </c:pt>
                <c:pt idx="943">
                  <c:v>41150</c:v>
                </c:pt>
                <c:pt idx="944">
                  <c:v>41149</c:v>
                </c:pt>
                <c:pt idx="945">
                  <c:v>41148</c:v>
                </c:pt>
                <c:pt idx="946">
                  <c:v>41147</c:v>
                </c:pt>
                <c:pt idx="947">
                  <c:v>41146</c:v>
                </c:pt>
                <c:pt idx="948">
                  <c:v>41145</c:v>
                </c:pt>
                <c:pt idx="949">
                  <c:v>41144</c:v>
                </c:pt>
                <c:pt idx="950">
                  <c:v>41143</c:v>
                </c:pt>
                <c:pt idx="951">
                  <c:v>41142</c:v>
                </c:pt>
                <c:pt idx="952">
                  <c:v>41141</c:v>
                </c:pt>
                <c:pt idx="953">
                  <c:v>41140</c:v>
                </c:pt>
                <c:pt idx="954">
                  <c:v>41139</c:v>
                </c:pt>
                <c:pt idx="955">
                  <c:v>41138</c:v>
                </c:pt>
                <c:pt idx="956">
                  <c:v>41137</c:v>
                </c:pt>
                <c:pt idx="957">
                  <c:v>41136</c:v>
                </c:pt>
                <c:pt idx="958">
                  <c:v>41135</c:v>
                </c:pt>
                <c:pt idx="959">
                  <c:v>41134</c:v>
                </c:pt>
                <c:pt idx="960">
                  <c:v>41133</c:v>
                </c:pt>
                <c:pt idx="961">
                  <c:v>41132</c:v>
                </c:pt>
                <c:pt idx="962">
                  <c:v>41131</c:v>
                </c:pt>
                <c:pt idx="963">
                  <c:v>41130</c:v>
                </c:pt>
                <c:pt idx="964">
                  <c:v>41129</c:v>
                </c:pt>
                <c:pt idx="965">
                  <c:v>41128</c:v>
                </c:pt>
                <c:pt idx="966">
                  <c:v>41127</c:v>
                </c:pt>
                <c:pt idx="967">
                  <c:v>41126</c:v>
                </c:pt>
                <c:pt idx="968">
                  <c:v>41125</c:v>
                </c:pt>
                <c:pt idx="969">
                  <c:v>41124</c:v>
                </c:pt>
                <c:pt idx="970">
                  <c:v>41123</c:v>
                </c:pt>
                <c:pt idx="971">
                  <c:v>41122</c:v>
                </c:pt>
                <c:pt idx="972">
                  <c:v>41121</c:v>
                </c:pt>
                <c:pt idx="973">
                  <c:v>41120</c:v>
                </c:pt>
                <c:pt idx="974">
                  <c:v>41119</c:v>
                </c:pt>
                <c:pt idx="975">
                  <c:v>41118</c:v>
                </c:pt>
                <c:pt idx="976">
                  <c:v>41117</c:v>
                </c:pt>
                <c:pt idx="977">
                  <c:v>41116</c:v>
                </c:pt>
                <c:pt idx="978">
                  <c:v>41115</c:v>
                </c:pt>
                <c:pt idx="979">
                  <c:v>41114</c:v>
                </c:pt>
                <c:pt idx="980">
                  <c:v>41113</c:v>
                </c:pt>
                <c:pt idx="981">
                  <c:v>41112</c:v>
                </c:pt>
                <c:pt idx="982">
                  <c:v>41111</c:v>
                </c:pt>
                <c:pt idx="983">
                  <c:v>41110</c:v>
                </c:pt>
                <c:pt idx="984">
                  <c:v>41109</c:v>
                </c:pt>
                <c:pt idx="985">
                  <c:v>41108</c:v>
                </c:pt>
                <c:pt idx="986">
                  <c:v>41107</c:v>
                </c:pt>
                <c:pt idx="987">
                  <c:v>41106</c:v>
                </c:pt>
                <c:pt idx="988">
                  <c:v>41105</c:v>
                </c:pt>
                <c:pt idx="989">
                  <c:v>41104</c:v>
                </c:pt>
                <c:pt idx="990">
                  <c:v>41103</c:v>
                </c:pt>
                <c:pt idx="991">
                  <c:v>41102</c:v>
                </c:pt>
                <c:pt idx="992">
                  <c:v>41101</c:v>
                </c:pt>
                <c:pt idx="993">
                  <c:v>41100</c:v>
                </c:pt>
                <c:pt idx="994">
                  <c:v>41099</c:v>
                </c:pt>
                <c:pt idx="995">
                  <c:v>41098</c:v>
                </c:pt>
                <c:pt idx="996">
                  <c:v>41097</c:v>
                </c:pt>
                <c:pt idx="997">
                  <c:v>41096</c:v>
                </c:pt>
                <c:pt idx="998">
                  <c:v>41095</c:v>
                </c:pt>
                <c:pt idx="999">
                  <c:v>41094</c:v>
                </c:pt>
                <c:pt idx="1000">
                  <c:v>41093</c:v>
                </c:pt>
                <c:pt idx="1001">
                  <c:v>41092</c:v>
                </c:pt>
                <c:pt idx="1002">
                  <c:v>41091</c:v>
                </c:pt>
                <c:pt idx="1003">
                  <c:v>41090</c:v>
                </c:pt>
                <c:pt idx="1004">
                  <c:v>41089</c:v>
                </c:pt>
                <c:pt idx="1005">
                  <c:v>41088</c:v>
                </c:pt>
                <c:pt idx="1006">
                  <c:v>41087</c:v>
                </c:pt>
                <c:pt idx="1007">
                  <c:v>41086</c:v>
                </c:pt>
                <c:pt idx="1008">
                  <c:v>41085</c:v>
                </c:pt>
                <c:pt idx="1009">
                  <c:v>41084</c:v>
                </c:pt>
                <c:pt idx="1010">
                  <c:v>41083</c:v>
                </c:pt>
                <c:pt idx="1011">
                  <c:v>41082</c:v>
                </c:pt>
                <c:pt idx="1012">
                  <c:v>41081</c:v>
                </c:pt>
                <c:pt idx="1013">
                  <c:v>41080</c:v>
                </c:pt>
                <c:pt idx="1014">
                  <c:v>41079</c:v>
                </c:pt>
                <c:pt idx="1015">
                  <c:v>41078</c:v>
                </c:pt>
                <c:pt idx="1016">
                  <c:v>41077</c:v>
                </c:pt>
                <c:pt idx="1017">
                  <c:v>41076</c:v>
                </c:pt>
                <c:pt idx="1018">
                  <c:v>41075</c:v>
                </c:pt>
                <c:pt idx="1019">
                  <c:v>41074</c:v>
                </c:pt>
                <c:pt idx="1020">
                  <c:v>41073</c:v>
                </c:pt>
                <c:pt idx="1021">
                  <c:v>41072</c:v>
                </c:pt>
                <c:pt idx="1022">
                  <c:v>41071</c:v>
                </c:pt>
                <c:pt idx="1023">
                  <c:v>41070</c:v>
                </c:pt>
                <c:pt idx="1024">
                  <c:v>41069</c:v>
                </c:pt>
                <c:pt idx="1025">
                  <c:v>41068</c:v>
                </c:pt>
                <c:pt idx="1026">
                  <c:v>41067</c:v>
                </c:pt>
                <c:pt idx="1027">
                  <c:v>41066</c:v>
                </c:pt>
                <c:pt idx="1028">
                  <c:v>41065</c:v>
                </c:pt>
                <c:pt idx="1029">
                  <c:v>41064</c:v>
                </c:pt>
                <c:pt idx="1030">
                  <c:v>41063</c:v>
                </c:pt>
                <c:pt idx="1031">
                  <c:v>41062</c:v>
                </c:pt>
                <c:pt idx="1032">
                  <c:v>41061</c:v>
                </c:pt>
                <c:pt idx="1033">
                  <c:v>41060</c:v>
                </c:pt>
                <c:pt idx="1034">
                  <c:v>41059</c:v>
                </c:pt>
                <c:pt idx="1035">
                  <c:v>41058</c:v>
                </c:pt>
                <c:pt idx="1036">
                  <c:v>41057</c:v>
                </c:pt>
                <c:pt idx="1037">
                  <c:v>41056</c:v>
                </c:pt>
                <c:pt idx="1038">
                  <c:v>41055</c:v>
                </c:pt>
                <c:pt idx="1039">
                  <c:v>41054</c:v>
                </c:pt>
                <c:pt idx="1040">
                  <c:v>41053</c:v>
                </c:pt>
                <c:pt idx="1041">
                  <c:v>41052</c:v>
                </c:pt>
                <c:pt idx="1042">
                  <c:v>41051</c:v>
                </c:pt>
                <c:pt idx="1043">
                  <c:v>41050</c:v>
                </c:pt>
                <c:pt idx="1044">
                  <c:v>41049</c:v>
                </c:pt>
                <c:pt idx="1045">
                  <c:v>41048</c:v>
                </c:pt>
                <c:pt idx="1046">
                  <c:v>41047</c:v>
                </c:pt>
                <c:pt idx="1047">
                  <c:v>41046</c:v>
                </c:pt>
                <c:pt idx="1048">
                  <c:v>41045</c:v>
                </c:pt>
                <c:pt idx="1049">
                  <c:v>41044</c:v>
                </c:pt>
                <c:pt idx="1050">
                  <c:v>41043</c:v>
                </c:pt>
                <c:pt idx="1051">
                  <c:v>41042</c:v>
                </c:pt>
                <c:pt idx="1052">
                  <c:v>41041</c:v>
                </c:pt>
                <c:pt idx="1053">
                  <c:v>41040</c:v>
                </c:pt>
                <c:pt idx="1054">
                  <c:v>41039</c:v>
                </c:pt>
                <c:pt idx="1055">
                  <c:v>41038</c:v>
                </c:pt>
                <c:pt idx="1056">
                  <c:v>41037</c:v>
                </c:pt>
                <c:pt idx="1057">
                  <c:v>41036</c:v>
                </c:pt>
                <c:pt idx="1058">
                  <c:v>41034</c:v>
                </c:pt>
                <c:pt idx="1059">
                  <c:v>41033</c:v>
                </c:pt>
                <c:pt idx="1060">
                  <c:v>41032</c:v>
                </c:pt>
                <c:pt idx="1061">
                  <c:v>41031</c:v>
                </c:pt>
                <c:pt idx="1062">
                  <c:v>41030</c:v>
                </c:pt>
                <c:pt idx="1063">
                  <c:v>41029</c:v>
                </c:pt>
                <c:pt idx="1064">
                  <c:v>41028</c:v>
                </c:pt>
                <c:pt idx="1065">
                  <c:v>41027</c:v>
                </c:pt>
                <c:pt idx="1066">
                  <c:v>41026</c:v>
                </c:pt>
                <c:pt idx="1067">
                  <c:v>41025</c:v>
                </c:pt>
                <c:pt idx="1068">
                  <c:v>41024</c:v>
                </c:pt>
                <c:pt idx="1069">
                  <c:v>41023</c:v>
                </c:pt>
                <c:pt idx="1070">
                  <c:v>41022</c:v>
                </c:pt>
                <c:pt idx="1071">
                  <c:v>41021</c:v>
                </c:pt>
                <c:pt idx="1072">
                  <c:v>41020</c:v>
                </c:pt>
                <c:pt idx="1073">
                  <c:v>41019</c:v>
                </c:pt>
                <c:pt idx="1074">
                  <c:v>41018</c:v>
                </c:pt>
                <c:pt idx="1075">
                  <c:v>41017</c:v>
                </c:pt>
                <c:pt idx="1076">
                  <c:v>41016</c:v>
                </c:pt>
                <c:pt idx="1077">
                  <c:v>41015</c:v>
                </c:pt>
                <c:pt idx="1078">
                  <c:v>41014</c:v>
                </c:pt>
                <c:pt idx="1079">
                  <c:v>41013</c:v>
                </c:pt>
                <c:pt idx="1080">
                  <c:v>41012</c:v>
                </c:pt>
                <c:pt idx="1081">
                  <c:v>41011</c:v>
                </c:pt>
                <c:pt idx="1082">
                  <c:v>41010</c:v>
                </c:pt>
                <c:pt idx="1083">
                  <c:v>41009</c:v>
                </c:pt>
                <c:pt idx="1084">
                  <c:v>41008</c:v>
                </c:pt>
                <c:pt idx="1085">
                  <c:v>41007</c:v>
                </c:pt>
                <c:pt idx="1086">
                  <c:v>41006</c:v>
                </c:pt>
                <c:pt idx="1087">
                  <c:v>41005</c:v>
                </c:pt>
                <c:pt idx="1088">
                  <c:v>41004</c:v>
                </c:pt>
                <c:pt idx="1089">
                  <c:v>41003</c:v>
                </c:pt>
                <c:pt idx="1090">
                  <c:v>41002</c:v>
                </c:pt>
                <c:pt idx="1091">
                  <c:v>41001</c:v>
                </c:pt>
                <c:pt idx="1092">
                  <c:v>41000</c:v>
                </c:pt>
                <c:pt idx="1093">
                  <c:v>40999</c:v>
                </c:pt>
                <c:pt idx="1094">
                  <c:v>40998</c:v>
                </c:pt>
                <c:pt idx="1095">
                  <c:v>40997</c:v>
                </c:pt>
                <c:pt idx="1096">
                  <c:v>40996</c:v>
                </c:pt>
                <c:pt idx="1097">
                  <c:v>40995</c:v>
                </c:pt>
                <c:pt idx="1098">
                  <c:v>40994</c:v>
                </c:pt>
                <c:pt idx="1099">
                  <c:v>40992</c:v>
                </c:pt>
                <c:pt idx="1100">
                  <c:v>40991</c:v>
                </c:pt>
                <c:pt idx="1101">
                  <c:v>40990</c:v>
                </c:pt>
                <c:pt idx="1102">
                  <c:v>40989</c:v>
                </c:pt>
                <c:pt idx="1103">
                  <c:v>40988</c:v>
                </c:pt>
                <c:pt idx="1104">
                  <c:v>40987</c:v>
                </c:pt>
                <c:pt idx="1105">
                  <c:v>40986</c:v>
                </c:pt>
                <c:pt idx="1106">
                  <c:v>40985</c:v>
                </c:pt>
                <c:pt idx="1107">
                  <c:v>40984</c:v>
                </c:pt>
                <c:pt idx="1108">
                  <c:v>40983</c:v>
                </c:pt>
                <c:pt idx="1109">
                  <c:v>40982</c:v>
                </c:pt>
                <c:pt idx="1110">
                  <c:v>40981</c:v>
                </c:pt>
                <c:pt idx="1111">
                  <c:v>40980</c:v>
                </c:pt>
                <c:pt idx="1112">
                  <c:v>40979</c:v>
                </c:pt>
                <c:pt idx="1113">
                  <c:v>40978</c:v>
                </c:pt>
                <c:pt idx="1114">
                  <c:v>40977</c:v>
                </c:pt>
                <c:pt idx="1115">
                  <c:v>40976</c:v>
                </c:pt>
                <c:pt idx="1116">
                  <c:v>40975</c:v>
                </c:pt>
                <c:pt idx="1117">
                  <c:v>40974</c:v>
                </c:pt>
                <c:pt idx="1118">
                  <c:v>40973</c:v>
                </c:pt>
                <c:pt idx="1119">
                  <c:v>40972</c:v>
                </c:pt>
                <c:pt idx="1120">
                  <c:v>40971</c:v>
                </c:pt>
                <c:pt idx="1121">
                  <c:v>40970</c:v>
                </c:pt>
                <c:pt idx="1122">
                  <c:v>40969</c:v>
                </c:pt>
                <c:pt idx="1123">
                  <c:v>40968</c:v>
                </c:pt>
                <c:pt idx="1124">
                  <c:v>40967</c:v>
                </c:pt>
                <c:pt idx="1125">
                  <c:v>40966</c:v>
                </c:pt>
                <c:pt idx="1126">
                  <c:v>40965</c:v>
                </c:pt>
                <c:pt idx="1127">
                  <c:v>40964</c:v>
                </c:pt>
                <c:pt idx="1128">
                  <c:v>40963</c:v>
                </c:pt>
                <c:pt idx="1129">
                  <c:v>40962</c:v>
                </c:pt>
                <c:pt idx="1130">
                  <c:v>40961</c:v>
                </c:pt>
                <c:pt idx="1131">
                  <c:v>40960</c:v>
                </c:pt>
                <c:pt idx="1132">
                  <c:v>40959</c:v>
                </c:pt>
                <c:pt idx="1133">
                  <c:v>40958</c:v>
                </c:pt>
                <c:pt idx="1134">
                  <c:v>40957</c:v>
                </c:pt>
                <c:pt idx="1135">
                  <c:v>40956</c:v>
                </c:pt>
                <c:pt idx="1136">
                  <c:v>40955</c:v>
                </c:pt>
                <c:pt idx="1137">
                  <c:v>40954</c:v>
                </c:pt>
                <c:pt idx="1138">
                  <c:v>40953</c:v>
                </c:pt>
                <c:pt idx="1139">
                  <c:v>40952</c:v>
                </c:pt>
                <c:pt idx="1140">
                  <c:v>40951</c:v>
                </c:pt>
                <c:pt idx="1141">
                  <c:v>40950</c:v>
                </c:pt>
                <c:pt idx="1142">
                  <c:v>40949</c:v>
                </c:pt>
                <c:pt idx="1143">
                  <c:v>40948</c:v>
                </c:pt>
                <c:pt idx="1144">
                  <c:v>40947</c:v>
                </c:pt>
                <c:pt idx="1145">
                  <c:v>40946</c:v>
                </c:pt>
                <c:pt idx="1146">
                  <c:v>40945</c:v>
                </c:pt>
                <c:pt idx="1147">
                  <c:v>40944</c:v>
                </c:pt>
                <c:pt idx="1148">
                  <c:v>40943</c:v>
                </c:pt>
                <c:pt idx="1149">
                  <c:v>40942</c:v>
                </c:pt>
                <c:pt idx="1150">
                  <c:v>40941</c:v>
                </c:pt>
                <c:pt idx="1151">
                  <c:v>40940</c:v>
                </c:pt>
                <c:pt idx="1152">
                  <c:v>40939</c:v>
                </c:pt>
                <c:pt idx="1153">
                  <c:v>40938</c:v>
                </c:pt>
                <c:pt idx="1154">
                  <c:v>40937</c:v>
                </c:pt>
                <c:pt idx="1155">
                  <c:v>40936</c:v>
                </c:pt>
                <c:pt idx="1156">
                  <c:v>40935</c:v>
                </c:pt>
                <c:pt idx="1157">
                  <c:v>40934</c:v>
                </c:pt>
                <c:pt idx="1158">
                  <c:v>40933</c:v>
                </c:pt>
                <c:pt idx="1159">
                  <c:v>40932</c:v>
                </c:pt>
                <c:pt idx="1160">
                  <c:v>40931</c:v>
                </c:pt>
                <c:pt idx="1161">
                  <c:v>40930</c:v>
                </c:pt>
                <c:pt idx="1162">
                  <c:v>40929</c:v>
                </c:pt>
                <c:pt idx="1163">
                  <c:v>40928</c:v>
                </c:pt>
                <c:pt idx="1164">
                  <c:v>40927</c:v>
                </c:pt>
                <c:pt idx="1165">
                  <c:v>40926</c:v>
                </c:pt>
                <c:pt idx="1166">
                  <c:v>40925</c:v>
                </c:pt>
                <c:pt idx="1167">
                  <c:v>40924</c:v>
                </c:pt>
                <c:pt idx="1168">
                  <c:v>40923</c:v>
                </c:pt>
                <c:pt idx="1169">
                  <c:v>40922</c:v>
                </c:pt>
                <c:pt idx="1170">
                  <c:v>40921</c:v>
                </c:pt>
                <c:pt idx="1171">
                  <c:v>40920</c:v>
                </c:pt>
                <c:pt idx="1172">
                  <c:v>40919</c:v>
                </c:pt>
                <c:pt idx="1173">
                  <c:v>40918</c:v>
                </c:pt>
                <c:pt idx="1174">
                  <c:v>40917</c:v>
                </c:pt>
                <c:pt idx="1175">
                  <c:v>40916</c:v>
                </c:pt>
                <c:pt idx="1176">
                  <c:v>40915</c:v>
                </c:pt>
                <c:pt idx="1177">
                  <c:v>40914</c:v>
                </c:pt>
                <c:pt idx="1178">
                  <c:v>40913</c:v>
                </c:pt>
                <c:pt idx="1179">
                  <c:v>40912</c:v>
                </c:pt>
                <c:pt idx="1180">
                  <c:v>40911</c:v>
                </c:pt>
                <c:pt idx="1181">
                  <c:v>40910</c:v>
                </c:pt>
                <c:pt idx="1182">
                  <c:v>40909</c:v>
                </c:pt>
                <c:pt idx="1183">
                  <c:v>40908</c:v>
                </c:pt>
                <c:pt idx="1184">
                  <c:v>40907</c:v>
                </c:pt>
                <c:pt idx="1185">
                  <c:v>40906</c:v>
                </c:pt>
                <c:pt idx="1186">
                  <c:v>40905</c:v>
                </c:pt>
                <c:pt idx="1187">
                  <c:v>40904</c:v>
                </c:pt>
                <c:pt idx="1188">
                  <c:v>40903</c:v>
                </c:pt>
                <c:pt idx="1189">
                  <c:v>40902</c:v>
                </c:pt>
                <c:pt idx="1190">
                  <c:v>40901</c:v>
                </c:pt>
                <c:pt idx="1191">
                  <c:v>40900</c:v>
                </c:pt>
                <c:pt idx="1192">
                  <c:v>40899</c:v>
                </c:pt>
                <c:pt idx="1193">
                  <c:v>40898</c:v>
                </c:pt>
                <c:pt idx="1194">
                  <c:v>40897</c:v>
                </c:pt>
                <c:pt idx="1195">
                  <c:v>40896</c:v>
                </c:pt>
                <c:pt idx="1196">
                  <c:v>40895</c:v>
                </c:pt>
                <c:pt idx="1197">
                  <c:v>40894</c:v>
                </c:pt>
                <c:pt idx="1198">
                  <c:v>40893</c:v>
                </c:pt>
                <c:pt idx="1199">
                  <c:v>40892</c:v>
                </c:pt>
                <c:pt idx="1200">
                  <c:v>40891</c:v>
                </c:pt>
                <c:pt idx="1201">
                  <c:v>40890</c:v>
                </c:pt>
                <c:pt idx="1202">
                  <c:v>40889</c:v>
                </c:pt>
                <c:pt idx="1203">
                  <c:v>40888</c:v>
                </c:pt>
                <c:pt idx="1204">
                  <c:v>40887</c:v>
                </c:pt>
                <c:pt idx="1205">
                  <c:v>40886</c:v>
                </c:pt>
                <c:pt idx="1206">
                  <c:v>40885</c:v>
                </c:pt>
                <c:pt idx="1207">
                  <c:v>40884</c:v>
                </c:pt>
                <c:pt idx="1208">
                  <c:v>40883</c:v>
                </c:pt>
                <c:pt idx="1209">
                  <c:v>40882</c:v>
                </c:pt>
                <c:pt idx="1210">
                  <c:v>40881</c:v>
                </c:pt>
                <c:pt idx="1211">
                  <c:v>40880</c:v>
                </c:pt>
                <c:pt idx="1212">
                  <c:v>40879</c:v>
                </c:pt>
                <c:pt idx="1213">
                  <c:v>40878</c:v>
                </c:pt>
                <c:pt idx="1214">
                  <c:v>40877</c:v>
                </c:pt>
                <c:pt idx="1215">
                  <c:v>40876</c:v>
                </c:pt>
                <c:pt idx="1216">
                  <c:v>40875</c:v>
                </c:pt>
                <c:pt idx="1217">
                  <c:v>40874</c:v>
                </c:pt>
                <c:pt idx="1218">
                  <c:v>40873</c:v>
                </c:pt>
                <c:pt idx="1219">
                  <c:v>40872</c:v>
                </c:pt>
                <c:pt idx="1220">
                  <c:v>40871</c:v>
                </c:pt>
                <c:pt idx="1221">
                  <c:v>40870</c:v>
                </c:pt>
                <c:pt idx="1222">
                  <c:v>40869</c:v>
                </c:pt>
                <c:pt idx="1223">
                  <c:v>40868</c:v>
                </c:pt>
                <c:pt idx="1224">
                  <c:v>40867</c:v>
                </c:pt>
                <c:pt idx="1225">
                  <c:v>40866</c:v>
                </c:pt>
                <c:pt idx="1226">
                  <c:v>40865</c:v>
                </c:pt>
                <c:pt idx="1227">
                  <c:v>40864</c:v>
                </c:pt>
                <c:pt idx="1228">
                  <c:v>40863</c:v>
                </c:pt>
                <c:pt idx="1229">
                  <c:v>40862</c:v>
                </c:pt>
                <c:pt idx="1230">
                  <c:v>40861</c:v>
                </c:pt>
                <c:pt idx="1231">
                  <c:v>40860</c:v>
                </c:pt>
                <c:pt idx="1232">
                  <c:v>40859</c:v>
                </c:pt>
                <c:pt idx="1233">
                  <c:v>40858</c:v>
                </c:pt>
                <c:pt idx="1234">
                  <c:v>40857</c:v>
                </c:pt>
                <c:pt idx="1235">
                  <c:v>40856</c:v>
                </c:pt>
                <c:pt idx="1236">
                  <c:v>40855</c:v>
                </c:pt>
                <c:pt idx="1237">
                  <c:v>40854</c:v>
                </c:pt>
                <c:pt idx="1238">
                  <c:v>40853</c:v>
                </c:pt>
                <c:pt idx="1239">
                  <c:v>40852</c:v>
                </c:pt>
                <c:pt idx="1240">
                  <c:v>40851</c:v>
                </c:pt>
                <c:pt idx="1241">
                  <c:v>40850</c:v>
                </c:pt>
                <c:pt idx="1242">
                  <c:v>40849</c:v>
                </c:pt>
                <c:pt idx="1243">
                  <c:v>40848</c:v>
                </c:pt>
                <c:pt idx="1244">
                  <c:v>40847</c:v>
                </c:pt>
                <c:pt idx="1245">
                  <c:v>40846</c:v>
                </c:pt>
                <c:pt idx="1246">
                  <c:v>40845</c:v>
                </c:pt>
                <c:pt idx="1247">
                  <c:v>40844</c:v>
                </c:pt>
                <c:pt idx="1248">
                  <c:v>40843</c:v>
                </c:pt>
                <c:pt idx="1249">
                  <c:v>40842</c:v>
                </c:pt>
                <c:pt idx="1250">
                  <c:v>40841</c:v>
                </c:pt>
                <c:pt idx="1251">
                  <c:v>40840</c:v>
                </c:pt>
                <c:pt idx="1252">
                  <c:v>40839</c:v>
                </c:pt>
                <c:pt idx="1253">
                  <c:v>40838</c:v>
                </c:pt>
                <c:pt idx="1254">
                  <c:v>40837</c:v>
                </c:pt>
                <c:pt idx="1255">
                  <c:v>40836</c:v>
                </c:pt>
                <c:pt idx="1256">
                  <c:v>40835</c:v>
                </c:pt>
                <c:pt idx="1257">
                  <c:v>40834</c:v>
                </c:pt>
                <c:pt idx="1258">
                  <c:v>40833</c:v>
                </c:pt>
                <c:pt idx="1259">
                  <c:v>40832</c:v>
                </c:pt>
                <c:pt idx="1260">
                  <c:v>40831</c:v>
                </c:pt>
                <c:pt idx="1261">
                  <c:v>40830</c:v>
                </c:pt>
                <c:pt idx="1262">
                  <c:v>40829</c:v>
                </c:pt>
                <c:pt idx="1263">
                  <c:v>40828</c:v>
                </c:pt>
                <c:pt idx="1264">
                  <c:v>40827</c:v>
                </c:pt>
                <c:pt idx="1265">
                  <c:v>40826</c:v>
                </c:pt>
                <c:pt idx="1266">
                  <c:v>40825</c:v>
                </c:pt>
                <c:pt idx="1267">
                  <c:v>40824</c:v>
                </c:pt>
                <c:pt idx="1268">
                  <c:v>40823</c:v>
                </c:pt>
                <c:pt idx="1269">
                  <c:v>40822</c:v>
                </c:pt>
                <c:pt idx="1270">
                  <c:v>40821</c:v>
                </c:pt>
                <c:pt idx="1271">
                  <c:v>40820</c:v>
                </c:pt>
                <c:pt idx="1272">
                  <c:v>40819</c:v>
                </c:pt>
                <c:pt idx="1273">
                  <c:v>40818</c:v>
                </c:pt>
                <c:pt idx="1274">
                  <c:v>40817</c:v>
                </c:pt>
                <c:pt idx="1275">
                  <c:v>40816</c:v>
                </c:pt>
                <c:pt idx="1276">
                  <c:v>40815</c:v>
                </c:pt>
                <c:pt idx="1277">
                  <c:v>40814</c:v>
                </c:pt>
                <c:pt idx="1278">
                  <c:v>40813</c:v>
                </c:pt>
                <c:pt idx="1279">
                  <c:v>40812</c:v>
                </c:pt>
                <c:pt idx="1280">
                  <c:v>40811</c:v>
                </c:pt>
                <c:pt idx="1281">
                  <c:v>40810</c:v>
                </c:pt>
                <c:pt idx="1282">
                  <c:v>40809</c:v>
                </c:pt>
                <c:pt idx="1283">
                  <c:v>40808</c:v>
                </c:pt>
                <c:pt idx="1284">
                  <c:v>40807</c:v>
                </c:pt>
                <c:pt idx="1285">
                  <c:v>40806</c:v>
                </c:pt>
                <c:pt idx="1286">
                  <c:v>40805</c:v>
                </c:pt>
                <c:pt idx="1287">
                  <c:v>40804</c:v>
                </c:pt>
                <c:pt idx="1288">
                  <c:v>40803</c:v>
                </c:pt>
                <c:pt idx="1289">
                  <c:v>40802</c:v>
                </c:pt>
                <c:pt idx="1290">
                  <c:v>40801</c:v>
                </c:pt>
                <c:pt idx="1291">
                  <c:v>40800</c:v>
                </c:pt>
                <c:pt idx="1292">
                  <c:v>40799</c:v>
                </c:pt>
                <c:pt idx="1293">
                  <c:v>40798</c:v>
                </c:pt>
                <c:pt idx="1294">
                  <c:v>40797</c:v>
                </c:pt>
                <c:pt idx="1295">
                  <c:v>40796</c:v>
                </c:pt>
                <c:pt idx="1296">
                  <c:v>40795</c:v>
                </c:pt>
                <c:pt idx="1297">
                  <c:v>40794</c:v>
                </c:pt>
                <c:pt idx="1298">
                  <c:v>40793</c:v>
                </c:pt>
                <c:pt idx="1299">
                  <c:v>40792</c:v>
                </c:pt>
                <c:pt idx="1300">
                  <c:v>40791</c:v>
                </c:pt>
                <c:pt idx="1301">
                  <c:v>40790</c:v>
                </c:pt>
                <c:pt idx="1302">
                  <c:v>40789</c:v>
                </c:pt>
                <c:pt idx="1303">
                  <c:v>40788</c:v>
                </c:pt>
                <c:pt idx="1304">
                  <c:v>40787</c:v>
                </c:pt>
                <c:pt idx="1305">
                  <c:v>40786</c:v>
                </c:pt>
                <c:pt idx="1306">
                  <c:v>40785</c:v>
                </c:pt>
                <c:pt idx="1307">
                  <c:v>40784</c:v>
                </c:pt>
                <c:pt idx="1308">
                  <c:v>40783</c:v>
                </c:pt>
                <c:pt idx="1309">
                  <c:v>40782</c:v>
                </c:pt>
                <c:pt idx="1310">
                  <c:v>40781</c:v>
                </c:pt>
                <c:pt idx="1311">
                  <c:v>40780</c:v>
                </c:pt>
                <c:pt idx="1312">
                  <c:v>40779</c:v>
                </c:pt>
                <c:pt idx="1313">
                  <c:v>40778</c:v>
                </c:pt>
                <c:pt idx="1314">
                  <c:v>40777</c:v>
                </c:pt>
                <c:pt idx="1315">
                  <c:v>40776</c:v>
                </c:pt>
                <c:pt idx="1316">
                  <c:v>40775</c:v>
                </c:pt>
                <c:pt idx="1317">
                  <c:v>40774</c:v>
                </c:pt>
                <c:pt idx="1318">
                  <c:v>40773</c:v>
                </c:pt>
                <c:pt idx="1319">
                  <c:v>40772</c:v>
                </c:pt>
                <c:pt idx="1320">
                  <c:v>40771</c:v>
                </c:pt>
                <c:pt idx="1321">
                  <c:v>40770</c:v>
                </c:pt>
                <c:pt idx="1322">
                  <c:v>40769</c:v>
                </c:pt>
                <c:pt idx="1323">
                  <c:v>40768</c:v>
                </c:pt>
                <c:pt idx="1324">
                  <c:v>40767</c:v>
                </c:pt>
                <c:pt idx="1325">
                  <c:v>40766</c:v>
                </c:pt>
                <c:pt idx="1326">
                  <c:v>40765</c:v>
                </c:pt>
                <c:pt idx="1327">
                  <c:v>40764</c:v>
                </c:pt>
                <c:pt idx="1328">
                  <c:v>40763</c:v>
                </c:pt>
                <c:pt idx="1329">
                  <c:v>40762</c:v>
                </c:pt>
                <c:pt idx="1330">
                  <c:v>40761</c:v>
                </c:pt>
                <c:pt idx="1331">
                  <c:v>40760</c:v>
                </c:pt>
                <c:pt idx="1332">
                  <c:v>40759</c:v>
                </c:pt>
                <c:pt idx="1333">
                  <c:v>40758</c:v>
                </c:pt>
                <c:pt idx="1334">
                  <c:v>40757</c:v>
                </c:pt>
                <c:pt idx="1335">
                  <c:v>40756</c:v>
                </c:pt>
                <c:pt idx="1336">
                  <c:v>40755</c:v>
                </c:pt>
                <c:pt idx="1337">
                  <c:v>40754</c:v>
                </c:pt>
                <c:pt idx="1338">
                  <c:v>40753</c:v>
                </c:pt>
                <c:pt idx="1339">
                  <c:v>40752</c:v>
                </c:pt>
                <c:pt idx="1340">
                  <c:v>40751</c:v>
                </c:pt>
                <c:pt idx="1341">
                  <c:v>40750</c:v>
                </c:pt>
                <c:pt idx="1342">
                  <c:v>40749</c:v>
                </c:pt>
                <c:pt idx="1343">
                  <c:v>40748</c:v>
                </c:pt>
                <c:pt idx="1344">
                  <c:v>40747</c:v>
                </c:pt>
                <c:pt idx="1345">
                  <c:v>40746</c:v>
                </c:pt>
                <c:pt idx="1346">
                  <c:v>40745</c:v>
                </c:pt>
                <c:pt idx="1347">
                  <c:v>40744</c:v>
                </c:pt>
                <c:pt idx="1348">
                  <c:v>40743</c:v>
                </c:pt>
                <c:pt idx="1349">
                  <c:v>40742</c:v>
                </c:pt>
                <c:pt idx="1350">
                  <c:v>40741</c:v>
                </c:pt>
                <c:pt idx="1351">
                  <c:v>40740</c:v>
                </c:pt>
                <c:pt idx="1352">
                  <c:v>40739</c:v>
                </c:pt>
                <c:pt idx="1353">
                  <c:v>40738</c:v>
                </c:pt>
                <c:pt idx="1354">
                  <c:v>40737</c:v>
                </c:pt>
                <c:pt idx="1355">
                  <c:v>40736</c:v>
                </c:pt>
                <c:pt idx="1356">
                  <c:v>40735</c:v>
                </c:pt>
                <c:pt idx="1357">
                  <c:v>40734</c:v>
                </c:pt>
                <c:pt idx="1358">
                  <c:v>40733</c:v>
                </c:pt>
                <c:pt idx="1359">
                  <c:v>40732</c:v>
                </c:pt>
                <c:pt idx="1360">
                  <c:v>40731</c:v>
                </c:pt>
                <c:pt idx="1361">
                  <c:v>40730</c:v>
                </c:pt>
                <c:pt idx="1362">
                  <c:v>40729</c:v>
                </c:pt>
                <c:pt idx="1363">
                  <c:v>40728</c:v>
                </c:pt>
                <c:pt idx="1364">
                  <c:v>40727</c:v>
                </c:pt>
                <c:pt idx="1365">
                  <c:v>40726</c:v>
                </c:pt>
                <c:pt idx="1366">
                  <c:v>40725</c:v>
                </c:pt>
                <c:pt idx="1367">
                  <c:v>40724</c:v>
                </c:pt>
                <c:pt idx="1368">
                  <c:v>40723</c:v>
                </c:pt>
                <c:pt idx="1369">
                  <c:v>40722</c:v>
                </c:pt>
                <c:pt idx="1370">
                  <c:v>40721</c:v>
                </c:pt>
                <c:pt idx="1371">
                  <c:v>40720</c:v>
                </c:pt>
                <c:pt idx="1372">
                  <c:v>40719</c:v>
                </c:pt>
                <c:pt idx="1373">
                  <c:v>40718</c:v>
                </c:pt>
                <c:pt idx="1374">
                  <c:v>40717</c:v>
                </c:pt>
                <c:pt idx="1375">
                  <c:v>40716</c:v>
                </c:pt>
                <c:pt idx="1376">
                  <c:v>40715</c:v>
                </c:pt>
                <c:pt idx="1377">
                  <c:v>40714</c:v>
                </c:pt>
                <c:pt idx="1378">
                  <c:v>40713</c:v>
                </c:pt>
                <c:pt idx="1379">
                  <c:v>40712</c:v>
                </c:pt>
                <c:pt idx="1380">
                  <c:v>40711</c:v>
                </c:pt>
                <c:pt idx="1381">
                  <c:v>40710</c:v>
                </c:pt>
                <c:pt idx="1382">
                  <c:v>40709</c:v>
                </c:pt>
                <c:pt idx="1383">
                  <c:v>40708</c:v>
                </c:pt>
                <c:pt idx="1384">
                  <c:v>40707</c:v>
                </c:pt>
                <c:pt idx="1385">
                  <c:v>40706</c:v>
                </c:pt>
                <c:pt idx="1386">
                  <c:v>40705</c:v>
                </c:pt>
                <c:pt idx="1387">
                  <c:v>40704</c:v>
                </c:pt>
                <c:pt idx="1388">
                  <c:v>40703</c:v>
                </c:pt>
                <c:pt idx="1389">
                  <c:v>40702</c:v>
                </c:pt>
                <c:pt idx="1390">
                  <c:v>40701</c:v>
                </c:pt>
                <c:pt idx="1391">
                  <c:v>40700</c:v>
                </c:pt>
                <c:pt idx="1392">
                  <c:v>40699</c:v>
                </c:pt>
                <c:pt idx="1393">
                  <c:v>40698</c:v>
                </c:pt>
                <c:pt idx="1394">
                  <c:v>40697</c:v>
                </c:pt>
                <c:pt idx="1395">
                  <c:v>40696</c:v>
                </c:pt>
                <c:pt idx="1396">
                  <c:v>40695</c:v>
                </c:pt>
                <c:pt idx="1397">
                  <c:v>40694</c:v>
                </c:pt>
                <c:pt idx="1398">
                  <c:v>40693</c:v>
                </c:pt>
                <c:pt idx="1399">
                  <c:v>40692</c:v>
                </c:pt>
                <c:pt idx="1400">
                  <c:v>40691</c:v>
                </c:pt>
                <c:pt idx="1401">
                  <c:v>40690</c:v>
                </c:pt>
                <c:pt idx="1402">
                  <c:v>40689</c:v>
                </c:pt>
                <c:pt idx="1403">
                  <c:v>40688</c:v>
                </c:pt>
                <c:pt idx="1404">
                  <c:v>40687</c:v>
                </c:pt>
                <c:pt idx="1405">
                  <c:v>40686</c:v>
                </c:pt>
                <c:pt idx="1406">
                  <c:v>40685</c:v>
                </c:pt>
                <c:pt idx="1407">
                  <c:v>40684</c:v>
                </c:pt>
                <c:pt idx="1408">
                  <c:v>40683</c:v>
                </c:pt>
                <c:pt idx="1409">
                  <c:v>40682</c:v>
                </c:pt>
                <c:pt idx="1410">
                  <c:v>40681</c:v>
                </c:pt>
                <c:pt idx="1411">
                  <c:v>40680</c:v>
                </c:pt>
                <c:pt idx="1412">
                  <c:v>40679</c:v>
                </c:pt>
                <c:pt idx="1413">
                  <c:v>40678</c:v>
                </c:pt>
                <c:pt idx="1414">
                  <c:v>40677</c:v>
                </c:pt>
                <c:pt idx="1415">
                  <c:v>40676</c:v>
                </c:pt>
                <c:pt idx="1416">
                  <c:v>40675</c:v>
                </c:pt>
                <c:pt idx="1417">
                  <c:v>40674</c:v>
                </c:pt>
                <c:pt idx="1418">
                  <c:v>40673</c:v>
                </c:pt>
                <c:pt idx="1419">
                  <c:v>40672</c:v>
                </c:pt>
                <c:pt idx="1420">
                  <c:v>40671</c:v>
                </c:pt>
                <c:pt idx="1421">
                  <c:v>40670</c:v>
                </c:pt>
                <c:pt idx="1422">
                  <c:v>40669</c:v>
                </c:pt>
                <c:pt idx="1423">
                  <c:v>40668</c:v>
                </c:pt>
                <c:pt idx="1424">
                  <c:v>40667</c:v>
                </c:pt>
                <c:pt idx="1425">
                  <c:v>40666</c:v>
                </c:pt>
                <c:pt idx="1426">
                  <c:v>40665</c:v>
                </c:pt>
                <c:pt idx="1427">
                  <c:v>40664</c:v>
                </c:pt>
                <c:pt idx="1428">
                  <c:v>40663</c:v>
                </c:pt>
                <c:pt idx="1429">
                  <c:v>40662</c:v>
                </c:pt>
                <c:pt idx="1430">
                  <c:v>40661</c:v>
                </c:pt>
                <c:pt idx="1431">
                  <c:v>40660</c:v>
                </c:pt>
                <c:pt idx="1432">
                  <c:v>40659</c:v>
                </c:pt>
                <c:pt idx="1433">
                  <c:v>40658</c:v>
                </c:pt>
                <c:pt idx="1434">
                  <c:v>40657</c:v>
                </c:pt>
                <c:pt idx="1435">
                  <c:v>40656</c:v>
                </c:pt>
                <c:pt idx="1436">
                  <c:v>40655</c:v>
                </c:pt>
                <c:pt idx="1437">
                  <c:v>40654</c:v>
                </c:pt>
                <c:pt idx="1438">
                  <c:v>40653</c:v>
                </c:pt>
                <c:pt idx="1439">
                  <c:v>40652</c:v>
                </c:pt>
                <c:pt idx="1440">
                  <c:v>40651</c:v>
                </c:pt>
                <c:pt idx="1441">
                  <c:v>40650</c:v>
                </c:pt>
                <c:pt idx="1442">
                  <c:v>40649</c:v>
                </c:pt>
                <c:pt idx="1443">
                  <c:v>40648</c:v>
                </c:pt>
                <c:pt idx="1444">
                  <c:v>40647</c:v>
                </c:pt>
                <c:pt idx="1445">
                  <c:v>40646</c:v>
                </c:pt>
                <c:pt idx="1446">
                  <c:v>40645</c:v>
                </c:pt>
                <c:pt idx="1447">
                  <c:v>40644</c:v>
                </c:pt>
                <c:pt idx="1448">
                  <c:v>40643</c:v>
                </c:pt>
                <c:pt idx="1449">
                  <c:v>40642</c:v>
                </c:pt>
                <c:pt idx="1450">
                  <c:v>40641</c:v>
                </c:pt>
                <c:pt idx="1451">
                  <c:v>40640</c:v>
                </c:pt>
                <c:pt idx="1452">
                  <c:v>40639</c:v>
                </c:pt>
                <c:pt idx="1453">
                  <c:v>40638</c:v>
                </c:pt>
                <c:pt idx="1454">
                  <c:v>40637</c:v>
                </c:pt>
                <c:pt idx="1455">
                  <c:v>40636</c:v>
                </c:pt>
                <c:pt idx="1456">
                  <c:v>40635</c:v>
                </c:pt>
                <c:pt idx="1457">
                  <c:v>40634</c:v>
                </c:pt>
                <c:pt idx="1458">
                  <c:v>40633</c:v>
                </c:pt>
                <c:pt idx="1459">
                  <c:v>40632</c:v>
                </c:pt>
                <c:pt idx="1460">
                  <c:v>40631</c:v>
                </c:pt>
                <c:pt idx="1461">
                  <c:v>40630</c:v>
                </c:pt>
                <c:pt idx="1462">
                  <c:v>40629</c:v>
                </c:pt>
                <c:pt idx="1463">
                  <c:v>40628</c:v>
                </c:pt>
                <c:pt idx="1464">
                  <c:v>40627</c:v>
                </c:pt>
                <c:pt idx="1465">
                  <c:v>40626</c:v>
                </c:pt>
                <c:pt idx="1466">
                  <c:v>40625</c:v>
                </c:pt>
                <c:pt idx="1467">
                  <c:v>40624</c:v>
                </c:pt>
                <c:pt idx="1468">
                  <c:v>40623</c:v>
                </c:pt>
                <c:pt idx="1469">
                  <c:v>40622</c:v>
                </c:pt>
                <c:pt idx="1470">
                  <c:v>40621</c:v>
                </c:pt>
                <c:pt idx="1471">
                  <c:v>40620</c:v>
                </c:pt>
                <c:pt idx="1472">
                  <c:v>40619</c:v>
                </c:pt>
                <c:pt idx="1473">
                  <c:v>40618</c:v>
                </c:pt>
                <c:pt idx="1474">
                  <c:v>40617</c:v>
                </c:pt>
                <c:pt idx="1475">
                  <c:v>40616</c:v>
                </c:pt>
                <c:pt idx="1476">
                  <c:v>40615</c:v>
                </c:pt>
                <c:pt idx="1477">
                  <c:v>40614</c:v>
                </c:pt>
                <c:pt idx="1478">
                  <c:v>40613</c:v>
                </c:pt>
                <c:pt idx="1479">
                  <c:v>40612</c:v>
                </c:pt>
                <c:pt idx="1480">
                  <c:v>40611</c:v>
                </c:pt>
                <c:pt idx="1481">
                  <c:v>40610</c:v>
                </c:pt>
                <c:pt idx="1482">
                  <c:v>40609</c:v>
                </c:pt>
                <c:pt idx="1483">
                  <c:v>40608</c:v>
                </c:pt>
                <c:pt idx="1484">
                  <c:v>40607</c:v>
                </c:pt>
                <c:pt idx="1485">
                  <c:v>40606</c:v>
                </c:pt>
                <c:pt idx="1486">
                  <c:v>40605</c:v>
                </c:pt>
                <c:pt idx="1487">
                  <c:v>40604</c:v>
                </c:pt>
                <c:pt idx="1488">
                  <c:v>40603</c:v>
                </c:pt>
                <c:pt idx="1489">
                  <c:v>40602</c:v>
                </c:pt>
                <c:pt idx="1490">
                  <c:v>40601</c:v>
                </c:pt>
                <c:pt idx="1491">
                  <c:v>40600</c:v>
                </c:pt>
                <c:pt idx="1492">
                  <c:v>40599</c:v>
                </c:pt>
                <c:pt idx="1493">
                  <c:v>40598</c:v>
                </c:pt>
                <c:pt idx="1494">
                  <c:v>40597</c:v>
                </c:pt>
                <c:pt idx="1495">
                  <c:v>40596</c:v>
                </c:pt>
                <c:pt idx="1496">
                  <c:v>40595</c:v>
                </c:pt>
                <c:pt idx="1497">
                  <c:v>40594</c:v>
                </c:pt>
                <c:pt idx="1498">
                  <c:v>40593</c:v>
                </c:pt>
                <c:pt idx="1499">
                  <c:v>40592</c:v>
                </c:pt>
                <c:pt idx="1500">
                  <c:v>40591</c:v>
                </c:pt>
                <c:pt idx="1501">
                  <c:v>40590</c:v>
                </c:pt>
                <c:pt idx="1502">
                  <c:v>40589</c:v>
                </c:pt>
                <c:pt idx="1503">
                  <c:v>40588</c:v>
                </c:pt>
                <c:pt idx="1504">
                  <c:v>40587</c:v>
                </c:pt>
                <c:pt idx="1505">
                  <c:v>40585</c:v>
                </c:pt>
                <c:pt idx="1506">
                  <c:v>40584</c:v>
                </c:pt>
                <c:pt idx="1507">
                  <c:v>40583</c:v>
                </c:pt>
                <c:pt idx="1508">
                  <c:v>40582</c:v>
                </c:pt>
                <c:pt idx="1509">
                  <c:v>40581</c:v>
                </c:pt>
                <c:pt idx="1510">
                  <c:v>40579</c:v>
                </c:pt>
                <c:pt idx="1511">
                  <c:v>40578</c:v>
                </c:pt>
                <c:pt idx="1512">
                  <c:v>40577</c:v>
                </c:pt>
                <c:pt idx="1513">
                  <c:v>40576</c:v>
                </c:pt>
                <c:pt idx="1514">
                  <c:v>40575</c:v>
                </c:pt>
                <c:pt idx="1515">
                  <c:v>40574</c:v>
                </c:pt>
                <c:pt idx="1516">
                  <c:v>40573</c:v>
                </c:pt>
                <c:pt idx="1517">
                  <c:v>40572</c:v>
                </c:pt>
                <c:pt idx="1518">
                  <c:v>40571</c:v>
                </c:pt>
                <c:pt idx="1519">
                  <c:v>40570</c:v>
                </c:pt>
                <c:pt idx="1520">
                  <c:v>40569</c:v>
                </c:pt>
                <c:pt idx="1521">
                  <c:v>40568</c:v>
                </c:pt>
                <c:pt idx="1522">
                  <c:v>40567</c:v>
                </c:pt>
                <c:pt idx="1523">
                  <c:v>40565</c:v>
                </c:pt>
                <c:pt idx="1524">
                  <c:v>40564</c:v>
                </c:pt>
                <c:pt idx="1525">
                  <c:v>40563</c:v>
                </c:pt>
                <c:pt idx="1526">
                  <c:v>40562</c:v>
                </c:pt>
                <c:pt idx="1527">
                  <c:v>40561</c:v>
                </c:pt>
                <c:pt idx="1528">
                  <c:v>40560</c:v>
                </c:pt>
                <c:pt idx="1529">
                  <c:v>40559</c:v>
                </c:pt>
                <c:pt idx="1530">
                  <c:v>40558</c:v>
                </c:pt>
                <c:pt idx="1531">
                  <c:v>40557</c:v>
                </c:pt>
                <c:pt idx="1532">
                  <c:v>40556</c:v>
                </c:pt>
                <c:pt idx="1533">
                  <c:v>40555</c:v>
                </c:pt>
                <c:pt idx="1534">
                  <c:v>40554</c:v>
                </c:pt>
                <c:pt idx="1535">
                  <c:v>40553</c:v>
                </c:pt>
                <c:pt idx="1536">
                  <c:v>40552</c:v>
                </c:pt>
                <c:pt idx="1537">
                  <c:v>40551</c:v>
                </c:pt>
                <c:pt idx="1538">
                  <c:v>40550</c:v>
                </c:pt>
                <c:pt idx="1539">
                  <c:v>40549</c:v>
                </c:pt>
                <c:pt idx="1540">
                  <c:v>40548</c:v>
                </c:pt>
                <c:pt idx="1541">
                  <c:v>40547</c:v>
                </c:pt>
                <c:pt idx="1542">
                  <c:v>40546</c:v>
                </c:pt>
                <c:pt idx="1543">
                  <c:v>40545</c:v>
                </c:pt>
                <c:pt idx="1544">
                  <c:v>40544</c:v>
                </c:pt>
                <c:pt idx="1545">
                  <c:v>40543</c:v>
                </c:pt>
                <c:pt idx="1546">
                  <c:v>40542</c:v>
                </c:pt>
                <c:pt idx="1547">
                  <c:v>40541</c:v>
                </c:pt>
                <c:pt idx="1548">
                  <c:v>40540</c:v>
                </c:pt>
                <c:pt idx="1549">
                  <c:v>40539</c:v>
                </c:pt>
                <c:pt idx="1550">
                  <c:v>40538</c:v>
                </c:pt>
                <c:pt idx="1551">
                  <c:v>40537</c:v>
                </c:pt>
                <c:pt idx="1552">
                  <c:v>40536</c:v>
                </c:pt>
                <c:pt idx="1553">
                  <c:v>40535</c:v>
                </c:pt>
                <c:pt idx="1554">
                  <c:v>40534</c:v>
                </c:pt>
                <c:pt idx="1555">
                  <c:v>40533</c:v>
                </c:pt>
                <c:pt idx="1556">
                  <c:v>40532</c:v>
                </c:pt>
                <c:pt idx="1557">
                  <c:v>40531</c:v>
                </c:pt>
                <c:pt idx="1558">
                  <c:v>40530</c:v>
                </c:pt>
                <c:pt idx="1559">
                  <c:v>40529</c:v>
                </c:pt>
                <c:pt idx="1560">
                  <c:v>40528</c:v>
                </c:pt>
                <c:pt idx="1561">
                  <c:v>40527</c:v>
                </c:pt>
                <c:pt idx="1562">
                  <c:v>40526</c:v>
                </c:pt>
                <c:pt idx="1563">
                  <c:v>40525</c:v>
                </c:pt>
                <c:pt idx="1564">
                  <c:v>40523</c:v>
                </c:pt>
                <c:pt idx="1565">
                  <c:v>40522</c:v>
                </c:pt>
                <c:pt idx="1566">
                  <c:v>40521</c:v>
                </c:pt>
                <c:pt idx="1567">
                  <c:v>40520</c:v>
                </c:pt>
                <c:pt idx="1568">
                  <c:v>40519</c:v>
                </c:pt>
                <c:pt idx="1569">
                  <c:v>40518</c:v>
                </c:pt>
                <c:pt idx="1570">
                  <c:v>40516</c:v>
                </c:pt>
                <c:pt idx="1571">
                  <c:v>40515</c:v>
                </c:pt>
                <c:pt idx="1572">
                  <c:v>40514</c:v>
                </c:pt>
                <c:pt idx="1573">
                  <c:v>40513</c:v>
                </c:pt>
                <c:pt idx="1574">
                  <c:v>40512</c:v>
                </c:pt>
                <c:pt idx="1575">
                  <c:v>40511</c:v>
                </c:pt>
                <c:pt idx="1576">
                  <c:v>40510</c:v>
                </c:pt>
                <c:pt idx="1577">
                  <c:v>40508</c:v>
                </c:pt>
                <c:pt idx="1578">
                  <c:v>40507</c:v>
                </c:pt>
                <c:pt idx="1579">
                  <c:v>40506</c:v>
                </c:pt>
                <c:pt idx="1580">
                  <c:v>40505</c:v>
                </c:pt>
                <c:pt idx="1581">
                  <c:v>40504</c:v>
                </c:pt>
                <c:pt idx="1582">
                  <c:v>40502</c:v>
                </c:pt>
                <c:pt idx="1583">
                  <c:v>40501</c:v>
                </c:pt>
                <c:pt idx="1584">
                  <c:v>40500</c:v>
                </c:pt>
                <c:pt idx="1585">
                  <c:v>40499</c:v>
                </c:pt>
                <c:pt idx="1586">
                  <c:v>40498</c:v>
                </c:pt>
                <c:pt idx="1587">
                  <c:v>40497</c:v>
                </c:pt>
                <c:pt idx="1588">
                  <c:v>40495</c:v>
                </c:pt>
                <c:pt idx="1589">
                  <c:v>40494</c:v>
                </c:pt>
                <c:pt idx="1590">
                  <c:v>40493</c:v>
                </c:pt>
                <c:pt idx="1591">
                  <c:v>40492</c:v>
                </c:pt>
                <c:pt idx="1592">
                  <c:v>40491</c:v>
                </c:pt>
                <c:pt idx="1593">
                  <c:v>40490</c:v>
                </c:pt>
                <c:pt idx="1594">
                  <c:v>40489</c:v>
                </c:pt>
                <c:pt idx="1595">
                  <c:v>40488</c:v>
                </c:pt>
                <c:pt idx="1596">
                  <c:v>40487</c:v>
                </c:pt>
                <c:pt idx="1597">
                  <c:v>40486</c:v>
                </c:pt>
                <c:pt idx="1598">
                  <c:v>40485</c:v>
                </c:pt>
                <c:pt idx="1599">
                  <c:v>40484</c:v>
                </c:pt>
                <c:pt idx="1600">
                  <c:v>40483</c:v>
                </c:pt>
                <c:pt idx="1601">
                  <c:v>40482</c:v>
                </c:pt>
                <c:pt idx="1602">
                  <c:v>40481</c:v>
                </c:pt>
                <c:pt idx="1603">
                  <c:v>40480</c:v>
                </c:pt>
                <c:pt idx="1604">
                  <c:v>40479</c:v>
                </c:pt>
                <c:pt idx="1605">
                  <c:v>40478</c:v>
                </c:pt>
                <c:pt idx="1606">
                  <c:v>40477</c:v>
                </c:pt>
                <c:pt idx="1607">
                  <c:v>40476</c:v>
                </c:pt>
                <c:pt idx="1608">
                  <c:v>40475</c:v>
                </c:pt>
                <c:pt idx="1609">
                  <c:v>40473</c:v>
                </c:pt>
                <c:pt idx="1610">
                  <c:v>40472</c:v>
                </c:pt>
                <c:pt idx="1611">
                  <c:v>40471</c:v>
                </c:pt>
                <c:pt idx="1612">
                  <c:v>40470</c:v>
                </c:pt>
                <c:pt idx="1613">
                  <c:v>40469</c:v>
                </c:pt>
                <c:pt idx="1614">
                  <c:v>40467</c:v>
                </c:pt>
                <c:pt idx="1615">
                  <c:v>40466</c:v>
                </c:pt>
                <c:pt idx="1616">
                  <c:v>40465</c:v>
                </c:pt>
                <c:pt idx="1617">
                  <c:v>40464</c:v>
                </c:pt>
                <c:pt idx="1618">
                  <c:v>40463</c:v>
                </c:pt>
                <c:pt idx="1619">
                  <c:v>40462</c:v>
                </c:pt>
                <c:pt idx="1620">
                  <c:v>40461</c:v>
                </c:pt>
                <c:pt idx="1621">
                  <c:v>40460</c:v>
                </c:pt>
                <c:pt idx="1622">
                  <c:v>40459</c:v>
                </c:pt>
                <c:pt idx="1623">
                  <c:v>40458</c:v>
                </c:pt>
                <c:pt idx="1624">
                  <c:v>40457</c:v>
                </c:pt>
                <c:pt idx="1625">
                  <c:v>40456</c:v>
                </c:pt>
                <c:pt idx="1626">
                  <c:v>40455</c:v>
                </c:pt>
                <c:pt idx="1627">
                  <c:v>40454</c:v>
                </c:pt>
                <c:pt idx="1628">
                  <c:v>40452</c:v>
                </c:pt>
                <c:pt idx="1629">
                  <c:v>40451</c:v>
                </c:pt>
                <c:pt idx="1630">
                  <c:v>40450</c:v>
                </c:pt>
                <c:pt idx="1631">
                  <c:v>40449</c:v>
                </c:pt>
                <c:pt idx="1632">
                  <c:v>40448</c:v>
                </c:pt>
                <c:pt idx="1633">
                  <c:v>40447</c:v>
                </c:pt>
                <c:pt idx="1634">
                  <c:v>40446</c:v>
                </c:pt>
                <c:pt idx="1635">
                  <c:v>40445</c:v>
                </c:pt>
                <c:pt idx="1636">
                  <c:v>40444</c:v>
                </c:pt>
                <c:pt idx="1637">
                  <c:v>40443</c:v>
                </c:pt>
                <c:pt idx="1638">
                  <c:v>40442</c:v>
                </c:pt>
                <c:pt idx="1639">
                  <c:v>40441</c:v>
                </c:pt>
                <c:pt idx="1640">
                  <c:v>40438</c:v>
                </c:pt>
                <c:pt idx="1641">
                  <c:v>40437</c:v>
                </c:pt>
                <c:pt idx="1642">
                  <c:v>40436</c:v>
                </c:pt>
                <c:pt idx="1643">
                  <c:v>40435</c:v>
                </c:pt>
                <c:pt idx="1644">
                  <c:v>40434</c:v>
                </c:pt>
                <c:pt idx="1645">
                  <c:v>40431</c:v>
                </c:pt>
                <c:pt idx="1646">
                  <c:v>40430</c:v>
                </c:pt>
                <c:pt idx="1647">
                  <c:v>40429</c:v>
                </c:pt>
                <c:pt idx="1648">
                  <c:v>40428</c:v>
                </c:pt>
                <c:pt idx="1649">
                  <c:v>40427</c:v>
                </c:pt>
                <c:pt idx="1650">
                  <c:v>40424</c:v>
                </c:pt>
                <c:pt idx="1651">
                  <c:v>40423</c:v>
                </c:pt>
                <c:pt idx="1652">
                  <c:v>40422</c:v>
                </c:pt>
                <c:pt idx="1653">
                  <c:v>40421</c:v>
                </c:pt>
                <c:pt idx="1654">
                  <c:v>40420</c:v>
                </c:pt>
                <c:pt idx="1655">
                  <c:v>40417</c:v>
                </c:pt>
                <c:pt idx="1656">
                  <c:v>40416</c:v>
                </c:pt>
                <c:pt idx="1657">
                  <c:v>40415</c:v>
                </c:pt>
                <c:pt idx="1658">
                  <c:v>40414</c:v>
                </c:pt>
                <c:pt idx="1659">
                  <c:v>40413</c:v>
                </c:pt>
                <c:pt idx="1660">
                  <c:v>40410</c:v>
                </c:pt>
                <c:pt idx="1661">
                  <c:v>40409</c:v>
                </c:pt>
                <c:pt idx="1662">
                  <c:v>40408</c:v>
                </c:pt>
                <c:pt idx="1663">
                  <c:v>40407</c:v>
                </c:pt>
                <c:pt idx="1664">
                  <c:v>40406</c:v>
                </c:pt>
                <c:pt idx="1665">
                  <c:v>40403</c:v>
                </c:pt>
                <c:pt idx="1666">
                  <c:v>40402</c:v>
                </c:pt>
                <c:pt idx="1667">
                  <c:v>40401</c:v>
                </c:pt>
                <c:pt idx="1668">
                  <c:v>40400</c:v>
                </c:pt>
                <c:pt idx="1669">
                  <c:v>40399</c:v>
                </c:pt>
                <c:pt idx="1670">
                  <c:v>40396</c:v>
                </c:pt>
                <c:pt idx="1671">
                  <c:v>40395</c:v>
                </c:pt>
                <c:pt idx="1672">
                  <c:v>40394</c:v>
                </c:pt>
                <c:pt idx="1673">
                  <c:v>40393</c:v>
                </c:pt>
                <c:pt idx="1674">
                  <c:v>40392</c:v>
                </c:pt>
                <c:pt idx="1675">
                  <c:v>40389</c:v>
                </c:pt>
                <c:pt idx="1676">
                  <c:v>40388</c:v>
                </c:pt>
                <c:pt idx="1677">
                  <c:v>40387</c:v>
                </c:pt>
                <c:pt idx="1678">
                  <c:v>40386</c:v>
                </c:pt>
                <c:pt idx="1679">
                  <c:v>40385</c:v>
                </c:pt>
                <c:pt idx="1680">
                  <c:v>40382</c:v>
                </c:pt>
                <c:pt idx="1681">
                  <c:v>40381</c:v>
                </c:pt>
                <c:pt idx="1682">
                  <c:v>40380</c:v>
                </c:pt>
                <c:pt idx="1683">
                  <c:v>40379</c:v>
                </c:pt>
                <c:pt idx="1684">
                  <c:v>40378</c:v>
                </c:pt>
                <c:pt idx="1685">
                  <c:v>40375</c:v>
                </c:pt>
                <c:pt idx="1686">
                  <c:v>40374</c:v>
                </c:pt>
                <c:pt idx="1687">
                  <c:v>40373</c:v>
                </c:pt>
                <c:pt idx="1688">
                  <c:v>40372</c:v>
                </c:pt>
                <c:pt idx="1689">
                  <c:v>40371</c:v>
                </c:pt>
                <c:pt idx="1690">
                  <c:v>40368</c:v>
                </c:pt>
                <c:pt idx="1691">
                  <c:v>40367</c:v>
                </c:pt>
                <c:pt idx="1692">
                  <c:v>40366</c:v>
                </c:pt>
                <c:pt idx="1693">
                  <c:v>40365</c:v>
                </c:pt>
                <c:pt idx="1694">
                  <c:v>40364</c:v>
                </c:pt>
                <c:pt idx="1695">
                  <c:v>40363</c:v>
                </c:pt>
                <c:pt idx="1696">
                  <c:v>40362</c:v>
                </c:pt>
                <c:pt idx="1697">
                  <c:v>40361</c:v>
                </c:pt>
                <c:pt idx="1698">
                  <c:v>40360</c:v>
                </c:pt>
                <c:pt idx="1699">
                  <c:v>40359</c:v>
                </c:pt>
                <c:pt idx="1700">
                  <c:v>40358</c:v>
                </c:pt>
                <c:pt idx="1701">
                  <c:v>40357</c:v>
                </c:pt>
                <c:pt idx="1702">
                  <c:v>40356</c:v>
                </c:pt>
                <c:pt idx="1703">
                  <c:v>40355</c:v>
                </c:pt>
                <c:pt idx="1704">
                  <c:v>40354</c:v>
                </c:pt>
                <c:pt idx="1705">
                  <c:v>40353</c:v>
                </c:pt>
                <c:pt idx="1706">
                  <c:v>40352</c:v>
                </c:pt>
                <c:pt idx="1707">
                  <c:v>40351</c:v>
                </c:pt>
                <c:pt idx="1708">
                  <c:v>40350</c:v>
                </c:pt>
                <c:pt idx="1709">
                  <c:v>40349</c:v>
                </c:pt>
                <c:pt idx="1710">
                  <c:v>40348</c:v>
                </c:pt>
                <c:pt idx="1711">
                  <c:v>40347</c:v>
                </c:pt>
                <c:pt idx="1712">
                  <c:v>40346</c:v>
                </c:pt>
                <c:pt idx="1713">
                  <c:v>40345</c:v>
                </c:pt>
                <c:pt idx="1714">
                  <c:v>40344</c:v>
                </c:pt>
                <c:pt idx="1715">
                  <c:v>40343</c:v>
                </c:pt>
                <c:pt idx="1716">
                  <c:v>40342</c:v>
                </c:pt>
                <c:pt idx="1717">
                  <c:v>40341</c:v>
                </c:pt>
                <c:pt idx="1718">
                  <c:v>40340</c:v>
                </c:pt>
                <c:pt idx="1719">
                  <c:v>40339</c:v>
                </c:pt>
                <c:pt idx="1720">
                  <c:v>40338</c:v>
                </c:pt>
                <c:pt idx="1721">
                  <c:v>40337</c:v>
                </c:pt>
                <c:pt idx="1722">
                  <c:v>40336</c:v>
                </c:pt>
                <c:pt idx="1723">
                  <c:v>40335</c:v>
                </c:pt>
                <c:pt idx="1724">
                  <c:v>40334</c:v>
                </c:pt>
                <c:pt idx="1725">
                  <c:v>40333</c:v>
                </c:pt>
                <c:pt idx="1726">
                  <c:v>40332</c:v>
                </c:pt>
                <c:pt idx="1727">
                  <c:v>40331</c:v>
                </c:pt>
                <c:pt idx="1728">
                  <c:v>40330</c:v>
                </c:pt>
                <c:pt idx="1729">
                  <c:v>40329</c:v>
                </c:pt>
                <c:pt idx="1730">
                  <c:v>40328</c:v>
                </c:pt>
                <c:pt idx="1731">
                  <c:v>40327</c:v>
                </c:pt>
                <c:pt idx="1732">
                  <c:v>40326</c:v>
                </c:pt>
                <c:pt idx="1733">
                  <c:v>40325</c:v>
                </c:pt>
                <c:pt idx="1734">
                  <c:v>40324</c:v>
                </c:pt>
                <c:pt idx="1735">
                  <c:v>40323</c:v>
                </c:pt>
                <c:pt idx="1736">
                  <c:v>40322</c:v>
                </c:pt>
                <c:pt idx="1737">
                  <c:v>40321</c:v>
                </c:pt>
                <c:pt idx="1738">
                  <c:v>40320</c:v>
                </c:pt>
                <c:pt idx="1739">
                  <c:v>40319</c:v>
                </c:pt>
                <c:pt idx="1740">
                  <c:v>40318</c:v>
                </c:pt>
                <c:pt idx="1741">
                  <c:v>40317</c:v>
                </c:pt>
                <c:pt idx="1742">
                  <c:v>40316</c:v>
                </c:pt>
                <c:pt idx="1743">
                  <c:v>40315</c:v>
                </c:pt>
                <c:pt idx="1744">
                  <c:v>40314</c:v>
                </c:pt>
                <c:pt idx="1745">
                  <c:v>40313</c:v>
                </c:pt>
                <c:pt idx="1746">
                  <c:v>40312</c:v>
                </c:pt>
                <c:pt idx="1747">
                  <c:v>40311</c:v>
                </c:pt>
                <c:pt idx="1748">
                  <c:v>40310</c:v>
                </c:pt>
                <c:pt idx="1749">
                  <c:v>40309</c:v>
                </c:pt>
                <c:pt idx="1750">
                  <c:v>40308</c:v>
                </c:pt>
                <c:pt idx="1751">
                  <c:v>40305</c:v>
                </c:pt>
                <c:pt idx="1752">
                  <c:v>40304</c:v>
                </c:pt>
                <c:pt idx="1753">
                  <c:v>40303</c:v>
                </c:pt>
                <c:pt idx="1754">
                  <c:v>40302</c:v>
                </c:pt>
                <c:pt idx="1755">
                  <c:v>40301</c:v>
                </c:pt>
                <c:pt idx="1756">
                  <c:v>40300</c:v>
                </c:pt>
                <c:pt idx="1757">
                  <c:v>40299</c:v>
                </c:pt>
                <c:pt idx="1758">
                  <c:v>40298</c:v>
                </c:pt>
                <c:pt idx="1759">
                  <c:v>40297</c:v>
                </c:pt>
                <c:pt idx="1760">
                  <c:v>40296</c:v>
                </c:pt>
                <c:pt idx="1761">
                  <c:v>40295</c:v>
                </c:pt>
                <c:pt idx="1762">
                  <c:v>40294</c:v>
                </c:pt>
                <c:pt idx="1763">
                  <c:v>40293</c:v>
                </c:pt>
                <c:pt idx="1764">
                  <c:v>40292</c:v>
                </c:pt>
                <c:pt idx="1765">
                  <c:v>40291</c:v>
                </c:pt>
                <c:pt idx="1766">
                  <c:v>40290</c:v>
                </c:pt>
                <c:pt idx="1767">
                  <c:v>40289</c:v>
                </c:pt>
                <c:pt idx="1768">
                  <c:v>40288</c:v>
                </c:pt>
                <c:pt idx="1769">
                  <c:v>40287</c:v>
                </c:pt>
                <c:pt idx="1770">
                  <c:v>40286</c:v>
                </c:pt>
                <c:pt idx="1771">
                  <c:v>40284</c:v>
                </c:pt>
                <c:pt idx="1772">
                  <c:v>40283</c:v>
                </c:pt>
                <c:pt idx="1773">
                  <c:v>40282</c:v>
                </c:pt>
                <c:pt idx="1774">
                  <c:v>40281</c:v>
                </c:pt>
                <c:pt idx="1775">
                  <c:v>40280</c:v>
                </c:pt>
                <c:pt idx="1776">
                  <c:v>40279</c:v>
                </c:pt>
                <c:pt idx="1777">
                  <c:v>40278</c:v>
                </c:pt>
                <c:pt idx="1778">
                  <c:v>40277</c:v>
                </c:pt>
                <c:pt idx="1779">
                  <c:v>40276</c:v>
                </c:pt>
                <c:pt idx="1780">
                  <c:v>40275</c:v>
                </c:pt>
                <c:pt idx="1781">
                  <c:v>40274</c:v>
                </c:pt>
                <c:pt idx="1782">
                  <c:v>40273</c:v>
                </c:pt>
                <c:pt idx="1783">
                  <c:v>40272</c:v>
                </c:pt>
                <c:pt idx="1784">
                  <c:v>40271</c:v>
                </c:pt>
                <c:pt idx="1785">
                  <c:v>40270</c:v>
                </c:pt>
                <c:pt idx="1786">
                  <c:v>40269</c:v>
                </c:pt>
                <c:pt idx="1787">
                  <c:v>40268</c:v>
                </c:pt>
                <c:pt idx="1788">
                  <c:v>40267</c:v>
                </c:pt>
                <c:pt idx="1789">
                  <c:v>40266</c:v>
                </c:pt>
                <c:pt idx="1790">
                  <c:v>40265</c:v>
                </c:pt>
                <c:pt idx="1791">
                  <c:v>40264</c:v>
                </c:pt>
                <c:pt idx="1792">
                  <c:v>40263</c:v>
                </c:pt>
                <c:pt idx="1793">
                  <c:v>40262</c:v>
                </c:pt>
                <c:pt idx="1794">
                  <c:v>40261</c:v>
                </c:pt>
                <c:pt idx="1795">
                  <c:v>40260</c:v>
                </c:pt>
                <c:pt idx="1796">
                  <c:v>40259</c:v>
                </c:pt>
                <c:pt idx="1797">
                  <c:v>40258</c:v>
                </c:pt>
                <c:pt idx="1798">
                  <c:v>40257</c:v>
                </c:pt>
                <c:pt idx="1799">
                  <c:v>40256</c:v>
                </c:pt>
                <c:pt idx="1800">
                  <c:v>40255</c:v>
                </c:pt>
                <c:pt idx="1801">
                  <c:v>40254</c:v>
                </c:pt>
                <c:pt idx="1802">
                  <c:v>40253</c:v>
                </c:pt>
                <c:pt idx="1803">
                  <c:v>40252</c:v>
                </c:pt>
                <c:pt idx="1804">
                  <c:v>40251</c:v>
                </c:pt>
                <c:pt idx="1805">
                  <c:v>40250</c:v>
                </c:pt>
                <c:pt idx="1806">
                  <c:v>40249</c:v>
                </c:pt>
                <c:pt idx="1807">
                  <c:v>40248</c:v>
                </c:pt>
                <c:pt idx="1808">
                  <c:v>40247</c:v>
                </c:pt>
                <c:pt idx="1809">
                  <c:v>40246</c:v>
                </c:pt>
                <c:pt idx="1810">
                  <c:v>40245</c:v>
                </c:pt>
                <c:pt idx="1811">
                  <c:v>40244</c:v>
                </c:pt>
                <c:pt idx="1812">
                  <c:v>40243</c:v>
                </c:pt>
                <c:pt idx="1813">
                  <c:v>40242</c:v>
                </c:pt>
                <c:pt idx="1814">
                  <c:v>40241</c:v>
                </c:pt>
                <c:pt idx="1815">
                  <c:v>40240</c:v>
                </c:pt>
                <c:pt idx="1816">
                  <c:v>40239</c:v>
                </c:pt>
                <c:pt idx="1817">
                  <c:v>40238</c:v>
                </c:pt>
                <c:pt idx="1818">
                  <c:v>40237</c:v>
                </c:pt>
                <c:pt idx="1819">
                  <c:v>40236</c:v>
                </c:pt>
                <c:pt idx="1820">
                  <c:v>40235</c:v>
                </c:pt>
                <c:pt idx="1821">
                  <c:v>40234</c:v>
                </c:pt>
                <c:pt idx="1822">
                  <c:v>40233</c:v>
                </c:pt>
                <c:pt idx="1823">
                  <c:v>40232</c:v>
                </c:pt>
                <c:pt idx="1824">
                  <c:v>40231</c:v>
                </c:pt>
                <c:pt idx="1825">
                  <c:v>40230</c:v>
                </c:pt>
                <c:pt idx="1826">
                  <c:v>40228</c:v>
                </c:pt>
                <c:pt idx="1827">
                  <c:v>40227</c:v>
                </c:pt>
                <c:pt idx="1828">
                  <c:v>40226</c:v>
                </c:pt>
                <c:pt idx="1829">
                  <c:v>40225</c:v>
                </c:pt>
                <c:pt idx="1830">
                  <c:v>40224</c:v>
                </c:pt>
                <c:pt idx="1831">
                  <c:v>40223</c:v>
                </c:pt>
                <c:pt idx="1832">
                  <c:v>40222</c:v>
                </c:pt>
                <c:pt idx="1833">
                  <c:v>40221</c:v>
                </c:pt>
                <c:pt idx="1834">
                  <c:v>40220</c:v>
                </c:pt>
                <c:pt idx="1835">
                  <c:v>40219</c:v>
                </c:pt>
                <c:pt idx="1836">
                  <c:v>40218</c:v>
                </c:pt>
                <c:pt idx="1837">
                  <c:v>40217</c:v>
                </c:pt>
                <c:pt idx="1838">
                  <c:v>40216</c:v>
                </c:pt>
                <c:pt idx="1839">
                  <c:v>40215</c:v>
                </c:pt>
                <c:pt idx="1840">
                  <c:v>40214</c:v>
                </c:pt>
                <c:pt idx="1841">
                  <c:v>40213</c:v>
                </c:pt>
                <c:pt idx="1842">
                  <c:v>40212</c:v>
                </c:pt>
                <c:pt idx="1843">
                  <c:v>40211</c:v>
                </c:pt>
                <c:pt idx="1844">
                  <c:v>40210</c:v>
                </c:pt>
                <c:pt idx="1845">
                  <c:v>40209</c:v>
                </c:pt>
                <c:pt idx="1846">
                  <c:v>40208</c:v>
                </c:pt>
                <c:pt idx="1847">
                  <c:v>40207</c:v>
                </c:pt>
                <c:pt idx="1848">
                  <c:v>40206</c:v>
                </c:pt>
                <c:pt idx="1849">
                  <c:v>40205</c:v>
                </c:pt>
                <c:pt idx="1850">
                  <c:v>40204</c:v>
                </c:pt>
                <c:pt idx="1851">
                  <c:v>40203</c:v>
                </c:pt>
                <c:pt idx="1852">
                  <c:v>40202</c:v>
                </c:pt>
                <c:pt idx="1853">
                  <c:v>40201</c:v>
                </c:pt>
                <c:pt idx="1854">
                  <c:v>40200</c:v>
                </c:pt>
                <c:pt idx="1855">
                  <c:v>40199</c:v>
                </c:pt>
                <c:pt idx="1856">
                  <c:v>40198</c:v>
                </c:pt>
                <c:pt idx="1857">
                  <c:v>40197</c:v>
                </c:pt>
                <c:pt idx="1858">
                  <c:v>40196</c:v>
                </c:pt>
                <c:pt idx="1859">
                  <c:v>40195</c:v>
                </c:pt>
                <c:pt idx="1860">
                  <c:v>40193</c:v>
                </c:pt>
                <c:pt idx="1861">
                  <c:v>40192</c:v>
                </c:pt>
                <c:pt idx="1862">
                  <c:v>40191</c:v>
                </c:pt>
                <c:pt idx="1863">
                  <c:v>40190</c:v>
                </c:pt>
                <c:pt idx="1864">
                  <c:v>40189</c:v>
                </c:pt>
                <c:pt idx="1865">
                  <c:v>40188</c:v>
                </c:pt>
                <c:pt idx="1866">
                  <c:v>40187</c:v>
                </c:pt>
                <c:pt idx="1867">
                  <c:v>40186</c:v>
                </c:pt>
                <c:pt idx="1868">
                  <c:v>40185</c:v>
                </c:pt>
                <c:pt idx="1869">
                  <c:v>40184</c:v>
                </c:pt>
                <c:pt idx="1870">
                  <c:v>40183</c:v>
                </c:pt>
                <c:pt idx="1871">
                  <c:v>40182</c:v>
                </c:pt>
                <c:pt idx="1872">
                  <c:v>40181</c:v>
                </c:pt>
                <c:pt idx="1873">
                  <c:v>40179</c:v>
                </c:pt>
                <c:pt idx="1874">
                  <c:v>40178</c:v>
                </c:pt>
                <c:pt idx="1875">
                  <c:v>40177</c:v>
                </c:pt>
                <c:pt idx="1876">
                  <c:v>40176</c:v>
                </c:pt>
                <c:pt idx="1877">
                  <c:v>40175</c:v>
                </c:pt>
                <c:pt idx="1878">
                  <c:v>40174</c:v>
                </c:pt>
                <c:pt idx="1879">
                  <c:v>40172</c:v>
                </c:pt>
                <c:pt idx="1880">
                  <c:v>40171</c:v>
                </c:pt>
                <c:pt idx="1881">
                  <c:v>40170</c:v>
                </c:pt>
                <c:pt idx="1882">
                  <c:v>40169</c:v>
                </c:pt>
                <c:pt idx="1883">
                  <c:v>40168</c:v>
                </c:pt>
                <c:pt idx="1884">
                  <c:v>40167</c:v>
                </c:pt>
                <c:pt idx="1885">
                  <c:v>40166</c:v>
                </c:pt>
                <c:pt idx="1886">
                  <c:v>40165</c:v>
                </c:pt>
                <c:pt idx="1887">
                  <c:v>40164</c:v>
                </c:pt>
                <c:pt idx="1888">
                  <c:v>40163</c:v>
                </c:pt>
                <c:pt idx="1889">
                  <c:v>40162</c:v>
                </c:pt>
                <c:pt idx="1890">
                  <c:v>40161</c:v>
                </c:pt>
                <c:pt idx="1891">
                  <c:v>40160</c:v>
                </c:pt>
                <c:pt idx="1892">
                  <c:v>40159</c:v>
                </c:pt>
                <c:pt idx="1893">
                  <c:v>40158</c:v>
                </c:pt>
                <c:pt idx="1894">
                  <c:v>40157</c:v>
                </c:pt>
                <c:pt idx="1895">
                  <c:v>40156</c:v>
                </c:pt>
                <c:pt idx="1896">
                  <c:v>40155</c:v>
                </c:pt>
                <c:pt idx="1897">
                  <c:v>40154</c:v>
                </c:pt>
                <c:pt idx="1898">
                  <c:v>40153</c:v>
                </c:pt>
                <c:pt idx="1899">
                  <c:v>40152</c:v>
                </c:pt>
                <c:pt idx="1900">
                  <c:v>40151</c:v>
                </c:pt>
                <c:pt idx="1901">
                  <c:v>40150</c:v>
                </c:pt>
                <c:pt idx="1902">
                  <c:v>40149</c:v>
                </c:pt>
                <c:pt idx="1903">
                  <c:v>40148</c:v>
                </c:pt>
                <c:pt idx="1904">
                  <c:v>40147</c:v>
                </c:pt>
                <c:pt idx="1905">
                  <c:v>40146</c:v>
                </c:pt>
                <c:pt idx="1906">
                  <c:v>40145</c:v>
                </c:pt>
                <c:pt idx="1907">
                  <c:v>40144</c:v>
                </c:pt>
                <c:pt idx="1908">
                  <c:v>40143</c:v>
                </c:pt>
                <c:pt idx="1909">
                  <c:v>40142</c:v>
                </c:pt>
                <c:pt idx="1910">
                  <c:v>40141</c:v>
                </c:pt>
                <c:pt idx="1911">
                  <c:v>40140</c:v>
                </c:pt>
                <c:pt idx="1912">
                  <c:v>40139</c:v>
                </c:pt>
                <c:pt idx="1913">
                  <c:v>40138</c:v>
                </c:pt>
                <c:pt idx="1914">
                  <c:v>40137</c:v>
                </c:pt>
                <c:pt idx="1915">
                  <c:v>40136</c:v>
                </c:pt>
                <c:pt idx="1916">
                  <c:v>40135</c:v>
                </c:pt>
                <c:pt idx="1917">
                  <c:v>40134</c:v>
                </c:pt>
                <c:pt idx="1918">
                  <c:v>40133</c:v>
                </c:pt>
                <c:pt idx="1919">
                  <c:v>40132</c:v>
                </c:pt>
                <c:pt idx="1920">
                  <c:v>40131</c:v>
                </c:pt>
                <c:pt idx="1921">
                  <c:v>40130</c:v>
                </c:pt>
                <c:pt idx="1922">
                  <c:v>40129</c:v>
                </c:pt>
                <c:pt idx="1923">
                  <c:v>40128</c:v>
                </c:pt>
                <c:pt idx="1924">
                  <c:v>40127</c:v>
                </c:pt>
                <c:pt idx="1925">
                  <c:v>40126</c:v>
                </c:pt>
                <c:pt idx="1926">
                  <c:v>40125</c:v>
                </c:pt>
                <c:pt idx="1927">
                  <c:v>40124</c:v>
                </c:pt>
                <c:pt idx="1928">
                  <c:v>40123</c:v>
                </c:pt>
                <c:pt idx="1929">
                  <c:v>40122</c:v>
                </c:pt>
                <c:pt idx="1930">
                  <c:v>40121</c:v>
                </c:pt>
                <c:pt idx="1931">
                  <c:v>40120</c:v>
                </c:pt>
                <c:pt idx="1932">
                  <c:v>40119</c:v>
                </c:pt>
                <c:pt idx="1933">
                  <c:v>40118</c:v>
                </c:pt>
                <c:pt idx="1934">
                  <c:v>40116</c:v>
                </c:pt>
                <c:pt idx="1935">
                  <c:v>40115</c:v>
                </c:pt>
                <c:pt idx="1936">
                  <c:v>40114</c:v>
                </c:pt>
                <c:pt idx="1937">
                  <c:v>40113</c:v>
                </c:pt>
                <c:pt idx="1938">
                  <c:v>40112</c:v>
                </c:pt>
                <c:pt idx="1939">
                  <c:v>40111</c:v>
                </c:pt>
                <c:pt idx="1940">
                  <c:v>40109</c:v>
                </c:pt>
                <c:pt idx="1941">
                  <c:v>40108</c:v>
                </c:pt>
                <c:pt idx="1942">
                  <c:v>40107</c:v>
                </c:pt>
                <c:pt idx="1943">
                  <c:v>40106</c:v>
                </c:pt>
                <c:pt idx="1944">
                  <c:v>40105</c:v>
                </c:pt>
                <c:pt idx="1945">
                  <c:v>40104</c:v>
                </c:pt>
                <c:pt idx="1946">
                  <c:v>40102</c:v>
                </c:pt>
                <c:pt idx="1947">
                  <c:v>40101</c:v>
                </c:pt>
                <c:pt idx="1948">
                  <c:v>40100</c:v>
                </c:pt>
                <c:pt idx="1949">
                  <c:v>40099</c:v>
                </c:pt>
                <c:pt idx="1950">
                  <c:v>40098</c:v>
                </c:pt>
                <c:pt idx="1951">
                  <c:v>40097</c:v>
                </c:pt>
                <c:pt idx="1952">
                  <c:v>40095</c:v>
                </c:pt>
                <c:pt idx="1953">
                  <c:v>40094</c:v>
                </c:pt>
                <c:pt idx="1954">
                  <c:v>40093</c:v>
                </c:pt>
                <c:pt idx="1955">
                  <c:v>40092</c:v>
                </c:pt>
                <c:pt idx="1956">
                  <c:v>40091</c:v>
                </c:pt>
                <c:pt idx="1957">
                  <c:v>40090</c:v>
                </c:pt>
                <c:pt idx="1958">
                  <c:v>40088</c:v>
                </c:pt>
                <c:pt idx="1959">
                  <c:v>40087</c:v>
                </c:pt>
                <c:pt idx="1960">
                  <c:v>40086</c:v>
                </c:pt>
                <c:pt idx="1961">
                  <c:v>40085</c:v>
                </c:pt>
                <c:pt idx="1962">
                  <c:v>40084</c:v>
                </c:pt>
                <c:pt idx="1963">
                  <c:v>40083</c:v>
                </c:pt>
                <c:pt idx="1964">
                  <c:v>40081</c:v>
                </c:pt>
                <c:pt idx="1965">
                  <c:v>40080</c:v>
                </c:pt>
                <c:pt idx="1966">
                  <c:v>40079</c:v>
                </c:pt>
                <c:pt idx="1967">
                  <c:v>40078</c:v>
                </c:pt>
                <c:pt idx="1968">
                  <c:v>40077</c:v>
                </c:pt>
                <c:pt idx="1969">
                  <c:v>40074</c:v>
                </c:pt>
                <c:pt idx="1970">
                  <c:v>40073</c:v>
                </c:pt>
                <c:pt idx="1971">
                  <c:v>40072</c:v>
                </c:pt>
                <c:pt idx="1972">
                  <c:v>40071</c:v>
                </c:pt>
                <c:pt idx="1973">
                  <c:v>40070</c:v>
                </c:pt>
                <c:pt idx="1974">
                  <c:v>40069</c:v>
                </c:pt>
                <c:pt idx="1975">
                  <c:v>40067</c:v>
                </c:pt>
                <c:pt idx="1976">
                  <c:v>40066</c:v>
                </c:pt>
                <c:pt idx="1977">
                  <c:v>40065</c:v>
                </c:pt>
                <c:pt idx="1978">
                  <c:v>40064</c:v>
                </c:pt>
                <c:pt idx="1979">
                  <c:v>40063</c:v>
                </c:pt>
                <c:pt idx="1980">
                  <c:v>40060</c:v>
                </c:pt>
                <c:pt idx="1981">
                  <c:v>40059</c:v>
                </c:pt>
                <c:pt idx="1982">
                  <c:v>40058</c:v>
                </c:pt>
                <c:pt idx="1983">
                  <c:v>40057</c:v>
                </c:pt>
                <c:pt idx="1984">
                  <c:v>40056</c:v>
                </c:pt>
                <c:pt idx="1985">
                  <c:v>40053</c:v>
                </c:pt>
                <c:pt idx="1986">
                  <c:v>40052</c:v>
                </c:pt>
                <c:pt idx="1987">
                  <c:v>40051</c:v>
                </c:pt>
                <c:pt idx="1988">
                  <c:v>40050</c:v>
                </c:pt>
                <c:pt idx="1989">
                  <c:v>40049</c:v>
                </c:pt>
                <c:pt idx="1990">
                  <c:v>40046</c:v>
                </c:pt>
                <c:pt idx="1991">
                  <c:v>40045</c:v>
                </c:pt>
                <c:pt idx="1992">
                  <c:v>40044</c:v>
                </c:pt>
                <c:pt idx="1993">
                  <c:v>40043</c:v>
                </c:pt>
                <c:pt idx="1994">
                  <c:v>40042</c:v>
                </c:pt>
                <c:pt idx="1995">
                  <c:v>40039</c:v>
                </c:pt>
                <c:pt idx="1996">
                  <c:v>40038</c:v>
                </c:pt>
                <c:pt idx="1997">
                  <c:v>40037</c:v>
                </c:pt>
                <c:pt idx="1998">
                  <c:v>40036</c:v>
                </c:pt>
                <c:pt idx="1999">
                  <c:v>40035</c:v>
                </c:pt>
                <c:pt idx="2000">
                  <c:v>40032</c:v>
                </c:pt>
                <c:pt idx="2001">
                  <c:v>40031</c:v>
                </c:pt>
                <c:pt idx="2002">
                  <c:v>40030</c:v>
                </c:pt>
                <c:pt idx="2003">
                  <c:v>40029</c:v>
                </c:pt>
                <c:pt idx="2004">
                  <c:v>40028</c:v>
                </c:pt>
                <c:pt idx="2005">
                  <c:v>40025</c:v>
                </c:pt>
                <c:pt idx="2006">
                  <c:v>40024</c:v>
                </c:pt>
                <c:pt idx="2007">
                  <c:v>40023</c:v>
                </c:pt>
                <c:pt idx="2008">
                  <c:v>40022</c:v>
                </c:pt>
                <c:pt idx="2009">
                  <c:v>40021</c:v>
                </c:pt>
                <c:pt idx="2010">
                  <c:v>40018</c:v>
                </c:pt>
                <c:pt idx="2011">
                  <c:v>40017</c:v>
                </c:pt>
                <c:pt idx="2012">
                  <c:v>40016</c:v>
                </c:pt>
                <c:pt idx="2013">
                  <c:v>40015</c:v>
                </c:pt>
                <c:pt idx="2014">
                  <c:v>40014</c:v>
                </c:pt>
                <c:pt idx="2015">
                  <c:v>40011</c:v>
                </c:pt>
                <c:pt idx="2016">
                  <c:v>40010</c:v>
                </c:pt>
                <c:pt idx="2017">
                  <c:v>40009</c:v>
                </c:pt>
                <c:pt idx="2018">
                  <c:v>40008</c:v>
                </c:pt>
                <c:pt idx="2019">
                  <c:v>40007</c:v>
                </c:pt>
                <c:pt idx="2020">
                  <c:v>40004</c:v>
                </c:pt>
                <c:pt idx="2021">
                  <c:v>40003</c:v>
                </c:pt>
                <c:pt idx="2022">
                  <c:v>40002</c:v>
                </c:pt>
                <c:pt idx="2023">
                  <c:v>40001</c:v>
                </c:pt>
                <c:pt idx="2024">
                  <c:v>40000</c:v>
                </c:pt>
                <c:pt idx="2025">
                  <c:v>39997</c:v>
                </c:pt>
                <c:pt idx="2026">
                  <c:v>39996</c:v>
                </c:pt>
                <c:pt idx="2027">
                  <c:v>39995</c:v>
                </c:pt>
                <c:pt idx="2028">
                  <c:v>39994</c:v>
                </c:pt>
                <c:pt idx="2029">
                  <c:v>39993</c:v>
                </c:pt>
                <c:pt idx="2030">
                  <c:v>39990</c:v>
                </c:pt>
                <c:pt idx="2031">
                  <c:v>39989</c:v>
                </c:pt>
                <c:pt idx="2032">
                  <c:v>39988</c:v>
                </c:pt>
                <c:pt idx="2033">
                  <c:v>39987</c:v>
                </c:pt>
                <c:pt idx="2034">
                  <c:v>39986</c:v>
                </c:pt>
                <c:pt idx="2035">
                  <c:v>39983</c:v>
                </c:pt>
                <c:pt idx="2036">
                  <c:v>39982</c:v>
                </c:pt>
                <c:pt idx="2037">
                  <c:v>39981</c:v>
                </c:pt>
                <c:pt idx="2038">
                  <c:v>39980</c:v>
                </c:pt>
                <c:pt idx="2039">
                  <c:v>39979</c:v>
                </c:pt>
                <c:pt idx="2040">
                  <c:v>39976</c:v>
                </c:pt>
                <c:pt idx="2041">
                  <c:v>39975</c:v>
                </c:pt>
                <c:pt idx="2042">
                  <c:v>39974</c:v>
                </c:pt>
                <c:pt idx="2043">
                  <c:v>39973</c:v>
                </c:pt>
                <c:pt idx="2044">
                  <c:v>39972</c:v>
                </c:pt>
                <c:pt idx="2045">
                  <c:v>39969</c:v>
                </c:pt>
                <c:pt idx="2046">
                  <c:v>39968</c:v>
                </c:pt>
                <c:pt idx="2047">
                  <c:v>39967</c:v>
                </c:pt>
                <c:pt idx="2048">
                  <c:v>39966</c:v>
                </c:pt>
                <c:pt idx="2049">
                  <c:v>39965</c:v>
                </c:pt>
                <c:pt idx="2050">
                  <c:v>39962</c:v>
                </c:pt>
                <c:pt idx="2051">
                  <c:v>39961</c:v>
                </c:pt>
                <c:pt idx="2052">
                  <c:v>39960</c:v>
                </c:pt>
                <c:pt idx="2053">
                  <c:v>39959</c:v>
                </c:pt>
                <c:pt idx="2054">
                  <c:v>39958</c:v>
                </c:pt>
                <c:pt idx="2055">
                  <c:v>39955</c:v>
                </c:pt>
                <c:pt idx="2056">
                  <c:v>39954</c:v>
                </c:pt>
                <c:pt idx="2057">
                  <c:v>39953</c:v>
                </c:pt>
                <c:pt idx="2058">
                  <c:v>39952</c:v>
                </c:pt>
                <c:pt idx="2059">
                  <c:v>39951</c:v>
                </c:pt>
                <c:pt idx="2060">
                  <c:v>39948</c:v>
                </c:pt>
                <c:pt idx="2061">
                  <c:v>39947</c:v>
                </c:pt>
                <c:pt idx="2062">
                  <c:v>39946</c:v>
                </c:pt>
                <c:pt idx="2063">
                  <c:v>39945</c:v>
                </c:pt>
                <c:pt idx="2064">
                  <c:v>39944</c:v>
                </c:pt>
                <c:pt idx="2065">
                  <c:v>39941</c:v>
                </c:pt>
                <c:pt idx="2066">
                  <c:v>39940</c:v>
                </c:pt>
                <c:pt idx="2067">
                  <c:v>39939</c:v>
                </c:pt>
                <c:pt idx="2068">
                  <c:v>39938</c:v>
                </c:pt>
                <c:pt idx="2069">
                  <c:v>39937</c:v>
                </c:pt>
                <c:pt idx="2070">
                  <c:v>39934</c:v>
                </c:pt>
                <c:pt idx="2071">
                  <c:v>39933</c:v>
                </c:pt>
                <c:pt idx="2072">
                  <c:v>39932</c:v>
                </c:pt>
                <c:pt idx="2073">
                  <c:v>39931</c:v>
                </c:pt>
                <c:pt idx="2074">
                  <c:v>39930</c:v>
                </c:pt>
                <c:pt idx="2075">
                  <c:v>39927</c:v>
                </c:pt>
                <c:pt idx="2076">
                  <c:v>39926</c:v>
                </c:pt>
                <c:pt idx="2077">
                  <c:v>39925</c:v>
                </c:pt>
                <c:pt idx="2078">
                  <c:v>39924</c:v>
                </c:pt>
                <c:pt idx="2079">
                  <c:v>39923</c:v>
                </c:pt>
                <c:pt idx="2080">
                  <c:v>39920</c:v>
                </c:pt>
                <c:pt idx="2081">
                  <c:v>39919</c:v>
                </c:pt>
                <c:pt idx="2082">
                  <c:v>39918</c:v>
                </c:pt>
                <c:pt idx="2083">
                  <c:v>39917</c:v>
                </c:pt>
                <c:pt idx="2084">
                  <c:v>39916</c:v>
                </c:pt>
                <c:pt idx="2085">
                  <c:v>39913</c:v>
                </c:pt>
                <c:pt idx="2086">
                  <c:v>39912</c:v>
                </c:pt>
                <c:pt idx="2087">
                  <c:v>39911</c:v>
                </c:pt>
                <c:pt idx="2088">
                  <c:v>39910</c:v>
                </c:pt>
                <c:pt idx="2089">
                  <c:v>39909</c:v>
                </c:pt>
                <c:pt idx="2090">
                  <c:v>39906</c:v>
                </c:pt>
                <c:pt idx="2091">
                  <c:v>39905</c:v>
                </c:pt>
                <c:pt idx="2092">
                  <c:v>39904</c:v>
                </c:pt>
                <c:pt idx="2093">
                  <c:v>39903</c:v>
                </c:pt>
                <c:pt idx="2094">
                  <c:v>39902</c:v>
                </c:pt>
                <c:pt idx="2095">
                  <c:v>39899</c:v>
                </c:pt>
                <c:pt idx="2096">
                  <c:v>39898</c:v>
                </c:pt>
                <c:pt idx="2097">
                  <c:v>39897</c:v>
                </c:pt>
                <c:pt idx="2098">
                  <c:v>39896</c:v>
                </c:pt>
                <c:pt idx="2099">
                  <c:v>39895</c:v>
                </c:pt>
                <c:pt idx="2100">
                  <c:v>39892</c:v>
                </c:pt>
                <c:pt idx="2101">
                  <c:v>39891</c:v>
                </c:pt>
                <c:pt idx="2102">
                  <c:v>39890</c:v>
                </c:pt>
                <c:pt idx="2103">
                  <c:v>39889</c:v>
                </c:pt>
                <c:pt idx="2104">
                  <c:v>39888</c:v>
                </c:pt>
                <c:pt idx="2105">
                  <c:v>39885</c:v>
                </c:pt>
                <c:pt idx="2106">
                  <c:v>39884</c:v>
                </c:pt>
                <c:pt idx="2107">
                  <c:v>39883</c:v>
                </c:pt>
                <c:pt idx="2108">
                  <c:v>39882</c:v>
                </c:pt>
                <c:pt idx="2109">
                  <c:v>39881</c:v>
                </c:pt>
                <c:pt idx="2110">
                  <c:v>39878</c:v>
                </c:pt>
                <c:pt idx="2111">
                  <c:v>39877</c:v>
                </c:pt>
                <c:pt idx="2112">
                  <c:v>39876</c:v>
                </c:pt>
                <c:pt idx="2113">
                  <c:v>39875</c:v>
                </c:pt>
                <c:pt idx="2114">
                  <c:v>39874</c:v>
                </c:pt>
                <c:pt idx="2115">
                  <c:v>39871</c:v>
                </c:pt>
                <c:pt idx="2116">
                  <c:v>39870</c:v>
                </c:pt>
                <c:pt idx="2117">
                  <c:v>39869</c:v>
                </c:pt>
                <c:pt idx="2118">
                  <c:v>39868</c:v>
                </c:pt>
                <c:pt idx="2119">
                  <c:v>39867</c:v>
                </c:pt>
                <c:pt idx="2120">
                  <c:v>39864</c:v>
                </c:pt>
                <c:pt idx="2121">
                  <c:v>39863</c:v>
                </c:pt>
                <c:pt idx="2122">
                  <c:v>39862</c:v>
                </c:pt>
                <c:pt idx="2123">
                  <c:v>39861</c:v>
                </c:pt>
                <c:pt idx="2124">
                  <c:v>39860</c:v>
                </c:pt>
                <c:pt idx="2125">
                  <c:v>39857</c:v>
                </c:pt>
                <c:pt idx="2126">
                  <c:v>39856</c:v>
                </c:pt>
                <c:pt idx="2127">
                  <c:v>39855</c:v>
                </c:pt>
                <c:pt idx="2128">
                  <c:v>39854</c:v>
                </c:pt>
                <c:pt idx="2129">
                  <c:v>39853</c:v>
                </c:pt>
                <c:pt idx="2130">
                  <c:v>39850</c:v>
                </c:pt>
                <c:pt idx="2131">
                  <c:v>39849</c:v>
                </c:pt>
                <c:pt idx="2132">
                  <c:v>39848</c:v>
                </c:pt>
                <c:pt idx="2133">
                  <c:v>39847</c:v>
                </c:pt>
                <c:pt idx="2134">
                  <c:v>39846</c:v>
                </c:pt>
                <c:pt idx="2135">
                  <c:v>39843</c:v>
                </c:pt>
                <c:pt idx="2136">
                  <c:v>39842</c:v>
                </c:pt>
                <c:pt idx="2137">
                  <c:v>39841</c:v>
                </c:pt>
                <c:pt idx="2138">
                  <c:v>39840</c:v>
                </c:pt>
                <c:pt idx="2139">
                  <c:v>39839</c:v>
                </c:pt>
                <c:pt idx="2140">
                  <c:v>39836</c:v>
                </c:pt>
                <c:pt idx="2141">
                  <c:v>39835</c:v>
                </c:pt>
                <c:pt idx="2142">
                  <c:v>39834</c:v>
                </c:pt>
                <c:pt idx="2143">
                  <c:v>39833</c:v>
                </c:pt>
                <c:pt idx="2144">
                  <c:v>39832</c:v>
                </c:pt>
                <c:pt idx="2145">
                  <c:v>39829</c:v>
                </c:pt>
                <c:pt idx="2146">
                  <c:v>39828</c:v>
                </c:pt>
                <c:pt idx="2147">
                  <c:v>39827</c:v>
                </c:pt>
                <c:pt idx="2148">
                  <c:v>39826</c:v>
                </c:pt>
                <c:pt idx="2149">
                  <c:v>39825</c:v>
                </c:pt>
                <c:pt idx="2150">
                  <c:v>39822</c:v>
                </c:pt>
                <c:pt idx="2151">
                  <c:v>39821</c:v>
                </c:pt>
                <c:pt idx="2152">
                  <c:v>39820</c:v>
                </c:pt>
                <c:pt idx="2153">
                  <c:v>39819</c:v>
                </c:pt>
                <c:pt idx="2154">
                  <c:v>39818</c:v>
                </c:pt>
                <c:pt idx="2155">
                  <c:v>39815</c:v>
                </c:pt>
                <c:pt idx="2156">
                  <c:v>39814</c:v>
                </c:pt>
                <c:pt idx="2157">
                  <c:v>39813</c:v>
                </c:pt>
                <c:pt idx="2158">
                  <c:v>39812</c:v>
                </c:pt>
                <c:pt idx="2159">
                  <c:v>39811</c:v>
                </c:pt>
                <c:pt idx="2160">
                  <c:v>39808</c:v>
                </c:pt>
                <c:pt idx="2161">
                  <c:v>39807</c:v>
                </c:pt>
                <c:pt idx="2162">
                  <c:v>39806</c:v>
                </c:pt>
                <c:pt idx="2163">
                  <c:v>39805</c:v>
                </c:pt>
                <c:pt idx="2164">
                  <c:v>39804</c:v>
                </c:pt>
                <c:pt idx="2165">
                  <c:v>39801</c:v>
                </c:pt>
                <c:pt idx="2166">
                  <c:v>39800</c:v>
                </c:pt>
                <c:pt idx="2167">
                  <c:v>39799</c:v>
                </c:pt>
                <c:pt idx="2168">
                  <c:v>39798</c:v>
                </c:pt>
                <c:pt idx="2169">
                  <c:v>39797</c:v>
                </c:pt>
                <c:pt idx="2170">
                  <c:v>39794</c:v>
                </c:pt>
                <c:pt idx="2171">
                  <c:v>39793</c:v>
                </c:pt>
                <c:pt idx="2172">
                  <c:v>39792</c:v>
                </c:pt>
                <c:pt idx="2173">
                  <c:v>39791</c:v>
                </c:pt>
                <c:pt idx="2174">
                  <c:v>39790</c:v>
                </c:pt>
                <c:pt idx="2175">
                  <c:v>39787</c:v>
                </c:pt>
                <c:pt idx="2176">
                  <c:v>39786</c:v>
                </c:pt>
                <c:pt idx="2177">
                  <c:v>39785</c:v>
                </c:pt>
                <c:pt idx="2178">
                  <c:v>39784</c:v>
                </c:pt>
                <c:pt idx="2179">
                  <c:v>39783</c:v>
                </c:pt>
                <c:pt idx="2180">
                  <c:v>39780</c:v>
                </c:pt>
                <c:pt idx="2181">
                  <c:v>39779</c:v>
                </c:pt>
                <c:pt idx="2182">
                  <c:v>39778</c:v>
                </c:pt>
                <c:pt idx="2183">
                  <c:v>39777</c:v>
                </c:pt>
                <c:pt idx="2184">
                  <c:v>39776</c:v>
                </c:pt>
                <c:pt idx="2185">
                  <c:v>39773</c:v>
                </c:pt>
                <c:pt idx="2186">
                  <c:v>39772</c:v>
                </c:pt>
                <c:pt idx="2187">
                  <c:v>39771</c:v>
                </c:pt>
                <c:pt idx="2188">
                  <c:v>39770</c:v>
                </c:pt>
                <c:pt idx="2189">
                  <c:v>39769</c:v>
                </c:pt>
                <c:pt idx="2190">
                  <c:v>39766</c:v>
                </c:pt>
                <c:pt idx="2191">
                  <c:v>39765</c:v>
                </c:pt>
                <c:pt idx="2192">
                  <c:v>39764</c:v>
                </c:pt>
                <c:pt idx="2193">
                  <c:v>39763</c:v>
                </c:pt>
                <c:pt idx="2194">
                  <c:v>39762</c:v>
                </c:pt>
                <c:pt idx="2195">
                  <c:v>39759</c:v>
                </c:pt>
                <c:pt idx="2196">
                  <c:v>39758</c:v>
                </c:pt>
                <c:pt idx="2197">
                  <c:v>39757</c:v>
                </c:pt>
                <c:pt idx="2198">
                  <c:v>39756</c:v>
                </c:pt>
                <c:pt idx="2199">
                  <c:v>39755</c:v>
                </c:pt>
                <c:pt idx="2200">
                  <c:v>39752</c:v>
                </c:pt>
                <c:pt idx="2201">
                  <c:v>39751</c:v>
                </c:pt>
                <c:pt idx="2202">
                  <c:v>39750</c:v>
                </c:pt>
                <c:pt idx="2203">
                  <c:v>39749</c:v>
                </c:pt>
                <c:pt idx="2204">
                  <c:v>39748</c:v>
                </c:pt>
                <c:pt idx="2205">
                  <c:v>39745</c:v>
                </c:pt>
                <c:pt idx="2206">
                  <c:v>39744</c:v>
                </c:pt>
                <c:pt idx="2207">
                  <c:v>39743</c:v>
                </c:pt>
                <c:pt idx="2208">
                  <c:v>39742</c:v>
                </c:pt>
                <c:pt idx="2209">
                  <c:v>39741</c:v>
                </c:pt>
                <c:pt idx="2210">
                  <c:v>39738</c:v>
                </c:pt>
                <c:pt idx="2211">
                  <c:v>39737</c:v>
                </c:pt>
                <c:pt idx="2212">
                  <c:v>39736</c:v>
                </c:pt>
                <c:pt idx="2213">
                  <c:v>39735</c:v>
                </c:pt>
                <c:pt idx="2214">
                  <c:v>39734</c:v>
                </c:pt>
                <c:pt idx="2215">
                  <c:v>39731</c:v>
                </c:pt>
                <c:pt idx="2216">
                  <c:v>39730</c:v>
                </c:pt>
                <c:pt idx="2217">
                  <c:v>39729</c:v>
                </c:pt>
                <c:pt idx="2218">
                  <c:v>39728</c:v>
                </c:pt>
                <c:pt idx="2219">
                  <c:v>39727</c:v>
                </c:pt>
                <c:pt idx="2220">
                  <c:v>39724</c:v>
                </c:pt>
                <c:pt idx="2221">
                  <c:v>39723</c:v>
                </c:pt>
                <c:pt idx="2222">
                  <c:v>39722</c:v>
                </c:pt>
                <c:pt idx="2223">
                  <c:v>39721</c:v>
                </c:pt>
                <c:pt idx="2224">
                  <c:v>39720</c:v>
                </c:pt>
                <c:pt idx="2225">
                  <c:v>39717</c:v>
                </c:pt>
                <c:pt idx="2226">
                  <c:v>39716</c:v>
                </c:pt>
                <c:pt idx="2227">
                  <c:v>39715</c:v>
                </c:pt>
                <c:pt idx="2228">
                  <c:v>39714</c:v>
                </c:pt>
                <c:pt idx="2229">
                  <c:v>39713</c:v>
                </c:pt>
                <c:pt idx="2230">
                  <c:v>39710</c:v>
                </c:pt>
                <c:pt idx="2231">
                  <c:v>39709</c:v>
                </c:pt>
                <c:pt idx="2232">
                  <c:v>39708</c:v>
                </c:pt>
                <c:pt idx="2233">
                  <c:v>39707</c:v>
                </c:pt>
                <c:pt idx="2234">
                  <c:v>39706</c:v>
                </c:pt>
                <c:pt idx="2235">
                  <c:v>39703</c:v>
                </c:pt>
                <c:pt idx="2236">
                  <c:v>39702</c:v>
                </c:pt>
                <c:pt idx="2237">
                  <c:v>39701</c:v>
                </c:pt>
                <c:pt idx="2238">
                  <c:v>39700</c:v>
                </c:pt>
                <c:pt idx="2239">
                  <c:v>39699</c:v>
                </c:pt>
                <c:pt idx="2240">
                  <c:v>39696</c:v>
                </c:pt>
                <c:pt idx="2241">
                  <c:v>39695</c:v>
                </c:pt>
                <c:pt idx="2242">
                  <c:v>39694</c:v>
                </c:pt>
                <c:pt idx="2243">
                  <c:v>39693</c:v>
                </c:pt>
                <c:pt idx="2244">
                  <c:v>39692</c:v>
                </c:pt>
                <c:pt idx="2245">
                  <c:v>39689</c:v>
                </c:pt>
                <c:pt idx="2246">
                  <c:v>39688</c:v>
                </c:pt>
                <c:pt idx="2247">
                  <c:v>39687</c:v>
                </c:pt>
                <c:pt idx="2248">
                  <c:v>39686</c:v>
                </c:pt>
                <c:pt idx="2249">
                  <c:v>39685</c:v>
                </c:pt>
                <c:pt idx="2250">
                  <c:v>39682</c:v>
                </c:pt>
                <c:pt idx="2251">
                  <c:v>39681</c:v>
                </c:pt>
                <c:pt idx="2252">
                  <c:v>39680</c:v>
                </c:pt>
                <c:pt idx="2253">
                  <c:v>39679</c:v>
                </c:pt>
                <c:pt idx="2254">
                  <c:v>39678</c:v>
                </c:pt>
                <c:pt idx="2255">
                  <c:v>39675</c:v>
                </c:pt>
                <c:pt idx="2256">
                  <c:v>39674</c:v>
                </c:pt>
                <c:pt idx="2257">
                  <c:v>39673</c:v>
                </c:pt>
                <c:pt idx="2258">
                  <c:v>39672</c:v>
                </c:pt>
                <c:pt idx="2259">
                  <c:v>39671</c:v>
                </c:pt>
                <c:pt idx="2260">
                  <c:v>39668</c:v>
                </c:pt>
                <c:pt idx="2261">
                  <c:v>39667</c:v>
                </c:pt>
                <c:pt idx="2262">
                  <c:v>39666</c:v>
                </c:pt>
                <c:pt idx="2263">
                  <c:v>39665</c:v>
                </c:pt>
                <c:pt idx="2264">
                  <c:v>39664</c:v>
                </c:pt>
                <c:pt idx="2265">
                  <c:v>39661</c:v>
                </c:pt>
                <c:pt idx="2266">
                  <c:v>39660</c:v>
                </c:pt>
                <c:pt idx="2267">
                  <c:v>39659</c:v>
                </c:pt>
                <c:pt idx="2268">
                  <c:v>39658</c:v>
                </c:pt>
                <c:pt idx="2269">
                  <c:v>39657</c:v>
                </c:pt>
                <c:pt idx="2270">
                  <c:v>39654</c:v>
                </c:pt>
                <c:pt idx="2271">
                  <c:v>39653</c:v>
                </c:pt>
                <c:pt idx="2272">
                  <c:v>39652</c:v>
                </c:pt>
                <c:pt idx="2273">
                  <c:v>39651</c:v>
                </c:pt>
                <c:pt idx="2274">
                  <c:v>39650</c:v>
                </c:pt>
                <c:pt idx="2275">
                  <c:v>39647</c:v>
                </c:pt>
                <c:pt idx="2276">
                  <c:v>39646</c:v>
                </c:pt>
                <c:pt idx="2277">
                  <c:v>39645</c:v>
                </c:pt>
                <c:pt idx="2278">
                  <c:v>39644</c:v>
                </c:pt>
                <c:pt idx="2279">
                  <c:v>39643</c:v>
                </c:pt>
                <c:pt idx="2280">
                  <c:v>39640</c:v>
                </c:pt>
                <c:pt idx="2281">
                  <c:v>39639</c:v>
                </c:pt>
                <c:pt idx="2282">
                  <c:v>39638</c:v>
                </c:pt>
                <c:pt idx="2283">
                  <c:v>39637</c:v>
                </c:pt>
                <c:pt idx="2284">
                  <c:v>39636</c:v>
                </c:pt>
                <c:pt idx="2285">
                  <c:v>39633</c:v>
                </c:pt>
                <c:pt idx="2286">
                  <c:v>39632</c:v>
                </c:pt>
                <c:pt idx="2287">
                  <c:v>39631</c:v>
                </c:pt>
                <c:pt idx="2288">
                  <c:v>39630</c:v>
                </c:pt>
                <c:pt idx="2289">
                  <c:v>39629</c:v>
                </c:pt>
                <c:pt idx="2290">
                  <c:v>39626</c:v>
                </c:pt>
                <c:pt idx="2291">
                  <c:v>39625</c:v>
                </c:pt>
                <c:pt idx="2292">
                  <c:v>39624</c:v>
                </c:pt>
                <c:pt idx="2293">
                  <c:v>39623</c:v>
                </c:pt>
                <c:pt idx="2294">
                  <c:v>39622</c:v>
                </c:pt>
                <c:pt idx="2295">
                  <c:v>39619</c:v>
                </c:pt>
                <c:pt idx="2296">
                  <c:v>39618</c:v>
                </c:pt>
                <c:pt idx="2297">
                  <c:v>39617</c:v>
                </c:pt>
                <c:pt idx="2298">
                  <c:v>39616</c:v>
                </c:pt>
                <c:pt idx="2299">
                  <c:v>39615</c:v>
                </c:pt>
                <c:pt idx="2300">
                  <c:v>39612</c:v>
                </c:pt>
                <c:pt idx="2301">
                  <c:v>39611</c:v>
                </c:pt>
                <c:pt idx="2302">
                  <c:v>39610</c:v>
                </c:pt>
                <c:pt idx="2303">
                  <c:v>39609</c:v>
                </c:pt>
                <c:pt idx="2304">
                  <c:v>39608</c:v>
                </c:pt>
                <c:pt idx="2305">
                  <c:v>39605</c:v>
                </c:pt>
                <c:pt idx="2306">
                  <c:v>39604</c:v>
                </c:pt>
                <c:pt idx="2307">
                  <c:v>39603</c:v>
                </c:pt>
                <c:pt idx="2308">
                  <c:v>39602</c:v>
                </c:pt>
                <c:pt idx="2309">
                  <c:v>39601</c:v>
                </c:pt>
                <c:pt idx="2310">
                  <c:v>39598</c:v>
                </c:pt>
                <c:pt idx="2311">
                  <c:v>39597</c:v>
                </c:pt>
                <c:pt idx="2312">
                  <c:v>39596</c:v>
                </c:pt>
                <c:pt idx="2313">
                  <c:v>39595</c:v>
                </c:pt>
                <c:pt idx="2314">
                  <c:v>39594</c:v>
                </c:pt>
                <c:pt idx="2315">
                  <c:v>39591</c:v>
                </c:pt>
                <c:pt idx="2316">
                  <c:v>39590</c:v>
                </c:pt>
                <c:pt idx="2317">
                  <c:v>39589</c:v>
                </c:pt>
                <c:pt idx="2318">
                  <c:v>39588</c:v>
                </c:pt>
                <c:pt idx="2319">
                  <c:v>39587</c:v>
                </c:pt>
                <c:pt idx="2320">
                  <c:v>39584</c:v>
                </c:pt>
                <c:pt idx="2321">
                  <c:v>39583</c:v>
                </c:pt>
                <c:pt idx="2322">
                  <c:v>39582</c:v>
                </c:pt>
                <c:pt idx="2323">
                  <c:v>39581</c:v>
                </c:pt>
                <c:pt idx="2324">
                  <c:v>39580</c:v>
                </c:pt>
                <c:pt idx="2325">
                  <c:v>39577</c:v>
                </c:pt>
                <c:pt idx="2326">
                  <c:v>39576</c:v>
                </c:pt>
                <c:pt idx="2327">
                  <c:v>39575</c:v>
                </c:pt>
                <c:pt idx="2328">
                  <c:v>39574</c:v>
                </c:pt>
                <c:pt idx="2329">
                  <c:v>39573</c:v>
                </c:pt>
                <c:pt idx="2330">
                  <c:v>39570</c:v>
                </c:pt>
                <c:pt idx="2331">
                  <c:v>39569</c:v>
                </c:pt>
                <c:pt idx="2332">
                  <c:v>39568</c:v>
                </c:pt>
                <c:pt idx="2333">
                  <c:v>39567</c:v>
                </c:pt>
                <c:pt idx="2334">
                  <c:v>39566</c:v>
                </c:pt>
                <c:pt idx="2335">
                  <c:v>39563</c:v>
                </c:pt>
                <c:pt idx="2336">
                  <c:v>39562</c:v>
                </c:pt>
                <c:pt idx="2337">
                  <c:v>39561</c:v>
                </c:pt>
                <c:pt idx="2338">
                  <c:v>39560</c:v>
                </c:pt>
                <c:pt idx="2339">
                  <c:v>39559</c:v>
                </c:pt>
                <c:pt idx="2340">
                  <c:v>39556</c:v>
                </c:pt>
                <c:pt idx="2341">
                  <c:v>39555</c:v>
                </c:pt>
                <c:pt idx="2342">
                  <c:v>39554</c:v>
                </c:pt>
                <c:pt idx="2343">
                  <c:v>39553</c:v>
                </c:pt>
                <c:pt idx="2344">
                  <c:v>39552</c:v>
                </c:pt>
                <c:pt idx="2345">
                  <c:v>39549</c:v>
                </c:pt>
                <c:pt idx="2346">
                  <c:v>39548</c:v>
                </c:pt>
                <c:pt idx="2347">
                  <c:v>39547</c:v>
                </c:pt>
                <c:pt idx="2348">
                  <c:v>39546</c:v>
                </c:pt>
                <c:pt idx="2349">
                  <c:v>39545</c:v>
                </c:pt>
                <c:pt idx="2350">
                  <c:v>39542</c:v>
                </c:pt>
                <c:pt idx="2351">
                  <c:v>39541</c:v>
                </c:pt>
                <c:pt idx="2352">
                  <c:v>39540</c:v>
                </c:pt>
                <c:pt idx="2353">
                  <c:v>39539</c:v>
                </c:pt>
                <c:pt idx="2354">
                  <c:v>39538</c:v>
                </c:pt>
                <c:pt idx="2355">
                  <c:v>39535</c:v>
                </c:pt>
                <c:pt idx="2356">
                  <c:v>39534</c:v>
                </c:pt>
                <c:pt idx="2357">
                  <c:v>39533</c:v>
                </c:pt>
                <c:pt idx="2358">
                  <c:v>39532</c:v>
                </c:pt>
                <c:pt idx="2359">
                  <c:v>39531</c:v>
                </c:pt>
                <c:pt idx="2360">
                  <c:v>39528</c:v>
                </c:pt>
                <c:pt idx="2361">
                  <c:v>39527</c:v>
                </c:pt>
                <c:pt idx="2362">
                  <c:v>39526</c:v>
                </c:pt>
                <c:pt idx="2363">
                  <c:v>39525</c:v>
                </c:pt>
                <c:pt idx="2364">
                  <c:v>39524</c:v>
                </c:pt>
                <c:pt idx="2365">
                  <c:v>39521</c:v>
                </c:pt>
                <c:pt idx="2366">
                  <c:v>39520</c:v>
                </c:pt>
                <c:pt idx="2367">
                  <c:v>39519</c:v>
                </c:pt>
                <c:pt idx="2368">
                  <c:v>39518</c:v>
                </c:pt>
                <c:pt idx="2369">
                  <c:v>39517</c:v>
                </c:pt>
                <c:pt idx="2370">
                  <c:v>39514</c:v>
                </c:pt>
                <c:pt idx="2371">
                  <c:v>39513</c:v>
                </c:pt>
                <c:pt idx="2372">
                  <c:v>39512</c:v>
                </c:pt>
                <c:pt idx="2373">
                  <c:v>39511</c:v>
                </c:pt>
                <c:pt idx="2374">
                  <c:v>39510</c:v>
                </c:pt>
                <c:pt idx="2375">
                  <c:v>39507</c:v>
                </c:pt>
                <c:pt idx="2376">
                  <c:v>39506</c:v>
                </c:pt>
                <c:pt idx="2377">
                  <c:v>39505</c:v>
                </c:pt>
                <c:pt idx="2378">
                  <c:v>39504</c:v>
                </c:pt>
                <c:pt idx="2379">
                  <c:v>39503</c:v>
                </c:pt>
                <c:pt idx="2380">
                  <c:v>39500</c:v>
                </c:pt>
                <c:pt idx="2381">
                  <c:v>39499</c:v>
                </c:pt>
                <c:pt idx="2382">
                  <c:v>39498</c:v>
                </c:pt>
                <c:pt idx="2383">
                  <c:v>39497</c:v>
                </c:pt>
                <c:pt idx="2384">
                  <c:v>39496</c:v>
                </c:pt>
                <c:pt idx="2385">
                  <c:v>39493</c:v>
                </c:pt>
                <c:pt idx="2386">
                  <c:v>39492</c:v>
                </c:pt>
                <c:pt idx="2387">
                  <c:v>39491</c:v>
                </c:pt>
                <c:pt idx="2388">
                  <c:v>39490</c:v>
                </c:pt>
                <c:pt idx="2389">
                  <c:v>39489</c:v>
                </c:pt>
                <c:pt idx="2390">
                  <c:v>39486</c:v>
                </c:pt>
                <c:pt idx="2391">
                  <c:v>39485</c:v>
                </c:pt>
                <c:pt idx="2392">
                  <c:v>39484</c:v>
                </c:pt>
                <c:pt idx="2393">
                  <c:v>39483</c:v>
                </c:pt>
                <c:pt idx="2394">
                  <c:v>39482</c:v>
                </c:pt>
                <c:pt idx="2395">
                  <c:v>39479</c:v>
                </c:pt>
                <c:pt idx="2396">
                  <c:v>39478</c:v>
                </c:pt>
                <c:pt idx="2397">
                  <c:v>39477</c:v>
                </c:pt>
                <c:pt idx="2398">
                  <c:v>39476</c:v>
                </c:pt>
                <c:pt idx="2399">
                  <c:v>39475</c:v>
                </c:pt>
                <c:pt idx="2400">
                  <c:v>39472</c:v>
                </c:pt>
                <c:pt idx="2401">
                  <c:v>39471</c:v>
                </c:pt>
                <c:pt idx="2402">
                  <c:v>39470</c:v>
                </c:pt>
                <c:pt idx="2403">
                  <c:v>39469</c:v>
                </c:pt>
                <c:pt idx="2404">
                  <c:v>39468</c:v>
                </c:pt>
                <c:pt idx="2405">
                  <c:v>39465</c:v>
                </c:pt>
                <c:pt idx="2406">
                  <c:v>39464</c:v>
                </c:pt>
                <c:pt idx="2407">
                  <c:v>39463</c:v>
                </c:pt>
                <c:pt idx="2408">
                  <c:v>39462</c:v>
                </c:pt>
                <c:pt idx="2409">
                  <c:v>39461</c:v>
                </c:pt>
                <c:pt idx="2410">
                  <c:v>39458</c:v>
                </c:pt>
                <c:pt idx="2411">
                  <c:v>39457</c:v>
                </c:pt>
                <c:pt idx="2412">
                  <c:v>39456</c:v>
                </c:pt>
                <c:pt idx="2413">
                  <c:v>39455</c:v>
                </c:pt>
                <c:pt idx="2414">
                  <c:v>39454</c:v>
                </c:pt>
                <c:pt idx="2415">
                  <c:v>39451</c:v>
                </c:pt>
                <c:pt idx="2416">
                  <c:v>39450</c:v>
                </c:pt>
                <c:pt idx="2417">
                  <c:v>39449</c:v>
                </c:pt>
                <c:pt idx="2418">
                  <c:v>39448</c:v>
                </c:pt>
                <c:pt idx="2419">
                  <c:v>39447</c:v>
                </c:pt>
                <c:pt idx="2420">
                  <c:v>39444</c:v>
                </c:pt>
                <c:pt idx="2421">
                  <c:v>39443</c:v>
                </c:pt>
                <c:pt idx="2422">
                  <c:v>39442</c:v>
                </c:pt>
                <c:pt idx="2423">
                  <c:v>39441</c:v>
                </c:pt>
                <c:pt idx="2424">
                  <c:v>39440</c:v>
                </c:pt>
                <c:pt idx="2425">
                  <c:v>39437</c:v>
                </c:pt>
                <c:pt idx="2426">
                  <c:v>39436</c:v>
                </c:pt>
                <c:pt idx="2427">
                  <c:v>39435</c:v>
                </c:pt>
                <c:pt idx="2428">
                  <c:v>39434</c:v>
                </c:pt>
                <c:pt idx="2429">
                  <c:v>39433</c:v>
                </c:pt>
                <c:pt idx="2430">
                  <c:v>39430</c:v>
                </c:pt>
                <c:pt idx="2431">
                  <c:v>39429</c:v>
                </c:pt>
                <c:pt idx="2432">
                  <c:v>39428</c:v>
                </c:pt>
                <c:pt idx="2433">
                  <c:v>39427</c:v>
                </c:pt>
                <c:pt idx="2434">
                  <c:v>39426</c:v>
                </c:pt>
                <c:pt idx="2435">
                  <c:v>39423</c:v>
                </c:pt>
                <c:pt idx="2436">
                  <c:v>39422</c:v>
                </c:pt>
                <c:pt idx="2437">
                  <c:v>39421</c:v>
                </c:pt>
                <c:pt idx="2438">
                  <c:v>39420</c:v>
                </c:pt>
                <c:pt idx="2439">
                  <c:v>39419</c:v>
                </c:pt>
                <c:pt idx="2440">
                  <c:v>39416</c:v>
                </c:pt>
                <c:pt idx="2441">
                  <c:v>39415</c:v>
                </c:pt>
                <c:pt idx="2442">
                  <c:v>39414</c:v>
                </c:pt>
                <c:pt idx="2443">
                  <c:v>39413</c:v>
                </c:pt>
                <c:pt idx="2444">
                  <c:v>39412</c:v>
                </c:pt>
                <c:pt idx="2445">
                  <c:v>39409</c:v>
                </c:pt>
                <c:pt idx="2446">
                  <c:v>39408</c:v>
                </c:pt>
                <c:pt idx="2447">
                  <c:v>39407</c:v>
                </c:pt>
                <c:pt idx="2448">
                  <c:v>39406</c:v>
                </c:pt>
                <c:pt idx="2449">
                  <c:v>39405</c:v>
                </c:pt>
                <c:pt idx="2450">
                  <c:v>39402</c:v>
                </c:pt>
                <c:pt idx="2451">
                  <c:v>39401</c:v>
                </c:pt>
                <c:pt idx="2452">
                  <c:v>39400</c:v>
                </c:pt>
                <c:pt idx="2453">
                  <c:v>39399</c:v>
                </c:pt>
                <c:pt idx="2454">
                  <c:v>39398</c:v>
                </c:pt>
                <c:pt idx="2455">
                  <c:v>39395</c:v>
                </c:pt>
                <c:pt idx="2456">
                  <c:v>39394</c:v>
                </c:pt>
                <c:pt idx="2457">
                  <c:v>39393</c:v>
                </c:pt>
                <c:pt idx="2458">
                  <c:v>39392</c:v>
                </c:pt>
                <c:pt idx="2459">
                  <c:v>39391</c:v>
                </c:pt>
                <c:pt idx="2460">
                  <c:v>39388</c:v>
                </c:pt>
                <c:pt idx="2461">
                  <c:v>39387</c:v>
                </c:pt>
                <c:pt idx="2462">
                  <c:v>39386</c:v>
                </c:pt>
                <c:pt idx="2463">
                  <c:v>39385</c:v>
                </c:pt>
                <c:pt idx="2464">
                  <c:v>39384</c:v>
                </c:pt>
                <c:pt idx="2465">
                  <c:v>39381</c:v>
                </c:pt>
                <c:pt idx="2466">
                  <c:v>39380</c:v>
                </c:pt>
                <c:pt idx="2467">
                  <c:v>39379</c:v>
                </c:pt>
                <c:pt idx="2468">
                  <c:v>39378</c:v>
                </c:pt>
                <c:pt idx="2469">
                  <c:v>39377</c:v>
                </c:pt>
                <c:pt idx="2470">
                  <c:v>39374</c:v>
                </c:pt>
                <c:pt idx="2471">
                  <c:v>39373</c:v>
                </c:pt>
                <c:pt idx="2472">
                  <c:v>39372</c:v>
                </c:pt>
                <c:pt idx="2473">
                  <c:v>39371</c:v>
                </c:pt>
                <c:pt idx="2474">
                  <c:v>39370</c:v>
                </c:pt>
                <c:pt idx="2475">
                  <c:v>39367</c:v>
                </c:pt>
                <c:pt idx="2476">
                  <c:v>39366</c:v>
                </c:pt>
                <c:pt idx="2477">
                  <c:v>39365</c:v>
                </c:pt>
                <c:pt idx="2478">
                  <c:v>39364</c:v>
                </c:pt>
                <c:pt idx="2479">
                  <c:v>39363</c:v>
                </c:pt>
                <c:pt idx="2480">
                  <c:v>39360</c:v>
                </c:pt>
                <c:pt idx="2481">
                  <c:v>39359</c:v>
                </c:pt>
                <c:pt idx="2482">
                  <c:v>39358</c:v>
                </c:pt>
                <c:pt idx="2483">
                  <c:v>39357</c:v>
                </c:pt>
                <c:pt idx="2484">
                  <c:v>39356</c:v>
                </c:pt>
                <c:pt idx="2485">
                  <c:v>39353</c:v>
                </c:pt>
                <c:pt idx="2486">
                  <c:v>39352</c:v>
                </c:pt>
                <c:pt idx="2487">
                  <c:v>39351</c:v>
                </c:pt>
                <c:pt idx="2488">
                  <c:v>39350</c:v>
                </c:pt>
                <c:pt idx="2489">
                  <c:v>39349</c:v>
                </c:pt>
                <c:pt idx="2490">
                  <c:v>39346</c:v>
                </c:pt>
                <c:pt idx="2491">
                  <c:v>39345</c:v>
                </c:pt>
                <c:pt idx="2492">
                  <c:v>39344</c:v>
                </c:pt>
                <c:pt idx="2493">
                  <c:v>39343</c:v>
                </c:pt>
                <c:pt idx="2494">
                  <c:v>39342</c:v>
                </c:pt>
                <c:pt idx="2495">
                  <c:v>39339</c:v>
                </c:pt>
                <c:pt idx="2496">
                  <c:v>39338</c:v>
                </c:pt>
                <c:pt idx="2497">
                  <c:v>39337</c:v>
                </c:pt>
                <c:pt idx="2498">
                  <c:v>39336</c:v>
                </c:pt>
                <c:pt idx="2499">
                  <c:v>39335</c:v>
                </c:pt>
                <c:pt idx="2500">
                  <c:v>39332</c:v>
                </c:pt>
                <c:pt idx="2501">
                  <c:v>39331</c:v>
                </c:pt>
                <c:pt idx="2502">
                  <c:v>39330</c:v>
                </c:pt>
                <c:pt idx="2503">
                  <c:v>39329</c:v>
                </c:pt>
                <c:pt idx="2504">
                  <c:v>39328</c:v>
                </c:pt>
                <c:pt idx="2505">
                  <c:v>39325</c:v>
                </c:pt>
                <c:pt idx="2506">
                  <c:v>39324</c:v>
                </c:pt>
                <c:pt idx="2507">
                  <c:v>39323</c:v>
                </c:pt>
                <c:pt idx="2508">
                  <c:v>39322</c:v>
                </c:pt>
                <c:pt idx="2509">
                  <c:v>39321</c:v>
                </c:pt>
                <c:pt idx="2510">
                  <c:v>39318</c:v>
                </c:pt>
                <c:pt idx="2511">
                  <c:v>39317</c:v>
                </c:pt>
                <c:pt idx="2512">
                  <c:v>39316</c:v>
                </c:pt>
                <c:pt idx="2513">
                  <c:v>39315</c:v>
                </c:pt>
                <c:pt idx="2514">
                  <c:v>39314</c:v>
                </c:pt>
                <c:pt idx="2515">
                  <c:v>39311</c:v>
                </c:pt>
                <c:pt idx="2516">
                  <c:v>39310</c:v>
                </c:pt>
                <c:pt idx="2517">
                  <c:v>39309</c:v>
                </c:pt>
                <c:pt idx="2518">
                  <c:v>39308</c:v>
                </c:pt>
                <c:pt idx="2519">
                  <c:v>39307</c:v>
                </c:pt>
                <c:pt idx="2520">
                  <c:v>39304</c:v>
                </c:pt>
                <c:pt idx="2521">
                  <c:v>39303</c:v>
                </c:pt>
                <c:pt idx="2522">
                  <c:v>39302</c:v>
                </c:pt>
                <c:pt idx="2523">
                  <c:v>39301</c:v>
                </c:pt>
                <c:pt idx="2524">
                  <c:v>39300</c:v>
                </c:pt>
                <c:pt idx="2525">
                  <c:v>39297</c:v>
                </c:pt>
                <c:pt idx="2526">
                  <c:v>39296</c:v>
                </c:pt>
                <c:pt idx="2527">
                  <c:v>39295</c:v>
                </c:pt>
                <c:pt idx="2528">
                  <c:v>39294</c:v>
                </c:pt>
                <c:pt idx="2529">
                  <c:v>39293</c:v>
                </c:pt>
                <c:pt idx="2530">
                  <c:v>39290</c:v>
                </c:pt>
                <c:pt idx="2531">
                  <c:v>39289</c:v>
                </c:pt>
                <c:pt idx="2532">
                  <c:v>39288</c:v>
                </c:pt>
                <c:pt idx="2533">
                  <c:v>39287</c:v>
                </c:pt>
                <c:pt idx="2534">
                  <c:v>39286</c:v>
                </c:pt>
                <c:pt idx="2535">
                  <c:v>39283</c:v>
                </c:pt>
                <c:pt idx="2536">
                  <c:v>39282</c:v>
                </c:pt>
                <c:pt idx="2537">
                  <c:v>39281</c:v>
                </c:pt>
                <c:pt idx="2538">
                  <c:v>39280</c:v>
                </c:pt>
                <c:pt idx="2539">
                  <c:v>39279</c:v>
                </c:pt>
                <c:pt idx="2540">
                  <c:v>39276</c:v>
                </c:pt>
                <c:pt idx="2541">
                  <c:v>39275</c:v>
                </c:pt>
                <c:pt idx="2542">
                  <c:v>39274</c:v>
                </c:pt>
                <c:pt idx="2543">
                  <c:v>39273</c:v>
                </c:pt>
                <c:pt idx="2544">
                  <c:v>39272</c:v>
                </c:pt>
                <c:pt idx="2545">
                  <c:v>39269</c:v>
                </c:pt>
                <c:pt idx="2546">
                  <c:v>39268</c:v>
                </c:pt>
                <c:pt idx="2547">
                  <c:v>39267</c:v>
                </c:pt>
                <c:pt idx="2548">
                  <c:v>39266</c:v>
                </c:pt>
                <c:pt idx="2549">
                  <c:v>39265</c:v>
                </c:pt>
                <c:pt idx="2550">
                  <c:v>39262</c:v>
                </c:pt>
                <c:pt idx="2551">
                  <c:v>39261</c:v>
                </c:pt>
                <c:pt idx="2552">
                  <c:v>39260</c:v>
                </c:pt>
                <c:pt idx="2553">
                  <c:v>39259</c:v>
                </c:pt>
                <c:pt idx="2554">
                  <c:v>39258</c:v>
                </c:pt>
                <c:pt idx="2555">
                  <c:v>39255</c:v>
                </c:pt>
                <c:pt idx="2556">
                  <c:v>39254</c:v>
                </c:pt>
                <c:pt idx="2557">
                  <c:v>39253</c:v>
                </c:pt>
                <c:pt idx="2558">
                  <c:v>39252</c:v>
                </c:pt>
                <c:pt idx="2559">
                  <c:v>39251</c:v>
                </c:pt>
                <c:pt idx="2560">
                  <c:v>39248</c:v>
                </c:pt>
                <c:pt idx="2561">
                  <c:v>39247</c:v>
                </c:pt>
                <c:pt idx="2562">
                  <c:v>39246</c:v>
                </c:pt>
                <c:pt idx="2563">
                  <c:v>39245</c:v>
                </c:pt>
                <c:pt idx="2564">
                  <c:v>39244</c:v>
                </c:pt>
                <c:pt idx="2565">
                  <c:v>39241</c:v>
                </c:pt>
                <c:pt idx="2566">
                  <c:v>39240</c:v>
                </c:pt>
                <c:pt idx="2567">
                  <c:v>39239</c:v>
                </c:pt>
                <c:pt idx="2568">
                  <c:v>39238</c:v>
                </c:pt>
                <c:pt idx="2569">
                  <c:v>39237</c:v>
                </c:pt>
                <c:pt idx="2570">
                  <c:v>39234</c:v>
                </c:pt>
                <c:pt idx="2571">
                  <c:v>39233</c:v>
                </c:pt>
                <c:pt idx="2572">
                  <c:v>39232</c:v>
                </c:pt>
                <c:pt idx="2573">
                  <c:v>39231</c:v>
                </c:pt>
                <c:pt idx="2574">
                  <c:v>39230</c:v>
                </c:pt>
                <c:pt idx="2575">
                  <c:v>39227</c:v>
                </c:pt>
                <c:pt idx="2576">
                  <c:v>39226</c:v>
                </c:pt>
                <c:pt idx="2577">
                  <c:v>39225</c:v>
                </c:pt>
                <c:pt idx="2578">
                  <c:v>39224</c:v>
                </c:pt>
                <c:pt idx="2579">
                  <c:v>39223</c:v>
                </c:pt>
                <c:pt idx="2580">
                  <c:v>39220</c:v>
                </c:pt>
                <c:pt idx="2581">
                  <c:v>39219</c:v>
                </c:pt>
                <c:pt idx="2582">
                  <c:v>39218</c:v>
                </c:pt>
                <c:pt idx="2583">
                  <c:v>39217</c:v>
                </c:pt>
                <c:pt idx="2584">
                  <c:v>39216</c:v>
                </c:pt>
                <c:pt idx="2585">
                  <c:v>39213</c:v>
                </c:pt>
                <c:pt idx="2586">
                  <c:v>39212</c:v>
                </c:pt>
                <c:pt idx="2587">
                  <c:v>39211</c:v>
                </c:pt>
                <c:pt idx="2588">
                  <c:v>39210</c:v>
                </c:pt>
                <c:pt idx="2589">
                  <c:v>39209</c:v>
                </c:pt>
                <c:pt idx="2590">
                  <c:v>39206</c:v>
                </c:pt>
                <c:pt idx="2591">
                  <c:v>39205</c:v>
                </c:pt>
                <c:pt idx="2592">
                  <c:v>39204</c:v>
                </c:pt>
                <c:pt idx="2593">
                  <c:v>39203</c:v>
                </c:pt>
                <c:pt idx="2594">
                  <c:v>39202</c:v>
                </c:pt>
                <c:pt idx="2595">
                  <c:v>39199</c:v>
                </c:pt>
                <c:pt idx="2596">
                  <c:v>39198</c:v>
                </c:pt>
                <c:pt idx="2597">
                  <c:v>39197</c:v>
                </c:pt>
                <c:pt idx="2598">
                  <c:v>39196</c:v>
                </c:pt>
                <c:pt idx="2599">
                  <c:v>39195</c:v>
                </c:pt>
                <c:pt idx="2600">
                  <c:v>39192</c:v>
                </c:pt>
                <c:pt idx="2601">
                  <c:v>39191</c:v>
                </c:pt>
                <c:pt idx="2602">
                  <c:v>39190</c:v>
                </c:pt>
                <c:pt idx="2603">
                  <c:v>39189</c:v>
                </c:pt>
                <c:pt idx="2604">
                  <c:v>39188</c:v>
                </c:pt>
                <c:pt idx="2605">
                  <c:v>39185</c:v>
                </c:pt>
                <c:pt idx="2606">
                  <c:v>39184</c:v>
                </c:pt>
                <c:pt idx="2607">
                  <c:v>39183</c:v>
                </c:pt>
                <c:pt idx="2608">
                  <c:v>39182</c:v>
                </c:pt>
                <c:pt idx="2609">
                  <c:v>39181</c:v>
                </c:pt>
                <c:pt idx="2610">
                  <c:v>39178</c:v>
                </c:pt>
                <c:pt idx="2611">
                  <c:v>39177</c:v>
                </c:pt>
                <c:pt idx="2612">
                  <c:v>39176</c:v>
                </c:pt>
                <c:pt idx="2613">
                  <c:v>39175</c:v>
                </c:pt>
                <c:pt idx="2614">
                  <c:v>39174</c:v>
                </c:pt>
                <c:pt idx="2615">
                  <c:v>39171</c:v>
                </c:pt>
                <c:pt idx="2616">
                  <c:v>39170</c:v>
                </c:pt>
                <c:pt idx="2617">
                  <c:v>39169</c:v>
                </c:pt>
                <c:pt idx="2618">
                  <c:v>39168</c:v>
                </c:pt>
                <c:pt idx="2619">
                  <c:v>39167</c:v>
                </c:pt>
                <c:pt idx="2620">
                  <c:v>39164</c:v>
                </c:pt>
                <c:pt idx="2621">
                  <c:v>39163</c:v>
                </c:pt>
                <c:pt idx="2622">
                  <c:v>39162</c:v>
                </c:pt>
                <c:pt idx="2623">
                  <c:v>39161</c:v>
                </c:pt>
                <c:pt idx="2624">
                  <c:v>39160</c:v>
                </c:pt>
                <c:pt idx="2625">
                  <c:v>39157</c:v>
                </c:pt>
                <c:pt idx="2626">
                  <c:v>39156</c:v>
                </c:pt>
                <c:pt idx="2627">
                  <c:v>39155</c:v>
                </c:pt>
                <c:pt idx="2628">
                  <c:v>39154</c:v>
                </c:pt>
                <c:pt idx="2629">
                  <c:v>39153</c:v>
                </c:pt>
                <c:pt idx="2630">
                  <c:v>39150</c:v>
                </c:pt>
                <c:pt idx="2631">
                  <c:v>39149</c:v>
                </c:pt>
                <c:pt idx="2632">
                  <c:v>39148</c:v>
                </c:pt>
                <c:pt idx="2633">
                  <c:v>39147</c:v>
                </c:pt>
                <c:pt idx="2634">
                  <c:v>39146</c:v>
                </c:pt>
                <c:pt idx="2635">
                  <c:v>39143</c:v>
                </c:pt>
                <c:pt idx="2636">
                  <c:v>39142</c:v>
                </c:pt>
                <c:pt idx="2637">
                  <c:v>39141</c:v>
                </c:pt>
                <c:pt idx="2638">
                  <c:v>39140</c:v>
                </c:pt>
                <c:pt idx="2639">
                  <c:v>39139</c:v>
                </c:pt>
                <c:pt idx="2640">
                  <c:v>39136</c:v>
                </c:pt>
                <c:pt idx="2641">
                  <c:v>39135</c:v>
                </c:pt>
                <c:pt idx="2642">
                  <c:v>39134</c:v>
                </c:pt>
                <c:pt idx="2643">
                  <c:v>39133</c:v>
                </c:pt>
                <c:pt idx="2644">
                  <c:v>39132</c:v>
                </c:pt>
                <c:pt idx="2645">
                  <c:v>39129</c:v>
                </c:pt>
                <c:pt idx="2646">
                  <c:v>39128</c:v>
                </c:pt>
                <c:pt idx="2647">
                  <c:v>39127</c:v>
                </c:pt>
                <c:pt idx="2648">
                  <c:v>39126</c:v>
                </c:pt>
                <c:pt idx="2649">
                  <c:v>39125</c:v>
                </c:pt>
                <c:pt idx="2650">
                  <c:v>39122</c:v>
                </c:pt>
                <c:pt idx="2651">
                  <c:v>39121</c:v>
                </c:pt>
                <c:pt idx="2652">
                  <c:v>39120</c:v>
                </c:pt>
                <c:pt idx="2653">
                  <c:v>39119</c:v>
                </c:pt>
                <c:pt idx="2654">
                  <c:v>39118</c:v>
                </c:pt>
                <c:pt idx="2655">
                  <c:v>39115</c:v>
                </c:pt>
                <c:pt idx="2656">
                  <c:v>39114</c:v>
                </c:pt>
                <c:pt idx="2657">
                  <c:v>39113</c:v>
                </c:pt>
                <c:pt idx="2658">
                  <c:v>39112</c:v>
                </c:pt>
                <c:pt idx="2659">
                  <c:v>39111</c:v>
                </c:pt>
                <c:pt idx="2660">
                  <c:v>39108</c:v>
                </c:pt>
                <c:pt idx="2661">
                  <c:v>39107</c:v>
                </c:pt>
                <c:pt idx="2662">
                  <c:v>39106</c:v>
                </c:pt>
                <c:pt idx="2663">
                  <c:v>39105</c:v>
                </c:pt>
                <c:pt idx="2664">
                  <c:v>39104</c:v>
                </c:pt>
                <c:pt idx="2665">
                  <c:v>39101</c:v>
                </c:pt>
                <c:pt idx="2666">
                  <c:v>39100</c:v>
                </c:pt>
                <c:pt idx="2667">
                  <c:v>39099</c:v>
                </c:pt>
                <c:pt idx="2668">
                  <c:v>39098</c:v>
                </c:pt>
                <c:pt idx="2669">
                  <c:v>39097</c:v>
                </c:pt>
                <c:pt idx="2670">
                  <c:v>39094</c:v>
                </c:pt>
                <c:pt idx="2671">
                  <c:v>39093</c:v>
                </c:pt>
                <c:pt idx="2672">
                  <c:v>39092</c:v>
                </c:pt>
                <c:pt idx="2673">
                  <c:v>39091</c:v>
                </c:pt>
                <c:pt idx="2674">
                  <c:v>39090</c:v>
                </c:pt>
                <c:pt idx="2675">
                  <c:v>39087</c:v>
                </c:pt>
                <c:pt idx="2676">
                  <c:v>39086</c:v>
                </c:pt>
                <c:pt idx="2677">
                  <c:v>39085</c:v>
                </c:pt>
                <c:pt idx="2678">
                  <c:v>39084</c:v>
                </c:pt>
                <c:pt idx="2679">
                  <c:v>39083</c:v>
                </c:pt>
                <c:pt idx="2680">
                  <c:v>39080</c:v>
                </c:pt>
                <c:pt idx="2681">
                  <c:v>39079</c:v>
                </c:pt>
                <c:pt idx="2682">
                  <c:v>39078</c:v>
                </c:pt>
                <c:pt idx="2683">
                  <c:v>39077</c:v>
                </c:pt>
                <c:pt idx="2684">
                  <c:v>39076</c:v>
                </c:pt>
                <c:pt idx="2685">
                  <c:v>39073</c:v>
                </c:pt>
                <c:pt idx="2686">
                  <c:v>39072</c:v>
                </c:pt>
                <c:pt idx="2687">
                  <c:v>39071</c:v>
                </c:pt>
                <c:pt idx="2688">
                  <c:v>39070</c:v>
                </c:pt>
                <c:pt idx="2689">
                  <c:v>39069</c:v>
                </c:pt>
                <c:pt idx="2690">
                  <c:v>39066</c:v>
                </c:pt>
                <c:pt idx="2691">
                  <c:v>39065</c:v>
                </c:pt>
                <c:pt idx="2692">
                  <c:v>39064</c:v>
                </c:pt>
                <c:pt idx="2693">
                  <c:v>39063</c:v>
                </c:pt>
                <c:pt idx="2694">
                  <c:v>39062</c:v>
                </c:pt>
                <c:pt idx="2695">
                  <c:v>39059</c:v>
                </c:pt>
                <c:pt idx="2696">
                  <c:v>39058</c:v>
                </c:pt>
                <c:pt idx="2697">
                  <c:v>39057</c:v>
                </c:pt>
                <c:pt idx="2698">
                  <c:v>39056</c:v>
                </c:pt>
                <c:pt idx="2699">
                  <c:v>39055</c:v>
                </c:pt>
                <c:pt idx="2700">
                  <c:v>39052</c:v>
                </c:pt>
                <c:pt idx="2701">
                  <c:v>39051</c:v>
                </c:pt>
                <c:pt idx="2702">
                  <c:v>39050</c:v>
                </c:pt>
                <c:pt idx="2703">
                  <c:v>39049</c:v>
                </c:pt>
                <c:pt idx="2704">
                  <c:v>39048</c:v>
                </c:pt>
                <c:pt idx="2705">
                  <c:v>39045</c:v>
                </c:pt>
                <c:pt idx="2706">
                  <c:v>39044</c:v>
                </c:pt>
                <c:pt idx="2707">
                  <c:v>39043</c:v>
                </c:pt>
                <c:pt idx="2708">
                  <c:v>39042</c:v>
                </c:pt>
                <c:pt idx="2709">
                  <c:v>39041</c:v>
                </c:pt>
                <c:pt idx="2710">
                  <c:v>39038</c:v>
                </c:pt>
                <c:pt idx="2711">
                  <c:v>39037</c:v>
                </c:pt>
                <c:pt idx="2712">
                  <c:v>39036</c:v>
                </c:pt>
                <c:pt idx="2713">
                  <c:v>39035</c:v>
                </c:pt>
                <c:pt idx="2714">
                  <c:v>39034</c:v>
                </c:pt>
                <c:pt idx="2715">
                  <c:v>39031</c:v>
                </c:pt>
                <c:pt idx="2716">
                  <c:v>39030</c:v>
                </c:pt>
                <c:pt idx="2717">
                  <c:v>39029</c:v>
                </c:pt>
                <c:pt idx="2718">
                  <c:v>39028</c:v>
                </c:pt>
                <c:pt idx="2719">
                  <c:v>39027</c:v>
                </c:pt>
                <c:pt idx="2720">
                  <c:v>39024</c:v>
                </c:pt>
                <c:pt idx="2721">
                  <c:v>39023</c:v>
                </c:pt>
                <c:pt idx="2722">
                  <c:v>39022</c:v>
                </c:pt>
                <c:pt idx="2723">
                  <c:v>39021</c:v>
                </c:pt>
                <c:pt idx="2724">
                  <c:v>39020</c:v>
                </c:pt>
                <c:pt idx="2725">
                  <c:v>39017</c:v>
                </c:pt>
                <c:pt idx="2726">
                  <c:v>39016</c:v>
                </c:pt>
                <c:pt idx="2727">
                  <c:v>39015</c:v>
                </c:pt>
                <c:pt idx="2728">
                  <c:v>39014</c:v>
                </c:pt>
                <c:pt idx="2729">
                  <c:v>39013</c:v>
                </c:pt>
                <c:pt idx="2730">
                  <c:v>39010</c:v>
                </c:pt>
                <c:pt idx="2731">
                  <c:v>39009</c:v>
                </c:pt>
                <c:pt idx="2732">
                  <c:v>39008</c:v>
                </c:pt>
                <c:pt idx="2733">
                  <c:v>39007</c:v>
                </c:pt>
                <c:pt idx="2734">
                  <c:v>39006</c:v>
                </c:pt>
                <c:pt idx="2735">
                  <c:v>39003</c:v>
                </c:pt>
                <c:pt idx="2736">
                  <c:v>39002</c:v>
                </c:pt>
                <c:pt idx="2737">
                  <c:v>39001</c:v>
                </c:pt>
                <c:pt idx="2738">
                  <c:v>39000</c:v>
                </c:pt>
                <c:pt idx="2739">
                  <c:v>38999</c:v>
                </c:pt>
                <c:pt idx="2740">
                  <c:v>38996</c:v>
                </c:pt>
                <c:pt idx="2741">
                  <c:v>38995</c:v>
                </c:pt>
                <c:pt idx="2742">
                  <c:v>38994</c:v>
                </c:pt>
                <c:pt idx="2743">
                  <c:v>38993</c:v>
                </c:pt>
                <c:pt idx="2744">
                  <c:v>38992</c:v>
                </c:pt>
                <c:pt idx="2745">
                  <c:v>38989</c:v>
                </c:pt>
                <c:pt idx="2746">
                  <c:v>38988</c:v>
                </c:pt>
                <c:pt idx="2747">
                  <c:v>38987</c:v>
                </c:pt>
                <c:pt idx="2748">
                  <c:v>38986</c:v>
                </c:pt>
                <c:pt idx="2749">
                  <c:v>38985</c:v>
                </c:pt>
                <c:pt idx="2750">
                  <c:v>38982</c:v>
                </c:pt>
                <c:pt idx="2751">
                  <c:v>38981</c:v>
                </c:pt>
                <c:pt idx="2752">
                  <c:v>38980</c:v>
                </c:pt>
                <c:pt idx="2753">
                  <c:v>38979</c:v>
                </c:pt>
                <c:pt idx="2754">
                  <c:v>38978</c:v>
                </c:pt>
                <c:pt idx="2755">
                  <c:v>38975</c:v>
                </c:pt>
                <c:pt idx="2756">
                  <c:v>38974</c:v>
                </c:pt>
                <c:pt idx="2757">
                  <c:v>38973</c:v>
                </c:pt>
                <c:pt idx="2758">
                  <c:v>38972</c:v>
                </c:pt>
                <c:pt idx="2759">
                  <c:v>38971</c:v>
                </c:pt>
                <c:pt idx="2760">
                  <c:v>38968</c:v>
                </c:pt>
                <c:pt idx="2761">
                  <c:v>38967</c:v>
                </c:pt>
                <c:pt idx="2762">
                  <c:v>38966</c:v>
                </c:pt>
                <c:pt idx="2763">
                  <c:v>38965</c:v>
                </c:pt>
                <c:pt idx="2764">
                  <c:v>38964</c:v>
                </c:pt>
                <c:pt idx="2765">
                  <c:v>38961</c:v>
                </c:pt>
                <c:pt idx="2766">
                  <c:v>38960</c:v>
                </c:pt>
                <c:pt idx="2767">
                  <c:v>38959</c:v>
                </c:pt>
                <c:pt idx="2768">
                  <c:v>38958</c:v>
                </c:pt>
                <c:pt idx="2769">
                  <c:v>38957</c:v>
                </c:pt>
                <c:pt idx="2770">
                  <c:v>38954</c:v>
                </c:pt>
                <c:pt idx="2771">
                  <c:v>38953</c:v>
                </c:pt>
                <c:pt idx="2772">
                  <c:v>38952</c:v>
                </c:pt>
                <c:pt idx="2773">
                  <c:v>38951</c:v>
                </c:pt>
                <c:pt idx="2774">
                  <c:v>38950</c:v>
                </c:pt>
                <c:pt idx="2775">
                  <c:v>38947</c:v>
                </c:pt>
                <c:pt idx="2776">
                  <c:v>38946</c:v>
                </c:pt>
                <c:pt idx="2777">
                  <c:v>38945</c:v>
                </c:pt>
                <c:pt idx="2778">
                  <c:v>38944</c:v>
                </c:pt>
                <c:pt idx="2779">
                  <c:v>38943</c:v>
                </c:pt>
                <c:pt idx="2780">
                  <c:v>38940</c:v>
                </c:pt>
                <c:pt idx="2781">
                  <c:v>38939</c:v>
                </c:pt>
                <c:pt idx="2782">
                  <c:v>38938</c:v>
                </c:pt>
                <c:pt idx="2783">
                  <c:v>38937</c:v>
                </c:pt>
                <c:pt idx="2784">
                  <c:v>38936</c:v>
                </c:pt>
                <c:pt idx="2785">
                  <c:v>38933</c:v>
                </c:pt>
                <c:pt idx="2786">
                  <c:v>38932</c:v>
                </c:pt>
                <c:pt idx="2787">
                  <c:v>38931</c:v>
                </c:pt>
                <c:pt idx="2788">
                  <c:v>38930</c:v>
                </c:pt>
                <c:pt idx="2789">
                  <c:v>38929</c:v>
                </c:pt>
                <c:pt idx="2790">
                  <c:v>38926</c:v>
                </c:pt>
                <c:pt idx="2791">
                  <c:v>38925</c:v>
                </c:pt>
                <c:pt idx="2792">
                  <c:v>38924</c:v>
                </c:pt>
                <c:pt idx="2793">
                  <c:v>38923</c:v>
                </c:pt>
                <c:pt idx="2794">
                  <c:v>38922</c:v>
                </c:pt>
                <c:pt idx="2795">
                  <c:v>38919</c:v>
                </c:pt>
                <c:pt idx="2796">
                  <c:v>38918</c:v>
                </c:pt>
                <c:pt idx="2797">
                  <c:v>38917</c:v>
                </c:pt>
                <c:pt idx="2798">
                  <c:v>38916</c:v>
                </c:pt>
                <c:pt idx="2799">
                  <c:v>38915</c:v>
                </c:pt>
                <c:pt idx="2800">
                  <c:v>38912</c:v>
                </c:pt>
                <c:pt idx="2801">
                  <c:v>38911</c:v>
                </c:pt>
                <c:pt idx="2802">
                  <c:v>38910</c:v>
                </c:pt>
                <c:pt idx="2803">
                  <c:v>38909</c:v>
                </c:pt>
                <c:pt idx="2804">
                  <c:v>38908</c:v>
                </c:pt>
                <c:pt idx="2805">
                  <c:v>38905</c:v>
                </c:pt>
                <c:pt idx="2806">
                  <c:v>38904</c:v>
                </c:pt>
                <c:pt idx="2807">
                  <c:v>38903</c:v>
                </c:pt>
                <c:pt idx="2808">
                  <c:v>38902</c:v>
                </c:pt>
                <c:pt idx="2809">
                  <c:v>38901</c:v>
                </c:pt>
                <c:pt idx="2810">
                  <c:v>38898</c:v>
                </c:pt>
                <c:pt idx="2811">
                  <c:v>38897</c:v>
                </c:pt>
                <c:pt idx="2812">
                  <c:v>38896</c:v>
                </c:pt>
                <c:pt idx="2813">
                  <c:v>38895</c:v>
                </c:pt>
                <c:pt idx="2814">
                  <c:v>38894</c:v>
                </c:pt>
                <c:pt idx="2815">
                  <c:v>38891</c:v>
                </c:pt>
                <c:pt idx="2816">
                  <c:v>38890</c:v>
                </c:pt>
                <c:pt idx="2817">
                  <c:v>38889</c:v>
                </c:pt>
                <c:pt idx="2818">
                  <c:v>38888</c:v>
                </c:pt>
                <c:pt idx="2819">
                  <c:v>38887</c:v>
                </c:pt>
                <c:pt idx="2820">
                  <c:v>38884</c:v>
                </c:pt>
                <c:pt idx="2821">
                  <c:v>38883</c:v>
                </c:pt>
                <c:pt idx="2822">
                  <c:v>38882</c:v>
                </c:pt>
                <c:pt idx="2823">
                  <c:v>38881</c:v>
                </c:pt>
                <c:pt idx="2824">
                  <c:v>38880</c:v>
                </c:pt>
                <c:pt idx="2825">
                  <c:v>38877</c:v>
                </c:pt>
                <c:pt idx="2826">
                  <c:v>38876</c:v>
                </c:pt>
                <c:pt idx="2827">
                  <c:v>38875</c:v>
                </c:pt>
                <c:pt idx="2828">
                  <c:v>38874</c:v>
                </c:pt>
                <c:pt idx="2829">
                  <c:v>38873</c:v>
                </c:pt>
                <c:pt idx="2830">
                  <c:v>38870</c:v>
                </c:pt>
                <c:pt idx="2831">
                  <c:v>38869</c:v>
                </c:pt>
                <c:pt idx="2832">
                  <c:v>38868</c:v>
                </c:pt>
                <c:pt idx="2833">
                  <c:v>38867</c:v>
                </c:pt>
                <c:pt idx="2834">
                  <c:v>38866</c:v>
                </c:pt>
                <c:pt idx="2835">
                  <c:v>38863</c:v>
                </c:pt>
                <c:pt idx="2836">
                  <c:v>38862</c:v>
                </c:pt>
                <c:pt idx="2837">
                  <c:v>38861</c:v>
                </c:pt>
                <c:pt idx="2838">
                  <c:v>38860</c:v>
                </c:pt>
                <c:pt idx="2839">
                  <c:v>38859</c:v>
                </c:pt>
                <c:pt idx="2840">
                  <c:v>38856</c:v>
                </c:pt>
                <c:pt idx="2841">
                  <c:v>38855</c:v>
                </c:pt>
                <c:pt idx="2842">
                  <c:v>38854</c:v>
                </c:pt>
                <c:pt idx="2843">
                  <c:v>38853</c:v>
                </c:pt>
                <c:pt idx="2844">
                  <c:v>38852</c:v>
                </c:pt>
                <c:pt idx="2845">
                  <c:v>38849</c:v>
                </c:pt>
                <c:pt idx="2846">
                  <c:v>38848</c:v>
                </c:pt>
                <c:pt idx="2847">
                  <c:v>38847</c:v>
                </c:pt>
                <c:pt idx="2848">
                  <c:v>38846</c:v>
                </c:pt>
                <c:pt idx="2849">
                  <c:v>38845</c:v>
                </c:pt>
                <c:pt idx="2850">
                  <c:v>38842</c:v>
                </c:pt>
                <c:pt idx="2851">
                  <c:v>38841</c:v>
                </c:pt>
                <c:pt idx="2852">
                  <c:v>38840</c:v>
                </c:pt>
                <c:pt idx="2853">
                  <c:v>38839</c:v>
                </c:pt>
                <c:pt idx="2854">
                  <c:v>38838</c:v>
                </c:pt>
                <c:pt idx="2855">
                  <c:v>38835</c:v>
                </c:pt>
                <c:pt idx="2856">
                  <c:v>38834</c:v>
                </c:pt>
                <c:pt idx="2857">
                  <c:v>38833</c:v>
                </c:pt>
                <c:pt idx="2858">
                  <c:v>38832</c:v>
                </c:pt>
                <c:pt idx="2859">
                  <c:v>38831</c:v>
                </c:pt>
                <c:pt idx="2860">
                  <c:v>38828</c:v>
                </c:pt>
                <c:pt idx="2861">
                  <c:v>38827</c:v>
                </c:pt>
                <c:pt idx="2862">
                  <c:v>38826</c:v>
                </c:pt>
                <c:pt idx="2863">
                  <c:v>38825</c:v>
                </c:pt>
                <c:pt idx="2864">
                  <c:v>38824</c:v>
                </c:pt>
                <c:pt idx="2865">
                  <c:v>38821</c:v>
                </c:pt>
                <c:pt idx="2866">
                  <c:v>38820</c:v>
                </c:pt>
                <c:pt idx="2867">
                  <c:v>38819</c:v>
                </c:pt>
                <c:pt idx="2868">
                  <c:v>38818</c:v>
                </c:pt>
                <c:pt idx="2869">
                  <c:v>38817</c:v>
                </c:pt>
                <c:pt idx="2870">
                  <c:v>38814</c:v>
                </c:pt>
                <c:pt idx="2871">
                  <c:v>38813</c:v>
                </c:pt>
                <c:pt idx="2872">
                  <c:v>38812</c:v>
                </c:pt>
                <c:pt idx="2873">
                  <c:v>38811</c:v>
                </c:pt>
                <c:pt idx="2874">
                  <c:v>38810</c:v>
                </c:pt>
                <c:pt idx="2875">
                  <c:v>38807</c:v>
                </c:pt>
                <c:pt idx="2876">
                  <c:v>38806</c:v>
                </c:pt>
                <c:pt idx="2877">
                  <c:v>38805</c:v>
                </c:pt>
                <c:pt idx="2878">
                  <c:v>38804</c:v>
                </c:pt>
                <c:pt idx="2879">
                  <c:v>38803</c:v>
                </c:pt>
                <c:pt idx="2880">
                  <c:v>38800</c:v>
                </c:pt>
                <c:pt idx="2881">
                  <c:v>38799</c:v>
                </c:pt>
                <c:pt idx="2882">
                  <c:v>38798</c:v>
                </c:pt>
                <c:pt idx="2883">
                  <c:v>38797</c:v>
                </c:pt>
                <c:pt idx="2884">
                  <c:v>38796</c:v>
                </c:pt>
                <c:pt idx="2885">
                  <c:v>38793</c:v>
                </c:pt>
                <c:pt idx="2886">
                  <c:v>38792</c:v>
                </c:pt>
                <c:pt idx="2887">
                  <c:v>38791</c:v>
                </c:pt>
                <c:pt idx="2888">
                  <c:v>38790</c:v>
                </c:pt>
                <c:pt idx="2889">
                  <c:v>38789</c:v>
                </c:pt>
                <c:pt idx="2890">
                  <c:v>38786</c:v>
                </c:pt>
                <c:pt idx="2891">
                  <c:v>38785</c:v>
                </c:pt>
                <c:pt idx="2892">
                  <c:v>38784</c:v>
                </c:pt>
                <c:pt idx="2893">
                  <c:v>38783</c:v>
                </c:pt>
                <c:pt idx="2894">
                  <c:v>38782</c:v>
                </c:pt>
                <c:pt idx="2895">
                  <c:v>38779</c:v>
                </c:pt>
                <c:pt idx="2896">
                  <c:v>38778</c:v>
                </c:pt>
                <c:pt idx="2897">
                  <c:v>38777</c:v>
                </c:pt>
                <c:pt idx="2898">
                  <c:v>38776</c:v>
                </c:pt>
                <c:pt idx="2899">
                  <c:v>38775</c:v>
                </c:pt>
                <c:pt idx="2900">
                  <c:v>38772</c:v>
                </c:pt>
                <c:pt idx="2901">
                  <c:v>38771</c:v>
                </c:pt>
                <c:pt idx="2902">
                  <c:v>38770</c:v>
                </c:pt>
                <c:pt idx="2903">
                  <c:v>38769</c:v>
                </c:pt>
                <c:pt idx="2904">
                  <c:v>38768</c:v>
                </c:pt>
                <c:pt idx="2905">
                  <c:v>38765</c:v>
                </c:pt>
                <c:pt idx="2906">
                  <c:v>38764</c:v>
                </c:pt>
                <c:pt idx="2907">
                  <c:v>38763</c:v>
                </c:pt>
                <c:pt idx="2908">
                  <c:v>38762</c:v>
                </c:pt>
                <c:pt idx="2909">
                  <c:v>38761</c:v>
                </c:pt>
                <c:pt idx="2910">
                  <c:v>38758</c:v>
                </c:pt>
                <c:pt idx="2911">
                  <c:v>38757</c:v>
                </c:pt>
                <c:pt idx="2912">
                  <c:v>38756</c:v>
                </c:pt>
                <c:pt idx="2913">
                  <c:v>38755</c:v>
                </c:pt>
                <c:pt idx="2914">
                  <c:v>38754</c:v>
                </c:pt>
                <c:pt idx="2915">
                  <c:v>38751</c:v>
                </c:pt>
                <c:pt idx="2916">
                  <c:v>38750</c:v>
                </c:pt>
                <c:pt idx="2917">
                  <c:v>38749</c:v>
                </c:pt>
                <c:pt idx="2918">
                  <c:v>38748</c:v>
                </c:pt>
                <c:pt idx="2919">
                  <c:v>38747</c:v>
                </c:pt>
                <c:pt idx="2920">
                  <c:v>38744</c:v>
                </c:pt>
                <c:pt idx="2921">
                  <c:v>38743</c:v>
                </c:pt>
                <c:pt idx="2922">
                  <c:v>38742</c:v>
                </c:pt>
                <c:pt idx="2923">
                  <c:v>38741</c:v>
                </c:pt>
                <c:pt idx="2924">
                  <c:v>38740</c:v>
                </c:pt>
                <c:pt idx="2925">
                  <c:v>38737</c:v>
                </c:pt>
                <c:pt idx="2926">
                  <c:v>38736</c:v>
                </c:pt>
                <c:pt idx="2927">
                  <c:v>38735</c:v>
                </c:pt>
                <c:pt idx="2928">
                  <c:v>38734</c:v>
                </c:pt>
                <c:pt idx="2929">
                  <c:v>38733</c:v>
                </c:pt>
                <c:pt idx="2930">
                  <c:v>38730</c:v>
                </c:pt>
                <c:pt idx="2931">
                  <c:v>38729</c:v>
                </c:pt>
                <c:pt idx="2932">
                  <c:v>38728</c:v>
                </c:pt>
                <c:pt idx="2933">
                  <c:v>38727</c:v>
                </c:pt>
                <c:pt idx="2934">
                  <c:v>38726</c:v>
                </c:pt>
                <c:pt idx="2935">
                  <c:v>38723</c:v>
                </c:pt>
                <c:pt idx="2936">
                  <c:v>38722</c:v>
                </c:pt>
                <c:pt idx="2937">
                  <c:v>38721</c:v>
                </c:pt>
                <c:pt idx="2938">
                  <c:v>38720</c:v>
                </c:pt>
                <c:pt idx="2939">
                  <c:v>38719</c:v>
                </c:pt>
                <c:pt idx="2940">
                  <c:v>38716</c:v>
                </c:pt>
                <c:pt idx="2941">
                  <c:v>38715</c:v>
                </c:pt>
                <c:pt idx="2942">
                  <c:v>38714</c:v>
                </c:pt>
                <c:pt idx="2943">
                  <c:v>38713</c:v>
                </c:pt>
                <c:pt idx="2944">
                  <c:v>38712</c:v>
                </c:pt>
                <c:pt idx="2945">
                  <c:v>38709</c:v>
                </c:pt>
                <c:pt idx="2946">
                  <c:v>38708</c:v>
                </c:pt>
                <c:pt idx="2947">
                  <c:v>38707</c:v>
                </c:pt>
                <c:pt idx="2948">
                  <c:v>38706</c:v>
                </c:pt>
                <c:pt idx="2949">
                  <c:v>38705</c:v>
                </c:pt>
                <c:pt idx="2950">
                  <c:v>38702</c:v>
                </c:pt>
                <c:pt idx="2951">
                  <c:v>38701</c:v>
                </c:pt>
                <c:pt idx="2952">
                  <c:v>38700</c:v>
                </c:pt>
                <c:pt idx="2953">
                  <c:v>38699</c:v>
                </c:pt>
                <c:pt idx="2954">
                  <c:v>38698</c:v>
                </c:pt>
                <c:pt idx="2955">
                  <c:v>38695</c:v>
                </c:pt>
                <c:pt idx="2956">
                  <c:v>38694</c:v>
                </c:pt>
                <c:pt idx="2957">
                  <c:v>38693</c:v>
                </c:pt>
                <c:pt idx="2958">
                  <c:v>38692</c:v>
                </c:pt>
                <c:pt idx="2959">
                  <c:v>38691</c:v>
                </c:pt>
                <c:pt idx="2960">
                  <c:v>38688</c:v>
                </c:pt>
                <c:pt idx="2961">
                  <c:v>38687</c:v>
                </c:pt>
                <c:pt idx="2962">
                  <c:v>38686</c:v>
                </c:pt>
                <c:pt idx="2963">
                  <c:v>38685</c:v>
                </c:pt>
                <c:pt idx="2964">
                  <c:v>38684</c:v>
                </c:pt>
                <c:pt idx="2965">
                  <c:v>38681</c:v>
                </c:pt>
                <c:pt idx="2966">
                  <c:v>38680</c:v>
                </c:pt>
                <c:pt idx="2967">
                  <c:v>38679</c:v>
                </c:pt>
                <c:pt idx="2968">
                  <c:v>38678</c:v>
                </c:pt>
                <c:pt idx="2969">
                  <c:v>38677</c:v>
                </c:pt>
                <c:pt idx="2970">
                  <c:v>38674</c:v>
                </c:pt>
                <c:pt idx="2971">
                  <c:v>38673</c:v>
                </c:pt>
                <c:pt idx="2972">
                  <c:v>38672</c:v>
                </c:pt>
                <c:pt idx="2973">
                  <c:v>38671</c:v>
                </c:pt>
                <c:pt idx="2974">
                  <c:v>38670</c:v>
                </c:pt>
                <c:pt idx="2975">
                  <c:v>38667</c:v>
                </c:pt>
                <c:pt idx="2976">
                  <c:v>38666</c:v>
                </c:pt>
                <c:pt idx="2977">
                  <c:v>38665</c:v>
                </c:pt>
                <c:pt idx="2978">
                  <c:v>38664</c:v>
                </c:pt>
                <c:pt idx="2979">
                  <c:v>38663</c:v>
                </c:pt>
                <c:pt idx="2980">
                  <c:v>38660</c:v>
                </c:pt>
                <c:pt idx="2981">
                  <c:v>38659</c:v>
                </c:pt>
                <c:pt idx="2982">
                  <c:v>38658</c:v>
                </c:pt>
                <c:pt idx="2983">
                  <c:v>38657</c:v>
                </c:pt>
                <c:pt idx="2984">
                  <c:v>38656</c:v>
                </c:pt>
                <c:pt idx="2985">
                  <c:v>38653</c:v>
                </c:pt>
                <c:pt idx="2986">
                  <c:v>38652</c:v>
                </c:pt>
                <c:pt idx="2987">
                  <c:v>38651</c:v>
                </c:pt>
                <c:pt idx="2988">
                  <c:v>38650</c:v>
                </c:pt>
                <c:pt idx="2989">
                  <c:v>38649</c:v>
                </c:pt>
                <c:pt idx="2990">
                  <c:v>38646</c:v>
                </c:pt>
                <c:pt idx="2991">
                  <c:v>38645</c:v>
                </c:pt>
                <c:pt idx="2992">
                  <c:v>38644</c:v>
                </c:pt>
                <c:pt idx="2993">
                  <c:v>38643</c:v>
                </c:pt>
                <c:pt idx="2994">
                  <c:v>38642</c:v>
                </c:pt>
                <c:pt idx="2995">
                  <c:v>38639</c:v>
                </c:pt>
                <c:pt idx="2996">
                  <c:v>38638</c:v>
                </c:pt>
                <c:pt idx="2997">
                  <c:v>38637</c:v>
                </c:pt>
                <c:pt idx="2998">
                  <c:v>38636</c:v>
                </c:pt>
                <c:pt idx="2999">
                  <c:v>38635</c:v>
                </c:pt>
                <c:pt idx="3000">
                  <c:v>38632</c:v>
                </c:pt>
                <c:pt idx="3001">
                  <c:v>38631</c:v>
                </c:pt>
                <c:pt idx="3002">
                  <c:v>38630</c:v>
                </c:pt>
                <c:pt idx="3003">
                  <c:v>38629</c:v>
                </c:pt>
                <c:pt idx="3004">
                  <c:v>38628</c:v>
                </c:pt>
                <c:pt idx="3005">
                  <c:v>38625</c:v>
                </c:pt>
                <c:pt idx="3006">
                  <c:v>38624</c:v>
                </c:pt>
                <c:pt idx="3007">
                  <c:v>38623</c:v>
                </c:pt>
                <c:pt idx="3008">
                  <c:v>38622</c:v>
                </c:pt>
                <c:pt idx="3009">
                  <c:v>38621</c:v>
                </c:pt>
                <c:pt idx="3010">
                  <c:v>38618</c:v>
                </c:pt>
                <c:pt idx="3011">
                  <c:v>38617</c:v>
                </c:pt>
                <c:pt idx="3012">
                  <c:v>38616</c:v>
                </c:pt>
                <c:pt idx="3013">
                  <c:v>38615</c:v>
                </c:pt>
                <c:pt idx="3014">
                  <c:v>38614</c:v>
                </c:pt>
                <c:pt idx="3015">
                  <c:v>38611</c:v>
                </c:pt>
                <c:pt idx="3016">
                  <c:v>38610</c:v>
                </c:pt>
                <c:pt idx="3017">
                  <c:v>38609</c:v>
                </c:pt>
                <c:pt idx="3018">
                  <c:v>38608</c:v>
                </c:pt>
                <c:pt idx="3019">
                  <c:v>38607</c:v>
                </c:pt>
                <c:pt idx="3020">
                  <c:v>38604</c:v>
                </c:pt>
                <c:pt idx="3021">
                  <c:v>38603</c:v>
                </c:pt>
                <c:pt idx="3022">
                  <c:v>38602</c:v>
                </c:pt>
                <c:pt idx="3023">
                  <c:v>38601</c:v>
                </c:pt>
                <c:pt idx="3024">
                  <c:v>38600</c:v>
                </c:pt>
                <c:pt idx="3025">
                  <c:v>38597</c:v>
                </c:pt>
                <c:pt idx="3026">
                  <c:v>38596</c:v>
                </c:pt>
                <c:pt idx="3027">
                  <c:v>38595</c:v>
                </c:pt>
                <c:pt idx="3028">
                  <c:v>38594</c:v>
                </c:pt>
                <c:pt idx="3029">
                  <c:v>38593</c:v>
                </c:pt>
                <c:pt idx="3030">
                  <c:v>38590</c:v>
                </c:pt>
                <c:pt idx="3031">
                  <c:v>38589</c:v>
                </c:pt>
                <c:pt idx="3032">
                  <c:v>38588</c:v>
                </c:pt>
                <c:pt idx="3033">
                  <c:v>38587</c:v>
                </c:pt>
                <c:pt idx="3034">
                  <c:v>38586</c:v>
                </c:pt>
                <c:pt idx="3035">
                  <c:v>38583</c:v>
                </c:pt>
                <c:pt idx="3036">
                  <c:v>38582</c:v>
                </c:pt>
                <c:pt idx="3037">
                  <c:v>38581</c:v>
                </c:pt>
                <c:pt idx="3038">
                  <c:v>38580</c:v>
                </c:pt>
                <c:pt idx="3039">
                  <c:v>38579</c:v>
                </c:pt>
                <c:pt idx="3040">
                  <c:v>38576</c:v>
                </c:pt>
                <c:pt idx="3041">
                  <c:v>38575</c:v>
                </c:pt>
                <c:pt idx="3042">
                  <c:v>38574</c:v>
                </c:pt>
                <c:pt idx="3043">
                  <c:v>38573</c:v>
                </c:pt>
                <c:pt idx="3044">
                  <c:v>38572</c:v>
                </c:pt>
                <c:pt idx="3045">
                  <c:v>38569</c:v>
                </c:pt>
                <c:pt idx="3046">
                  <c:v>38568</c:v>
                </c:pt>
                <c:pt idx="3047">
                  <c:v>38567</c:v>
                </c:pt>
                <c:pt idx="3048">
                  <c:v>38566</c:v>
                </c:pt>
                <c:pt idx="3049">
                  <c:v>38565</c:v>
                </c:pt>
                <c:pt idx="3050">
                  <c:v>38562</c:v>
                </c:pt>
                <c:pt idx="3051">
                  <c:v>38561</c:v>
                </c:pt>
                <c:pt idx="3052">
                  <c:v>38560</c:v>
                </c:pt>
                <c:pt idx="3053">
                  <c:v>38559</c:v>
                </c:pt>
                <c:pt idx="3054">
                  <c:v>38558</c:v>
                </c:pt>
                <c:pt idx="3055">
                  <c:v>38555</c:v>
                </c:pt>
                <c:pt idx="3056">
                  <c:v>38554</c:v>
                </c:pt>
                <c:pt idx="3057">
                  <c:v>38553</c:v>
                </c:pt>
                <c:pt idx="3058">
                  <c:v>38552</c:v>
                </c:pt>
                <c:pt idx="3059">
                  <c:v>38551</c:v>
                </c:pt>
                <c:pt idx="3060">
                  <c:v>38548</c:v>
                </c:pt>
                <c:pt idx="3061">
                  <c:v>38547</c:v>
                </c:pt>
                <c:pt idx="3062">
                  <c:v>38546</c:v>
                </c:pt>
                <c:pt idx="3063">
                  <c:v>38545</c:v>
                </c:pt>
                <c:pt idx="3064">
                  <c:v>38544</c:v>
                </c:pt>
                <c:pt idx="3065">
                  <c:v>38541</c:v>
                </c:pt>
                <c:pt idx="3066">
                  <c:v>38540</c:v>
                </c:pt>
                <c:pt idx="3067">
                  <c:v>38539</c:v>
                </c:pt>
                <c:pt idx="3068">
                  <c:v>38538</c:v>
                </c:pt>
                <c:pt idx="3069">
                  <c:v>38537</c:v>
                </c:pt>
                <c:pt idx="3070">
                  <c:v>38534</c:v>
                </c:pt>
                <c:pt idx="3071">
                  <c:v>38533</c:v>
                </c:pt>
                <c:pt idx="3072">
                  <c:v>38532</c:v>
                </c:pt>
                <c:pt idx="3073">
                  <c:v>38531</c:v>
                </c:pt>
                <c:pt idx="3074">
                  <c:v>38530</c:v>
                </c:pt>
                <c:pt idx="3075">
                  <c:v>38527</c:v>
                </c:pt>
                <c:pt idx="3076">
                  <c:v>38526</c:v>
                </c:pt>
                <c:pt idx="3077">
                  <c:v>38525</c:v>
                </c:pt>
                <c:pt idx="3078">
                  <c:v>38524</c:v>
                </c:pt>
                <c:pt idx="3079">
                  <c:v>38523</c:v>
                </c:pt>
                <c:pt idx="3080">
                  <c:v>38520</c:v>
                </c:pt>
                <c:pt idx="3081">
                  <c:v>38519</c:v>
                </c:pt>
                <c:pt idx="3082">
                  <c:v>38518</c:v>
                </c:pt>
                <c:pt idx="3083">
                  <c:v>38517</c:v>
                </c:pt>
                <c:pt idx="3084">
                  <c:v>38516</c:v>
                </c:pt>
                <c:pt idx="3085">
                  <c:v>38513</c:v>
                </c:pt>
                <c:pt idx="3086">
                  <c:v>38512</c:v>
                </c:pt>
                <c:pt idx="3087">
                  <c:v>38511</c:v>
                </c:pt>
                <c:pt idx="3088">
                  <c:v>38510</c:v>
                </c:pt>
                <c:pt idx="3089">
                  <c:v>38509</c:v>
                </c:pt>
                <c:pt idx="3090">
                  <c:v>38506</c:v>
                </c:pt>
                <c:pt idx="3091">
                  <c:v>38505</c:v>
                </c:pt>
                <c:pt idx="3092">
                  <c:v>38504</c:v>
                </c:pt>
                <c:pt idx="3093">
                  <c:v>38503</c:v>
                </c:pt>
                <c:pt idx="3094">
                  <c:v>38502</c:v>
                </c:pt>
                <c:pt idx="3095">
                  <c:v>38499</c:v>
                </c:pt>
                <c:pt idx="3096">
                  <c:v>38498</c:v>
                </c:pt>
                <c:pt idx="3097">
                  <c:v>38497</c:v>
                </c:pt>
                <c:pt idx="3098">
                  <c:v>38496</c:v>
                </c:pt>
                <c:pt idx="3099">
                  <c:v>38495</c:v>
                </c:pt>
                <c:pt idx="3100">
                  <c:v>38492</c:v>
                </c:pt>
                <c:pt idx="3101">
                  <c:v>38491</c:v>
                </c:pt>
                <c:pt idx="3102">
                  <c:v>38490</c:v>
                </c:pt>
                <c:pt idx="3103">
                  <c:v>38489</c:v>
                </c:pt>
                <c:pt idx="3104">
                  <c:v>38488</c:v>
                </c:pt>
                <c:pt idx="3105">
                  <c:v>38485</c:v>
                </c:pt>
                <c:pt idx="3106">
                  <c:v>38484</c:v>
                </c:pt>
                <c:pt idx="3107">
                  <c:v>38483</c:v>
                </c:pt>
                <c:pt idx="3108">
                  <c:v>38482</c:v>
                </c:pt>
                <c:pt idx="3109">
                  <c:v>38481</c:v>
                </c:pt>
                <c:pt idx="3110">
                  <c:v>38478</c:v>
                </c:pt>
                <c:pt idx="3111">
                  <c:v>38477</c:v>
                </c:pt>
                <c:pt idx="3112">
                  <c:v>38476</c:v>
                </c:pt>
                <c:pt idx="3113">
                  <c:v>38475</c:v>
                </c:pt>
                <c:pt idx="3114">
                  <c:v>38474</c:v>
                </c:pt>
                <c:pt idx="3115">
                  <c:v>38471</c:v>
                </c:pt>
                <c:pt idx="3116">
                  <c:v>38470</c:v>
                </c:pt>
                <c:pt idx="3117">
                  <c:v>38469</c:v>
                </c:pt>
                <c:pt idx="3118">
                  <c:v>38468</c:v>
                </c:pt>
                <c:pt idx="3119">
                  <c:v>38467</c:v>
                </c:pt>
                <c:pt idx="3120">
                  <c:v>38464</c:v>
                </c:pt>
                <c:pt idx="3121">
                  <c:v>38463</c:v>
                </c:pt>
                <c:pt idx="3122">
                  <c:v>38462</c:v>
                </c:pt>
                <c:pt idx="3123">
                  <c:v>38461</c:v>
                </c:pt>
                <c:pt idx="3124">
                  <c:v>38460</c:v>
                </c:pt>
                <c:pt idx="3125">
                  <c:v>38457</c:v>
                </c:pt>
                <c:pt idx="3126">
                  <c:v>38456</c:v>
                </c:pt>
                <c:pt idx="3127">
                  <c:v>38455</c:v>
                </c:pt>
                <c:pt idx="3128">
                  <c:v>38454</c:v>
                </c:pt>
                <c:pt idx="3129">
                  <c:v>38453</c:v>
                </c:pt>
                <c:pt idx="3130">
                  <c:v>38450</c:v>
                </c:pt>
                <c:pt idx="3131">
                  <c:v>38449</c:v>
                </c:pt>
                <c:pt idx="3132">
                  <c:v>38448</c:v>
                </c:pt>
                <c:pt idx="3133">
                  <c:v>38447</c:v>
                </c:pt>
                <c:pt idx="3134">
                  <c:v>38446</c:v>
                </c:pt>
                <c:pt idx="3135">
                  <c:v>38443</c:v>
                </c:pt>
                <c:pt idx="3136">
                  <c:v>38442</c:v>
                </c:pt>
                <c:pt idx="3137">
                  <c:v>38441</c:v>
                </c:pt>
                <c:pt idx="3138">
                  <c:v>38440</c:v>
                </c:pt>
                <c:pt idx="3139">
                  <c:v>38439</c:v>
                </c:pt>
                <c:pt idx="3140">
                  <c:v>38436</c:v>
                </c:pt>
                <c:pt idx="3141">
                  <c:v>38435</c:v>
                </c:pt>
                <c:pt idx="3142">
                  <c:v>38434</c:v>
                </c:pt>
                <c:pt idx="3143">
                  <c:v>38433</c:v>
                </c:pt>
                <c:pt idx="3144">
                  <c:v>38432</c:v>
                </c:pt>
                <c:pt idx="3145">
                  <c:v>38429</c:v>
                </c:pt>
                <c:pt idx="3146">
                  <c:v>38428</c:v>
                </c:pt>
                <c:pt idx="3147">
                  <c:v>38427</c:v>
                </c:pt>
                <c:pt idx="3148">
                  <c:v>38426</c:v>
                </c:pt>
                <c:pt idx="3149">
                  <c:v>38425</c:v>
                </c:pt>
                <c:pt idx="3150">
                  <c:v>38422</c:v>
                </c:pt>
                <c:pt idx="3151">
                  <c:v>38421</c:v>
                </c:pt>
                <c:pt idx="3152">
                  <c:v>38420</c:v>
                </c:pt>
                <c:pt idx="3153">
                  <c:v>38419</c:v>
                </c:pt>
                <c:pt idx="3154">
                  <c:v>38418</c:v>
                </c:pt>
                <c:pt idx="3155">
                  <c:v>38415</c:v>
                </c:pt>
                <c:pt idx="3156">
                  <c:v>38414</c:v>
                </c:pt>
                <c:pt idx="3157">
                  <c:v>38413</c:v>
                </c:pt>
                <c:pt idx="3158">
                  <c:v>38412</c:v>
                </c:pt>
                <c:pt idx="3159">
                  <c:v>38411</c:v>
                </c:pt>
                <c:pt idx="3160">
                  <c:v>38408</c:v>
                </c:pt>
                <c:pt idx="3161">
                  <c:v>38407</c:v>
                </c:pt>
                <c:pt idx="3162">
                  <c:v>38406</c:v>
                </c:pt>
                <c:pt idx="3163">
                  <c:v>38405</c:v>
                </c:pt>
                <c:pt idx="3164">
                  <c:v>38404</c:v>
                </c:pt>
                <c:pt idx="3165">
                  <c:v>38401</c:v>
                </c:pt>
                <c:pt idx="3166">
                  <c:v>38400</c:v>
                </c:pt>
                <c:pt idx="3167">
                  <c:v>38399</c:v>
                </c:pt>
                <c:pt idx="3168">
                  <c:v>38398</c:v>
                </c:pt>
                <c:pt idx="3169">
                  <c:v>38397</c:v>
                </c:pt>
                <c:pt idx="3170">
                  <c:v>38394</c:v>
                </c:pt>
                <c:pt idx="3171">
                  <c:v>38393</c:v>
                </c:pt>
                <c:pt idx="3172">
                  <c:v>38392</c:v>
                </c:pt>
                <c:pt idx="3173">
                  <c:v>38391</c:v>
                </c:pt>
                <c:pt idx="3174">
                  <c:v>38390</c:v>
                </c:pt>
                <c:pt idx="3175">
                  <c:v>38387</c:v>
                </c:pt>
                <c:pt idx="3176">
                  <c:v>38386</c:v>
                </c:pt>
                <c:pt idx="3177">
                  <c:v>38385</c:v>
                </c:pt>
                <c:pt idx="3178">
                  <c:v>38384</c:v>
                </c:pt>
                <c:pt idx="3179">
                  <c:v>38383</c:v>
                </c:pt>
                <c:pt idx="3180">
                  <c:v>38380</c:v>
                </c:pt>
                <c:pt idx="3181">
                  <c:v>38379</c:v>
                </c:pt>
                <c:pt idx="3182">
                  <c:v>38378</c:v>
                </c:pt>
                <c:pt idx="3183">
                  <c:v>38377</c:v>
                </c:pt>
                <c:pt idx="3184">
                  <c:v>38376</c:v>
                </c:pt>
                <c:pt idx="3185">
                  <c:v>38373</c:v>
                </c:pt>
                <c:pt idx="3186">
                  <c:v>38372</c:v>
                </c:pt>
                <c:pt idx="3187">
                  <c:v>38371</c:v>
                </c:pt>
                <c:pt idx="3188">
                  <c:v>38370</c:v>
                </c:pt>
                <c:pt idx="3189">
                  <c:v>38369</c:v>
                </c:pt>
                <c:pt idx="3190">
                  <c:v>38366</c:v>
                </c:pt>
                <c:pt idx="3191">
                  <c:v>38365</c:v>
                </c:pt>
                <c:pt idx="3192">
                  <c:v>38364</c:v>
                </c:pt>
                <c:pt idx="3193">
                  <c:v>38363</c:v>
                </c:pt>
                <c:pt idx="3194">
                  <c:v>38362</c:v>
                </c:pt>
                <c:pt idx="3195">
                  <c:v>38359</c:v>
                </c:pt>
                <c:pt idx="3196">
                  <c:v>38358</c:v>
                </c:pt>
                <c:pt idx="3197">
                  <c:v>38357</c:v>
                </c:pt>
                <c:pt idx="3198">
                  <c:v>38356</c:v>
                </c:pt>
                <c:pt idx="3199">
                  <c:v>38355</c:v>
                </c:pt>
                <c:pt idx="3200">
                  <c:v>38352</c:v>
                </c:pt>
                <c:pt idx="3201">
                  <c:v>38351</c:v>
                </c:pt>
                <c:pt idx="3202">
                  <c:v>38350</c:v>
                </c:pt>
                <c:pt idx="3203">
                  <c:v>38349</c:v>
                </c:pt>
                <c:pt idx="3204">
                  <c:v>38348</c:v>
                </c:pt>
                <c:pt idx="3205">
                  <c:v>38345</c:v>
                </c:pt>
                <c:pt idx="3206">
                  <c:v>38344</c:v>
                </c:pt>
                <c:pt idx="3207">
                  <c:v>38343</c:v>
                </c:pt>
                <c:pt idx="3208">
                  <c:v>38342</c:v>
                </c:pt>
                <c:pt idx="3209">
                  <c:v>38341</c:v>
                </c:pt>
                <c:pt idx="3210">
                  <c:v>38338</c:v>
                </c:pt>
                <c:pt idx="3211">
                  <c:v>38337</c:v>
                </c:pt>
                <c:pt idx="3212">
                  <c:v>38336</c:v>
                </c:pt>
                <c:pt idx="3213">
                  <c:v>38335</c:v>
                </c:pt>
                <c:pt idx="3214">
                  <c:v>38334</c:v>
                </c:pt>
                <c:pt idx="3215">
                  <c:v>38331</c:v>
                </c:pt>
                <c:pt idx="3216">
                  <c:v>38330</c:v>
                </c:pt>
                <c:pt idx="3217">
                  <c:v>38329</c:v>
                </c:pt>
                <c:pt idx="3218">
                  <c:v>38328</c:v>
                </c:pt>
                <c:pt idx="3219">
                  <c:v>38327</c:v>
                </c:pt>
                <c:pt idx="3220">
                  <c:v>38324</c:v>
                </c:pt>
                <c:pt idx="3221">
                  <c:v>38323</c:v>
                </c:pt>
                <c:pt idx="3222">
                  <c:v>38322</c:v>
                </c:pt>
                <c:pt idx="3223">
                  <c:v>38321</c:v>
                </c:pt>
                <c:pt idx="3224">
                  <c:v>38320</c:v>
                </c:pt>
                <c:pt idx="3225">
                  <c:v>38317</c:v>
                </c:pt>
                <c:pt idx="3226">
                  <c:v>38316</c:v>
                </c:pt>
                <c:pt idx="3227">
                  <c:v>38315</c:v>
                </c:pt>
                <c:pt idx="3228">
                  <c:v>38314</c:v>
                </c:pt>
                <c:pt idx="3229">
                  <c:v>38313</c:v>
                </c:pt>
                <c:pt idx="3230">
                  <c:v>38310</c:v>
                </c:pt>
                <c:pt idx="3231">
                  <c:v>38309</c:v>
                </c:pt>
                <c:pt idx="3232">
                  <c:v>38308</c:v>
                </c:pt>
                <c:pt idx="3233">
                  <c:v>38307</c:v>
                </c:pt>
                <c:pt idx="3234">
                  <c:v>38306</c:v>
                </c:pt>
                <c:pt idx="3235">
                  <c:v>38303</c:v>
                </c:pt>
                <c:pt idx="3236">
                  <c:v>38302</c:v>
                </c:pt>
                <c:pt idx="3237">
                  <c:v>38301</c:v>
                </c:pt>
                <c:pt idx="3238">
                  <c:v>38300</c:v>
                </c:pt>
                <c:pt idx="3239">
                  <c:v>38299</c:v>
                </c:pt>
                <c:pt idx="3240">
                  <c:v>38296</c:v>
                </c:pt>
                <c:pt idx="3241">
                  <c:v>38295</c:v>
                </c:pt>
                <c:pt idx="3242">
                  <c:v>38294</c:v>
                </c:pt>
                <c:pt idx="3243">
                  <c:v>38293</c:v>
                </c:pt>
                <c:pt idx="3244">
                  <c:v>38292</c:v>
                </c:pt>
                <c:pt idx="3245">
                  <c:v>38289</c:v>
                </c:pt>
                <c:pt idx="3246">
                  <c:v>38288</c:v>
                </c:pt>
                <c:pt idx="3247">
                  <c:v>38287</c:v>
                </c:pt>
                <c:pt idx="3248">
                  <c:v>38286</c:v>
                </c:pt>
                <c:pt idx="3249">
                  <c:v>38285</c:v>
                </c:pt>
                <c:pt idx="3250">
                  <c:v>38282</c:v>
                </c:pt>
                <c:pt idx="3251">
                  <c:v>38281</c:v>
                </c:pt>
                <c:pt idx="3252">
                  <c:v>38280</c:v>
                </c:pt>
                <c:pt idx="3253">
                  <c:v>38279</c:v>
                </c:pt>
                <c:pt idx="3254">
                  <c:v>38278</c:v>
                </c:pt>
                <c:pt idx="3255">
                  <c:v>38275</c:v>
                </c:pt>
                <c:pt idx="3256">
                  <c:v>38274</c:v>
                </c:pt>
                <c:pt idx="3257">
                  <c:v>38273</c:v>
                </c:pt>
                <c:pt idx="3258">
                  <c:v>38272</c:v>
                </c:pt>
                <c:pt idx="3259">
                  <c:v>38271</c:v>
                </c:pt>
                <c:pt idx="3260">
                  <c:v>38268</c:v>
                </c:pt>
                <c:pt idx="3261">
                  <c:v>38267</c:v>
                </c:pt>
                <c:pt idx="3262">
                  <c:v>38266</c:v>
                </c:pt>
                <c:pt idx="3263">
                  <c:v>38265</c:v>
                </c:pt>
                <c:pt idx="3264">
                  <c:v>38264</c:v>
                </c:pt>
                <c:pt idx="3265">
                  <c:v>38261</c:v>
                </c:pt>
                <c:pt idx="3266">
                  <c:v>38260</c:v>
                </c:pt>
                <c:pt idx="3267">
                  <c:v>38259</c:v>
                </c:pt>
                <c:pt idx="3268">
                  <c:v>38258</c:v>
                </c:pt>
                <c:pt idx="3269">
                  <c:v>38257</c:v>
                </c:pt>
                <c:pt idx="3270">
                  <c:v>38254</c:v>
                </c:pt>
                <c:pt idx="3271">
                  <c:v>38253</c:v>
                </c:pt>
                <c:pt idx="3272">
                  <c:v>38252</c:v>
                </c:pt>
                <c:pt idx="3273">
                  <c:v>38251</c:v>
                </c:pt>
                <c:pt idx="3274">
                  <c:v>38250</c:v>
                </c:pt>
                <c:pt idx="3275">
                  <c:v>38247</c:v>
                </c:pt>
                <c:pt idx="3276">
                  <c:v>38246</c:v>
                </c:pt>
                <c:pt idx="3277">
                  <c:v>38245</c:v>
                </c:pt>
                <c:pt idx="3278">
                  <c:v>38244</c:v>
                </c:pt>
                <c:pt idx="3279">
                  <c:v>38243</c:v>
                </c:pt>
                <c:pt idx="3280">
                  <c:v>38240</c:v>
                </c:pt>
                <c:pt idx="3281">
                  <c:v>38239</c:v>
                </c:pt>
                <c:pt idx="3282">
                  <c:v>38238</c:v>
                </c:pt>
                <c:pt idx="3283">
                  <c:v>38237</c:v>
                </c:pt>
                <c:pt idx="3284">
                  <c:v>38236</c:v>
                </c:pt>
                <c:pt idx="3285">
                  <c:v>38233</c:v>
                </c:pt>
                <c:pt idx="3286">
                  <c:v>38232</c:v>
                </c:pt>
                <c:pt idx="3287">
                  <c:v>38231</c:v>
                </c:pt>
                <c:pt idx="3288">
                  <c:v>38230</c:v>
                </c:pt>
                <c:pt idx="3289">
                  <c:v>38229</c:v>
                </c:pt>
                <c:pt idx="3290">
                  <c:v>38226</c:v>
                </c:pt>
                <c:pt idx="3291">
                  <c:v>38225</c:v>
                </c:pt>
                <c:pt idx="3292">
                  <c:v>38224</c:v>
                </c:pt>
                <c:pt idx="3293">
                  <c:v>38223</c:v>
                </c:pt>
                <c:pt idx="3294">
                  <c:v>38222</c:v>
                </c:pt>
                <c:pt idx="3295">
                  <c:v>38219</c:v>
                </c:pt>
                <c:pt idx="3296">
                  <c:v>38218</c:v>
                </c:pt>
                <c:pt idx="3297">
                  <c:v>38217</c:v>
                </c:pt>
                <c:pt idx="3298">
                  <c:v>38216</c:v>
                </c:pt>
                <c:pt idx="3299">
                  <c:v>38215</c:v>
                </c:pt>
                <c:pt idx="3300">
                  <c:v>38212</c:v>
                </c:pt>
                <c:pt idx="3301">
                  <c:v>38211</c:v>
                </c:pt>
                <c:pt idx="3302">
                  <c:v>38210</c:v>
                </c:pt>
                <c:pt idx="3303">
                  <c:v>38209</c:v>
                </c:pt>
                <c:pt idx="3304">
                  <c:v>38208</c:v>
                </c:pt>
                <c:pt idx="3305">
                  <c:v>38205</c:v>
                </c:pt>
                <c:pt idx="3306">
                  <c:v>38204</c:v>
                </c:pt>
                <c:pt idx="3307">
                  <c:v>38203</c:v>
                </c:pt>
                <c:pt idx="3308">
                  <c:v>38202</c:v>
                </c:pt>
                <c:pt idx="3309">
                  <c:v>38201</c:v>
                </c:pt>
                <c:pt idx="3310">
                  <c:v>38198</c:v>
                </c:pt>
                <c:pt idx="3311">
                  <c:v>38197</c:v>
                </c:pt>
                <c:pt idx="3312">
                  <c:v>38196</c:v>
                </c:pt>
                <c:pt idx="3313">
                  <c:v>38195</c:v>
                </c:pt>
                <c:pt idx="3314">
                  <c:v>38194</c:v>
                </c:pt>
                <c:pt idx="3315">
                  <c:v>38191</c:v>
                </c:pt>
                <c:pt idx="3316">
                  <c:v>38190</c:v>
                </c:pt>
                <c:pt idx="3317">
                  <c:v>38189</c:v>
                </c:pt>
                <c:pt idx="3318">
                  <c:v>38188</c:v>
                </c:pt>
                <c:pt idx="3319">
                  <c:v>38187</c:v>
                </c:pt>
                <c:pt idx="3320">
                  <c:v>38184</c:v>
                </c:pt>
                <c:pt idx="3321">
                  <c:v>38183</c:v>
                </c:pt>
                <c:pt idx="3322">
                  <c:v>38182</c:v>
                </c:pt>
                <c:pt idx="3323">
                  <c:v>38181</c:v>
                </c:pt>
                <c:pt idx="3324">
                  <c:v>38180</c:v>
                </c:pt>
                <c:pt idx="3325">
                  <c:v>38177</c:v>
                </c:pt>
                <c:pt idx="3326">
                  <c:v>38176</c:v>
                </c:pt>
                <c:pt idx="3327">
                  <c:v>38175</c:v>
                </c:pt>
                <c:pt idx="3328">
                  <c:v>38174</c:v>
                </c:pt>
                <c:pt idx="3329">
                  <c:v>38173</c:v>
                </c:pt>
                <c:pt idx="3330">
                  <c:v>38170</c:v>
                </c:pt>
                <c:pt idx="3331">
                  <c:v>38169</c:v>
                </c:pt>
                <c:pt idx="3332">
                  <c:v>38168</c:v>
                </c:pt>
                <c:pt idx="3333">
                  <c:v>38167</c:v>
                </c:pt>
                <c:pt idx="3334">
                  <c:v>38166</c:v>
                </c:pt>
                <c:pt idx="3335">
                  <c:v>38163</c:v>
                </c:pt>
                <c:pt idx="3336">
                  <c:v>38162</c:v>
                </c:pt>
                <c:pt idx="3337">
                  <c:v>38161</c:v>
                </c:pt>
                <c:pt idx="3338">
                  <c:v>38160</c:v>
                </c:pt>
                <c:pt idx="3339">
                  <c:v>38159</c:v>
                </c:pt>
                <c:pt idx="3340">
                  <c:v>38156</c:v>
                </c:pt>
                <c:pt idx="3341">
                  <c:v>38155</c:v>
                </c:pt>
                <c:pt idx="3342">
                  <c:v>38154</c:v>
                </c:pt>
                <c:pt idx="3343">
                  <c:v>38153</c:v>
                </c:pt>
                <c:pt idx="3344">
                  <c:v>38152</c:v>
                </c:pt>
                <c:pt idx="3345">
                  <c:v>38149</c:v>
                </c:pt>
                <c:pt idx="3346">
                  <c:v>38148</c:v>
                </c:pt>
                <c:pt idx="3347">
                  <c:v>38147</c:v>
                </c:pt>
                <c:pt idx="3348">
                  <c:v>38146</c:v>
                </c:pt>
                <c:pt idx="3349">
                  <c:v>38145</c:v>
                </c:pt>
                <c:pt idx="3350">
                  <c:v>38142</c:v>
                </c:pt>
                <c:pt idx="3351">
                  <c:v>38141</c:v>
                </c:pt>
                <c:pt idx="3352">
                  <c:v>38140</c:v>
                </c:pt>
                <c:pt idx="3353">
                  <c:v>38139</c:v>
                </c:pt>
                <c:pt idx="3354">
                  <c:v>38138</c:v>
                </c:pt>
                <c:pt idx="3355">
                  <c:v>38135</c:v>
                </c:pt>
                <c:pt idx="3356">
                  <c:v>38134</c:v>
                </c:pt>
                <c:pt idx="3357">
                  <c:v>38133</c:v>
                </c:pt>
                <c:pt idx="3358">
                  <c:v>38132</c:v>
                </c:pt>
                <c:pt idx="3359">
                  <c:v>38131</c:v>
                </c:pt>
                <c:pt idx="3360">
                  <c:v>38128</c:v>
                </c:pt>
                <c:pt idx="3361">
                  <c:v>38127</c:v>
                </c:pt>
                <c:pt idx="3362">
                  <c:v>38126</c:v>
                </c:pt>
                <c:pt idx="3363">
                  <c:v>38125</c:v>
                </c:pt>
                <c:pt idx="3364">
                  <c:v>38124</c:v>
                </c:pt>
                <c:pt idx="3365">
                  <c:v>38121</c:v>
                </c:pt>
                <c:pt idx="3366">
                  <c:v>38120</c:v>
                </c:pt>
                <c:pt idx="3367">
                  <c:v>38119</c:v>
                </c:pt>
                <c:pt idx="3368">
                  <c:v>38118</c:v>
                </c:pt>
                <c:pt idx="3369">
                  <c:v>38117</c:v>
                </c:pt>
                <c:pt idx="3370">
                  <c:v>38114</c:v>
                </c:pt>
                <c:pt idx="3371">
                  <c:v>38113</c:v>
                </c:pt>
                <c:pt idx="3372">
                  <c:v>38112</c:v>
                </c:pt>
                <c:pt idx="3373">
                  <c:v>38111</c:v>
                </c:pt>
                <c:pt idx="3374">
                  <c:v>38110</c:v>
                </c:pt>
                <c:pt idx="3375">
                  <c:v>38107</c:v>
                </c:pt>
                <c:pt idx="3376">
                  <c:v>38106</c:v>
                </c:pt>
                <c:pt idx="3377">
                  <c:v>38105</c:v>
                </c:pt>
                <c:pt idx="3378">
                  <c:v>38104</c:v>
                </c:pt>
                <c:pt idx="3379">
                  <c:v>38103</c:v>
                </c:pt>
                <c:pt idx="3380">
                  <c:v>38100</c:v>
                </c:pt>
                <c:pt idx="3381">
                  <c:v>38099</c:v>
                </c:pt>
                <c:pt idx="3382">
                  <c:v>38098</c:v>
                </c:pt>
                <c:pt idx="3383">
                  <c:v>38097</c:v>
                </c:pt>
                <c:pt idx="3384">
                  <c:v>38096</c:v>
                </c:pt>
                <c:pt idx="3385">
                  <c:v>38093</c:v>
                </c:pt>
                <c:pt idx="3386">
                  <c:v>38092</c:v>
                </c:pt>
                <c:pt idx="3387">
                  <c:v>38091</c:v>
                </c:pt>
                <c:pt idx="3388">
                  <c:v>38090</c:v>
                </c:pt>
                <c:pt idx="3389">
                  <c:v>38089</c:v>
                </c:pt>
                <c:pt idx="3390">
                  <c:v>38086</c:v>
                </c:pt>
                <c:pt idx="3391">
                  <c:v>38085</c:v>
                </c:pt>
                <c:pt idx="3392">
                  <c:v>38084</c:v>
                </c:pt>
                <c:pt idx="3393">
                  <c:v>38083</c:v>
                </c:pt>
                <c:pt idx="3394">
                  <c:v>38082</c:v>
                </c:pt>
                <c:pt idx="3395">
                  <c:v>38079</c:v>
                </c:pt>
                <c:pt idx="3396">
                  <c:v>38078</c:v>
                </c:pt>
                <c:pt idx="3397">
                  <c:v>38077</c:v>
                </c:pt>
                <c:pt idx="3398">
                  <c:v>38076</c:v>
                </c:pt>
                <c:pt idx="3399">
                  <c:v>38075</c:v>
                </c:pt>
                <c:pt idx="3400">
                  <c:v>38072</c:v>
                </c:pt>
                <c:pt idx="3401">
                  <c:v>38071</c:v>
                </c:pt>
                <c:pt idx="3402">
                  <c:v>38070</c:v>
                </c:pt>
                <c:pt idx="3403">
                  <c:v>38069</c:v>
                </c:pt>
                <c:pt idx="3404">
                  <c:v>38068</c:v>
                </c:pt>
                <c:pt idx="3405">
                  <c:v>38065</c:v>
                </c:pt>
                <c:pt idx="3406">
                  <c:v>38064</c:v>
                </c:pt>
                <c:pt idx="3407">
                  <c:v>38063</c:v>
                </c:pt>
                <c:pt idx="3408">
                  <c:v>38062</c:v>
                </c:pt>
                <c:pt idx="3409">
                  <c:v>38061</c:v>
                </c:pt>
                <c:pt idx="3410">
                  <c:v>38058</c:v>
                </c:pt>
                <c:pt idx="3411">
                  <c:v>38057</c:v>
                </c:pt>
                <c:pt idx="3412">
                  <c:v>38056</c:v>
                </c:pt>
                <c:pt idx="3413">
                  <c:v>38055</c:v>
                </c:pt>
                <c:pt idx="3414">
                  <c:v>38054</c:v>
                </c:pt>
                <c:pt idx="3415">
                  <c:v>38051</c:v>
                </c:pt>
                <c:pt idx="3416">
                  <c:v>38050</c:v>
                </c:pt>
                <c:pt idx="3417">
                  <c:v>38049</c:v>
                </c:pt>
                <c:pt idx="3418">
                  <c:v>38048</c:v>
                </c:pt>
                <c:pt idx="3419">
                  <c:v>38047</c:v>
                </c:pt>
                <c:pt idx="3420">
                  <c:v>38044</c:v>
                </c:pt>
                <c:pt idx="3421">
                  <c:v>38043</c:v>
                </c:pt>
                <c:pt idx="3422">
                  <c:v>38042</c:v>
                </c:pt>
                <c:pt idx="3423">
                  <c:v>38041</c:v>
                </c:pt>
                <c:pt idx="3424">
                  <c:v>38040</c:v>
                </c:pt>
                <c:pt idx="3425">
                  <c:v>38037</c:v>
                </c:pt>
                <c:pt idx="3426">
                  <c:v>38036</c:v>
                </c:pt>
                <c:pt idx="3427">
                  <c:v>38035</c:v>
                </c:pt>
                <c:pt idx="3428">
                  <c:v>38034</c:v>
                </c:pt>
                <c:pt idx="3429">
                  <c:v>38033</c:v>
                </c:pt>
                <c:pt idx="3430">
                  <c:v>38030</c:v>
                </c:pt>
                <c:pt idx="3431">
                  <c:v>38029</c:v>
                </c:pt>
                <c:pt idx="3432">
                  <c:v>38028</c:v>
                </c:pt>
                <c:pt idx="3433">
                  <c:v>38027</c:v>
                </c:pt>
                <c:pt idx="3434">
                  <c:v>38026</c:v>
                </c:pt>
                <c:pt idx="3435">
                  <c:v>38023</c:v>
                </c:pt>
                <c:pt idx="3436">
                  <c:v>38022</c:v>
                </c:pt>
                <c:pt idx="3437">
                  <c:v>38021</c:v>
                </c:pt>
                <c:pt idx="3438">
                  <c:v>38020</c:v>
                </c:pt>
                <c:pt idx="3439">
                  <c:v>38019</c:v>
                </c:pt>
                <c:pt idx="3440">
                  <c:v>38016</c:v>
                </c:pt>
                <c:pt idx="3441">
                  <c:v>38015</c:v>
                </c:pt>
                <c:pt idx="3442">
                  <c:v>38014</c:v>
                </c:pt>
                <c:pt idx="3443">
                  <c:v>38013</c:v>
                </c:pt>
                <c:pt idx="3444">
                  <c:v>38012</c:v>
                </c:pt>
                <c:pt idx="3445">
                  <c:v>38009</c:v>
                </c:pt>
                <c:pt idx="3446">
                  <c:v>38008</c:v>
                </c:pt>
                <c:pt idx="3447">
                  <c:v>38007</c:v>
                </c:pt>
                <c:pt idx="3448">
                  <c:v>38006</c:v>
                </c:pt>
                <c:pt idx="3449">
                  <c:v>38005</c:v>
                </c:pt>
                <c:pt idx="3450">
                  <c:v>38002</c:v>
                </c:pt>
                <c:pt idx="3451">
                  <c:v>38001</c:v>
                </c:pt>
                <c:pt idx="3452">
                  <c:v>38000</c:v>
                </c:pt>
                <c:pt idx="3453">
                  <c:v>37999</c:v>
                </c:pt>
                <c:pt idx="3454">
                  <c:v>37998</c:v>
                </c:pt>
                <c:pt idx="3455">
                  <c:v>37995</c:v>
                </c:pt>
                <c:pt idx="3456">
                  <c:v>37994</c:v>
                </c:pt>
                <c:pt idx="3457">
                  <c:v>37993</c:v>
                </c:pt>
                <c:pt idx="3458">
                  <c:v>37992</c:v>
                </c:pt>
                <c:pt idx="3459">
                  <c:v>37991</c:v>
                </c:pt>
                <c:pt idx="3460">
                  <c:v>37988</c:v>
                </c:pt>
                <c:pt idx="3461">
                  <c:v>37987</c:v>
                </c:pt>
                <c:pt idx="3462">
                  <c:v>37986</c:v>
                </c:pt>
                <c:pt idx="3463">
                  <c:v>37985</c:v>
                </c:pt>
                <c:pt idx="3464">
                  <c:v>37984</c:v>
                </c:pt>
                <c:pt idx="3465">
                  <c:v>37981</c:v>
                </c:pt>
                <c:pt idx="3466">
                  <c:v>37980</c:v>
                </c:pt>
                <c:pt idx="3467">
                  <c:v>37979</c:v>
                </c:pt>
                <c:pt idx="3468">
                  <c:v>37978</c:v>
                </c:pt>
                <c:pt idx="3469">
                  <c:v>37977</c:v>
                </c:pt>
                <c:pt idx="3470">
                  <c:v>37974</c:v>
                </c:pt>
                <c:pt idx="3471">
                  <c:v>37973</c:v>
                </c:pt>
                <c:pt idx="3472">
                  <c:v>37972</c:v>
                </c:pt>
                <c:pt idx="3473">
                  <c:v>37971</c:v>
                </c:pt>
                <c:pt idx="3474">
                  <c:v>37970</c:v>
                </c:pt>
                <c:pt idx="3475">
                  <c:v>37967</c:v>
                </c:pt>
                <c:pt idx="3476">
                  <c:v>37966</c:v>
                </c:pt>
                <c:pt idx="3477">
                  <c:v>37965</c:v>
                </c:pt>
                <c:pt idx="3478">
                  <c:v>37964</c:v>
                </c:pt>
                <c:pt idx="3479">
                  <c:v>37963</c:v>
                </c:pt>
                <c:pt idx="3480">
                  <c:v>37960</c:v>
                </c:pt>
                <c:pt idx="3481">
                  <c:v>37959</c:v>
                </c:pt>
                <c:pt idx="3482">
                  <c:v>37958</c:v>
                </c:pt>
                <c:pt idx="3483">
                  <c:v>37957</c:v>
                </c:pt>
                <c:pt idx="3484">
                  <c:v>37956</c:v>
                </c:pt>
                <c:pt idx="3485">
                  <c:v>37953</c:v>
                </c:pt>
                <c:pt idx="3486">
                  <c:v>37952</c:v>
                </c:pt>
                <c:pt idx="3487">
                  <c:v>37951</c:v>
                </c:pt>
                <c:pt idx="3488">
                  <c:v>37950</c:v>
                </c:pt>
                <c:pt idx="3489">
                  <c:v>37949</c:v>
                </c:pt>
                <c:pt idx="3490">
                  <c:v>37946</c:v>
                </c:pt>
                <c:pt idx="3491">
                  <c:v>37945</c:v>
                </c:pt>
                <c:pt idx="3492">
                  <c:v>37944</c:v>
                </c:pt>
                <c:pt idx="3493">
                  <c:v>37943</c:v>
                </c:pt>
                <c:pt idx="3494">
                  <c:v>37942</c:v>
                </c:pt>
                <c:pt idx="3495">
                  <c:v>37939</c:v>
                </c:pt>
                <c:pt idx="3496">
                  <c:v>37938</c:v>
                </c:pt>
                <c:pt idx="3497">
                  <c:v>37937</c:v>
                </c:pt>
                <c:pt idx="3498">
                  <c:v>37936</c:v>
                </c:pt>
                <c:pt idx="3499">
                  <c:v>37935</c:v>
                </c:pt>
                <c:pt idx="3500">
                  <c:v>37932</c:v>
                </c:pt>
                <c:pt idx="3501">
                  <c:v>37931</c:v>
                </c:pt>
                <c:pt idx="3502">
                  <c:v>37930</c:v>
                </c:pt>
                <c:pt idx="3503">
                  <c:v>37929</c:v>
                </c:pt>
                <c:pt idx="3504">
                  <c:v>37928</c:v>
                </c:pt>
                <c:pt idx="3505">
                  <c:v>37925</c:v>
                </c:pt>
                <c:pt idx="3506">
                  <c:v>37924</c:v>
                </c:pt>
                <c:pt idx="3507">
                  <c:v>37923</c:v>
                </c:pt>
                <c:pt idx="3508">
                  <c:v>37922</c:v>
                </c:pt>
                <c:pt idx="3509">
                  <c:v>37921</c:v>
                </c:pt>
                <c:pt idx="3510">
                  <c:v>37918</c:v>
                </c:pt>
                <c:pt idx="3511">
                  <c:v>37917</c:v>
                </c:pt>
                <c:pt idx="3512">
                  <c:v>37916</c:v>
                </c:pt>
                <c:pt idx="3513">
                  <c:v>37915</c:v>
                </c:pt>
                <c:pt idx="3514">
                  <c:v>37914</c:v>
                </c:pt>
                <c:pt idx="3515">
                  <c:v>37911</c:v>
                </c:pt>
                <c:pt idx="3516">
                  <c:v>37910</c:v>
                </c:pt>
                <c:pt idx="3517">
                  <c:v>37909</c:v>
                </c:pt>
                <c:pt idx="3518">
                  <c:v>37908</c:v>
                </c:pt>
                <c:pt idx="3519">
                  <c:v>37907</c:v>
                </c:pt>
                <c:pt idx="3520">
                  <c:v>37904</c:v>
                </c:pt>
                <c:pt idx="3521">
                  <c:v>37903</c:v>
                </c:pt>
                <c:pt idx="3522">
                  <c:v>37902</c:v>
                </c:pt>
                <c:pt idx="3523">
                  <c:v>37901</c:v>
                </c:pt>
                <c:pt idx="3524">
                  <c:v>37900</c:v>
                </c:pt>
                <c:pt idx="3525">
                  <c:v>37897</c:v>
                </c:pt>
                <c:pt idx="3526">
                  <c:v>37896</c:v>
                </c:pt>
                <c:pt idx="3527">
                  <c:v>37895</c:v>
                </c:pt>
                <c:pt idx="3528">
                  <c:v>37894</c:v>
                </c:pt>
                <c:pt idx="3529">
                  <c:v>37893</c:v>
                </c:pt>
                <c:pt idx="3530">
                  <c:v>37890</c:v>
                </c:pt>
                <c:pt idx="3531">
                  <c:v>37889</c:v>
                </c:pt>
                <c:pt idx="3532">
                  <c:v>37888</c:v>
                </c:pt>
                <c:pt idx="3533">
                  <c:v>37887</c:v>
                </c:pt>
                <c:pt idx="3534">
                  <c:v>37886</c:v>
                </c:pt>
                <c:pt idx="3535">
                  <c:v>37883</c:v>
                </c:pt>
                <c:pt idx="3536">
                  <c:v>37882</c:v>
                </c:pt>
                <c:pt idx="3537">
                  <c:v>37881</c:v>
                </c:pt>
                <c:pt idx="3538">
                  <c:v>37880</c:v>
                </c:pt>
                <c:pt idx="3539">
                  <c:v>37879</c:v>
                </c:pt>
                <c:pt idx="3540">
                  <c:v>37876</c:v>
                </c:pt>
                <c:pt idx="3541">
                  <c:v>37875</c:v>
                </c:pt>
                <c:pt idx="3542">
                  <c:v>37874</c:v>
                </c:pt>
                <c:pt idx="3543">
                  <c:v>37873</c:v>
                </c:pt>
                <c:pt idx="3544">
                  <c:v>37872</c:v>
                </c:pt>
                <c:pt idx="3545">
                  <c:v>37869</c:v>
                </c:pt>
                <c:pt idx="3546">
                  <c:v>37868</c:v>
                </c:pt>
                <c:pt idx="3547">
                  <c:v>37867</c:v>
                </c:pt>
                <c:pt idx="3548">
                  <c:v>37866</c:v>
                </c:pt>
                <c:pt idx="3549">
                  <c:v>37865</c:v>
                </c:pt>
                <c:pt idx="3550">
                  <c:v>37862</c:v>
                </c:pt>
                <c:pt idx="3551">
                  <c:v>37861</c:v>
                </c:pt>
                <c:pt idx="3552">
                  <c:v>37860</c:v>
                </c:pt>
                <c:pt idx="3553">
                  <c:v>37859</c:v>
                </c:pt>
                <c:pt idx="3554">
                  <c:v>37858</c:v>
                </c:pt>
                <c:pt idx="3555">
                  <c:v>37855</c:v>
                </c:pt>
                <c:pt idx="3556">
                  <c:v>37854</c:v>
                </c:pt>
                <c:pt idx="3557">
                  <c:v>37853</c:v>
                </c:pt>
                <c:pt idx="3558">
                  <c:v>37852</c:v>
                </c:pt>
                <c:pt idx="3559">
                  <c:v>37851</c:v>
                </c:pt>
                <c:pt idx="3560">
                  <c:v>37848</c:v>
                </c:pt>
                <c:pt idx="3561">
                  <c:v>37847</c:v>
                </c:pt>
                <c:pt idx="3562">
                  <c:v>37846</c:v>
                </c:pt>
                <c:pt idx="3563">
                  <c:v>37845</c:v>
                </c:pt>
                <c:pt idx="3564">
                  <c:v>37844</c:v>
                </c:pt>
                <c:pt idx="3565">
                  <c:v>37841</c:v>
                </c:pt>
                <c:pt idx="3566">
                  <c:v>37840</c:v>
                </c:pt>
                <c:pt idx="3567">
                  <c:v>37839</c:v>
                </c:pt>
                <c:pt idx="3568">
                  <c:v>37838</c:v>
                </c:pt>
                <c:pt idx="3569">
                  <c:v>37837</c:v>
                </c:pt>
                <c:pt idx="3570">
                  <c:v>37834</c:v>
                </c:pt>
                <c:pt idx="3571">
                  <c:v>37833</c:v>
                </c:pt>
                <c:pt idx="3572">
                  <c:v>37832</c:v>
                </c:pt>
                <c:pt idx="3573">
                  <c:v>37831</c:v>
                </c:pt>
                <c:pt idx="3574">
                  <c:v>37830</c:v>
                </c:pt>
                <c:pt idx="3575">
                  <c:v>37827</c:v>
                </c:pt>
                <c:pt idx="3576">
                  <c:v>37826</c:v>
                </c:pt>
                <c:pt idx="3577">
                  <c:v>37825</c:v>
                </c:pt>
                <c:pt idx="3578">
                  <c:v>37824</c:v>
                </c:pt>
                <c:pt idx="3579">
                  <c:v>37823</c:v>
                </c:pt>
                <c:pt idx="3580">
                  <c:v>37820</c:v>
                </c:pt>
                <c:pt idx="3581">
                  <c:v>37819</c:v>
                </c:pt>
                <c:pt idx="3582">
                  <c:v>37818</c:v>
                </c:pt>
                <c:pt idx="3583">
                  <c:v>37817</c:v>
                </c:pt>
                <c:pt idx="3584">
                  <c:v>37816</c:v>
                </c:pt>
                <c:pt idx="3585">
                  <c:v>37813</c:v>
                </c:pt>
                <c:pt idx="3586">
                  <c:v>37812</c:v>
                </c:pt>
                <c:pt idx="3587">
                  <c:v>37811</c:v>
                </c:pt>
                <c:pt idx="3588">
                  <c:v>37810</c:v>
                </c:pt>
                <c:pt idx="3589">
                  <c:v>37809</c:v>
                </c:pt>
                <c:pt idx="3590">
                  <c:v>37806</c:v>
                </c:pt>
                <c:pt idx="3591">
                  <c:v>37805</c:v>
                </c:pt>
                <c:pt idx="3592">
                  <c:v>37804</c:v>
                </c:pt>
                <c:pt idx="3593">
                  <c:v>37803</c:v>
                </c:pt>
                <c:pt idx="3594">
                  <c:v>37802</c:v>
                </c:pt>
                <c:pt idx="3595">
                  <c:v>37799</c:v>
                </c:pt>
                <c:pt idx="3596">
                  <c:v>37798</c:v>
                </c:pt>
                <c:pt idx="3597">
                  <c:v>37797</c:v>
                </c:pt>
                <c:pt idx="3598">
                  <c:v>37796</c:v>
                </c:pt>
                <c:pt idx="3599">
                  <c:v>37795</c:v>
                </c:pt>
                <c:pt idx="3600">
                  <c:v>37792</c:v>
                </c:pt>
                <c:pt idx="3601">
                  <c:v>37791</c:v>
                </c:pt>
                <c:pt idx="3602">
                  <c:v>37790</c:v>
                </c:pt>
                <c:pt idx="3603">
                  <c:v>37789</c:v>
                </c:pt>
                <c:pt idx="3604">
                  <c:v>37788</c:v>
                </c:pt>
                <c:pt idx="3605">
                  <c:v>37785</c:v>
                </c:pt>
                <c:pt idx="3606">
                  <c:v>37784</c:v>
                </c:pt>
                <c:pt idx="3607">
                  <c:v>37783</c:v>
                </c:pt>
                <c:pt idx="3608">
                  <c:v>37782</c:v>
                </c:pt>
                <c:pt idx="3609">
                  <c:v>37781</c:v>
                </c:pt>
                <c:pt idx="3610">
                  <c:v>37778</c:v>
                </c:pt>
                <c:pt idx="3611">
                  <c:v>37777</c:v>
                </c:pt>
                <c:pt idx="3612">
                  <c:v>37776</c:v>
                </c:pt>
                <c:pt idx="3613">
                  <c:v>37775</c:v>
                </c:pt>
                <c:pt idx="3614">
                  <c:v>37774</c:v>
                </c:pt>
                <c:pt idx="3615">
                  <c:v>37771</c:v>
                </c:pt>
                <c:pt idx="3616">
                  <c:v>37770</c:v>
                </c:pt>
                <c:pt idx="3617">
                  <c:v>37769</c:v>
                </c:pt>
                <c:pt idx="3618">
                  <c:v>37768</c:v>
                </c:pt>
                <c:pt idx="3619">
                  <c:v>37767</c:v>
                </c:pt>
                <c:pt idx="3620">
                  <c:v>37764</c:v>
                </c:pt>
                <c:pt idx="3621">
                  <c:v>37763</c:v>
                </c:pt>
                <c:pt idx="3622">
                  <c:v>37762</c:v>
                </c:pt>
                <c:pt idx="3623">
                  <c:v>37761</c:v>
                </c:pt>
                <c:pt idx="3624">
                  <c:v>37760</c:v>
                </c:pt>
                <c:pt idx="3625">
                  <c:v>37757</c:v>
                </c:pt>
                <c:pt idx="3626">
                  <c:v>37756</c:v>
                </c:pt>
                <c:pt idx="3627">
                  <c:v>37755</c:v>
                </c:pt>
                <c:pt idx="3628">
                  <c:v>37754</c:v>
                </c:pt>
                <c:pt idx="3629">
                  <c:v>37753</c:v>
                </c:pt>
                <c:pt idx="3630">
                  <c:v>37750</c:v>
                </c:pt>
                <c:pt idx="3631">
                  <c:v>37749</c:v>
                </c:pt>
                <c:pt idx="3632">
                  <c:v>37748</c:v>
                </c:pt>
                <c:pt idx="3633">
                  <c:v>37747</c:v>
                </c:pt>
                <c:pt idx="3634">
                  <c:v>37746</c:v>
                </c:pt>
                <c:pt idx="3635">
                  <c:v>37743</c:v>
                </c:pt>
                <c:pt idx="3636">
                  <c:v>37742</c:v>
                </c:pt>
                <c:pt idx="3637">
                  <c:v>37741</c:v>
                </c:pt>
                <c:pt idx="3638">
                  <c:v>37740</c:v>
                </c:pt>
                <c:pt idx="3639">
                  <c:v>37739</c:v>
                </c:pt>
                <c:pt idx="3640">
                  <c:v>37736</c:v>
                </c:pt>
                <c:pt idx="3641">
                  <c:v>37735</c:v>
                </c:pt>
                <c:pt idx="3642">
                  <c:v>37734</c:v>
                </c:pt>
                <c:pt idx="3643">
                  <c:v>37733</c:v>
                </c:pt>
                <c:pt idx="3644">
                  <c:v>37732</c:v>
                </c:pt>
                <c:pt idx="3645">
                  <c:v>37729</c:v>
                </c:pt>
                <c:pt idx="3646">
                  <c:v>37728</c:v>
                </c:pt>
                <c:pt idx="3647">
                  <c:v>37727</c:v>
                </c:pt>
                <c:pt idx="3648">
                  <c:v>37726</c:v>
                </c:pt>
                <c:pt idx="3649">
                  <c:v>37725</c:v>
                </c:pt>
                <c:pt idx="3650">
                  <c:v>37722</c:v>
                </c:pt>
                <c:pt idx="3651">
                  <c:v>37721</c:v>
                </c:pt>
                <c:pt idx="3652">
                  <c:v>37720</c:v>
                </c:pt>
                <c:pt idx="3653">
                  <c:v>37719</c:v>
                </c:pt>
                <c:pt idx="3654">
                  <c:v>37718</c:v>
                </c:pt>
                <c:pt idx="3655">
                  <c:v>37715</c:v>
                </c:pt>
                <c:pt idx="3656">
                  <c:v>37714</c:v>
                </c:pt>
                <c:pt idx="3657">
                  <c:v>37713</c:v>
                </c:pt>
                <c:pt idx="3658">
                  <c:v>37712</c:v>
                </c:pt>
                <c:pt idx="3659">
                  <c:v>37711</c:v>
                </c:pt>
                <c:pt idx="3660">
                  <c:v>37708</c:v>
                </c:pt>
                <c:pt idx="3661">
                  <c:v>37707</c:v>
                </c:pt>
                <c:pt idx="3662">
                  <c:v>37706</c:v>
                </c:pt>
                <c:pt idx="3663">
                  <c:v>37705</c:v>
                </c:pt>
                <c:pt idx="3664">
                  <c:v>37704</c:v>
                </c:pt>
                <c:pt idx="3665">
                  <c:v>37701</c:v>
                </c:pt>
                <c:pt idx="3666">
                  <c:v>37700</c:v>
                </c:pt>
                <c:pt idx="3667">
                  <c:v>37699</c:v>
                </c:pt>
                <c:pt idx="3668">
                  <c:v>37698</c:v>
                </c:pt>
                <c:pt idx="3669">
                  <c:v>37697</c:v>
                </c:pt>
                <c:pt idx="3670">
                  <c:v>37694</c:v>
                </c:pt>
                <c:pt idx="3671">
                  <c:v>37693</c:v>
                </c:pt>
                <c:pt idx="3672">
                  <c:v>37692</c:v>
                </c:pt>
                <c:pt idx="3673">
                  <c:v>37691</c:v>
                </c:pt>
                <c:pt idx="3674">
                  <c:v>37690</c:v>
                </c:pt>
                <c:pt idx="3675">
                  <c:v>37687</c:v>
                </c:pt>
                <c:pt idx="3676">
                  <c:v>37686</c:v>
                </c:pt>
                <c:pt idx="3677">
                  <c:v>37685</c:v>
                </c:pt>
                <c:pt idx="3678">
                  <c:v>37684</c:v>
                </c:pt>
                <c:pt idx="3679">
                  <c:v>37683</c:v>
                </c:pt>
                <c:pt idx="3680">
                  <c:v>37680</c:v>
                </c:pt>
                <c:pt idx="3681">
                  <c:v>37679</c:v>
                </c:pt>
                <c:pt idx="3682">
                  <c:v>37678</c:v>
                </c:pt>
                <c:pt idx="3683">
                  <c:v>37677</c:v>
                </c:pt>
                <c:pt idx="3684">
                  <c:v>37676</c:v>
                </c:pt>
                <c:pt idx="3685">
                  <c:v>37673</c:v>
                </c:pt>
                <c:pt idx="3686">
                  <c:v>37672</c:v>
                </c:pt>
                <c:pt idx="3687">
                  <c:v>37671</c:v>
                </c:pt>
                <c:pt idx="3688">
                  <c:v>37670</c:v>
                </c:pt>
                <c:pt idx="3689">
                  <c:v>37669</c:v>
                </c:pt>
                <c:pt idx="3690">
                  <c:v>37666</c:v>
                </c:pt>
                <c:pt idx="3691">
                  <c:v>37665</c:v>
                </c:pt>
                <c:pt idx="3692">
                  <c:v>37664</c:v>
                </c:pt>
                <c:pt idx="3693">
                  <c:v>37663</c:v>
                </c:pt>
                <c:pt idx="3694">
                  <c:v>37662</c:v>
                </c:pt>
                <c:pt idx="3695">
                  <c:v>37659</c:v>
                </c:pt>
                <c:pt idx="3696">
                  <c:v>37658</c:v>
                </c:pt>
                <c:pt idx="3697">
                  <c:v>37657</c:v>
                </c:pt>
                <c:pt idx="3698">
                  <c:v>37656</c:v>
                </c:pt>
                <c:pt idx="3699">
                  <c:v>37655</c:v>
                </c:pt>
                <c:pt idx="3700">
                  <c:v>37652</c:v>
                </c:pt>
                <c:pt idx="3701">
                  <c:v>37651</c:v>
                </c:pt>
                <c:pt idx="3702">
                  <c:v>37650</c:v>
                </c:pt>
                <c:pt idx="3703">
                  <c:v>37649</c:v>
                </c:pt>
                <c:pt idx="3704">
                  <c:v>37648</c:v>
                </c:pt>
                <c:pt idx="3705">
                  <c:v>37645</c:v>
                </c:pt>
                <c:pt idx="3706">
                  <c:v>37644</c:v>
                </c:pt>
                <c:pt idx="3707">
                  <c:v>37643</c:v>
                </c:pt>
                <c:pt idx="3708">
                  <c:v>37642</c:v>
                </c:pt>
                <c:pt idx="3709">
                  <c:v>37641</c:v>
                </c:pt>
                <c:pt idx="3710">
                  <c:v>37638</c:v>
                </c:pt>
                <c:pt idx="3711">
                  <c:v>37637</c:v>
                </c:pt>
                <c:pt idx="3712">
                  <c:v>37636</c:v>
                </c:pt>
                <c:pt idx="3713">
                  <c:v>37635</c:v>
                </c:pt>
                <c:pt idx="3714">
                  <c:v>37634</c:v>
                </c:pt>
                <c:pt idx="3715">
                  <c:v>37631</c:v>
                </c:pt>
                <c:pt idx="3716">
                  <c:v>37630</c:v>
                </c:pt>
                <c:pt idx="3717">
                  <c:v>37629</c:v>
                </c:pt>
                <c:pt idx="3718">
                  <c:v>37628</c:v>
                </c:pt>
                <c:pt idx="3719">
                  <c:v>37627</c:v>
                </c:pt>
                <c:pt idx="3720">
                  <c:v>37624</c:v>
                </c:pt>
                <c:pt idx="3721">
                  <c:v>37623</c:v>
                </c:pt>
                <c:pt idx="3722">
                  <c:v>37622</c:v>
                </c:pt>
                <c:pt idx="3723">
                  <c:v>37621</c:v>
                </c:pt>
                <c:pt idx="3724">
                  <c:v>37620</c:v>
                </c:pt>
                <c:pt idx="3725">
                  <c:v>37617</c:v>
                </c:pt>
                <c:pt idx="3726">
                  <c:v>37616</c:v>
                </c:pt>
                <c:pt idx="3727">
                  <c:v>37615</c:v>
                </c:pt>
                <c:pt idx="3728">
                  <c:v>37614</c:v>
                </c:pt>
                <c:pt idx="3729">
                  <c:v>37613</c:v>
                </c:pt>
                <c:pt idx="3730">
                  <c:v>37610</c:v>
                </c:pt>
                <c:pt idx="3731">
                  <c:v>37609</c:v>
                </c:pt>
                <c:pt idx="3732">
                  <c:v>37608</c:v>
                </c:pt>
                <c:pt idx="3733">
                  <c:v>37607</c:v>
                </c:pt>
                <c:pt idx="3734">
                  <c:v>37606</c:v>
                </c:pt>
                <c:pt idx="3735">
                  <c:v>37603</c:v>
                </c:pt>
                <c:pt idx="3736">
                  <c:v>37602</c:v>
                </c:pt>
                <c:pt idx="3737">
                  <c:v>37601</c:v>
                </c:pt>
                <c:pt idx="3738">
                  <c:v>37600</c:v>
                </c:pt>
                <c:pt idx="3739">
                  <c:v>37599</c:v>
                </c:pt>
                <c:pt idx="3740">
                  <c:v>37596</c:v>
                </c:pt>
                <c:pt idx="3741">
                  <c:v>37595</c:v>
                </c:pt>
                <c:pt idx="3742">
                  <c:v>37594</c:v>
                </c:pt>
                <c:pt idx="3743">
                  <c:v>37593</c:v>
                </c:pt>
                <c:pt idx="3744">
                  <c:v>37592</c:v>
                </c:pt>
                <c:pt idx="3745">
                  <c:v>37589</c:v>
                </c:pt>
                <c:pt idx="3746">
                  <c:v>37588</c:v>
                </c:pt>
                <c:pt idx="3747">
                  <c:v>37587</c:v>
                </c:pt>
                <c:pt idx="3748">
                  <c:v>37586</c:v>
                </c:pt>
                <c:pt idx="3749">
                  <c:v>37585</c:v>
                </c:pt>
                <c:pt idx="3750">
                  <c:v>37582</c:v>
                </c:pt>
                <c:pt idx="3751">
                  <c:v>37581</c:v>
                </c:pt>
                <c:pt idx="3752">
                  <c:v>37580</c:v>
                </c:pt>
                <c:pt idx="3753">
                  <c:v>37579</c:v>
                </c:pt>
                <c:pt idx="3754">
                  <c:v>37578</c:v>
                </c:pt>
                <c:pt idx="3755">
                  <c:v>37575</c:v>
                </c:pt>
                <c:pt idx="3756">
                  <c:v>37574</c:v>
                </c:pt>
                <c:pt idx="3757">
                  <c:v>37573</c:v>
                </c:pt>
                <c:pt idx="3758">
                  <c:v>37572</c:v>
                </c:pt>
                <c:pt idx="3759">
                  <c:v>37571</c:v>
                </c:pt>
                <c:pt idx="3760">
                  <c:v>37568</c:v>
                </c:pt>
                <c:pt idx="3761">
                  <c:v>37567</c:v>
                </c:pt>
                <c:pt idx="3762">
                  <c:v>37566</c:v>
                </c:pt>
                <c:pt idx="3763">
                  <c:v>37565</c:v>
                </c:pt>
                <c:pt idx="3764">
                  <c:v>37564</c:v>
                </c:pt>
                <c:pt idx="3765">
                  <c:v>37561</c:v>
                </c:pt>
                <c:pt idx="3766">
                  <c:v>37560</c:v>
                </c:pt>
                <c:pt idx="3767">
                  <c:v>37559</c:v>
                </c:pt>
                <c:pt idx="3768">
                  <c:v>37558</c:v>
                </c:pt>
                <c:pt idx="3769">
                  <c:v>37557</c:v>
                </c:pt>
                <c:pt idx="3770">
                  <c:v>37554</c:v>
                </c:pt>
                <c:pt idx="3771">
                  <c:v>37553</c:v>
                </c:pt>
                <c:pt idx="3772">
                  <c:v>37552</c:v>
                </c:pt>
                <c:pt idx="3773">
                  <c:v>37551</c:v>
                </c:pt>
                <c:pt idx="3774">
                  <c:v>37550</c:v>
                </c:pt>
                <c:pt idx="3775">
                  <c:v>37547</c:v>
                </c:pt>
                <c:pt idx="3776">
                  <c:v>37546</c:v>
                </c:pt>
                <c:pt idx="3777">
                  <c:v>37545</c:v>
                </c:pt>
                <c:pt idx="3778">
                  <c:v>37544</c:v>
                </c:pt>
                <c:pt idx="3779">
                  <c:v>37543</c:v>
                </c:pt>
                <c:pt idx="3780">
                  <c:v>37540</c:v>
                </c:pt>
                <c:pt idx="3781">
                  <c:v>37539</c:v>
                </c:pt>
                <c:pt idx="3782">
                  <c:v>37538</c:v>
                </c:pt>
                <c:pt idx="3783">
                  <c:v>37537</c:v>
                </c:pt>
                <c:pt idx="3784">
                  <c:v>37536</c:v>
                </c:pt>
                <c:pt idx="3785">
                  <c:v>37533</c:v>
                </c:pt>
                <c:pt idx="3786">
                  <c:v>37532</c:v>
                </c:pt>
                <c:pt idx="3787">
                  <c:v>37531</c:v>
                </c:pt>
                <c:pt idx="3788">
                  <c:v>37530</c:v>
                </c:pt>
                <c:pt idx="3789">
                  <c:v>37529</c:v>
                </c:pt>
                <c:pt idx="3790">
                  <c:v>37526</c:v>
                </c:pt>
                <c:pt idx="3791">
                  <c:v>37525</c:v>
                </c:pt>
                <c:pt idx="3792">
                  <c:v>37524</c:v>
                </c:pt>
                <c:pt idx="3793">
                  <c:v>37523</c:v>
                </c:pt>
                <c:pt idx="3794">
                  <c:v>37522</c:v>
                </c:pt>
                <c:pt idx="3795">
                  <c:v>37519</c:v>
                </c:pt>
                <c:pt idx="3796">
                  <c:v>37518</c:v>
                </c:pt>
                <c:pt idx="3797">
                  <c:v>37517</c:v>
                </c:pt>
                <c:pt idx="3798">
                  <c:v>37516</c:v>
                </c:pt>
                <c:pt idx="3799">
                  <c:v>37515</c:v>
                </c:pt>
                <c:pt idx="3800">
                  <c:v>37512</c:v>
                </c:pt>
                <c:pt idx="3801">
                  <c:v>37511</c:v>
                </c:pt>
                <c:pt idx="3802">
                  <c:v>37510</c:v>
                </c:pt>
                <c:pt idx="3803">
                  <c:v>37509</c:v>
                </c:pt>
                <c:pt idx="3804">
                  <c:v>37508</c:v>
                </c:pt>
                <c:pt idx="3805">
                  <c:v>37505</c:v>
                </c:pt>
                <c:pt idx="3806">
                  <c:v>37504</c:v>
                </c:pt>
                <c:pt idx="3807">
                  <c:v>37503</c:v>
                </c:pt>
                <c:pt idx="3808">
                  <c:v>37502</c:v>
                </c:pt>
                <c:pt idx="3809">
                  <c:v>37501</c:v>
                </c:pt>
                <c:pt idx="3810">
                  <c:v>37498</c:v>
                </c:pt>
                <c:pt idx="3811">
                  <c:v>37497</c:v>
                </c:pt>
                <c:pt idx="3812">
                  <c:v>37496</c:v>
                </c:pt>
                <c:pt idx="3813">
                  <c:v>37495</c:v>
                </c:pt>
                <c:pt idx="3814">
                  <c:v>37494</c:v>
                </c:pt>
                <c:pt idx="3815">
                  <c:v>37491</c:v>
                </c:pt>
                <c:pt idx="3816">
                  <c:v>37490</c:v>
                </c:pt>
                <c:pt idx="3817">
                  <c:v>37489</c:v>
                </c:pt>
                <c:pt idx="3818">
                  <c:v>37488</c:v>
                </c:pt>
                <c:pt idx="3819">
                  <c:v>37487</c:v>
                </c:pt>
                <c:pt idx="3820">
                  <c:v>37484</c:v>
                </c:pt>
                <c:pt idx="3821">
                  <c:v>37483</c:v>
                </c:pt>
                <c:pt idx="3822">
                  <c:v>37482</c:v>
                </c:pt>
                <c:pt idx="3823">
                  <c:v>37481</c:v>
                </c:pt>
                <c:pt idx="3824">
                  <c:v>37480</c:v>
                </c:pt>
                <c:pt idx="3825">
                  <c:v>37477</c:v>
                </c:pt>
                <c:pt idx="3826">
                  <c:v>37476</c:v>
                </c:pt>
                <c:pt idx="3827">
                  <c:v>37475</c:v>
                </c:pt>
                <c:pt idx="3828">
                  <c:v>37474</c:v>
                </c:pt>
                <c:pt idx="3829">
                  <c:v>37473</c:v>
                </c:pt>
                <c:pt idx="3830">
                  <c:v>37470</c:v>
                </c:pt>
                <c:pt idx="3831">
                  <c:v>37469</c:v>
                </c:pt>
                <c:pt idx="3832">
                  <c:v>37468</c:v>
                </c:pt>
                <c:pt idx="3833">
                  <c:v>37467</c:v>
                </c:pt>
                <c:pt idx="3834">
                  <c:v>37466</c:v>
                </c:pt>
                <c:pt idx="3835">
                  <c:v>37463</c:v>
                </c:pt>
                <c:pt idx="3836">
                  <c:v>37462</c:v>
                </c:pt>
                <c:pt idx="3837">
                  <c:v>37461</c:v>
                </c:pt>
                <c:pt idx="3838">
                  <c:v>37460</c:v>
                </c:pt>
                <c:pt idx="3839">
                  <c:v>37459</c:v>
                </c:pt>
                <c:pt idx="3840">
                  <c:v>37456</c:v>
                </c:pt>
                <c:pt idx="3841">
                  <c:v>37455</c:v>
                </c:pt>
                <c:pt idx="3842">
                  <c:v>37454</c:v>
                </c:pt>
                <c:pt idx="3843">
                  <c:v>37453</c:v>
                </c:pt>
                <c:pt idx="3844">
                  <c:v>37452</c:v>
                </c:pt>
                <c:pt idx="3845">
                  <c:v>37449</c:v>
                </c:pt>
                <c:pt idx="3846">
                  <c:v>37448</c:v>
                </c:pt>
                <c:pt idx="3847">
                  <c:v>37447</c:v>
                </c:pt>
                <c:pt idx="3848">
                  <c:v>37446</c:v>
                </c:pt>
                <c:pt idx="3849">
                  <c:v>37445</c:v>
                </c:pt>
                <c:pt idx="3850">
                  <c:v>37442</c:v>
                </c:pt>
                <c:pt idx="3851">
                  <c:v>37441</c:v>
                </c:pt>
                <c:pt idx="3852">
                  <c:v>37440</c:v>
                </c:pt>
                <c:pt idx="3853">
                  <c:v>37439</c:v>
                </c:pt>
                <c:pt idx="3854">
                  <c:v>37438</c:v>
                </c:pt>
                <c:pt idx="3855">
                  <c:v>37435</c:v>
                </c:pt>
                <c:pt idx="3856">
                  <c:v>37434</c:v>
                </c:pt>
                <c:pt idx="3857">
                  <c:v>37433</c:v>
                </c:pt>
                <c:pt idx="3858">
                  <c:v>37432</c:v>
                </c:pt>
                <c:pt idx="3859">
                  <c:v>37431</c:v>
                </c:pt>
                <c:pt idx="3860">
                  <c:v>37428</c:v>
                </c:pt>
                <c:pt idx="3861">
                  <c:v>37427</c:v>
                </c:pt>
                <c:pt idx="3862">
                  <c:v>37426</c:v>
                </c:pt>
                <c:pt idx="3863">
                  <c:v>37425</c:v>
                </c:pt>
                <c:pt idx="3864">
                  <c:v>37424</c:v>
                </c:pt>
                <c:pt idx="3865">
                  <c:v>37421</c:v>
                </c:pt>
                <c:pt idx="3866">
                  <c:v>37420</c:v>
                </c:pt>
                <c:pt idx="3867">
                  <c:v>37419</c:v>
                </c:pt>
                <c:pt idx="3868">
                  <c:v>37418</c:v>
                </c:pt>
                <c:pt idx="3869">
                  <c:v>37417</c:v>
                </c:pt>
                <c:pt idx="3870">
                  <c:v>37414</c:v>
                </c:pt>
                <c:pt idx="3871">
                  <c:v>37413</c:v>
                </c:pt>
                <c:pt idx="3872">
                  <c:v>37412</c:v>
                </c:pt>
                <c:pt idx="3873">
                  <c:v>37411</c:v>
                </c:pt>
                <c:pt idx="3874">
                  <c:v>37410</c:v>
                </c:pt>
                <c:pt idx="3875">
                  <c:v>37407</c:v>
                </c:pt>
                <c:pt idx="3876">
                  <c:v>37406</c:v>
                </c:pt>
                <c:pt idx="3877">
                  <c:v>37405</c:v>
                </c:pt>
                <c:pt idx="3878">
                  <c:v>37404</c:v>
                </c:pt>
                <c:pt idx="3879">
                  <c:v>37403</c:v>
                </c:pt>
                <c:pt idx="3880">
                  <c:v>37400</c:v>
                </c:pt>
                <c:pt idx="3881">
                  <c:v>37399</c:v>
                </c:pt>
                <c:pt idx="3882">
                  <c:v>37398</c:v>
                </c:pt>
                <c:pt idx="3883">
                  <c:v>37397</c:v>
                </c:pt>
                <c:pt idx="3884">
                  <c:v>37396</c:v>
                </c:pt>
                <c:pt idx="3885">
                  <c:v>37393</c:v>
                </c:pt>
                <c:pt idx="3886">
                  <c:v>37392</c:v>
                </c:pt>
                <c:pt idx="3887">
                  <c:v>37391</c:v>
                </c:pt>
                <c:pt idx="3888">
                  <c:v>37390</c:v>
                </c:pt>
                <c:pt idx="3889">
                  <c:v>37389</c:v>
                </c:pt>
                <c:pt idx="3890">
                  <c:v>37386</c:v>
                </c:pt>
                <c:pt idx="3891">
                  <c:v>37385</c:v>
                </c:pt>
                <c:pt idx="3892">
                  <c:v>37384</c:v>
                </c:pt>
                <c:pt idx="3893">
                  <c:v>37383</c:v>
                </c:pt>
                <c:pt idx="3894">
                  <c:v>37382</c:v>
                </c:pt>
                <c:pt idx="3895">
                  <c:v>37379</c:v>
                </c:pt>
                <c:pt idx="3896">
                  <c:v>37378</c:v>
                </c:pt>
                <c:pt idx="3897">
                  <c:v>37377</c:v>
                </c:pt>
                <c:pt idx="3898">
                  <c:v>37376</c:v>
                </c:pt>
                <c:pt idx="3899">
                  <c:v>37375</c:v>
                </c:pt>
                <c:pt idx="3900">
                  <c:v>37372</c:v>
                </c:pt>
                <c:pt idx="3901">
                  <c:v>37371</c:v>
                </c:pt>
                <c:pt idx="3902">
                  <c:v>37370</c:v>
                </c:pt>
                <c:pt idx="3903">
                  <c:v>37369</c:v>
                </c:pt>
                <c:pt idx="3904">
                  <c:v>37368</c:v>
                </c:pt>
                <c:pt idx="3905">
                  <c:v>37365</c:v>
                </c:pt>
                <c:pt idx="3906">
                  <c:v>37364</c:v>
                </c:pt>
                <c:pt idx="3907">
                  <c:v>37363</c:v>
                </c:pt>
                <c:pt idx="3908">
                  <c:v>37362</c:v>
                </c:pt>
                <c:pt idx="3909">
                  <c:v>37361</c:v>
                </c:pt>
                <c:pt idx="3910">
                  <c:v>37358</c:v>
                </c:pt>
                <c:pt idx="3911">
                  <c:v>37357</c:v>
                </c:pt>
                <c:pt idx="3912">
                  <c:v>37356</c:v>
                </c:pt>
                <c:pt idx="3913">
                  <c:v>37355</c:v>
                </c:pt>
                <c:pt idx="3914">
                  <c:v>37354</c:v>
                </c:pt>
                <c:pt idx="3915">
                  <c:v>37351</c:v>
                </c:pt>
                <c:pt idx="3916">
                  <c:v>37350</c:v>
                </c:pt>
                <c:pt idx="3917">
                  <c:v>37349</c:v>
                </c:pt>
                <c:pt idx="3918">
                  <c:v>37348</c:v>
                </c:pt>
                <c:pt idx="3919">
                  <c:v>37347</c:v>
                </c:pt>
                <c:pt idx="3920">
                  <c:v>37344</c:v>
                </c:pt>
                <c:pt idx="3921">
                  <c:v>37343</c:v>
                </c:pt>
                <c:pt idx="3922">
                  <c:v>37342</c:v>
                </c:pt>
                <c:pt idx="3923">
                  <c:v>37341</c:v>
                </c:pt>
                <c:pt idx="3924">
                  <c:v>37340</c:v>
                </c:pt>
                <c:pt idx="3925">
                  <c:v>37337</c:v>
                </c:pt>
                <c:pt idx="3926">
                  <c:v>37336</c:v>
                </c:pt>
                <c:pt idx="3927">
                  <c:v>37335</c:v>
                </c:pt>
                <c:pt idx="3928">
                  <c:v>37334</c:v>
                </c:pt>
                <c:pt idx="3929">
                  <c:v>37333</c:v>
                </c:pt>
                <c:pt idx="3930">
                  <c:v>37330</c:v>
                </c:pt>
                <c:pt idx="3931">
                  <c:v>37329</c:v>
                </c:pt>
                <c:pt idx="3932">
                  <c:v>37328</c:v>
                </c:pt>
                <c:pt idx="3933">
                  <c:v>37327</c:v>
                </c:pt>
                <c:pt idx="3934">
                  <c:v>37326</c:v>
                </c:pt>
                <c:pt idx="3935">
                  <c:v>37323</c:v>
                </c:pt>
                <c:pt idx="3936">
                  <c:v>37322</c:v>
                </c:pt>
                <c:pt idx="3937">
                  <c:v>37321</c:v>
                </c:pt>
                <c:pt idx="3938">
                  <c:v>37320</c:v>
                </c:pt>
                <c:pt idx="3939">
                  <c:v>37319</c:v>
                </c:pt>
                <c:pt idx="3940">
                  <c:v>37316</c:v>
                </c:pt>
                <c:pt idx="3941">
                  <c:v>37315</c:v>
                </c:pt>
                <c:pt idx="3942">
                  <c:v>37314</c:v>
                </c:pt>
                <c:pt idx="3943">
                  <c:v>37313</c:v>
                </c:pt>
                <c:pt idx="3944">
                  <c:v>37312</c:v>
                </c:pt>
                <c:pt idx="3945">
                  <c:v>37309</c:v>
                </c:pt>
                <c:pt idx="3946">
                  <c:v>37308</c:v>
                </c:pt>
                <c:pt idx="3947">
                  <c:v>37307</c:v>
                </c:pt>
                <c:pt idx="3948">
                  <c:v>37306</c:v>
                </c:pt>
                <c:pt idx="3949">
                  <c:v>37305</c:v>
                </c:pt>
                <c:pt idx="3950">
                  <c:v>37302</c:v>
                </c:pt>
                <c:pt idx="3951">
                  <c:v>37301</c:v>
                </c:pt>
                <c:pt idx="3952">
                  <c:v>37300</c:v>
                </c:pt>
                <c:pt idx="3953">
                  <c:v>37299</c:v>
                </c:pt>
                <c:pt idx="3954">
                  <c:v>37298</c:v>
                </c:pt>
                <c:pt idx="3955">
                  <c:v>37295</c:v>
                </c:pt>
                <c:pt idx="3956">
                  <c:v>37294</c:v>
                </c:pt>
                <c:pt idx="3957">
                  <c:v>37293</c:v>
                </c:pt>
                <c:pt idx="3958">
                  <c:v>37292</c:v>
                </c:pt>
                <c:pt idx="3959">
                  <c:v>37291</c:v>
                </c:pt>
                <c:pt idx="3960">
                  <c:v>37288</c:v>
                </c:pt>
                <c:pt idx="3961">
                  <c:v>37287</c:v>
                </c:pt>
                <c:pt idx="3962">
                  <c:v>37286</c:v>
                </c:pt>
                <c:pt idx="3963">
                  <c:v>37285</c:v>
                </c:pt>
                <c:pt idx="3964">
                  <c:v>37284</c:v>
                </c:pt>
                <c:pt idx="3965">
                  <c:v>37281</c:v>
                </c:pt>
                <c:pt idx="3966">
                  <c:v>37280</c:v>
                </c:pt>
                <c:pt idx="3967">
                  <c:v>37279</c:v>
                </c:pt>
                <c:pt idx="3968">
                  <c:v>37278</c:v>
                </c:pt>
                <c:pt idx="3969">
                  <c:v>37277</c:v>
                </c:pt>
                <c:pt idx="3970">
                  <c:v>37274</c:v>
                </c:pt>
                <c:pt idx="3971">
                  <c:v>37273</c:v>
                </c:pt>
                <c:pt idx="3972">
                  <c:v>37272</c:v>
                </c:pt>
                <c:pt idx="3973">
                  <c:v>37271</c:v>
                </c:pt>
                <c:pt idx="3974">
                  <c:v>37270</c:v>
                </c:pt>
                <c:pt idx="3975">
                  <c:v>37267</c:v>
                </c:pt>
                <c:pt idx="3976">
                  <c:v>37266</c:v>
                </c:pt>
                <c:pt idx="3977">
                  <c:v>37265</c:v>
                </c:pt>
                <c:pt idx="3978">
                  <c:v>37264</c:v>
                </c:pt>
                <c:pt idx="3979">
                  <c:v>37263</c:v>
                </c:pt>
                <c:pt idx="3980">
                  <c:v>37260</c:v>
                </c:pt>
                <c:pt idx="3981">
                  <c:v>37259</c:v>
                </c:pt>
                <c:pt idx="3982">
                  <c:v>37258</c:v>
                </c:pt>
                <c:pt idx="3983">
                  <c:v>37257</c:v>
                </c:pt>
                <c:pt idx="3984">
                  <c:v>37256</c:v>
                </c:pt>
                <c:pt idx="3985">
                  <c:v>37253</c:v>
                </c:pt>
                <c:pt idx="3986">
                  <c:v>37252</c:v>
                </c:pt>
                <c:pt idx="3987">
                  <c:v>37251</c:v>
                </c:pt>
                <c:pt idx="3988">
                  <c:v>37250</c:v>
                </c:pt>
                <c:pt idx="3989">
                  <c:v>37249</c:v>
                </c:pt>
                <c:pt idx="3990">
                  <c:v>37246</c:v>
                </c:pt>
                <c:pt idx="3991">
                  <c:v>37245</c:v>
                </c:pt>
                <c:pt idx="3992">
                  <c:v>37244</c:v>
                </c:pt>
                <c:pt idx="3993">
                  <c:v>37243</c:v>
                </c:pt>
                <c:pt idx="3994">
                  <c:v>37242</c:v>
                </c:pt>
                <c:pt idx="3995">
                  <c:v>37239</c:v>
                </c:pt>
                <c:pt idx="3996">
                  <c:v>37238</c:v>
                </c:pt>
                <c:pt idx="3997">
                  <c:v>37237</c:v>
                </c:pt>
                <c:pt idx="3998">
                  <c:v>37236</c:v>
                </c:pt>
                <c:pt idx="3999">
                  <c:v>37235</c:v>
                </c:pt>
                <c:pt idx="4000">
                  <c:v>37232</c:v>
                </c:pt>
                <c:pt idx="4001">
                  <c:v>37231</c:v>
                </c:pt>
                <c:pt idx="4002">
                  <c:v>37230</c:v>
                </c:pt>
                <c:pt idx="4003">
                  <c:v>37229</c:v>
                </c:pt>
                <c:pt idx="4004">
                  <c:v>37228</c:v>
                </c:pt>
                <c:pt idx="4005">
                  <c:v>37225</c:v>
                </c:pt>
                <c:pt idx="4006">
                  <c:v>37224</c:v>
                </c:pt>
                <c:pt idx="4007">
                  <c:v>37223</c:v>
                </c:pt>
                <c:pt idx="4008">
                  <c:v>37222</c:v>
                </c:pt>
                <c:pt idx="4009">
                  <c:v>37221</c:v>
                </c:pt>
                <c:pt idx="4010">
                  <c:v>37218</c:v>
                </c:pt>
                <c:pt idx="4011">
                  <c:v>37217</c:v>
                </c:pt>
                <c:pt idx="4012">
                  <c:v>37216</c:v>
                </c:pt>
                <c:pt idx="4013">
                  <c:v>37215</c:v>
                </c:pt>
                <c:pt idx="4014">
                  <c:v>37214</c:v>
                </c:pt>
                <c:pt idx="4015">
                  <c:v>37211</c:v>
                </c:pt>
                <c:pt idx="4016">
                  <c:v>37210</c:v>
                </c:pt>
                <c:pt idx="4017">
                  <c:v>37209</c:v>
                </c:pt>
                <c:pt idx="4018">
                  <c:v>37208</c:v>
                </c:pt>
                <c:pt idx="4019">
                  <c:v>37207</c:v>
                </c:pt>
                <c:pt idx="4020">
                  <c:v>37204</c:v>
                </c:pt>
                <c:pt idx="4021">
                  <c:v>37203</c:v>
                </c:pt>
                <c:pt idx="4022">
                  <c:v>37202</c:v>
                </c:pt>
                <c:pt idx="4023">
                  <c:v>37201</c:v>
                </c:pt>
                <c:pt idx="4024">
                  <c:v>37200</c:v>
                </c:pt>
                <c:pt idx="4025">
                  <c:v>37197</c:v>
                </c:pt>
                <c:pt idx="4026">
                  <c:v>37196</c:v>
                </c:pt>
                <c:pt idx="4027">
                  <c:v>37195</c:v>
                </c:pt>
                <c:pt idx="4028">
                  <c:v>37194</c:v>
                </c:pt>
                <c:pt idx="4029">
                  <c:v>37193</c:v>
                </c:pt>
                <c:pt idx="4030">
                  <c:v>37190</c:v>
                </c:pt>
                <c:pt idx="4031">
                  <c:v>37189</c:v>
                </c:pt>
                <c:pt idx="4032">
                  <c:v>37188</c:v>
                </c:pt>
                <c:pt idx="4033">
                  <c:v>37187</c:v>
                </c:pt>
                <c:pt idx="4034">
                  <c:v>37186</c:v>
                </c:pt>
                <c:pt idx="4035">
                  <c:v>37183</c:v>
                </c:pt>
                <c:pt idx="4036">
                  <c:v>37182</c:v>
                </c:pt>
                <c:pt idx="4037">
                  <c:v>37181</c:v>
                </c:pt>
                <c:pt idx="4038">
                  <c:v>37180</c:v>
                </c:pt>
                <c:pt idx="4039">
                  <c:v>37179</c:v>
                </c:pt>
                <c:pt idx="4040">
                  <c:v>37176</c:v>
                </c:pt>
                <c:pt idx="4041">
                  <c:v>37175</c:v>
                </c:pt>
                <c:pt idx="4042">
                  <c:v>37174</c:v>
                </c:pt>
                <c:pt idx="4043">
                  <c:v>37173</c:v>
                </c:pt>
                <c:pt idx="4044">
                  <c:v>37172</c:v>
                </c:pt>
                <c:pt idx="4045">
                  <c:v>37169</c:v>
                </c:pt>
                <c:pt idx="4046">
                  <c:v>37168</c:v>
                </c:pt>
                <c:pt idx="4047">
                  <c:v>37167</c:v>
                </c:pt>
                <c:pt idx="4048">
                  <c:v>37166</c:v>
                </c:pt>
                <c:pt idx="4049">
                  <c:v>37165</c:v>
                </c:pt>
                <c:pt idx="4050">
                  <c:v>37162</c:v>
                </c:pt>
                <c:pt idx="4051">
                  <c:v>37161</c:v>
                </c:pt>
                <c:pt idx="4052">
                  <c:v>37160</c:v>
                </c:pt>
                <c:pt idx="4053">
                  <c:v>37159</c:v>
                </c:pt>
                <c:pt idx="4054">
                  <c:v>37158</c:v>
                </c:pt>
                <c:pt idx="4055">
                  <c:v>37155</c:v>
                </c:pt>
                <c:pt idx="4056">
                  <c:v>37154</c:v>
                </c:pt>
                <c:pt idx="4057">
                  <c:v>37153</c:v>
                </c:pt>
                <c:pt idx="4058">
                  <c:v>37152</c:v>
                </c:pt>
                <c:pt idx="4059">
                  <c:v>37151</c:v>
                </c:pt>
                <c:pt idx="4060">
                  <c:v>37148</c:v>
                </c:pt>
                <c:pt idx="4061">
                  <c:v>37147</c:v>
                </c:pt>
                <c:pt idx="4062">
                  <c:v>37146</c:v>
                </c:pt>
                <c:pt idx="4063">
                  <c:v>37145</c:v>
                </c:pt>
                <c:pt idx="4064">
                  <c:v>37144</c:v>
                </c:pt>
                <c:pt idx="4065">
                  <c:v>37141</c:v>
                </c:pt>
                <c:pt idx="4066">
                  <c:v>37140</c:v>
                </c:pt>
                <c:pt idx="4067">
                  <c:v>37139</c:v>
                </c:pt>
                <c:pt idx="4068">
                  <c:v>37138</c:v>
                </c:pt>
                <c:pt idx="4069">
                  <c:v>37137</c:v>
                </c:pt>
                <c:pt idx="4070">
                  <c:v>37134</c:v>
                </c:pt>
                <c:pt idx="4071">
                  <c:v>37133</c:v>
                </c:pt>
                <c:pt idx="4072">
                  <c:v>37132</c:v>
                </c:pt>
                <c:pt idx="4073">
                  <c:v>37131</c:v>
                </c:pt>
                <c:pt idx="4074">
                  <c:v>37130</c:v>
                </c:pt>
                <c:pt idx="4075">
                  <c:v>37127</c:v>
                </c:pt>
                <c:pt idx="4076">
                  <c:v>37126</c:v>
                </c:pt>
                <c:pt idx="4077">
                  <c:v>37125</c:v>
                </c:pt>
                <c:pt idx="4078">
                  <c:v>37124</c:v>
                </c:pt>
                <c:pt idx="4079">
                  <c:v>37123</c:v>
                </c:pt>
                <c:pt idx="4080">
                  <c:v>37120</c:v>
                </c:pt>
                <c:pt idx="4081">
                  <c:v>37119</c:v>
                </c:pt>
                <c:pt idx="4082">
                  <c:v>37118</c:v>
                </c:pt>
                <c:pt idx="4083">
                  <c:v>37117</c:v>
                </c:pt>
                <c:pt idx="4084">
                  <c:v>37116</c:v>
                </c:pt>
                <c:pt idx="4085">
                  <c:v>37113</c:v>
                </c:pt>
                <c:pt idx="4086">
                  <c:v>37112</c:v>
                </c:pt>
                <c:pt idx="4087">
                  <c:v>37111</c:v>
                </c:pt>
                <c:pt idx="4088">
                  <c:v>37110</c:v>
                </c:pt>
                <c:pt idx="4089">
                  <c:v>37109</c:v>
                </c:pt>
                <c:pt idx="4090">
                  <c:v>37106</c:v>
                </c:pt>
                <c:pt idx="4091">
                  <c:v>37105</c:v>
                </c:pt>
                <c:pt idx="4092">
                  <c:v>37104</c:v>
                </c:pt>
                <c:pt idx="4093">
                  <c:v>37103</c:v>
                </c:pt>
                <c:pt idx="4094">
                  <c:v>37102</c:v>
                </c:pt>
                <c:pt idx="4095">
                  <c:v>37099</c:v>
                </c:pt>
                <c:pt idx="4096">
                  <c:v>37098</c:v>
                </c:pt>
                <c:pt idx="4097">
                  <c:v>37097</c:v>
                </c:pt>
                <c:pt idx="4098">
                  <c:v>37096</c:v>
                </c:pt>
                <c:pt idx="4099">
                  <c:v>37095</c:v>
                </c:pt>
                <c:pt idx="4100">
                  <c:v>37092</c:v>
                </c:pt>
                <c:pt idx="4101">
                  <c:v>37091</c:v>
                </c:pt>
                <c:pt idx="4102">
                  <c:v>37090</c:v>
                </c:pt>
                <c:pt idx="4103">
                  <c:v>37089</c:v>
                </c:pt>
                <c:pt idx="4104">
                  <c:v>37088</c:v>
                </c:pt>
                <c:pt idx="4105">
                  <c:v>37085</c:v>
                </c:pt>
                <c:pt idx="4106">
                  <c:v>37084</c:v>
                </c:pt>
                <c:pt idx="4107">
                  <c:v>37083</c:v>
                </c:pt>
                <c:pt idx="4108">
                  <c:v>37082</c:v>
                </c:pt>
                <c:pt idx="4109">
                  <c:v>37081</c:v>
                </c:pt>
                <c:pt idx="4110">
                  <c:v>37078</c:v>
                </c:pt>
                <c:pt idx="4111">
                  <c:v>37077</c:v>
                </c:pt>
                <c:pt idx="4112">
                  <c:v>37076</c:v>
                </c:pt>
                <c:pt idx="4113">
                  <c:v>37075</c:v>
                </c:pt>
                <c:pt idx="4114">
                  <c:v>37074</c:v>
                </c:pt>
                <c:pt idx="4115">
                  <c:v>37071</c:v>
                </c:pt>
                <c:pt idx="4116">
                  <c:v>37070</c:v>
                </c:pt>
                <c:pt idx="4117">
                  <c:v>37069</c:v>
                </c:pt>
                <c:pt idx="4118">
                  <c:v>37068</c:v>
                </c:pt>
                <c:pt idx="4119">
                  <c:v>37067</c:v>
                </c:pt>
                <c:pt idx="4120">
                  <c:v>37064</c:v>
                </c:pt>
                <c:pt idx="4121">
                  <c:v>37063</c:v>
                </c:pt>
                <c:pt idx="4122">
                  <c:v>37062</c:v>
                </c:pt>
                <c:pt idx="4123">
                  <c:v>37061</c:v>
                </c:pt>
                <c:pt idx="4124">
                  <c:v>37060</c:v>
                </c:pt>
                <c:pt idx="4125">
                  <c:v>37057</c:v>
                </c:pt>
                <c:pt idx="4126">
                  <c:v>37056</c:v>
                </c:pt>
                <c:pt idx="4127">
                  <c:v>37055</c:v>
                </c:pt>
                <c:pt idx="4128">
                  <c:v>37054</c:v>
                </c:pt>
                <c:pt idx="4129">
                  <c:v>37053</c:v>
                </c:pt>
                <c:pt idx="4130">
                  <c:v>37050</c:v>
                </c:pt>
                <c:pt idx="4131">
                  <c:v>37049</c:v>
                </c:pt>
                <c:pt idx="4132">
                  <c:v>37048</c:v>
                </c:pt>
                <c:pt idx="4133">
                  <c:v>37047</c:v>
                </c:pt>
                <c:pt idx="4134">
                  <c:v>37046</c:v>
                </c:pt>
                <c:pt idx="4135">
                  <c:v>37043</c:v>
                </c:pt>
                <c:pt idx="4136">
                  <c:v>37042</c:v>
                </c:pt>
                <c:pt idx="4137">
                  <c:v>37041</c:v>
                </c:pt>
                <c:pt idx="4138">
                  <c:v>37040</c:v>
                </c:pt>
                <c:pt idx="4139">
                  <c:v>37039</c:v>
                </c:pt>
                <c:pt idx="4140">
                  <c:v>37036</c:v>
                </c:pt>
                <c:pt idx="4141">
                  <c:v>37035</c:v>
                </c:pt>
                <c:pt idx="4142">
                  <c:v>37034</c:v>
                </c:pt>
                <c:pt idx="4143">
                  <c:v>37033</c:v>
                </c:pt>
                <c:pt idx="4144">
                  <c:v>37032</c:v>
                </c:pt>
                <c:pt idx="4145">
                  <c:v>37029</c:v>
                </c:pt>
                <c:pt idx="4146">
                  <c:v>37028</c:v>
                </c:pt>
                <c:pt idx="4147">
                  <c:v>37027</c:v>
                </c:pt>
                <c:pt idx="4148">
                  <c:v>37026</c:v>
                </c:pt>
                <c:pt idx="4149">
                  <c:v>37025</c:v>
                </c:pt>
                <c:pt idx="4150">
                  <c:v>37022</c:v>
                </c:pt>
                <c:pt idx="4151">
                  <c:v>37021</c:v>
                </c:pt>
                <c:pt idx="4152">
                  <c:v>37020</c:v>
                </c:pt>
                <c:pt idx="4153">
                  <c:v>37019</c:v>
                </c:pt>
                <c:pt idx="4154">
                  <c:v>37018</c:v>
                </c:pt>
                <c:pt idx="4155">
                  <c:v>37015</c:v>
                </c:pt>
                <c:pt idx="4156">
                  <c:v>37014</c:v>
                </c:pt>
                <c:pt idx="4157">
                  <c:v>37013</c:v>
                </c:pt>
                <c:pt idx="4158">
                  <c:v>37012</c:v>
                </c:pt>
                <c:pt idx="4159">
                  <c:v>37011</c:v>
                </c:pt>
                <c:pt idx="4160">
                  <c:v>37008</c:v>
                </c:pt>
                <c:pt idx="4161">
                  <c:v>37007</c:v>
                </c:pt>
                <c:pt idx="4162">
                  <c:v>37006</c:v>
                </c:pt>
                <c:pt idx="4163">
                  <c:v>37005</c:v>
                </c:pt>
                <c:pt idx="4164">
                  <c:v>37004</c:v>
                </c:pt>
                <c:pt idx="4165">
                  <c:v>37001</c:v>
                </c:pt>
                <c:pt idx="4166">
                  <c:v>37000</c:v>
                </c:pt>
                <c:pt idx="4167">
                  <c:v>36999</c:v>
                </c:pt>
                <c:pt idx="4168">
                  <c:v>36998</c:v>
                </c:pt>
                <c:pt idx="4169">
                  <c:v>36997</c:v>
                </c:pt>
                <c:pt idx="4170">
                  <c:v>36994</c:v>
                </c:pt>
                <c:pt idx="4171">
                  <c:v>36993</c:v>
                </c:pt>
                <c:pt idx="4172">
                  <c:v>36992</c:v>
                </c:pt>
                <c:pt idx="4173">
                  <c:v>36991</c:v>
                </c:pt>
                <c:pt idx="4174">
                  <c:v>36990</c:v>
                </c:pt>
                <c:pt idx="4175">
                  <c:v>36987</c:v>
                </c:pt>
                <c:pt idx="4176">
                  <c:v>36986</c:v>
                </c:pt>
                <c:pt idx="4177">
                  <c:v>36985</c:v>
                </c:pt>
                <c:pt idx="4178">
                  <c:v>36984</c:v>
                </c:pt>
                <c:pt idx="4179">
                  <c:v>36983</c:v>
                </c:pt>
                <c:pt idx="4180">
                  <c:v>36980</c:v>
                </c:pt>
                <c:pt idx="4181">
                  <c:v>36979</c:v>
                </c:pt>
                <c:pt idx="4182">
                  <c:v>36978</c:v>
                </c:pt>
                <c:pt idx="4183">
                  <c:v>36977</c:v>
                </c:pt>
                <c:pt idx="4184">
                  <c:v>36976</c:v>
                </c:pt>
                <c:pt idx="4185">
                  <c:v>36973</c:v>
                </c:pt>
                <c:pt idx="4186">
                  <c:v>36972</c:v>
                </c:pt>
                <c:pt idx="4187">
                  <c:v>36971</c:v>
                </c:pt>
                <c:pt idx="4188">
                  <c:v>36970</c:v>
                </c:pt>
                <c:pt idx="4189">
                  <c:v>36969</c:v>
                </c:pt>
                <c:pt idx="4190">
                  <c:v>36966</c:v>
                </c:pt>
                <c:pt idx="4191">
                  <c:v>36965</c:v>
                </c:pt>
                <c:pt idx="4192">
                  <c:v>36964</c:v>
                </c:pt>
                <c:pt idx="4193">
                  <c:v>36963</c:v>
                </c:pt>
                <c:pt idx="4194">
                  <c:v>36962</c:v>
                </c:pt>
                <c:pt idx="4195">
                  <c:v>36959</c:v>
                </c:pt>
                <c:pt idx="4196">
                  <c:v>36958</c:v>
                </c:pt>
                <c:pt idx="4197">
                  <c:v>36957</c:v>
                </c:pt>
                <c:pt idx="4198">
                  <c:v>36956</c:v>
                </c:pt>
                <c:pt idx="4199">
                  <c:v>36955</c:v>
                </c:pt>
                <c:pt idx="4200">
                  <c:v>36952</c:v>
                </c:pt>
                <c:pt idx="4201">
                  <c:v>36951</c:v>
                </c:pt>
                <c:pt idx="4202">
                  <c:v>36950</c:v>
                </c:pt>
                <c:pt idx="4203">
                  <c:v>36949</c:v>
                </c:pt>
                <c:pt idx="4204">
                  <c:v>36948</c:v>
                </c:pt>
                <c:pt idx="4205">
                  <c:v>36945</c:v>
                </c:pt>
                <c:pt idx="4206">
                  <c:v>36944</c:v>
                </c:pt>
                <c:pt idx="4207">
                  <c:v>36943</c:v>
                </c:pt>
                <c:pt idx="4208">
                  <c:v>36942</c:v>
                </c:pt>
                <c:pt idx="4209">
                  <c:v>36941</c:v>
                </c:pt>
                <c:pt idx="4210">
                  <c:v>36938</c:v>
                </c:pt>
                <c:pt idx="4211">
                  <c:v>36937</c:v>
                </c:pt>
                <c:pt idx="4212">
                  <c:v>36936</c:v>
                </c:pt>
                <c:pt idx="4213">
                  <c:v>36935</c:v>
                </c:pt>
                <c:pt idx="4214">
                  <c:v>36934</c:v>
                </c:pt>
                <c:pt idx="4215">
                  <c:v>36931</c:v>
                </c:pt>
                <c:pt idx="4216">
                  <c:v>36930</c:v>
                </c:pt>
                <c:pt idx="4217">
                  <c:v>36929</c:v>
                </c:pt>
                <c:pt idx="4218">
                  <c:v>36928</c:v>
                </c:pt>
                <c:pt idx="4219">
                  <c:v>36927</c:v>
                </c:pt>
                <c:pt idx="4220">
                  <c:v>36924</c:v>
                </c:pt>
                <c:pt idx="4221">
                  <c:v>36923</c:v>
                </c:pt>
                <c:pt idx="4222">
                  <c:v>36922</c:v>
                </c:pt>
                <c:pt idx="4223">
                  <c:v>36921</c:v>
                </c:pt>
                <c:pt idx="4224">
                  <c:v>36920</c:v>
                </c:pt>
                <c:pt idx="4225">
                  <c:v>36917</c:v>
                </c:pt>
                <c:pt idx="4226">
                  <c:v>36916</c:v>
                </c:pt>
                <c:pt idx="4227">
                  <c:v>36915</c:v>
                </c:pt>
                <c:pt idx="4228">
                  <c:v>36914</c:v>
                </c:pt>
                <c:pt idx="4229">
                  <c:v>36913</c:v>
                </c:pt>
                <c:pt idx="4230">
                  <c:v>36910</c:v>
                </c:pt>
                <c:pt idx="4231">
                  <c:v>36909</c:v>
                </c:pt>
                <c:pt idx="4232">
                  <c:v>36908</c:v>
                </c:pt>
                <c:pt idx="4233">
                  <c:v>36907</c:v>
                </c:pt>
                <c:pt idx="4234">
                  <c:v>36906</c:v>
                </c:pt>
                <c:pt idx="4235">
                  <c:v>36903</c:v>
                </c:pt>
                <c:pt idx="4236">
                  <c:v>36902</c:v>
                </c:pt>
                <c:pt idx="4237">
                  <c:v>36901</c:v>
                </c:pt>
                <c:pt idx="4238">
                  <c:v>36900</c:v>
                </c:pt>
                <c:pt idx="4239">
                  <c:v>36899</c:v>
                </c:pt>
                <c:pt idx="4240">
                  <c:v>36896</c:v>
                </c:pt>
                <c:pt idx="4241">
                  <c:v>36895</c:v>
                </c:pt>
                <c:pt idx="4242">
                  <c:v>36894</c:v>
                </c:pt>
                <c:pt idx="4243">
                  <c:v>36893</c:v>
                </c:pt>
                <c:pt idx="4244">
                  <c:v>36892</c:v>
                </c:pt>
                <c:pt idx="4245">
                  <c:v>36889</c:v>
                </c:pt>
                <c:pt idx="4246">
                  <c:v>36888</c:v>
                </c:pt>
                <c:pt idx="4247">
                  <c:v>36887</c:v>
                </c:pt>
                <c:pt idx="4248">
                  <c:v>36886</c:v>
                </c:pt>
                <c:pt idx="4249">
                  <c:v>36885</c:v>
                </c:pt>
                <c:pt idx="4250">
                  <c:v>36882</c:v>
                </c:pt>
                <c:pt idx="4251">
                  <c:v>36881</c:v>
                </c:pt>
                <c:pt idx="4252">
                  <c:v>36880</c:v>
                </c:pt>
                <c:pt idx="4253">
                  <c:v>36879</c:v>
                </c:pt>
                <c:pt idx="4254">
                  <c:v>36878</c:v>
                </c:pt>
                <c:pt idx="4255">
                  <c:v>36875</c:v>
                </c:pt>
                <c:pt idx="4256">
                  <c:v>36874</c:v>
                </c:pt>
                <c:pt idx="4257">
                  <c:v>36873</c:v>
                </c:pt>
                <c:pt idx="4258">
                  <c:v>36872</c:v>
                </c:pt>
                <c:pt idx="4259">
                  <c:v>36871</c:v>
                </c:pt>
                <c:pt idx="4260">
                  <c:v>36868</c:v>
                </c:pt>
                <c:pt idx="4261">
                  <c:v>36867</c:v>
                </c:pt>
                <c:pt idx="4262">
                  <c:v>36866</c:v>
                </c:pt>
                <c:pt idx="4263">
                  <c:v>36865</c:v>
                </c:pt>
                <c:pt idx="4264">
                  <c:v>36864</c:v>
                </c:pt>
                <c:pt idx="4265">
                  <c:v>36861</c:v>
                </c:pt>
                <c:pt idx="4266">
                  <c:v>36860</c:v>
                </c:pt>
                <c:pt idx="4267">
                  <c:v>36859</c:v>
                </c:pt>
                <c:pt idx="4268">
                  <c:v>36858</c:v>
                </c:pt>
                <c:pt idx="4269">
                  <c:v>36857</c:v>
                </c:pt>
                <c:pt idx="4270">
                  <c:v>36854</c:v>
                </c:pt>
                <c:pt idx="4271">
                  <c:v>36853</c:v>
                </c:pt>
                <c:pt idx="4272">
                  <c:v>36852</c:v>
                </c:pt>
                <c:pt idx="4273">
                  <c:v>36851</c:v>
                </c:pt>
                <c:pt idx="4274">
                  <c:v>36850</c:v>
                </c:pt>
                <c:pt idx="4275">
                  <c:v>36847</c:v>
                </c:pt>
                <c:pt idx="4276">
                  <c:v>36846</c:v>
                </c:pt>
                <c:pt idx="4277">
                  <c:v>36845</c:v>
                </c:pt>
                <c:pt idx="4278">
                  <c:v>36844</c:v>
                </c:pt>
                <c:pt idx="4279">
                  <c:v>36843</c:v>
                </c:pt>
                <c:pt idx="4280">
                  <c:v>36840</c:v>
                </c:pt>
                <c:pt idx="4281">
                  <c:v>36839</c:v>
                </c:pt>
                <c:pt idx="4282">
                  <c:v>36838</c:v>
                </c:pt>
                <c:pt idx="4283">
                  <c:v>36837</c:v>
                </c:pt>
                <c:pt idx="4284">
                  <c:v>36836</c:v>
                </c:pt>
                <c:pt idx="4285">
                  <c:v>36833</c:v>
                </c:pt>
                <c:pt idx="4286">
                  <c:v>36832</c:v>
                </c:pt>
                <c:pt idx="4287">
                  <c:v>36831</c:v>
                </c:pt>
                <c:pt idx="4288">
                  <c:v>36830</c:v>
                </c:pt>
                <c:pt idx="4289">
                  <c:v>36829</c:v>
                </c:pt>
                <c:pt idx="4290">
                  <c:v>36826</c:v>
                </c:pt>
                <c:pt idx="4291">
                  <c:v>36825</c:v>
                </c:pt>
                <c:pt idx="4292">
                  <c:v>36824</c:v>
                </c:pt>
                <c:pt idx="4293">
                  <c:v>36823</c:v>
                </c:pt>
                <c:pt idx="4294">
                  <c:v>36822</c:v>
                </c:pt>
                <c:pt idx="4295">
                  <c:v>36819</c:v>
                </c:pt>
                <c:pt idx="4296">
                  <c:v>36818</c:v>
                </c:pt>
                <c:pt idx="4297">
                  <c:v>36817</c:v>
                </c:pt>
                <c:pt idx="4298">
                  <c:v>36816</c:v>
                </c:pt>
                <c:pt idx="4299">
                  <c:v>36815</c:v>
                </c:pt>
                <c:pt idx="4300">
                  <c:v>36812</c:v>
                </c:pt>
                <c:pt idx="4301">
                  <c:v>36811</c:v>
                </c:pt>
                <c:pt idx="4302">
                  <c:v>36810</c:v>
                </c:pt>
                <c:pt idx="4303">
                  <c:v>36809</c:v>
                </c:pt>
                <c:pt idx="4304">
                  <c:v>36808</c:v>
                </c:pt>
                <c:pt idx="4305">
                  <c:v>36805</c:v>
                </c:pt>
                <c:pt idx="4306">
                  <c:v>36804</c:v>
                </c:pt>
                <c:pt idx="4307">
                  <c:v>36803</c:v>
                </c:pt>
                <c:pt idx="4308">
                  <c:v>36802</c:v>
                </c:pt>
                <c:pt idx="4309">
                  <c:v>36801</c:v>
                </c:pt>
                <c:pt idx="4310">
                  <c:v>36798</c:v>
                </c:pt>
                <c:pt idx="4311">
                  <c:v>36797</c:v>
                </c:pt>
                <c:pt idx="4312">
                  <c:v>36796</c:v>
                </c:pt>
                <c:pt idx="4313">
                  <c:v>36795</c:v>
                </c:pt>
                <c:pt idx="4314">
                  <c:v>36794</c:v>
                </c:pt>
                <c:pt idx="4315">
                  <c:v>36791</c:v>
                </c:pt>
                <c:pt idx="4316">
                  <c:v>36790</c:v>
                </c:pt>
                <c:pt idx="4317">
                  <c:v>36789</c:v>
                </c:pt>
                <c:pt idx="4318">
                  <c:v>36788</c:v>
                </c:pt>
                <c:pt idx="4319">
                  <c:v>36787</c:v>
                </c:pt>
                <c:pt idx="4320">
                  <c:v>36784</c:v>
                </c:pt>
                <c:pt idx="4321">
                  <c:v>36783</c:v>
                </c:pt>
                <c:pt idx="4322">
                  <c:v>36782</c:v>
                </c:pt>
                <c:pt idx="4323">
                  <c:v>36781</c:v>
                </c:pt>
                <c:pt idx="4324">
                  <c:v>36780</c:v>
                </c:pt>
                <c:pt idx="4325">
                  <c:v>36777</c:v>
                </c:pt>
                <c:pt idx="4326">
                  <c:v>36776</c:v>
                </c:pt>
                <c:pt idx="4327">
                  <c:v>36775</c:v>
                </c:pt>
                <c:pt idx="4328">
                  <c:v>36774</c:v>
                </c:pt>
                <c:pt idx="4329">
                  <c:v>36773</c:v>
                </c:pt>
                <c:pt idx="4330">
                  <c:v>36770</c:v>
                </c:pt>
                <c:pt idx="4331">
                  <c:v>36769</c:v>
                </c:pt>
                <c:pt idx="4332">
                  <c:v>36768</c:v>
                </c:pt>
                <c:pt idx="4333">
                  <c:v>36767</c:v>
                </c:pt>
                <c:pt idx="4334">
                  <c:v>36766</c:v>
                </c:pt>
                <c:pt idx="4335">
                  <c:v>36763</c:v>
                </c:pt>
                <c:pt idx="4336">
                  <c:v>36762</c:v>
                </c:pt>
                <c:pt idx="4337">
                  <c:v>36761</c:v>
                </c:pt>
                <c:pt idx="4338">
                  <c:v>36760</c:v>
                </c:pt>
                <c:pt idx="4339">
                  <c:v>36759</c:v>
                </c:pt>
                <c:pt idx="4340">
                  <c:v>36756</c:v>
                </c:pt>
                <c:pt idx="4341">
                  <c:v>36755</c:v>
                </c:pt>
                <c:pt idx="4342">
                  <c:v>36754</c:v>
                </c:pt>
                <c:pt idx="4343">
                  <c:v>36753</c:v>
                </c:pt>
                <c:pt idx="4344">
                  <c:v>36752</c:v>
                </c:pt>
                <c:pt idx="4345">
                  <c:v>36749</c:v>
                </c:pt>
                <c:pt idx="4346">
                  <c:v>36748</c:v>
                </c:pt>
                <c:pt idx="4347">
                  <c:v>36747</c:v>
                </c:pt>
                <c:pt idx="4348">
                  <c:v>36746</c:v>
                </c:pt>
                <c:pt idx="4349">
                  <c:v>36745</c:v>
                </c:pt>
                <c:pt idx="4350">
                  <c:v>36742</c:v>
                </c:pt>
                <c:pt idx="4351">
                  <c:v>36741</c:v>
                </c:pt>
                <c:pt idx="4352">
                  <c:v>36740</c:v>
                </c:pt>
                <c:pt idx="4353">
                  <c:v>36739</c:v>
                </c:pt>
                <c:pt idx="4354">
                  <c:v>36738</c:v>
                </c:pt>
                <c:pt idx="4355">
                  <c:v>36735</c:v>
                </c:pt>
                <c:pt idx="4356">
                  <c:v>36734</c:v>
                </c:pt>
                <c:pt idx="4357">
                  <c:v>36733</c:v>
                </c:pt>
                <c:pt idx="4358">
                  <c:v>36732</c:v>
                </c:pt>
                <c:pt idx="4359">
                  <c:v>36731</c:v>
                </c:pt>
                <c:pt idx="4360">
                  <c:v>36728</c:v>
                </c:pt>
                <c:pt idx="4361">
                  <c:v>36727</c:v>
                </c:pt>
                <c:pt idx="4362">
                  <c:v>36726</c:v>
                </c:pt>
                <c:pt idx="4363">
                  <c:v>36725</c:v>
                </c:pt>
                <c:pt idx="4364">
                  <c:v>36724</c:v>
                </c:pt>
                <c:pt idx="4365">
                  <c:v>36721</c:v>
                </c:pt>
                <c:pt idx="4366">
                  <c:v>36720</c:v>
                </c:pt>
                <c:pt idx="4367">
                  <c:v>36719</c:v>
                </c:pt>
                <c:pt idx="4368">
                  <c:v>36718</c:v>
                </c:pt>
                <c:pt idx="4369">
                  <c:v>36717</c:v>
                </c:pt>
                <c:pt idx="4370">
                  <c:v>36714</c:v>
                </c:pt>
                <c:pt idx="4371">
                  <c:v>36713</c:v>
                </c:pt>
                <c:pt idx="4372">
                  <c:v>36712</c:v>
                </c:pt>
                <c:pt idx="4373">
                  <c:v>36711</c:v>
                </c:pt>
                <c:pt idx="4374">
                  <c:v>36710</c:v>
                </c:pt>
                <c:pt idx="4375">
                  <c:v>36707</c:v>
                </c:pt>
                <c:pt idx="4376">
                  <c:v>36706</c:v>
                </c:pt>
                <c:pt idx="4377">
                  <c:v>36705</c:v>
                </c:pt>
                <c:pt idx="4378">
                  <c:v>36704</c:v>
                </c:pt>
                <c:pt idx="4379">
                  <c:v>36703</c:v>
                </c:pt>
                <c:pt idx="4380">
                  <c:v>36700</c:v>
                </c:pt>
                <c:pt idx="4381">
                  <c:v>36699</c:v>
                </c:pt>
                <c:pt idx="4382">
                  <c:v>36698</c:v>
                </c:pt>
                <c:pt idx="4383">
                  <c:v>36697</c:v>
                </c:pt>
                <c:pt idx="4384">
                  <c:v>36696</c:v>
                </c:pt>
                <c:pt idx="4385">
                  <c:v>36693</c:v>
                </c:pt>
                <c:pt idx="4386">
                  <c:v>36692</c:v>
                </c:pt>
                <c:pt idx="4387">
                  <c:v>36691</c:v>
                </c:pt>
                <c:pt idx="4388">
                  <c:v>36690</c:v>
                </c:pt>
                <c:pt idx="4389">
                  <c:v>36689</c:v>
                </c:pt>
                <c:pt idx="4390">
                  <c:v>36686</c:v>
                </c:pt>
                <c:pt idx="4391">
                  <c:v>36685</c:v>
                </c:pt>
                <c:pt idx="4392">
                  <c:v>36684</c:v>
                </c:pt>
                <c:pt idx="4393">
                  <c:v>36683</c:v>
                </c:pt>
                <c:pt idx="4394">
                  <c:v>36682</c:v>
                </c:pt>
                <c:pt idx="4395">
                  <c:v>36679</c:v>
                </c:pt>
                <c:pt idx="4396">
                  <c:v>36678</c:v>
                </c:pt>
                <c:pt idx="4397">
                  <c:v>36677</c:v>
                </c:pt>
                <c:pt idx="4398">
                  <c:v>36676</c:v>
                </c:pt>
                <c:pt idx="4399">
                  <c:v>36675</c:v>
                </c:pt>
                <c:pt idx="4400">
                  <c:v>36672</c:v>
                </c:pt>
                <c:pt idx="4401">
                  <c:v>36671</c:v>
                </c:pt>
                <c:pt idx="4402">
                  <c:v>36670</c:v>
                </c:pt>
                <c:pt idx="4403">
                  <c:v>36669</c:v>
                </c:pt>
                <c:pt idx="4404">
                  <c:v>36668</c:v>
                </c:pt>
                <c:pt idx="4405">
                  <c:v>36665</c:v>
                </c:pt>
                <c:pt idx="4406">
                  <c:v>36664</c:v>
                </c:pt>
                <c:pt idx="4407">
                  <c:v>36663</c:v>
                </c:pt>
                <c:pt idx="4408">
                  <c:v>36662</c:v>
                </c:pt>
                <c:pt idx="4409">
                  <c:v>36661</c:v>
                </c:pt>
                <c:pt idx="4410">
                  <c:v>36658</c:v>
                </c:pt>
                <c:pt idx="4411">
                  <c:v>36657</c:v>
                </c:pt>
                <c:pt idx="4412">
                  <c:v>36656</c:v>
                </c:pt>
                <c:pt idx="4413">
                  <c:v>36655</c:v>
                </c:pt>
                <c:pt idx="4414">
                  <c:v>36654</c:v>
                </c:pt>
                <c:pt idx="4415">
                  <c:v>36651</c:v>
                </c:pt>
                <c:pt idx="4416">
                  <c:v>36650</c:v>
                </c:pt>
                <c:pt idx="4417">
                  <c:v>36649</c:v>
                </c:pt>
                <c:pt idx="4418">
                  <c:v>36648</c:v>
                </c:pt>
                <c:pt idx="4419">
                  <c:v>36647</c:v>
                </c:pt>
                <c:pt idx="4420">
                  <c:v>36644</c:v>
                </c:pt>
                <c:pt idx="4421">
                  <c:v>36643</c:v>
                </c:pt>
                <c:pt idx="4422">
                  <c:v>36642</c:v>
                </c:pt>
                <c:pt idx="4423">
                  <c:v>36641</c:v>
                </c:pt>
                <c:pt idx="4424">
                  <c:v>36640</c:v>
                </c:pt>
                <c:pt idx="4425">
                  <c:v>36637</c:v>
                </c:pt>
                <c:pt idx="4426">
                  <c:v>36636</c:v>
                </c:pt>
                <c:pt idx="4427">
                  <c:v>36635</c:v>
                </c:pt>
                <c:pt idx="4428">
                  <c:v>36634</c:v>
                </c:pt>
                <c:pt idx="4429">
                  <c:v>36633</c:v>
                </c:pt>
                <c:pt idx="4430">
                  <c:v>36630</c:v>
                </c:pt>
                <c:pt idx="4431">
                  <c:v>36629</c:v>
                </c:pt>
                <c:pt idx="4432">
                  <c:v>36628</c:v>
                </c:pt>
                <c:pt idx="4433">
                  <c:v>36627</c:v>
                </c:pt>
                <c:pt idx="4434">
                  <c:v>36626</c:v>
                </c:pt>
                <c:pt idx="4435">
                  <c:v>36623</c:v>
                </c:pt>
                <c:pt idx="4436">
                  <c:v>36622</c:v>
                </c:pt>
                <c:pt idx="4437">
                  <c:v>36621</c:v>
                </c:pt>
                <c:pt idx="4438">
                  <c:v>36620</c:v>
                </c:pt>
                <c:pt idx="4439">
                  <c:v>36619</c:v>
                </c:pt>
                <c:pt idx="4440">
                  <c:v>36616</c:v>
                </c:pt>
                <c:pt idx="4441">
                  <c:v>36615</c:v>
                </c:pt>
                <c:pt idx="4442">
                  <c:v>36614</c:v>
                </c:pt>
                <c:pt idx="4443">
                  <c:v>36613</c:v>
                </c:pt>
                <c:pt idx="4444">
                  <c:v>36612</c:v>
                </c:pt>
                <c:pt idx="4445">
                  <c:v>36609</c:v>
                </c:pt>
                <c:pt idx="4446">
                  <c:v>36608</c:v>
                </c:pt>
                <c:pt idx="4447">
                  <c:v>36607</c:v>
                </c:pt>
                <c:pt idx="4448">
                  <c:v>36606</c:v>
                </c:pt>
                <c:pt idx="4449">
                  <c:v>36605</c:v>
                </c:pt>
                <c:pt idx="4450">
                  <c:v>36602</c:v>
                </c:pt>
                <c:pt idx="4451">
                  <c:v>36601</c:v>
                </c:pt>
                <c:pt idx="4452">
                  <c:v>36600</c:v>
                </c:pt>
                <c:pt idx="4453">
                  <c:v>36599</c:v>
                </c:pt>
                <c:pt idx="4454">
                  <c:v>36598</c:v>
                </c:pt>
                <c:pt idx="4455">
                  <c:v>36595</c:v>
                </c:pt>
                <c:pt idx="4456">
                  <c:v>36594</c:v>
                </c:pt>
                <c:pt idx="4457">
                  <c:v>36593</c:v>
                </c:pt>
                <c:pt idx="4458">
                  <c:v>36592</c:v>
                </c:pt>
                <c:pt idx="4459">
                  <c:v>36591</c:v>
                </c:pt>
                <c:pt idx="4460">
                  <c:v>36588</c:v>
                </c:pt>
                <c:pt idx="4461">
                  <c:v>36587</c:v>
                </c:pt>
                <c:pt idx="4462">
                  <c:v>36586</c:v>
                </c:pt>
                <c:pt idx="4463">
                  <c:v>36585</c:v>
                </c:pt>
                <c:pt idx="4464">
                  <c:v>36584</c:v>
                </c:pt>
                <c:pt idx="4465">
                  <c:v>36581</c:v>
                </c:pt>
                <c:pt idx="4466">
                  <c:v>36580</c:v>
                </c:pt>
                <c:pt idx="4467">
                  <c:v>36579</c:v>
                </c:pt>
                <c:pt idx="4468">
                  <c:v>36578</c:v>
                </c:pt>
                <c:pt idx="4469">
                  <c:v>36577</c:v>
                </c:pt>
                <c:pt idx="4470">
                  <c:v>36574</c:v>
                </c:pt>
                <c:pt idx="4471">
                  <c:v>36573</c:v>
                </c:pt>
                <c:pt idx="4472">
                  <c:v>36572</c:v>
                </c:pt>
                <c:pt idx="4473">
                  <c:v>36571</c:v>
                </c:pt>
                <c:pt idx="4474">
                  <c:v>36570</c:v>
                </c:pt>
                <c:pt idx="4475">
                  <c:v>36567</c:v>
                </c:pt>
                <c:pt idx="4476">
                  <c:v>36566</c:v>
                </c:pt>
                <c:pt idx="4477">
                  <c:v>36565</c:v>
                </c:pt>
                <c:pt idx="4478">
                  <c:v>36564</c:v>
                </c:pt>
                <c:pt idx="4479">
                  <c:v>36563</c:v>
                </c:pt>
                <c:pt idx="4480">
                  <c:v>36560</c:v>
                </c:pt>
                <c:pt idx="4481">
                  <c:v>36559</c:v>
                </c:pt>
                <c:pt idx="4482">
                  <c:v>36558</c:v>
                </c:pt>
                <c:pt idx="4483">
                  <c:v>36557</c:v>
                </c:pt>
                <c:pt idx="4484">
                  <c:v>36556</c:v>
                </c:pt>
                <c:pt idx="4485">
                  <c:v>36553</c:v>
                </c:pt>
                <c:pt idx="4486">
                  <c:v>36552</c:v>
                </c:pt>
                <c:pt idx="4487">
                  <c:v>36551</c:v>
                </c:pt>
                <c:pt idx="4488">
                  <c:v>36550</c:v>
                </c:pt>
                <c:pt idx="4489">
                  <c:v>36549</c:v>
                </c:pt>
                <c:pt idx="4490">
                  <c:v>36546</c:v>
                </c:pt>
                <c:pt idx="4491">
                  <c:v>36545</c:v>
                </c:pt>
                <c:pt idx="4492">
                  <c:v>36544</c:v>
                </c:pt>
                <c:pt idx="4493">
                  <c:v>36543</c:v>
                </c:pt>
                <c:pt idx="4494">
                  <c:v>36542</c:v>
                </c:pt>
                <c:pt idx="4495">
                  <c:v>36539</c:v>
                </c:pt>
                <c:pt idx="4496">
                  <c:v>36538</c:v>
                </c:pt>
                <c:pt idx="4497">
                  <c:v>36537</c:v>
                </c:pt>
                <c:pt idx="4498">
                  <c:v>36536</c:v>
                </c:pt>
                <c:pt idx="4499">
                  <c:v>36535</c:v>
                </c:pt>
                <c:pt idx="4500">
                  <c:v>36532</c:v>
                </c:pt>
                <c:pt idx="4501">
                  <c:v>36531</c:v>
                </c:pt>
                <c:pt idx="4502">
                  <c:v>36530</c:v>
                </c:pt>
                <c:pt idx="4503">
                  <c:v>36529</c:v>
                </c:pt>
                <c:pt idx="4504">
                  <c:v>36528</c:v>
                </c:pt>
                <c:pt idx="4505">
                  <c:v>36525</c:v>
                </c:pt>
                <c:pt idx="4506">
                  <c:v>36524</c:v>
                </c:pt>
                <c:pt idx="4507">
                  <c:v>36523</c:v>
                </c:pt>
                <c:pt idx="4508">
                  <c:v>36522</c:v>
                </c:pt>
                <c:pt idx="4509">
                  <c:v>36521</c:v>
                </c:pt>
                <c:pt idx="4510">
                  <c:v>36518</c:v>
                </c:pt>
                <c:pt idx="4511">
                  <c:v>36517</c:v>
                </c:pt>
                <c:pt idx="4512">
                  <c:v>36516</c:v>
                </c:pt>
                <c:pt idx="4513">
                  <c:v>36515</c:v>
                </c:pt>
                <c:pt idx="4514">
                  <c:v>36514</c:v>
                </c:pt>
                <c:pt idx="4515">
                  <c:v>36511</c:v>
                </c:pt>
                <c:pt idx="4516">
                  <c:v>36510</c:v>
                </c:pt>
                <c:pt idx="4517">
                  <c:v>36509</c:v>
                </c:pt>
                <c:pt idx="4518">
                  <c:v>36508</c:v>
                </c:pt>
                <c:pt idx="4519">
                  <c:v>36507</c:v>
                </c:pt>
                <c:pt idx="4520">
                  <c:v>36504</c:v>
                </c:pt>
                <c:pt idx="4521">
                  <c:v>36503</c:v>
                </c:pt>
                <c:pt idx="4522">
                  <c:v>36502</c:v>
                </c:pt>
                <c:pt idx="4523">
                  <c:v>36501</c:v>
                </c:pt>
                <c:pt idx="4524">
                  <c:v>36500</c:v>
                </c:pt>
                <c:pt idx="4525">
                  <c:v>36497</c:v>
                </c:pt>
                <c:pt idx="4526">
                  <c:v>36496</c:v>
                </c:pt>
                <c:pt idx="4527">
                  <c:v>36495</c:v>
                </c:pt>
                <c:pt idx="4528">
                  <c:v>36494</c:v>
                </c:pt>
                <c:pt idx="4529">
                  <c:v>36493</c:v>
                </c:pt>
                <c:pt idx="4530">
                  <c:v>36490</c:v>
                </c:pt>
                <c:pt idx="4531">
                  <c:v>36489</c:v>
                </c:pt>
                <c:pt idx="4532">
                  <c:v>36488</c:v>
                </c:pt>
                <c:pt idx="4533">
                  <c:v>36487</c:v>
                </c:pt>
                <c:pt idx="4534">
                  <c:v>36486</c:v>
                </c:pt>
                <c:pt idx="4535">
                  <c:v>36483</c:v>
                </c:pt>
                <c:pt idx="4536">
                  <c:v>36482</c:v>
                </c:pt>
                <c:pt idx="4537">
                  <c:v>36481</c:v>
                </c:pt>
                <c:pt idx="4538">
                  <c:v>36480</c:v>
                </c:pt>
                <c:pt idx="4539">
                  <c:v>36479</c:v>
                </c:pt>
                <c:pt idx="4540">
                  <c:v>36476</c:v>
                </c:pt>
                <c:pt idx="4541">
                  <c:v>36475</c:v>
                </c:pt>
                <c:pt idx="4542">
                  <c:v>36474</c:v>
                </c:pt>
                <c:pt idx="4543">
                  <c:v>36473</c:v>
                </c:pt>
                <c:pt idx="4544">
                  <c:v>36472</c:v>
                </c:pt>
                <c:pt idx="4545">
                  <c:v>36469</c:v>
                </c:pt>
                <c:pt idx="4546">
                  <c:v>36468</c:v>
                </c:pt>
                <c:pt idx="4547">
                  <c:v>36467</c:v>
                </c:pt>
                <c:pt idx="4548">
                  <c:v>36466</c:v>
                </c:pt>
                <c:pt idx="4549">
                  <c:v>36465</c:v>
                </c:pt>
                <c:pt idx="4550">
                  <c:v>36462</c:v>
                </c:pt>
                <c:pt idx="4551">
                  <c:v>36461</c:v>
                </c:pt>
                <c:pt idx="4552">
                  <c:v>36460</c:v>
                </c:pt>
                <c:pt idx="4553">
                  <c:v>36459</c:v>
                </c:pt>
                <c:pt idx="4554">
                  <c:v>36458</c:v>
                </c:pt>
                <c:pt idx="4555">
                  <c:v>36455</c:v>
                </c:pt>
                <c:pt idx="4556">
                  <c:v>36454</c:v>
                </c:pt>
                <c:pt idx="4557">
                  <c:v>36453</c:v>
                </c:pt>
                <c:pt idx="4558">
                  <c:v>36452</c:v>
                </c:pt>
                <c:pt idx="4559">
                  <c:v>36451</c:v>
                </c:pt>
                <c:pt idx="4560">
                  <c:v>36448</c:v>
                </c:pt>
                <c:pt idx="4561">
                  <c:v>36447</c:v>
                </c:pt>
                <c:pt idx="4562">
                  <c:v>36446</c:v>
                </c:pt>
                <c:pt idx="4563">
                  <c:v>36445</c:v>
                </c:pt>
                <c:pt idx="4564">
                  <c:v>36444</c:v>
                </c:pt>
                <c:pt idx="4565">
                  <c:v>36441</c:v>
                </c:pt>
                <c:pt idx="4566">
                  <c:v>36440</c:v>
                </c:pt>
                <c:pt idx="4567">
                  <c:v>36439</c:v>
                </c:pt>
                <c:pt idx="4568">
                  <c:v>36438</c:v>
                </c:pt>
                <c:pt idx="4569">
                  <c:v>36437</c:v>
                </c:pt>
                <c:pt idx="4570">
                  <c:v>36434</c:v>
                </c:pt>
                <c:pt idx="4571">
                  <c:v>36433</c:v>
                </c:pt>
                <c:pt idx="4572">
                  <c:v>36432</c:v>
                </c:pt>
                <c:pt idx="4573">
                  <c:v>36431</c:v>
                </c:pt>
                <c:pt idx="4574">
                  <c:v>36430</c:v>
                </c:pt>
                <c:pt idx="4575">
                  <c:v>36427</c:v>
                </c:pt>
                <c:pt idx="4576">
                  <c:v>36426</c:v>
                </c:pt>
                <c:pt idx="4577">
                  <c:v>36425</c:v>
                </c:pt>
                <c:pt idx="4578">
                  <c:v>36424</c:v>
                </c:pt>
                <c:pt idx="4579">
                  <c:v>36423</c:v>
                </c:pt>
                <c:pt idx="4580">
                  <c:v>36420</c:v>
                </c:pt>
                <c:pt idx="4581">
                  <c:v>36419</c:v>
                </c:pt>
                <c:pt idx="4582">
                  <c:v>36418</c:v>
                </c:pt>
                <c:pt idx="4583">
                  <c:v>36417</c:v>
                </c:pt>
                <c:pt idx="4584">
                  <c:v>36416</c:v>
                </c:pt>
                <c:pt idx="4585">
                  <c:v>36413</c:v>
                </c:pt>
                <c:pt idx="4586">
                  <c:v>36412</c:v>
                </c:pt>
                <c:pt idx="4587">
                  <c:v>36411</c:v>
                </c:pt>
                <c:pt idx="4588">
                  <c:v>36410</c:v>
                </c:pt>
                <c:pt idx="4589">
                  <c:v>36409</c:v>
                </c:pt>
                <c:pt idx="4590">
                  <c:v>36406</c:v>
                </c:pt>
                <c:pt idx="4591">
                  <c:v>36405</c:v>
                </c:pt>
                <c:pt idx="4592">
                  <c:v>36404</c:v>
                </c:pt>
                <c:pt idx="4593">
                  <c:v>36403</c:v>
                </c:pt>
                <c:pt idx="4594">
                  <c:v>36402</c:v>
                </c:pt>
                <c:pt idx="4595">
                  <c:v>36399</c:v>
                </c:pt>
                <c:pt idx="4596">
                  <c:v>36398</c:v>
                </c:pt>
                <c:pt idx="4597">
                  <c:v>36397</c:v>
                </c:pt>
                <c:pt idx="4598">
                  <c:v>36396</c:v>
                </c:pt>
                <c:pt idx="4599">
                  <c:v>36395</c:v>
                </c:pt>
                <c:pt idx="4600">
                  <c:v>36392</c:v>
                </c:pt>
                <c:pt idx="4601">
                  <c:v>36391</c:v>
                </c:pt>
                <c:pt idx="4602">
                  <c:v>36390</c:v>
                </c:pt>
                <c:pt idx="4603">
                  <c:v>36389</c:v>
                </c:pt>
                <c:pt idx="4604">
                  <c:v>36388</c:v>
                </c:pt>
                <c:pt idx="4605">
                  <c:v>36385</c:v>
                </c:pt>
                <c:pt idx="4606">
                  <c:v>36384</c:v>
                </c:pt>
                <c:pt idx="4607">
                  <c:v>36383</c:v>
                </c:pt>
                <c:pt idx="4608">
                  <c:v>36382</c:v>
                </c:pt>
                <c:pt idx="4609">
                  <c:v>36381</c:v>
                </c:pt>
                <c:pt idx="4610">
                  <c:v>36378</c:v>
                </c:pt>
                <c:pt idx="4611">
                  <c:v>36377</c:v>
                </c:pt>
                <c:pt idx="4612">
                  <c:v>36376</c:v>
                </c:pt>
                <c:pt idx="4613">
                  <c:v>36375</c:v>
                </c:pt>
                <c:pt idx="4614">
                  <c:v>36374</c:v>
                </c:pt>
                <c:pt idx="4615">
                  <c:v>36371</c:v>
                </c:pt>
                <c:pt idx="4616">
                  <c:v>36370</c:v>
                </c:pt>
                <c:pt idx="4617">
                  <c:v>36369</c:v>
                </c:pt>
                <c:pt idx="4618">
                  <c:v>36368</c:v>
                </c:pt>
                <c:pt idx="4619">
                  <c:v>36367</c:v>
                </c:pt>
                <c:pt idx="4620">
                  <c:v>36364</c:v>
                </c:pt>
                <c:pt idx="4621">
                  <c:v>36363</c:v>
                </c:pt>
                <c:pt idx="4622">
                  <c:v>36362</c:v>
                </c:pt>
                <c:pt idx="4623">
                  <c:v>36361</c:v>
                </c:pt>
                <c:pt idx="4624">
                  <c:v>36360</c:v>
                </c:pt>
                <c:pt idx="4625">
                  <c:v>36357</c:v>
                </c:pt>
                <c:pt idx="4626">
                  <c:v>36356</c:v>
                </c:pt>
                <c:pt idx="4627">
                  <c:v>36355</c:v>
                </c:pt>
                <c:pt idx="4628">
                  <c:v>36354</c:v>
                </c:pt>
                <c:pt idx="4629">
                  <c:v>36353</c:v>
                </c:pt>
                <c:pt idx="4630">
                  <c:v>36350</c:v>
                </c:pt>
                <c:pt idx="4631">
                  <c:v>36349</c:v>
                </c:pt>
                <c:pt idx="4632">
                  <c:v>36348</c:v>
                </c:pt>
                <c:pt idx="4633">
                  <c:v>36347</c:v>
                </c:pt>
                <c:pt idx="4634">
                  <c:v>36346</c:v>
                </c:pt>
                <c:pt idx="4635">
                  <c:v>36343</c:v>
                </c:pt>
                <c:pt idx="4636">
                  <c:v>36342</c:v>
                </c:pt>
                <c:pt idx="4637">
                  <c:v>36341</c:v>
                </c:pt>
                <c:pt idx="4638">
                  <c:v>36340</c:v>
                </c:pt>
                <c:pt idx="4639">
                  <c:v>36339</c:v>
                </c:pt>
                <c:pt idx="4640">
                  <c:v>36336</c:v>
                </c:pt>
                <c:pt idx="4641">
                  <c:v>36335</c:v>
                </c:pt>
                <c:pt idx="4642">
                  <c:v>36334</c:v>
                </c:pt>
                <c:pt idx="4643">
                  <c:v>36333</c:v>
                </c:pt>
                <c:pt idx="4644">
                  <c:v>36332</c:v>
                </c:pt>
                <c:pt idx="4645">
                  <c:v>36329</c:v>
                </c:pt>
                <c:pt idx="4646">
                  <c:v>36328</c:v>
                </c:pt>
                <c:pt idx="4647">
                  <c:v>36327</c:v>
                </c:pt>
                <c:pt idx="4648">
                  <c:v>36326</c:v>
                </c:pt>
                <c:pt idx="4649">
                  <c:v>36325</c:v>
                </c:pt>
                <c:pt idx="4650">
                  <c:v>36322</c:v>
                </c:pt>
                <c:pt idx="4651">
                  <c:v>36321</c:v>
                </c:pt>
                <c:pt idx="4652">
                  <c:v>36320</c:v>
                </c:pt>
                <c:pt idx="4653">
                  <c:v>36319</c:v>
                </c:pt>
                <c:pt idx="4654">
                  <c:v>36318</c:v>
                </c:pt>
                <c:pt idx="4655">
                  <c:v>36315</c:v>
                </c:pt>
                <c:pt idx="4656">
                  <c:v>36314</c:v>
                </c:pt>
                <c:pt idx="4657">
                  <c:v>36313</c:v>
                </c:pt>
                <c:pt idx="4658">
                  <c:v>36312</c:v>
                </c:pt>
                <c:pt idx="4659">
                  <c:v>36311</c:v>
                </c:pt>
                <c:pt idx="4660">
                  <c:v>36308</c:v>
                </c:pt>
                <c:pt idx="4661">
                  <c:v>36307</c:v>
                </c:pt>
                <c:pt idx="4662">
                  <c:v>36306</c:v>
                </c:pt>
                <c:pt idx="4663">
                  <c:v>36305</c:v>
                </c:pt>
                <c:pt idx="4664">
                  <c:v>36304</c:v>
                </c:pt>
                <c:pt idx="4665">
                  <c:v>36301</c:v>
                </c:pt>
                <c:pt idx="4666">
                  <c:v>36300</c:v>
                </c:pt>
                <c:pt idx="4667">
                  <c:v>36299</c:v>
                </c:pt>
                <c:pt idx="4668">
                  <c:v>36298</c:v>
                </c:pt>
                <c:pt idx="4669">
                  <c:v>36297</c:v>
                </c:pt>
                <c:pt idx="4670">
                  <c:v>36294</c:v>
                </c:pt>
                <c:pt idx="4671">
                  <c:v>36293</c:v>
                </c:pt>
                <c:pt idx="4672">
                  <c:v>36292</c:v>
                </c:pt>
                <c:pt idx="4673">
                  <c:v>36291</c:v>
                </c:pt>
                <c:pt idx="4674">
                  <c:v>36290</c:v>
                </c:pt>
                <c:pt idx="4675">
                  <c:v>36287</c:v>
                </c:pt>
                <c:pt idx="4676">
                  <c:v>36286</c:v>
                </c:pt>
                <c:pt idx="4677">
                  <c:v>36285</c:v>
                </c:pt>
                <c:pt idx="4678">
                  <c:v>36284</c:v>
                </c:pt>
                <c:pt idx="4679">
                  <c:v>36283</c:v>
                </c:pt>
                <c:pt idx="4680">
                  <c:v>36280</c:v>
                </c:pt>
                <c:pt idx="4681">
                  <c:v>36279</c:v>
                </c:pt>
                <c:pt idx="4682">
                  <c:v>36278</c:v>
                </c:pt>
                <c:pt idx="4683">
                  <c:v>36277</c:v>
                </c:pt>
                <c:pt idx="4684">
                  <c:v>36276</c:v>
                </c:pt>
                <c:pt idx="4685">
                  <c:v>36273</c:v>
                </c:pt>
                <c:pt idx="4686">
                  <c:v>36272</c:v>
                </c:pt>
                <c:pt idx="4687">
                  <c:v>36271</c:v>
                </c:pt>
                <c:pt idx="4688">
                  <c:v>36270</c:v>
                </c:pt>
                <c:pt idx="4689">
                  <c:v>36269</c:v>
                </c:pt>
                <c:pt idx="4690">
                  <c:v>36266</c:v>
                </c:pt>
                <c:pt idx="4691">
                  <c:v>36265</c:v>
                </c:pt>
                <c:pt idx="4692">
                  <c:v>36264</c:v>
                </c:pt>
                <c:pt idx="4693">
                  <c:v>36263</c:v>
                </c:pt>
                <c:pt idx="4694">
                  <c:v>36262</c:v>
                </c:pt>
                <c:pt idx="4695">
                  <c:v>36259</c:v>
                </c:pt>
                <c:pt idx="4696">
                  <c:v>36258</c:v>
                </c:pt>
                <c:pt idx="4697">
                  <c:v>36257</c:v>
                </c:pt>
                <c:pt idx="4698">
                  <c:v>36256</c:v>
                </c:pt>
                <c:pt idx="4699">
                  <c:v>36255</c:v>
                </c:pt>
                <c:pt idx="4700">
                  <c:v>36252</c:v>
                </c:pt>
                <c:pt idx="4701">
                  <c:v>36251</c:v>
                </c:pt>
                <c:pt idx="4702">
                  <c:v>36250</c:v>
                </c:pt>
                <c:pt idx="4703">
                  <c:v>36249</c:v>
                </c:pt>
                <c:pt idx="4704">
                  <c:v>36248</c:v>
                </c:pt>
                <c:pt idx="4705">
                  <c:v>36245</c:v>
                </c:pt>
                <c:pt idx="4706">
                  <c:v>36244</c:v>
                </c:pt>
                <c:pt idx="4707">
                  <c:v>36243</c:v>
                </c:pt>
                <c:pt idx="4708">
                  <c:v>36242</c:v>
                </c:pt>
                <c:pt idx="4709">
                  <c:v>36241</c:v>
                </c:pt>
                <c:pt idx="4710">
                  <c:v>36238</c:v>
                </c:pt>
                <c:pt idx="4711">
                  <c:v>36237</c:v>
                </c:pt>
                <c:pt idx="4712">
                  <c:v>36236</c:v>
                </c:pt>
                <c:pt idx="4713">
                  <c:v>36235</c:v>
                </c:pt>
                <c:pt idx="4714">
                  <c:v>36234</c:v>
                </c:pt>
                <c:pt idx="4715">
                  <c:v>36231</c:v>
                </c:pt>
                <c:pt idx="4716">
                  <c:v>36230</c:v>
                </c:pt>
                <c:pt idx="4717">
                  <c:v>36229</c:v>
                </c:pt>
                <c:pt idx="4718">
                  <c:v>36228</c:v>
                </c:pt>
                <c:pt idx="4719">
                  <c:v>36227</c:v>
                </c:pt>
                <c:pt idx="4720">
                  <c:v>36224</c:v>
                </c:pt>
                <c:pt idx="4721">
                  <c:v>36223</c:v>
                </c:pt>
                <c:pt idx="4722">
                  <c:v>36222</c:v>
                </c:pt>
                <c:pt idx="4723">
                  <c:v>36221</c:v>
                </c:pt>
                <c:pt idx="4724">
                  <c:v>36220</c:v>
                </c:pt>
                <c:pt idx="4725">
                  <c:v>36217</c:v>
                </c:pt>
                <c:pt idx="4726">
                  <c:v>36216</c:v>
                </c:pt>
                <c:pt idx="4727">
                  <c:v>36215</c:v>
                </c:pt>
                <c:pt idx="4728">
                  <c:v>36214</c:v>
                </c:pt>
                <c:pt idx="4729">
                  <c:v>36213</c:v>
                </c:pt>
                <c:pt idx="4730">
                  <c:v>36210</c:v>
                </c:pt>
                <c:pt idx="4731">
                  <c:v>36209</c:v>
                </c:pt>
                <c:pt idx="4732">
                  <c:v>36208</c:v>
                </c:pt>
                <c:pt idx="4733">
                  <c:v>36207</c:v>
                </c:pt>
                <c:pt idx="4734">
                  <c:v>36206</c:v>
                </c:pt>
                <c:pt idx="4735">
                  <c:v>36203</c:v>
                </c:pt>
                <c:pt idx="4736">
                  <c:v>36202</c:v>
                </c:pt>
                <c:pt idx="4737">
                  <c:v>36201</c:v>
                </c:pt>
                <c:pt idx="4738">
                  <c:v>36200</c:v>
                </c:pt>
                <c:pt idx="4739">
                  <c:v>36199</c:v>
                </c:pt>
                <c:pt idx="4740">
                  <c:v>36196</c:v>
                </c:pt>
                <c:pt idx="4741">
                  <c:v>36195</c:v>
                </c:pt>
                <c:pt idx="4742">
                  <c:v>36194</c:v>
                </c:pt>
                <c:pt idx="4743">
                  <c:v>36193</c:v>
                </c:pt>
                <c:pt idx="4744">
                  <c:v>36192</c:v>
                </c:pt>
                <c:pt idx="4745">
                  <c:v>36189</c:v>
                </c:pt>
                <c:pt idx="4746">
                  <c:v>36188</c:v>
                </c:pt>
                <c:pt idx="4747">
                  <c:v>36187</c:v>
                </c:pt>
                <c:pt idx="4748">
                  <c:v>36186</c:v>
                </c:pt>
                <c:pt idx="4749">
                  <c:v>36185</c:v>
                </c:pt>
                <c:pt idx="4750">
                  <c:v>36182</c:v>
                </c:pt>
                <c:pt idx="4751">
                  <c:v>36181</c:v>
                </c:pt>
                <c:pt idx="4752">
                  <c:v>36180</c:v>
                </c:pt>
                <c:pt idx="4753">
                  <c:v>36179</c:v>
                </c:pt>
                <c:pt idx="4754">
                  <c:v>36178</c:v>
                </c:pt>
                <c:pt idx="4755">
                  <c:v>36175</c:v>
                </c:pt>
                <c:pt idx="4756">
                  <c:v>36174</c:v>
                </c:pt>
                <c:pt idx="4757">
                  <c:v>36173</c:v>
                </c:pt>
                <c:pt idx="4758">
                  <c:v>36172</c:v>
                </c:pt>
                <c:pt idx="4759">
                  <c:v>36171</c:v>
                </c:pt>
                <c:pt idx="4760">
                  <c:v>36168</c:v>
                </c:pt>
                <c:pt idx="4761">
                  <c:v>36167</c:v>
                </c:pt>
                <c:pt idx="4762">
                  <c:v>36166</c:v>
                </c:pt>
                <c:pt idx="4763">
                  <c:v>36165</c:v>
                </c:pt>
                <c:pt idx="4764">
                  <c:v>36164</c:v>
                </c:pt>
                <c:pt idx="4765">
                  <c:v>36161</c:v>
                </c:pt>
                <c:pt idx="4766">
                  <c:v>36160</c:v>
                </c:pt>
                <c:pt idx="4767">
                  <c:v>36159</c:v>
                </c:pt>
                <c:pt idx="4768">
                  <c:v>36158</c:v>
                </c:pt>
                <c:pt idx="4769">
                  <c:v>36157</c:v>
                </c:pt>
                <c:pt idx="4770">
                  <c:v>36154</c:v>
                </c:pt>
                <c:pt idx="4771">
                  <c:v>36153</c:v>
                </c:pt>
                <c:pt idx="4772">
                  <c:v>36152</c:v>
                </c:pt>
                <c:pt idx="4773">
                  <c:v>36151</c:v>
                </c:pt>
                <c:pt idx="4774">
                  <c:v>36150</c:v>
                </c:pt>
                <c:pt idx="4775">
                  <c:v>36147</c:v>
                </c:pt>
                <c:pt idx="4776">
                  <c:v>36146</c:v>
                </c:pt>
                <c:pt idx="4777">
                  <c:v>36145</c:v>
                </c:pt>
                <c:pt idx="4778">
                  <c:v>36144</c:v>
                </c:pt>
                <c:pt idx="4779">
                  <c:v>36143</c:v>
                </c:pt>
                <c:pt idx="4780">
                  <c:v>36140</c:v>
                </c:pt>
                <c:pt idx="4781">
                  <c:v>36139</c:v>
                </c:pt>
                <c:pt idx="4782">
                  <c:v>36138</c:v>
                </c:pt>
                <c:pt idx="4783">
                  <c:v>36137</c:v>
                </c:pt>
                <c:pt idx="4784">
                  <c:v>36136</c:v>
                </c:pt>
                <c:pt idx="4785">
                  <c:v>36133</c:v>
                </c:pt>
                <c:pt idx="4786">
                  <c:v>36132</c:v>
                </c:pt>
                <c:pt idx="4787">
                  <c:v>36131</c:v>
                </c:pt>
                <c:pt idx="4788">
                  <c:v>36130</c:v>
                </c:pt>
                <c:pt idx="4789">
                  <c:v>36129</c:v>
                </c:pt>
                <c:pt idx="4790">
                  <c:v>36126</c:v>
                </c:pt>
                <c:pt idx="4791">
                  <c:v>36125</c:v>
                </c:pt>
                <c:pt idx="4792">
                  <c:v>36124</c:v>
                </c:pt>
                <c:pt idx="4793">
                  <c:v>36123</c:v>
                </c:pt>
                <c:pt idx="4794">
                  <c:v>36122</c:v>
                </c:pt>
                <c:pt idx="4795">
                  <c:v>36119</c:v>
                </c:pt>
                <c:pt idx="4796">
                  <c:v>36118</c:v>
                </c:pt>
                <c:pt idx="4797">
                  <c:v>36117</c:v>
                </c:pt>
                <c:pt idx="4798">
                  <c:v>36116</c:v>
                </c:pt>
                <c:pt idx="4799">
                  <c:v>36115</c:v>
                </c:pt>
                <c:pt idx="4800">
                  <c:v>36112</c:v>
                </c:pt>
                <c:pt idx="4801">
                  <c:v>36111</c:v>
                </c:pt>
                <c:pt idx="4802">
                  <c:v>36110</c:v>
                </c:pt>
                <c:pt idx="4803">
                  <c:v>36109</c:v>
                </c:pt>
                <c:pt idx="4804">
                  <c:v>36108</c:v>
                </c:pt>
                <c:pt idx="4805">
                  <c:v>36105</c:v>
                </c:pt>
                <c:pt idx="4806">
                  <c:v>36104</c:v>
                </c:pt>
                <c:pt idx="4807">
                  <c:v>36103</c:v>
                </c:pt>
                <c:pt idx="4808">
                  <c:v>36102</c:v>
                </c:pt>
                <c:pt idx="4809">
                  <c:v>36101</c:v>
                </c:pt>
                <c:pt idx="4810">
                  <c:v>36098</c:v>
                </c:pt>
                <c:pt idx="4811">
                  <c:v>36097</c:v>
                </c:pt>
                <c:pt idx="4812">
                  <c:v>36096</c:v>
                </c:pt>
                <c:pt idx="4813">
                  <c:v>36095</c:v>
                </c:pt>
                <c:pt idx="4814">
                  <c:v>36094</c:v>
                </c:pt>
                <c:pt idx="4815">
                  <c:v>36091</c:v>
                </c:pt>
                <c:pt idx="4816">
                  <c:v>36090</c:v>
                </c:pt>
                <c:pt idx="4817">
                  <c:v>36089</c:v>
                </c:pt>
                <c:pt idx="4818">
                  <c:v>36088</c:v>
                </c:pt>
                <c:pt idx="4819">
                  <c:v>36087</c:v>
                </c:pt>
                <c:pt idx="4820">
                  <c:v>36084</c:v>
                </c:pt>
                <c:pt idx="4821">
                  <c:v>36083</c:v>
                </c:pt>
                <c:pt idx="4822">
                  <c:v>36082</c:v>
                </c:pt>
                <c:pt idx="4823">
                  <c:v>36081</c:v>
                </c:pt>
                <c:pt idx="4824">
                  <c:v>36080</c:v>
                </c:pt>
                <c:pt idx="4825">
                  <c:v>36077</c:v>
                </c:pt>
                <c:pt idx="4826">
                  <c:v>36076</c:v>
                </c:pt>
                <c:pt idx="4827">
                  <c:v>36075</c:v>
                </c:pt>
                <c:pt idx="4828">
                  <c:v>36074</c:v>
                </c:pt>
                <c:pt idx="4829">
                  <c:v>36073</c:v>
                </c:pt>
                <c:pt idx="4830">
                  <c:v>36070</c:v>
                </c:pt>
                <c:pt idx="4831">
                  <c:v>36069</c:v>
                </c:pt>
                <c:pt idx="4832">
                  <c:v>36068</c:v>
                </c:pt>
                <c:pt idx="4833">
                  <c:v>36067</c:v>
                </c:pt>
                <c:pt idx="4834">
                  <c:v>36066</c:v>
                </c:pt>
                <c:pt idx="4835">
                  <c:v>36063</c:v>
                </c:pt>
                <c:pt idx="4836">
                  <c:v>36062</c:v>
                </c:pt>
                <c:pt idx="4837">
                  <c:v>36061</c:v>
                </c:pt>
                <c:pt idx="4838">
                  <c:v>36060</c:v>
                </c:pt>
                <c:pt idx="4839">
                  <c:v>36059</c:v>
                </c:pt>
                <c:pt idx="4840">
                  <c:v>36056</c:v>
                </c:pt>
                <c:pt idx="4841">
                  <c:v>36055</c:v>
                </c:pt>
                <c:pt idx="4842">
                  <c:v>36054</c:v>
                </c:pt>
                <c:pt idx="4843">
                  <c:v>36053</c:v>
                </c:pt>
                <c:pt idx="4844">
                  <c:v>36052</c:v>
                </c:pt>
                <c:pt idx="4845">
                  <c:v>36049</c:v>
                </c:pt>
                <c:pt idx="4846">
                  <c:v>36048</c:v>
                </c:pt>
                <c:pt idx="4847">
                  <c:v>36047</c:v>
                </c:pt>
                <c:pt idx="4848">
                  <c:v>36046</c:v>
                </c:pt>
                <c:pt idx="4849">
                  <c:v>36045</c:v>
                </c:pt>
                <c:pt idx="4850">
                  <c:v>36042</c:v>
                </c:pt>
                <c:pt idx="4851">
                  <c:v>36041</c:v>
                </c:pt>
                <c:pt idx="4852">
                  <c:v>36040</c:v>
                </c:pt>
                <c:pt idx="4853">
                  <c:v>36039</c:v>
                </c:pt>
                <c:pt idx="4854">
                  <c:v>36038</c:v>
                </c:pt>
                <c:pt idx="4855">
                  <c:v>36035</c:v>
                </c:pt>
                <c:pt idx="4856">
                  <c:v>36034</c:v>
                </c:pt>
                <c:pt idx="4857">
                  <c:v>36033</c:v>
                </c:pt>
                <c:pt idx="4858">
                  <c:v>36032</c:v>
                </c:pt>
                <c:pt idx="4859">
                  <c:v>36031</c:v>
                </c:pt>
                <c:pt idx="4860">
                  <c:v>36028</c:v>
                </c:pt>
                <c:pt idx="4861">
                  <c:v>36027</c:v>
                </c:pt>
                <c:pt idx="4862">
                  <c:v>36026</c:v>
                </c:pt>
                <c:pt idx="4863">
                  <c:v>36025</c:v>
                </c:pt>
                <c:pt idx="4864">
                  <c:v>36024</c:v>
                </c:pt>
                <c:pt idx="4865">
                  <c:v>36021</c:v>
                </c:pt>
                <c:pt idx="4866">
                  <c:v>36020</c:v>
                </c:pt>
                <c:pt idx="4867">
                  <c:v>36019</c:v>
                </c:pt>
                <c:pt idx="4868">
                  <c:v>36018</c:v>
                </c:pt>
                <c:pt idx="4869">
                  <c:v>36017</c:v>
                </c:pt>
                <c:pt idx="4870">
                  <c:v>36014</c:v>
                </c:pt>
                <c:pt idx="4871">
                  <c:v>36013</c:v>
                </c:pt>
                <c:pt idx="4872">
                  <c:v>36012</c:v>
                </c:pt>
                <c:pt idx="4873">
                  <c:v>36011</c:v>
                </c:pt>
                <c:pt idx="4874">
                  <c:v>36010</c:v>
                </c:pt>
                <c:pt idx="4875">
                  <c:v>36007</c:v>
                </c:pt>
                <c:pt idx="4876">
                  <c:v>36006</c:v>
                </c:pt>
                <c:pt idx="4877">
                  <c:v>36005</c:v>
                </c:pt>
                <c:pt idx="4878">
                  <c:v>36004</c:v>
                </c:pt>
                <c:pt idx="4879">
                  <c:v>36003</c:v>
                </c:pt>
                <c:pt idx="4880">
                  <c:v>36000</c:v>
                </c:pt>
                <c:pt idx="4881">
                  <c:v>35999</c:v>
                </c:pt>
                <c:pt idx="4882">
                  <c:v>35998</c:v>
                </c:pt>
                <c:pt idx="4883">
                  <c:v>35997</c:v>
                </c:pt>
                <c:pt idx="4884">
                  <c:v>35996</c:v>
                </c:pt>
                <c:pt idx="4885">
                  <c:v>35993</c:v>
                </c:pt>
                <c:pt idx="4886">
                  <c:v>35992</c:v>
                </c:pt>
                <c:pt idx="4887">
                  <c:v>35991</c:v>
                </c:pt>
                <c:pt idx="4888">
                  <c:v>35990</c:v>
                </c:pt>
                <c:pt idx="4889">
                  <c:v>35989</c:v>
                </c:pt>
                <c:pt idx="4890">
                  <c:v>35986</c:v>
                </c:pt>
                <c:pt idx="4891">
                  <c:v>35985</c:v>
                </c:pt>
                <c:pt idx="4892">
                  <c:v>35984</c:v>
                </c:pt>
                <c:pt idx="4893">
                  <c:v>35983</c:v>
                </c:pt>
                <c:pt idx="4894">
                  <c:v>35982</c:v>
                </c:pt>
                <c:pt idx="4895">
                  <c:v>35979</c:v>
                </c:pt>
                <c:pt idx="4896">
                  <c:v>35978</c:v>
                </c:pt>
                <c:pt idx="4897">
                  <c:v>35977</c:v>
                </c:pt>
                <c:pt idx="4898">
                  <c:v>35976</c:v>
                </c:pt>
                <c:pt idx="4899">
                  <c:v>35975</c:v>
                </c:pt>
                <c:pt idx="4900">
                  <c:v>35972</c:v>
                </c:pt>
                <c:pt idx="4901">
                  <c:v>35971</c:v>
                </c:pt>
                <c:pt idx="4902">
                  <c:v>35970</c:v>
                </c:pt>
                <c:pt idx="4903">
                  <c:v>35969</c:v>
                </c:pt>
                <c:pt idx="4904">
                  <c:v>35968</c:v>
                </c:pt>
                <c:pt idx="4905">
                  <c:v>35965</c:v>
                </c:pt>
                <c:pt idx="4906">
                  <c:v>35964</c:v>
                </c:pt>
                <c:pt idx="4907">
                  <c:v>35963</c:v>
                </c:pt>
                <c:pt idx="4908">
                  <c:v>35962</c:v>
                </c:pt>
                <c:pt idx="4909">
                  <c:v>35961</c:v>
                </c:pt>
                <c:pt idx="4910">
                  <c:v>35958</c:v>
                </c:pt>
                <c:pt idx="4911">
                  <c:v>35957</c:v>
                </c:pt>
                <c:pt idx="4912">
                  <c:v>35956</c:v>
                </c:pt>
                <c:pt idx="4913">
                  <c:v>35955</c:v>
                </c:pt>
                <c:pt idx="4914">
                  <c:v>35954</c:v>
                </c:pt>
                <c:pt idx="4915">
                  <c:v>35951</c:v>
                </c:pt>
                <c:pt idx="4916">
                  <c:v>35950</c:v>
                </c:pt>
                <c:pt idx="4917">
                  <c:v>35949</c:v>
                </c:pt>
                <c:pt idx="4918">
                  <c:v>35948</c:v>
                </c:pt>
                <c:pt idx="4919">
                  <c:v>35947</c:v>
                </c:pt>
                <c:pt idx="4920">
                  <c:v>35944</c:v>
                </c:pt>
                <c:pt idx="4921">
                  <c:v>35943</c:v>
                </c:pt>
                <c:pt idx="4922">
                  <c:v>35942</c:v>
                </c:pt>
                <c:pt idx="4923">
                  <c:v>35941</c:v>
                </c:pt>
                <c:pt idx="4924">
                  <c:v>35940</c:v>
                </c:pt>
                <c:pt idx="4925">
                  <c:v>35937</c:v>
                </c:pt>
                <c:pt idx="4926">
                  <c:v>35936</c:v>
                </c:pt>
                <c:pt idx="4927">
                  <c:v>35935</c:v>
                </c:pt>
                <c:pt idx="4928">
                  <c:v>35934</c:v>
                </c:pt>
                <c:pt idx="4929">
                  <c:v>35933</c:v>
                </c:pt>
                <c:pt idx="4930">
                  <c:v>35930</c:v>
                </c:pt>
                <c:pt idx="4931">
                  <c:v>35929</c:v>
                </c:pt>
                <c:pt idx="4932">
                  <c:v>35928</c:v>
                </c:pt>
                <c:pt idx="4933">
                  <c:v>35927</c:v>
                </c:pt>
                <c:pt idx="4934">
                  <c:v>35926</c:v>
                </c:pt>
                <c:pt idx="4935">
                  <c:v>35923</c:v>
                </c:pt>
                <c:pt idx="4936">
                  <c:v>35922</c:v>
                </c:pt>
                <c:pt idx="4937">
                  <c:v>35921</c:v>
                </c:pt>
                <c:pt idx="4938">
                  <c:v>35920</c:v>
                </c:pt>
                <c:pt idx="4939">
                  <c:v>35919</c:v>
                </c:pt>
                <c:pt idx="4940">
                  <c:v>35916</c:v>
                </c:pt>
                <c:pt idx="4941">
                  <c:v>35915</c:v>
                </c:pt>
                <c:pt idx="4942">
                  <c:v>35914</c:v>
                </c:pt>
                <c:pt idx="4943">
                  <c:v>35913</c:v>
                </c:pt>
                <c:pt idx="4944">
                  <c:v>35912</c:v>
                </c:pt>
                <c:pt idx="4945">
                  <c:v>35909</c:v>
                </c:pt>
                <c:pt idx="4946">
                  <c:v>35908</c:v>
                </c:pt>
                <c:pt idx="4947">
                  <c:v>35907</c:v>
                </c:pt>
                <c:pt idx="4948">
                  <c:v>35906</c:v>
                </c:pt>
                <c:pt idx="4949">
                  <c:v>35905</c:v>
                </c:pt>
                <c:pt idx="4950">
                  <c:v>35902</c:v>
                </c:pt>
                <c:pt idx="4951">
                  <c:v>35901</c:v>
                </c:pt>
                <c:pt idx="4952">
                  <c:v>35900</c:v>
                </c:pt>
                <c:pt idx="4953">
                  <c:v>35899</c:v>
                </c:pt>
                <c:pt idx="4954">
                  <c:v>35898</c:v>
                </c:pt>
                <c:pt idx="4955">
                  <c:v>35895</c:v>
                </c:pt>
                <c:pt idx="4956">
                  <c:v>35894</c:v>
                </c:pt>
                <c:pt idx="4957">
                  <c:v>35893</c:v>
                </c:pt>
                <c:pt idx="4958">
                  <c:v>35892</c:v>
                </c:pt>
                <c:pt idx="4959">
                  <c:v>35891</c:v>
                </c:pt>
                <c:pt idx="4960">
                  <c:v>35888</c:v>
                </c:pt>
                <c:pt idx="4961">
                  <c:v>35887</c:v>
                </c:pt>
                <c:pt idx="4962">
                  <c:v>35886</c:v>
                </c:pt>
                <c:pt idx="4963">
                  <c:v>35885</c:v>
                </c:pt>
                <c:pt idx="4964">
                  <c:v>35884</c:v>
                </c:pt>
                <c:pt idx="4965">
                  <c:v>35881</c:v>
                </c:pt>
                <c:pt idx="4966">
                  <c:v>35880</c:v>
                </c:pt>
                <c:pt idx="4967">
                  <c:v>35879</c:v>
                </c:pt>
                <c:pt idx="4968">
                  <c:v>35878</c:v>
                </c:pt>
                <c:pt idx="4969">
                  <c:v>35877</c:v>
                </c:pt>
                <c:pt idx="4970">
                  <c:v>35874</c:v>
                </c:pt>
                <c:pt idx="4971">
                  <c:v>35873</c:v>
                </c:pt>
                <c:pt idx="4972">
                  <c:v>35872</c:v>
                </c:pt>
                <c:pt idx="4973">
                  <c:v>35871</c:v>
                </c:pt>
                <c:pt idx="4974">
                  <c:v>35870</c:v>
                </c:pt>
                <c:pt idx="4975">
                  <c:v>35867</c:v>
                </c:pt>
                <c:pt idx="4976">
                  <c:v>35866</c:v>
                </c:pt>
                <c:pt idx="4977">
                  <c:v>35865</c:v>
                </c:pt>
                <c:pt idx="4978">
                  <c:v>35864</c:v>
                </c:pt>
                <c:pt idx="4979">
                  <c:v>35863</c:v>
                </c:pt>
                <c:pt idx="4980">
                  <c:v>35860</c:v>
                </c:pt>
                <c:pt idx="4981">
                  <c:v>35859</c:v>
                </c:pt>
                <c:pt idx="4982">
                  <c:v>35858</c:v>
                </c:pt>
                <c:pt idx="4983">
                  <c:v>35857</c:v>
                </c:pt>
                <c:pt idx="4984">
                  <c:v>35856</c:v>
                </c:pt>
                <c:pt idx="4985">
                  <c:v>35853</c:v>
                </c:pt>
                <c:pt idx="4986">
                  <c:v>35852</c:v>
                </c:pt>
                <c:pt idx="4987">
                  <c:v>35851</c:v>
                </c:pt>
                <c:pt idx="4988">
                  <c:v>35850</c:v>
                </c:pt>
                <c:pt idx="4989">
                  <c:v>35849</c:v>
                </c:pt>
                <c:pt idx="4990">
                  <c:v>35846</c:v>
                </c:pt>
                <c:pt idx="4991">
                  <c:v>35845</c:v>
                </c:pt>
                <c:pt idx="4992">
                  <c:v>35844</c:v>
                </c:pt>
                <c:pt idx="4993">
                  <c:v>35843</c:v>
                </c:pt>
                <c:pt idx="4994">
                  <c:v>35842</c:v>
                </c:pt>
                <c:pt idx="4995">
                  <c:v>35839</c:v>
                </c:pt>
                <c:pt idx="4996">
                  <c:v>35838</c:v>
                </c:pt>
                <c:pt idx="4997">
                  <c:v>35837</c:v>
                </c:pt>
                <c:pt idx="4998">
                  <c:v>35836</c:v>
                </c:pt>
                <c:pt idx="4999">
                  <c:v>35835</c:v>
                </c:pt>
                <c:pt idx="5000">
                  <c:v>35832</c:v>
                </c:pt>
                <c:pt idx="5001">
                  <c:v>35831</c:v>
                </c:pt>
                <c:pt idx="5002">
                  <c:v>35830</c:v>
                </c:pt>
                <c:pt idx="5003">
                  <c:v>35829</c:v>
                </c:pt>
                <c:pt idx="5004">
                  <c:v>35828</c:v>
                </c:pt>
                <c:pt idx="5005">
                  <c:v>35825</c:v>
                </c:pt>
                <c:pt idx="5006">
                  <c:v>35824</c:v>
                </c:pt>
                <c:pt idx="5007">
                  <c:v>35823</c:v>
                </c:pt>
                <c:pt idx="5008">
                  <c:v>35822</c:v>
                </c:pt>
                <c:pt idx="5009">
                  <c:v>35821</c:v>
                </c:pt>
                <c:pt idx="5010">
                  <c:v>35818</c:v>
                </c:pt>
                <c:pt idx="5011">
                  <c:v>35817</c:v>
                </c:pt>
                <c:pt idx="5012">
                  <c:v>35816</c:v>
                </c:pt>
                <c:pt idx="5013">
                  <c:v>35815</c:v>
                </c:pt>
                <c:pt idx="5014">
                  <c:v>35814</c:v>
                </c:pt>
                <c:pt idx="5015">
                  <c:v>35811</c:v>
                </c:pt>
                <c:pt idx="5016">
                  <c:v>35810</c:v>
                </c:pt>
                <c:pt idx="5017">
                  <c:v>35809</c:v>
                </c:pt>
                <c:pt idx="5018">
                  <c:v>35808</c:v>
                </c:pt>
                <c:pt idx="5019">
                  <c:v>35807</c:v>
                </c:pt>
                <c:pt idx="5020">
                  <c:v>35804</c:v>
                </c:pt>
                <c:pt idx="5021">
                  <c:v>35803</c:v>
                </c:pt>
                <c:pt idx="5022">
                  <c:v>35802</c:v>
                </c:pt>
                <c:pt idx="5023">
                  <c:v>35801</c:v>
                </c:pt>
                <c:pt idx="5024">
                  <c:v>35800</c:v>
                </c:pt>
                <c:pt idx="5025">
                  <c:v>35797</c:v>
                </c:pt>
                <c:pt idx="5026">
                  <c:v>35796</c:v>
                </c:pt>
                <c:pt idx="5027">
                  <c:v>35795</c:v>
                </c:pt>
                <c:pt idx="5028">
                  <c:v>35794</c:v>
                </c:pt>
                <c:pt idx="5029">
                  <c:v>35793</c:v>
                </c:pt>
                <c:pt idx="5030">
                  <c:v>35790</c:v>
                </c:pt>
                <c:pt idx="5031">
                  <c:v>35789</c:v>
                </c:pt>
                <c:pt idx="5032">
                  <c:v>35788</c:v>
                </c:pt>
                <c:pt idx="5033">
                  <c:v>35787</c:v>
                </c:pt>
                <c:pt idx="5034">
                  <c:v>35786</c:v>
                </c:pt>
                <c:pt idx="5035">
                  <c:v>35783</c:v>
                </c:pt>
                <c:pt idx="5036">
                  <c:v>35782</c:v>
                </c:pt>
                <c:pt idx="5037">
                  <c:v>35781</c:v>
                </c:pt>
                <c:pt idx="5038">
                  <c:v>35780</c:v>
                </c:pt>
                <c:pt idx="5039">
                  <c:v>35779</c:v>
                </c:pt>
                <c:pt idx="5040">
                  <c:v>35776</c:v>
                </c:pt>
                <c:pt idx="5041">
                  <c:v>35775</c:v>
                </c:pt>
                <c:pt idx="5042">
                  <c:v>35774</c:v>
                </c:pt>
                <c:pt idx="5043">
                  <c:v>35773</c:v>
                </c:pt>
                <c:pt idx="5044">
                  <c:v>35772</c:v>
                </c:pt>
                <c:pt idx="5045">
                  <c:v>35769</c:v>
                </c:pt>
                <c:pt idx="5046">
                  <c:v>35768</c:v>
                </c:pt>
                <c:pt idx="5047">
                  <c:v>35767</c:v>
                </c:pt>
                <c:pt idx="5048">
                  <c:v>35766</c:v>
                </c:pt>
                <c:pt idx="5049">
                  <c:v>35765</c:v>
                </c:pt>
                <c:pt idx="5050">
                  <c:v>35762</c:v>
                </c:pt>
                <c:pt idx="5051">
                  <c:v>35761</c:v>
                </c:pt>
                <c:pt idx="5052">
                  <c:v>35760</c:v>
                </c:pt>
                <c:pt idx="5053">
                  <c:v>35759</c:v>
                </c:pt>
                <c:pt idx="5054">
                  <c:v>35758</c:v>
                </c:pt>
                <c:pt idx="5055">
                  <c:v>35755</c:v>
                </c:pt>
                <c:pt idx="5056">
                  <c:v>35754</c:v>
                </c:pt>
                <c:pt idx="5057">
                  <c:v>35753</c:v>
                </c:pt>
                <c:pt idx="5058">
                  <c:v>35752</c:v>
                </c:pt>
                <c:pt idx="5059">
                  <c:v>35751</c:v>
                </c:pt>
                <c:pt idx="5060">
                  <c:v>35748</c:v>
                </c:pt>
                <c:pt idx="5061">
                  <c:v>35747</c:v>
                </c:pt>
                <c:pt idx="5062">
                  <c:v>35746</c:v>
                </c:pt>
                <c:pt idx="5063">
                  <c:v>35745</c:v>
                </c:pt>
                <c:pt idx="5064">
                  <c:v>35744</c:v>
                </c:pt>
                <c:pt idx="5065">
                  <c:v>35741</c:v>
                </c:pt>
                <c:pt idx="5066">
                  <c:v>35740</c:v>
                </c:pt>
                <c:pt idx="5067">
                  <c:v>35739</c:v>
                </c:pt>
                <c:pt idx="5068">
                  <c:v>35738</c:v>
                </c:pt>
                <c:pt idx="5069">
                  <c:v>35737</c:v>
                </c:pt>
                <c:pt idx="5070">
                  <c:v>35734</c:v>
                </c:pt>
                <c:pt idx="5071">
                  <c:v>35733</c:v>
                </c:pt>
                <c:pt idx="5072">
                  <c:v>35732</c:v>
                </c:pt>
                <c:pt idx="5073">
                  <c:v>35731</c:v>
                </c:pt>
                <c:pt idx="5074">
                  <c:v>35730</c:v>
                </c:pt>
                <c:pt idx="5075">
                  <c:v>35727</c:v>
                </c:pt>
                <c:pt idx="5076">
                  <c:v>35726</c:v>
                </c:pt>
                <c:pt idx="5077">
                  <c:v>35725</c:v>
                </c:pt>
                <c:pt idx="5078">
                  <c:v>35724</c:v>
                </c:pt>
                <c:pt idx="5079">
                  <c:v>35723</c:v>
                </c:pt>
                <c:pt idx="5080">
                  <c:v>35720</c:v>
                </c:pt>
                <c:pt idx="5081">
                  <c:v>35719</c:v>
                </c:pt>
                <c:pt idx="5082">
                  <c:v>35718</c:v>
                </c:pt>
                <c:pt idx="5083">
                  <c:v>35717</c:v>
                </c:pt>
                <c:pt idx="5084">
                  <c:v>35716</c:v>
                </c:pt>
                <c:pt idx="5085">
                  <c:v>35713</c:v>
                </c:pt>
                <c:pt idx="5086">
                  <c:v>35712</c:v>
                </c:pt>
                <c:pt idx="5087">
                  <c:v>35711</c:v>
                </c:pt>
                <c:pt idx="5088">
                  <c:v>35710</c:v>
                </c:pt>
                <c:pt idx="5089">
                  <c:v>35709</c:v>
                </c:pt>
                <c:pt idx="5090">
                  <c:v>35706</c:v>
                </c:pt>
                <c:pt idx="5091">
                  <c:v>35705</c:v>
                </c:pt>
                <c:pt idx="5092">
                  <c:v>35704</c:v>
                </c:pt>
                <c:pt idx="5093">
                  <c:v>35703</c:v>
                </c:pt>
                <c:pt idx="5094">
                  <c:v>35702</c:v>
                </c:pt>
                <c:pt idx="5095">
                  <c:v>35699</c:v>
                </c:pt>
                <c:pt idx="5096">
                  <c:v>35698</c:v>
                </c:pt>
                <c:pt idx="5097">
                  <c:v>35697</c:v>
                </c:pt>
                <c:pt idx="5098">
                  <c:v>35696</c:v>
                </c:pt>
                <c:pt idx="5099">
                  <c:v>35695</c:v>
                </c:pt>
                <c:pt idx="5100">
                  <c:v>35692</c:v>
                </c:pt>
                <c:pt idx="5101">
                  <c:v>35691</c:v>
                </c:pt>
                <c:pt idx="5102">
                  <c:v>35690</c:v>
                </c:pt>
                <c:pt idx="5103">
                  <c:v>35689</c:v>
                </c:pt>
                <c:pt idx="5104">
                  <c:v>35688</c:v>
                </c:pt>
                <c:pt idx="5105">
                  <c:v>35685</c:v>
                </c:pt>
                <c:pt idx="5106">
                  <c:v>35684</c:v>
                </c:pt>
                <c:pt idx="5107">
                  <c:v>35683</c:v>
                </c:pt>
                <c:pt idx="5108">
                  <c:v>35682</c:v>
                </c:pt>
                <c:pt idx="5109">
                  <c:v>35681</c:v>
                </c:pt>
                <c:pt idx="5110">
                  <c:v>35678</c:v>
                </c:pt>
                <c:pt idx="5111">
                  <c:v>35677</c:v>
                </c:pt>
                <c:pt idx="5112">
                  <c:v>35676</c:v>
                </c:pt>
                <c:pt idx="5113">
                  <c:v>35675</c:v>
                </c:pt>
                <c:pt idx="5114">
                  <c:v>35674</c:v>
                </c:pt>
                <c:pt idx="5115">
                  <c:v>35671</c:v>
                </c:pt>
                <c:pt idx="5116">
                  <c:v>35670</c:v>
                </c:pt>
                <c:pt idx="5117">
                  <c:v>35669</c:v>
                </c:pt>
                <c:pt idx="5118">
                  <c:v>35668</c:v>
                </c:pt>
                <c:pt idx="5119">
                  <c:v>35667</c:v>
                </c:pt>
                <c:pt idx="5120">
                  <c:v>35664</c:v>
                </c:pt>
                <c:pt idx="5121">
                  <c:v>35663</c:v>
                </c:pt>
                <c:pt idx="5122">
                  <c:v>35662</c:v>
                </c:pt>
                <c:pt idx="5123">
                  <c:v>35661</c:v>
                </c:pt>
                <c:pt idx="5124">
                  <c:v>35660</c:v>
                </c:pt>
                <c:pt idx="5125">
                  <c:v>35657</c:v>
                </c:pt>
                <c:pt idx="5126">
                  <c:v>35656</c:v>
                </c:pt>
                <c:pt idx="5127">
                  <c:v>35655</c:v>
                </c:pt>
                <c:pt idx="5128">
                  <c:v>35654</c:v>
                </c:pt>
                <c:pt idx="5129">
                  <c:v>35653</c:v>
                </c:pt>
                <c:pt idx="5130">
                  <c:v>35650</c:v>
                </c:pt>
                <c:pt idx="5131">
                  <c:v>35649</c:v>
                </c:pt>
                <c:pt idx="5132">
                  <c:v>35648</c:v>
                </c:pt>
                <c:pt idx="5133">
                  <c:v>35647</c:v>
                </c:pt>
                <c:pt idx="5134">
                  <c:v>35646</c:v>
                </c:pt>
                <c:pt idx="5135">
                  <c:v>35643</c:v>
                </c:pt>
                <c:pt idx="5136">
                  <c:v>35642</c:v>
                </c:pt>
                <c:pt idx="5137">
                  <c:v>35641</c:v>
                </c:pt>
                <c:pt idx="5138">
                  <c:v>35640</c:v>
                </c:pt>
                <c:pt idx="5139">
                  <c:v>35639</c:v>
                </c:pt>
                <c:pt idx="5140">
                  <c:v>35636</c:v>
                </c:pt>
                <c:pt idx="5141">
                  <c:v>35635</c:v>
                </c:pt>
                <c:pt idx="5142">
                  <c:v>35634</c:v>
                </c:pt>
                <c:pt idx="5143">
                  <c:v>35633</c:v>
                </c:pt>
                <c:pt idx="5144">
                  <c:v>35632</c:v>
                </c:pt>
                <c:pt idx="5145">
                  <c:v>35629</c:v>
                </c:pt>
                <c:pt idx="5146">
                  <c:v>35628</c:v>
                </c:pt>
                <c:pt idx="5147">
                  <c:v>35627</c:v>
                </c:pt>
                <c:pt idx="5148">
                  <c:v>35626</c:v>
                </c:pt>
                <c:pt idx="5149">
                  <c:v>35625</c:v>
                </c:pt>
                <c:pt idx="5150">
                  <c:v>35622</c:v>
                </c:pt>
                <c:pt idx="5151">
                  <c:v>35621</c:v>
                </c:pt>
                <c:pt idx="5152">
                  <c:v>35620</c:v>
                </c:pt>
                <c:pt idx="5153">
                  <c:v>35619</c:v>
                </c:pt>
                <c:pt idx="5154">
                  <c:v>35618</c:v>
                </c:pt>
                <c:pt idx="5155">
                  <c:v>35615</c:v>
                </c:pt>
                <c:pt idx="5156">
                  <c:v>35614</c:v>
                </c:pt>
                <c:pt idx="5157">
                  <c:v>35613</c:v>
                </c:pt>
                <c:pt idx="5158">
                  <c:v>35612</c:v>
                </c:pt>
                <c:pt idx="5159">
                  <c:v>35611</c:v>
                </c:pt>
                <c:pt idx="5160">
                  <c:v>35608</c:v>
                </c:pt>
                <c:pt idx="5161">
                  <c:v>35607</c:v>
                </c:pt>
                <c:pt idx="5162">
                  <c:v>35606</c:v>
                </c:pt>
                <c:pt idx="5163">
                  <c:v>35605</c:v>
                </c:pt>
                <c:pt idx="5164">
                  <c:v>35604</c:v>
                </c:pt>
                <c:pt idx="5165">
                  <c:v>35601</c:v>
                </c:pt>
                <c:pt idx="5166">
                  <c:v>35600</c:v>
                </c:pt>
                <c:pt idx="5167">
                  <c:v>35599</c:v>
                </c:pt>
                <c:pt idx="5168">
                  <c:v>35598</c:v>
                </c:pt>
                <c:pt idx="5169">
                  <c:v>35597</c:v>
                </c:pt>
                <c:pt idx="5170">
                  <c:v>35594</c:v>
                </c:pt>
                <c:pt idx="5171">
                  <c:v>35593</c:v>
                </c:pt>
                <c:pt idx="5172">
                  <c:v>35592</c:v>
                </c:pt>
                <c:pt idx="5173">
                  <c:v>35591</c:v>
                </c:pt>
                <c:pt idx="5174">
                  <c:v>35590</c:v>
                </c:pt>
                <c:pt idx="5175">
                  <c:v>35587</c:v>
                </c:pt>
                <c:pt idx="5176">
                  <c:v>35586</c:v>
                </c:pt>
                <c:pt idx="5177">
                  <c:v>35585</c:v>
                </c:pt>
                <c:pt idx="5178">
                  <c:v>35584</c:v>
                </c:pt>
                <c:pt idx="5179">
                  <c:v>35583</c:v>
                </c:pt>
                <c:pt idx="5180">
                  <c:v>35580</c:v>
                </c:pt>
                <c:pt idx="5181">
                  <c:v>35579</c:v>
                </c:pt>
                <c:pt idx="5182">
                  <c:v>35578</c:v>
                </c:pt>
                <c:pt idx="5183">
                  <c:v>35577</c:v>
                </c:pt>
                <c:pt idx="5184">
                  <c:v>35576</c:v>
                </c:pt>
                <c:pt idx="5185">
                  <c:v>35573</c:v>
                </c:pt>
                <c:pt idx="5186">
                  <c:v>35572</c:v>
                </c:pt>
                <c:pt idx="5187">
                  <c:v>35571</c:v>
                </c:pt>
                <c:pt idx="5188">
                  <c:v>35570</c:v>
                </c:pt>
                <c:pt idx="5189">
                  <c:v>35569</c:v>
                </c:pt>
                <c:pt idx="5190">
                  <c:v>35566</c:v>
                </c:pt>
                <c:pt idx="5191">
                  <c:v>35565</c:v>
                </c:pt>
                <c:pt idx="5192">
                  <c:v>35564</c:v>
                </c:pt>
                <c:pt idx="5193">
                  <c:v>35563</c:v>
                </c:pt>
                <c:pt idx="5194">
                  <c:v>35562</c:v>
                </c:pt>
                <c:pt idx="5195">
                  <c:v>35559</c:v>
                </c:pt>
                <c:pt idx="5196">
                  <c:v>35558</c:v>
                </c:pt>
                <c:pt idx="5197">
                  <c:v>35557</c:v>
                </c:pt>
                <c:pt idx="5198">
                  <c:v>35556</c:v>
                </c:pt>
                <c:pt idx="5199">
                  <c:v>35555</c:v>
                </c:pt>
                <c:pt idx="5200">
                  <c:v>35552</c:v>
                </c:pt>
                <c:pt idx="5201">
                  <c:v>35551</c:v>
                </c:pt>
                <c:pt idx="5202">
                  <c:v>35550</c:v>
                </c:pt>
                <c:pt idx="5203">
                  <c:v>35549</c:v>
                </c:pt>
                <c:pt idx="5204">
                  <c:v>35548</c:v>
                </c:pt>
                <c:pt idx="5205">
                  <c:v>35545</c:v>
                </c:pt>
                <c:pt idx="5206">
                  <c:v>35544</c:v>
                </c:pt>
                <c:pt idx="5207">
                  <c:v>35543</c:v>
                </c:pt>
                <c:pt idx="5208">
                  <c:v>35542</c:v>
                </c:pt>
                <c:pt idx="5209">
                  <c:v>35541</c:v>
                </c:pt>
                <c:pt idx="5210">
                  <c:v>35538</c:v>
                </c:pt>
                <c:pt idx="5211">
                  <c:v>35537</c:v>
                </c:pt>
                <c:pt idx="5212">
                  <c:v>35536</c:v>
                </c:pt>
                <c:pt idx="5213">
                  <c:v>35535</c:v>
                </c:pt>
                <c:pt idx="5214">
                  <c:v>35534</c:v>
                </c:pt>
                <c:pt idx="5215">
                  <c:v>35531</c:v>
                </c:pt>
                <c:pt idx="5216">
                  <c:v>35530</c:v>
                </c:pt>
                <c:pt idx="5217">
                  <c:v>35529</c:v>
                </c:pt>
                <c:pt idx="5218">
                  <c:v>35528</c:v>
                </c:pt>
                <c:pt idx="5219">
                  <c:v>35527</c:v>
                </c:pt>
                <c:pt idx="5220">
                  <c:v>35524</c:v>
                </c:pt>
                <c:pt idx="5221">
                  <c:v>35523</c:v>
                </c:pt>
                <c:pt idx="5222">
                  <c:v>35522</c:v>
                </c:pt>
                <c:pt idx="5223">
                  <c:v>35521</c:v>
                </c:pt>
                <c:pt idx="5224">
                  <c:v>35520</c:v>
                </c:pt>
                <c:pt idx="5225">
                  <c:v>35517</c:v>
                </c:pt>
                <c:pt idx="5226">
                  <c:v>35516</c:v>
                </c:pt>
                <c:pt idx="5227">
                  <c:v>35515</c:v>
                </c:pt>
                <c:pt idx="5228">
                  <c:v>35514</c:v>
                </c:pt>
                <c:pt idx="5229">
                  <c:v>35513</c:v>
                </c:pt>
                <c:pt idx="5230">
                  <c:v>35510</c:v>
                </c:pt>
                <c:pt idx="5231">
                  <c:v>35509</c:v>
                </c:pt>
                <c:pt idx="5232">
                  <c:v>35508</c:v>
                </c:pt>
                <c:pt idx="5233">
                  <c:v>35507</c:v>
                </c:pt>
                <c:pt idx="5234">
                  <c:v>35506</c:v>
                </c:pt>
                <c:pt idx="5235">
                  <c:v>35503</c:v>
                </c:pt>
                <c:pt idx="5236">
                  <c:v>35502</c:v>
                </c:pt>
                <c:pt idx="5237">
                  <c:v>35501</c:v>
                </c:pt>
                <c:pt idx="5238">
                  <c:v>35500</c:v>
                </c:pt>
                <c:pt idx="5239">
                  <c:v>35499</c:v>
                </c:pt>
                <c:pt idx="5240">
                  <c:v>35496</c:v>
                </c:pt>
                <c:pt idx="5241">
                  <c:v>35495</c:v>
                </c:pt>
                <c:pt idx="5242">
                  <c:v>35494</c:v>
                </c:pt>
                <c:pt idx="5243">
                  <c:v>35493</c:v>
                </c:pt>
                <c:pt idx="5244">
                  <c:v>35492</c:v>
                </c:pt>
                <c:pt idx="5245">
                  <c:v>35489</c:v>
                </c:pt>
                <c:pt idx="5246">
                  <c:v>35488</c:v>
                </c:pt>
                <c:pt idx="5247">
                  <c:v>35487</c:v>
                </c:pt>
                <c:pt idx="5248">
                  <c:v>35486</c:v>
                </c:pt>
                <c:pt idx="5249">
                  <c:v>35485</c:v>
                </c:pt>
                <c:pt idx="5250">
                  <c:v>35482</c:v>
                </c:pt>
                <c:pt idx="5251">
                  <c:v>35481</c:v>
                </c:pt>
                <c:pt idx="5252">
                  <c:v>35480</c:v>
                </c:pt>
                <c:pt idx="5253">
                  <c:v>35479</c:v>
                </c:pt>
                <c:pt idx="5254">
                  <c:v>35478</c:v>
                </c:pt>
                <c:pt idx="5255">
                  <c:v>35475</c:v>
                </c:pt>
                <c:pt idx="5256">
                  <c:v>35474</c:v>
                </c:pt>
                <c:pt idx="5257">
                  <c:v>35473</c:v>
                </c:pt>
                <c:pt idx="5258">
                  <c:v>35472</c:v>
                </c:pt>
                <c:pt idx="5259">
                  <c:v>35471</c:v>
                </c:pt>
                <c:pt idx="5260">
                  <c:v>35468</c:v>
                </c:pt>
                <c:pt idx="5261">
                  <c:v>35467</c:v>
                </c:pt>
                <c:pt idx="5262">
                  <c:v>35466</c:v>
                </c:pt>
                <c:pt idx="5263">
                  <c:v>35465</c:v>
                </c:pt>
                <c:pt idx="5264">
                  <c:v>35464</c:v>
                </c:pt>
                <c:pt idx="5265">
                  <c:v>35461</c:v>
                </c:pt>
                <c:pt idx="5266">
                  <c:v>35460</c:v>
                </c:pt>
                <c:pt idx="5267">
                  <c:v>35459</c:v>
                </c:pt>
                <c:pt idx="5268">
                  <c:v>35458</c:v>
                </c:pt>
                <c:pt idx="5269">
                  <c:v>35457</c:v>
                </c:pt>
                <c:pt idx="5270">
                  <c:v>35454</c:v>
                </c:pt>
                <c:pt idx="5271">
                  <c:v>35453</c:v>
                </c:pt>
                <c:pt idx="5272">
                  <c:v>35452</c:v>
                </c:pt>
                <c:pt idx="5273">
                  <c:v>35451</c:v>
                </c:pt>
                <c:pt idx="5274">
                  <c:v>35450</c:v>
                </c:pt>
                <c:pt idx="5275">
                  <c:v>35447</c:v>
                </c:pt>
                <c:pt idx="5276">
                  <c:v>35446</c:v>
                </c:pt>
                <c:pt idx="5277">
                  <c:v>35445</c:v>
                </c:pt>
                <c:pt idx="5278">
                  <c:v>35444</c:v>
                </c:pt>
                <c:pt idx="5279">
                  <c:v>35443</c:v>
                </c:pt>
                <c:pt idx="5280">
                  <c:v>35440</c:v>
                </c:pt>
                <c:pt idx="5281">
                  <c:v>35439</c:v>
                </c:pt>
                <c:pt idx="5282">
                  <c:v>35438</c:v>
                </c:pt>
                <c:pt idx="5283">
                  <c:v>35437</c:v>
                </c:pt>
                <c:pt idx="5284">
                  <c:v>35436</c:v>
                </c:pt>
                <c:pt idx="5285">
                  <c:v>35433</c:v>
                </c:pt>
                <c:pt idx="5286">
                  <c:v>35432</c:v>
                </c:pt>
                <c:pt idx="5287">
                  <c:v>35431</c:v>
                </c:pt>
                <c:pt idx="5288">
                  <c:v>35430</c:v>
                </c:pt>
                <c:pt idx="5289">
                  <c:v>35429</c:v>
                </c:pt>
                <c:pt idx="5290">
                  <c:v>35426</c:v>
                </c:pt>
                <c:pt idx="5291">
                  <c:v>35425</c:v>
                </c:pt>
                <c:pt idx="5292">
                  <c:v>35424</c:v>
                </c:pt>
                <c:pt idx="5293">
                  <c:v>35423</c:v>
                </c:pt>
                <c:pt idx="5294">
                  <c:v>35422</c:v>
                </c:pt>
                <c:pt idx="5295">
                  <c:v>35419</c:v>
                </c:pt>
                <c:pt idx="5296">
                  <c:v>35418</c:v>
                </c:pt>
                <c:pt idx="5297">
                  <c:v>35417</c:v>
                </c:pt>
                <c:pt idx="5298">
                  <c:v>35416</c:v>
                </c:pt>
                <c:pt idx="5299">
                  <c:v>35415</c:v>
                </c:pt>
                <c:pt idx="5300">
                  <c:v>35412</c:v>
                </c:pt>
                <c:pt idx="5301">
                  <c:v>35411</c:v>
                </c:pt>
                <c:pt idx="5302">
                  <c:v>35410</c:v>
                </c:pt>
                <c:pt idx="5303">
                  <c:v>35409</c:v>
                </c:pt>
                <c:pt idx="5304">
                  <c:v>35408</c:v>
                </c:pt>
                <c:pt idx="5305">
                  <c:v>35405</c:v>
                </c:pt>
                <c:pt idx="5306">
                  <c:v>35404</c:v>
                </c:pt>
                <c:pt idx="5307">
                  <c:v>35403</c:v>
                </c:pt>
                <c:pt idx="5308">
                  <c:v>35402</c:v>
                </c:pt>
                <c:pt idx="5309">
                  <c:v>35401</c:v>
                </c:pt>
                <c:pt idx="5310">
                  <c:v>35398</c:v>
                </c:pt>
                <c:pt idx="5311">
                  <c:v>35397</c:v>
                </c:pt>
                <c:pt idx="5312">
                  <c:v>35396</c:v>
                </c:pt>
                <c:pt idx="5313">
                  <c:v>35395</c:v>
                </c:pt>
                <c:pt idx="5314">
                  <c:v>35394</c:v>
                </c:pt>
                <c:pt idx="5315">
                  <c:v>35391</c:v>
                </c:pt>
                <c:pt idx="5316">
                  <c:v>35390</c:v>
                </c:pt>
                <c:pt idx="5317">
                  <c:v>35389</c:v>
                </c:pt>
                <c:pt idx="5318">
                  <c:v>35388</c:v>
                </c:pt>
                <c:pt idx="5319">
                  <c:v>35387</c:v>
                </c:pt>
                <c:pt idx="5320">
                  <c:v>35384</c:v>
                </c:pt>
                <c:pt idx="5321">
                  <c:v>35383</c:v>
                </c:pt>
                <c:pt idx="5322">
                  <c:v>35382</c:v>
                </c:pt>
                <c:pt idx="5323">
                  <c:v>35381</c:v>
                </c:pt>
                <c:pt idx="5324">
                  <c:v>35380</c:v>
                </c:pt>
                <c:pt idx="5325">
                  <c:v>35377</c:v>
                </c:pt>
                <c:pt idx="5326">
                  <c:v>35376</c:v>
                </c:pt>
                <c:pt idx="5327">
                  <c:v>35375</c:v>
                </c:pt>
                <c:pt idx="5328">
                  <c:v>35374</c:v>
                </c:pt>
                <c:pt idx="5329">
                  <c:v>35373</c:v>
                </c:pt>
                <c:pt idx="5330">
                  <c:v>35370</c:v>
                </c:pt>
                <c:pt idx="5331">
                  <c:v>35369</c:v>
                </c:pt>
                <c:pt idx="5332">
                  <c:v>35368</c:v>
                </c:pt>
                <c:pt idx="5333">
                  <c:v>35367</c:v>
                </c:pt>
                <c:pt idx="5334">
                  <c:v>35366</c:v>
                </c:pt>
                <c:pt idx="5335">
                  <c:v>35363</c:v>
                </c:pt>
                <c:pt idx="5336">
                  <c:v>35362</c:v>
                </c:pt>
                <c:pt idx="5337">
                  <c:v>35361</c:v>
                </c:pt>
                <c:pt idx="5338">
                  <c:v>35360</c:v>
                </c:pt>
                <c:pt idx="5339">
                  <c:v>35359</c:v>
                </c:pt>
                <c:pt idx="5340">
                  <c:v>35356</c:v>
                </c:pt>
                <c:pt idx="5341">
                  <c:v>35355</c:v>
                </c:pt>
                <c:pt idx="5342">
                  <c:v>35354</c:v>
                </c:pt>
                <c:pt idx="5343">
                  <c:v>35353</c:v>
                </c:pt>
                <c:pt idx="5344">
                  <c:v>35352</c:v>
                </c:pt>
                <c:pt idx="5345">
                  <c:v>35349</c:v>
                </c:pt>
                <c:pt idx="5346">
                  <c:v>35348</c:v>
                </c:pt>
                <c:pt idx="5347">
                  <c:v>35347</c:v>
                </c:pt>
                <c:pt idx="5348">
                  <c:v>35346</c:v>
                </c:pt>
                <c:pt idx="5349">
                  <c:v>35345</c:v>
                </c:pt>
                <c:pt idx="5350">
                  <c:v>35342</c:v>
                </c:pt>
                <c:pt idx="5351">
                  <c:v>35341</c:v>
                </c:pt>
                <c:pt idx="5352">
                  <c:v>35340</c:v>
                </c:pt>
                <c:pt idx="5353">
                  <c:v>35339</c:v>
                </c:pt>
                <c:pt idx="5354">
                  <c:v>35338</c:v>
                </c:pt>
                <c:pt idx="5355">
                  <c:v>35335</c:v>
                </c:pt>
                <c:pt idx="5356">
                  <c:v>35334</c:v>
                </c:pt>
                <c:pt idx="5357">
                  <c:v>35333</c:v>
                </c:pt>
                <c:pt idx="5358">
                  <c:v>35332</c:v>
                </c:pt>
                <c:pt idx="5359">
                  <c:v>35331</c:v>
                </c:pt>
                <c:pt idx="5360">
                  <c:v>35328</c:v>
                </c:pt>
                <c:pt idx="5361">
                  <c:v>35327</c:v>
                </c:pt>
                <c:pt idx="5362">
                  <c:v>35326</c:v>
                </c:pt>
                <c:pt idx="5363">
                  <c:v>35325</c:v>
                </c:pt>
                <c:pt idx="5364">
                  <c:v>35324</c:v>
                </c:pt>
                <c:pt idx="5365">
                  <c:v>35321</c:v>
                </c:pt>
                <c:pt idx="5366">
                  <c:v>35320</c:v>
                </c:pt>
                <c:pt idx="5367">
                  <c:v>35319</c:v>
                </c:pt>
                <c:pt idx="5368">
                  <c:v>35318</c:v>
                </c:pt>
                <c:pt idx="5369">
                  <c:v>35317</c:v>
                </c:pt>
                <c:pt idx="5370">
                  <c:v>35314</c:v>
                </c:pt>
                <c:pt idx="5371">
                  <c:v>35313</c:v>
                </c:pt>
                <c:pt idx="5372">
                  <c:v>35312</c:v>
                </c:pt>
                <c:pt idx="5373">
                  <c:v>35311</c:v>
                </c:pt>
                <c:pt idx="5374">
                  <c:v>35310</c:v>
                </c:pt>
                <c:pt idx="5375">
                  <c:v>35307</c:v>
                </c:pt>
                <c:pt idx="5376">
                  <c:v>35306</c:v>
                </c:pt>
                <c:pt idx="5377">
                  <c:v>35305</c:v>
                </c:pt>
                <c:pt idx="5378">
                  <c:v>35304</c:v>
                </c:pt>
                <c:pt idx="5379">
                  <c:v>35303</c:v>
                </c:pt>
                <c:pt idx="5380">
                  <c:v>35300</c:v>
                </c:pt>
                <c:pt idx="5381">
                  <c:v>35299</c:v>
                </c:pt>
                <c:pt idx="5382">
                  <c:v>35298</c:v>
                </c:pt>
                <c:pt idx="5383">
                  <c:v>35297</c:v>
                </c:pt>
                <c:pt idx="5384">
                  <c:v>35296</c:v>
                </c:pt>
                <c:pt idx="5385">
                  <c:v>35293</c:v>
                </c:pt>
                <c:pt idx="5386">
                  <c:v>35292</c:v>
                </c:pt>
                <c:pt idx="5387">
                  <c:v>35291</c:v>
                </c:pt>
                <c:pt idx="5388">
                  <c:v>35290</c:v>
                </c:pt>
                <c:pt idx="5389">
                  <c:v>35289</c:v>
                </c:pt>
                <c:pt idx="5390">
                  <c:v>35286</c:v>
                </c:pt>
                <c:pt idx="5391">
                  <c:v>35285</c:v>
                </c:pt>
                <c:pt idx="5392">
                  <c:v>35284</c:v>
                </c:pt>
                <c:pt idx="5393">
                  <c:v>35283</c:v>
                </c:pt>
                <c:pt idx="5394">
                  <c:v>35282</c:v>
                </c:pt>
                <c:pt idx="5395">
                  <c:v>35279</c:v>
                </c:pt>
                <c:pt idx="5396">
                  <c:v>35278</c:v>
                </c:pt>
                <c:pt idx="5397">
                  <c:v>35277</c:v>
                </c:pt>
                <c:pt idx="5398">
                  <c:v>35276</c:v>
                </c:pt>
                <c:pt idx="5399">
                  <c:v>35275</c:v>
                </c:pt>
                <c:pt idx="5400">
                  <c:v>35272</c:v>
                </c:pt>
                <c:pt idx="5401">
                  <c:v>35271</c:v>
                </c:pt>
                <c:pt idx="5402">
                  <c:v>35270</c:v>
                </c:pt>
                <c:pt idx="5403">
                  <c:v>35269</c:v>
                </c:pt>
                <c:pt idx="5404">
                  <c:v>35268</c:v>
                </c:pt>
                <c:pt idx="5405">
                  <c:v>35265</c:v>
                </c:pt>
                <c:pt idx="5406">
                  <c:v>35264</c:v>
                </c:pt>
                <c:pt idx="5407">
                  <c:v>35263</c:v>
                </c:pt>
                <c:pt idx="5408">
                  <c:v>35262</c:v>
                </c:pt>
                <c:pt idx="5409">
                  <c:v>35261</c:v>
                </c:pt>
                <c:pt idx="5410">
                  <c:v>35258</c:v>
                </c:pt>
                <c:pt idx="5411">
                  <c:v>35257</c:v>
                </c:pt>
                <c:pt idx="5412">
                  <c:v>35256</c:v>
                </c:pt>
                <c:pt idx="5413">
                  <c:v>35255</c:v>
                </c:pt>
                <c:pt idx="5414">
                  <c:v>35254</c:v>
                </c:pt>
                <c:pt idx="5415">
                  <c:v>35251</c:v>
                </c:pt>
                <c:pt idx="5416">
                  <c:v>35250</c:v>
                </c:pt>
                <c:pt idx="5417">
                  <c:v>35249</c:v>
                </c:pt>
                <c:pt idx="5418">
                  <c:v>35248</c:v>
                </c:pt>
                <c:pt idx="5419">
                  <c:v>35247</c:v>
                </c:pt>
                <c:pt idx="5420">
                  <c:v>35244</c:v>
                </c:pt>
                <c:pt idx="5421">
                  <c:v>35243</c:v>
                </c:pt>
                <c:pt idx="5422">
                  <c:v>35242</c:v>
                </c:pt>
                <c:pt idx="5423">
                  <c:v>35241</c:v>
                </c:pt>
                <c:pt idx="5424">
                  <c:v>35240</c:v>
                </c:pt>
                <c:pt idx="5425">
                  <c:v>35237</c:v>
                </c:pt>
                <c:pt idx="5426">
                  <c:v>35236</c:v>
                </c:pt>
                <c:pt idx="5427">
                  <c:v>35235</c:v>
                </c:pt>
                <c:pt idx="5428">
                  <c:v>35234</c:v>
                </c:pt>
                <c:pt idx="5429">
                  <c:v>35233</c:v>
                </c:pt>
                <c:pt idx="5430">
                  <c:v>35230</c:v>
                </c:pt>
                <c:pt idx="5431">
                  <c:v>35229</c:v>
                </c:pt>
                <c:pt idx="5432">
                  <c:v>35228</c:v>
                </c:pt>
                <c:pt idx="5433">
                  <c:v>35227</c:v>
                </c:pt>
                <c:pt idx="5434">
                  <c:v>35226</c:v>
                </c:pt>
                <c:pt idx="5435">
                  <c:v>35223</c:v>
                </c:pt>
                <c:pt idx="5436">
                  <c:v>35222</c:v>
                </c:pt>
                <c:pt idx="5437">
                  <c:v>35221</c:v>
                </c:pt>
                <c:pt idx="5438">
                  <c:v>35220</c:v>
                </c:pt>
                <c:pt idx="5439">
                  <c:v>35219</c:v>
                </c:pt>
                <c:pt idx="5440">
                  <c:v>35216</c:v>
                </c:pt>
                <c:pt idx="5441">
                  <c:v>35215</c:v>
                </c:pt>
                <c:pt idx="5442">
                  <c:v>35214</c:v>
                </c:pt>
                <c:pt idx="5443">
                  <c:v>35213</c:v>
                </c:pt>
                <c:pt idx="5444">
                  <c:v>35212</c:v>
                </c:pt>
                <c:pt idx="5445">
                  <c:v>35209</c:v>
                </c:pt>
                <c:pt idx="5446">
                  <c:v>35208</c:v>
                </c:pt>
                <c:pt idx="5447">
                  <c:v>35207</c:v>
                </c:pt>
                <c:pt idx="5448">
                  <c:v>35206</c:v>
                </c:pt>
                <c:pt idx="5449">
                  <c:v>35205</c:v>
                </c:pt>
                <c:pt idx="5450">
                  <c:v>35202</c:v>
                </c:pt>
                <c:pt idx="5451">
                  <c:v>35201</c:v>
                </c:pt>
                <c:pt idx="5452">
                  <c:v>35200</c:v>
                </c:pt>
                <c:pt idx="5453">
                  <c:v>35199</c:v>
                </c:pt>
                <c:pt idx="5454">
                  <c:v>35198</c:v>
                </c:pt>
                <c:pt idx="5455">
                  <c:v>35195</c:v>
                </c:pt>
                <c:pt idx="5456">
                  <c:v>35194</c:v>
                </c:pt>
                <c:pt idx="5457">
                  <c:v>35193</c:v>
                </c:pt>
                <c:pt idx="5458">
                  <c:v>35192</c:v>
                </c:pt>
                <c:pt idx="5459">
                  <c:v>35191</c:v>
                </c:pt>
                <c:pt idx="5460">
                  <c:v>35188</c:v>
                </c:pt>
                <c:pt idx="5461">
                  <c:v>35187</c:v>
                </c:pt>
                <c:pt idx="5462">
                  <c:v>35186</c:v>
                </c:pt>
                <c:pt idx="5463">
                  <c:v>35185</c:v>
                </c:pt>
                <c:pt idx="5464">
                  <c:v>35184</c:v>
                </c:pt>
                <c:pt idx="5465">
                  <c:v>35181</c:v>
                </c:pt>
                <c:pt idx="5466">
                  <c:v>35180</c:v>
                </c:pt>
                <c:pt idx="5467">
                  <c:v>35179</c:v>
                </c:pt>
                <c:pt idx="5468">
                  <c:v>35178</c:v>
                </c:pt>
                <c:pt idx="5469">
                  <c:v>35177</c:v>
                </c:pt>
                <c:pt idx="5470">
                  <c:v>35174</c:v>
                </c:pt>
                <c:pt idx="5471">
                  <c:v>35173</c:v>
                </c:pt>
                <c:pt idx="5472">
                  <c:v>35172</c:v>
                </c:pt>
                <c:pt idx="5473">
                  <c:v>35171</c:v>
                </c:pt>
                <c:pt idx="5474">
                  <c:v>35170</c:v>
                </c:pt>
                <c:pt idx="5475">
                  <c:v>35167</c:v>
                </c:pt>
                <c:pt idx="5476">
                  <c:v>35166</c:v>
                </c:pt>
                <c:pt idx="5477">
                  <c:v>35165</c:v>
                </c:pt>
                <c:pt idx="5478">
                  <c:v>35164</c:v>
                </c:pt>
                <c:pt idx="5479">
                  <c:v>35163</c:v>
                </c:pt>
                <c:pt idx="5480">
                  <c:v>35160</c:v>
                </c:pt>
                <c:pt idx="5481">
                  <c:v>35159</c:v>
                </c:pt>
                <c:pt idx="5482">
                  <c:v>35158</c:v>
                </c:pt>
                <c:pt idx="5483">
                  <c:v>35157</c:v>
                </c:pt>
                <c:pt idx="5484">
                  <c:v>35156</c:v>
                </c:pt>
                <c:pt idx="5485">
                  <c:v>35153</c:v>
                </c:pt>
                <c:pt idx="5486">
                  <c:v>35152</c:v>
                </c:pt>
                <c:pt idx="5487">
                  <c:v>35151</c:v>
                </c:pt>
                <c:pt idx="5488">
                  <c:v>35150</c:v>
                </c:pt>
                <c:pt idx="5489">
                  <c:v>35149</c:v>
                </c:pt>
                <c:pt idx="5490">
                  <c:v>35146</c:v>
                </c:pt>
                <c:pt idx="5491">
                  <c:v>35145</c:v>
                </c:pt>
                <c:pt idx="5492">
                  <c:v>35144</c:v>
                </c:pt>
                <c:pt idx="5493">
                  <c:v>35143</c:v>
                </c:pt>
                <c:pt idx="5494">
                  <c:v>35142</c:v>
                </c:pt>
                <c:pt idx="5495">
                  <c:v>35139</c:v>
                </c:pt>
                <c:pt idx="5496">
                  <c:v>35138</c:v>
                </c:pt>
                <c:pt idx="5497">
                  <c:v>35137</c:v>
                </c:pt>
                <c:pt idx="5498">
                  <c:v>35136</c:v>
                </c:pt>
                <c:pt idx="5499">
                  <c:v>35135</c:v>
                </c:pt>
                <c:pt idx="5500">
                  <c:v>35132</c:v>
                </c:pt>
                <c:pt idx="5501">
                  <c:v>35131</c:v>
                </c:pt>
                <c:pt idx="5502">
                  <c:v>35130</c:v>
                </c:pt>
                <c:pt idx="5503">
                  <c:v>35129</c:v>
                </c:pt>
                <c:pt idx="5504">
                  <c:v>35128</c:v>
                </c:pt>
                <c:pt idx="5505">
                  <c:v>35125</c:v>
                </c:pt>
                <c:pt idx="5506">
                  <c:v>35124</c:v>
                </c:pt>
                <c:pt idx="5507">
                  <c:v>35123</c:v>
                </c:pt>
                <c:pt idx="5508">
                  <c:v>35122</c:v>
                </c:pt>
                <c:pt idx="5509">
                  <c:v>35121</c:v>
                </c:pt>
                <c:pt idx="5510">
                  <c:v>35118</c:v>
                </c:pt>
                <c:pt idx="5511">
                  <c:v>35117</c:v>
                </c:pt>
                <c:pt idx="5512">
                  <c:v>35116</c:v>
                </c:pt>
                <c:pt idx="5513">
                  <c:v>35115</c:v>
                </c:pt>
                <c:pt idx="5514">
                  <c:v>35114</c:v>
                </c:pt>
                <c:pt idx="5515">
                  <c:v>35111</c:v>
                </c:pt>
                <c:pt idx="5516">
                  <c:v>35110</c:v>
                </c:pt>
                <c:pt idx="5517">
                  <c:v>35109</c:v>
                </c:pt>
                <c:pt idx="5518">
                  <c:v>35108</c:v>
                </c:pt>
                <c:pt idx="5519">
                  <c:v>35107</c:v>
                </c:pt>
                <c:pt idx="5520">
                  <c:v>35104</c:v>
                </c:pt>
                <c:pt idx="5521">
                  <c:v>35103</c:v>
                </c:pt>
                <c:pt idx="5522">
                  <c:v>35102</c:v>
                </c:pt>
                <c:pt idx="5523">
                  <c:v>35101</c:v>
                </c:pt>
                <c:pt idx="5524">
                  <c:v>35100</c:v>
                </c:pt>
                <c:pt idx="5525">
                  <c:v>35097</c:v>
                </c:pt>
                <c:pt idx="5526">
                  <c:v>35096</c:v>
                </c:pt>
                <c:pt idx="5527">
                  <c:v>35095</c:v>
                </c:pt>
                <c:pt idx="5528">
                  <c:v>35094</c:v>
                </c:pt>
                <c:pt idx="5529">
                  <c:v>35093</c:v>
                </c:pt>
                <c:pt idx="5530">
                  <c:v>35090</c:v>
                </c:pt>
                <c:pt idx="5531">
                  <c:v>35089</c:v>
                </c:pt>
                <c:pt idx="5532">
                  <c:v>35088</c:v>
                </c:pt>
                <c:pt idx="5533">
                  <c:v>35087</c:v>
                </c:pt>
                <c:pt idx="5534">
                  <c:v>35086</c:v>
                </c:pt>
                <c:pt idx="5535">
                  <c:v>35083</c:v>
                </c:pt>
                <c:pt idx="5536">
                  <c:v>35082</c:v>
                </c:pt>
                <c:pt idx="5537">
                  <c:v>35081</c:v>
                </c:pt>
                <c:pt idx="5538">
                  <c:v>35080</c:v>
                </c:pt>
                <c:pt idx="5539">
                  <c:v>35079</c:v>
                </c:pt>
                <c:pt idx="5540">
                  <c:v>35076</c:v>
                </c:pt>
                <c:pt idx="5541">
                  <c:v>35075</c:v>
                </c:pt>
                <c:pt idx="5542">
                  <c:v>35074</c:v>
                </c:pt>
                <c:pt idx="5543">
                  <c:v>35073</c:v>
                </c:pt>
                <c:pt idx="5544">
                  <c:v>35072</c:v>
                </c:pt>
                <c:pt idx="5545">
                  <c:v>35069</c:v>
                </c:pt>
                <c:pt idx="5546">
                  <c:v>35068</c:v>
                </c:pt>
                <c:pt idx="5547">
                  <c:v>35067</c:v>
                </c:pt>
                <c:pt idx="5548">
                  <c:v>35066</c:v>
                </c:pt>
                <c:pt idx="5549">
                  <c:v>35065</c:v>
                </c:pt>
                <c:pt idx="5550">
                  <c:v>35062</c:v>
                </c:pt>
                <c:pt idx="5551">
                  <c:v>35061</c:v>
                </c:pt>
                <c:pt idx="5552">
                  <c:v>35060</c:v>
                </c:pt>
                <c:pt idx="5553">
                  <c:v>35059</c:v>
                </c:pt>
                <c:pt idx="5554">
                  <c:v>35058</c:v>
                </c:pt>
                <c:pt idx="5555">
                  <c:v>35055</c:v>
                </c:pt>
                <c:pt idx="5556">
                  <c:v>35054</c:v>
                </c:pt>
                <c:pt idx="5557">
                  <c:v>35053</c:v>
                </c:pt>
                <c:pt idx="5558">
                  <c:v>35052</c:v>
                </c:pt>
                <c:pt idx="5559">
                  <c:v>35051</c:v>
                </c:pt>
                <c:pt idx="5560">
                  <c:v>35048</c:v>
                </c:pt>
                <c:pt idx="5561">
                  <c:v>35047</c:v>
                </c:pt>
                <c:pt idx="5562">
                  <c:v>35046</c:v>
                </c:pt>
                <c:pt idx="5563">
                  <c:v>35045</c:v>
                </c:pt>
                <c:pt idx="5564">
                  <c:v>35044</c:v>
                </c:pt>
                <c:pt idx="5565">
                  <c:v>35041</c:v>
                </c:pt>
                <c:pt idx="5566">
                  <c:v>35040</c:v>
                </c:pt>
                <c:pt idx="5567">
                  <c:v>35039</c:v>
                </c:pt>
                <c:pt idx="5568">
                  <c:v>35038</c:v>
                </c:pt>
                <c:pt idx="5569">
                  <c:v>35037</c:v>
                </c:pt>
                <c:pt idx="5570">
                  <c:v>35034</c:v>
                </c:pt>
                <c:pt idx="5571">
                  <c:v>35033</c:v>
                </c:pt>
                <c:pt idx="5572">
                  <c:v>35032</c:v>
                </c:pt>
                <c:pt idx="5573">
                  <c:v>35031</c:v>
                </c:pt>
                <c:pt idx="5574">
                  <c:v>35030</c:v>
                </c:pt>
                <c:pt idx="5575">
                  <c:v>35027</c:v>
                </c:pt>
                <c:pt idx="5576">
                  <c:v>35026</c:v>
                </c:pt>
                <c:pt idx="5577">
                  <c:v>35025</c:v>
                </c:pt>
                <c:pt idx="5578">
                  <c:v>35024</c:v>
                </c:pt>
                <c:pt idx="5579">
                  <c:v>35023</c:v>
                </c:pt>
                <c:pt idx="5580">
                  <c:v>35020</c:v>
                </c:pt>
                <c:pt idx="5581">
                  <c:v>35019</c:v>
                </c:pt>
                <c:pt idx="5582">
                  <c:v>35018</c:v>
                </c:pt>
                <c:pt idx="5583">
                  <c:v>35017</c:v>
                </c:pt>
                <c:pt idx="5584">
                  <c:v>35016</c:v>
                </c:pt>
                <c:pt idx="5585">
                  <c:v>35013</c:v>
                </c:pt>
                <c:pt idx="5586">
                  <c:v>35012</c:v>
                </c:pt>
                <c:pt idx="5587">
                  <c:v>35011</c:v>
                </c:pt>
                <c:pt idx="5588">
                  <c:v>35010</c:v>
                </c:pt>
                <c:pt idx="5589">
                  <c:v>35009</c:v>
                </c:pt>
                <c:pt idx="5590">
                  <c:v>35006</c:v>
                </c:pt>
                <c:pt idx="5591">
                  <c:v>35005</c:v>
                </c:pt>
                <c:pt idx="5592">
                  <c:v>35004</c:v>
                </c:pt>
                <c:pt idx="5593">
                  <c:v>35003</c:v>
                </c:pt>
                <c:pt idx="5594">
                  <c:v>35002</c:v>
                </c:pt>
                <c:pt idx="5595">
                  <c:v>34999</c:v>
                </c:pt>
                <c:pt idx="5596">
                  <c:v>34998</c:v>
                </c:pt>
                <c:pt idx="5597">
                  <c:v>34997</c:v>
                </c:pt>
                <c:pt idx="5598">
                  <c:v>34996</c:v>
                </c:pt>
                <c:pt idx="5599">
                  <c:v>34995</c:v>
                </c:pt>
                <c:pt idx="5600">
                  <c:v>34992</c:v>
                </c:pt>
                <c:pt idx="5601">
                  <c:v>34991</c:v>
                </c:pt>
                <c:pt idx="5602">
                  <c:v>34990</c:v>
                </c:pt>
                <c:pt idx="5603">
                  <c:v>34989</c:v>
                </c:pt>
                <c:pt idx="5604">
                  <c:v>34988</c:v>
                </c:pt>
                <c:pt idx="5605">
                  <c:v>34985</c:v>
                </c:pt>
                <c:pt idx="5606">
                  <c:v>34984</c:v>
                </c:pt>
                <c:pt idx="5607">
                  <c:v>34983</c:v>
                </c:pt>
                <c:pt idx="5608">
                  <c:v>34982</c:v>
                </c:pt>
                <c:pt idx="5609">
                  <c:v>34981</c:v>
                </c:pt>
                <c:pt idx="5610">
                  <c:v>34978</c:v>
                </c:pt>
                <c:pt idx="5611">
                  <c:v>34977</c:v>
                </c:pt>
                <c:pt idx="5612">
                  <c:v>34976</c:v>
                </c:pt>
                <c:pt idx="5613">
                  <c:v>34975</c:v>
                </c:pt>
                <c:pt idx="5614">
                  <c:v>34974</c:v>
                </c:pt>
                <c:pt idx="5615">
                  <c:v>34971</c:v>
                </c:pt>
                <c:pt idx="5616">
                  <c:v>34970</c:v>
                </c:pt>
                <c:pt idx="5617">
                  <c:v>34969</c:v>
                </c:pt>
                <c:pt idx="5618">
                  <c:v>34968</c:v>
                </c:pt>
                <c:pt idx="5619">
                  <c:v>34967</c:v>
                </c:pt>
                <c:pt idx="5620">
                  <c:v>34964</c:v>
                </c:pt>
                <c:pt idx="5621">
                  <c:v>34963</c:v>
                </c:pt>
                <c:pt idx="5622">
                  <c:v>34962</c:v>
                </c:pt>
                <c:pt idx="5623">
                  <c:v>34961</c:v>
                </c:pt>
                <c:pt idx="5624">
                  <c:v>34960</c:v>
                </c:pt>
                <c:pt idx="5625">
                  <c:v>34957</c:v>
                </c:pt>
                <c:pt idx="5626">
                  <c:v>34956</c:v>
                </c:pt>
                <c:pt idx="5627">
                  <c:v>34955</c:v>
                </c:pt>
                <c:pt idx="5628">
                  <c:v>34954</c:v>
                </c:pt>
                <c:pt idx="5629">
                  <c:v>34953</c:v>
                </c:pt>
                <c:pt idx="5630">
                  <c:v>34950</c:v>
                </c:pt>
                <c:pt idx="5631">
                  <c:v>34949</c:v>
                </c:pt>
                <c:pt idx="5632">
                  <c:v>34948</c:v>
                </c:pt>
                <c:pt idx="5633">
                  <c:v>34947</c:v>
                </c:pt>
                <c:pt idx="5634">
                  <c:v>34946</c:v>
                </c:pt>
                <c:pt idx="5635">
                  <c:v>34943</c:v>
                </c:pt>
                <c:pt idx="5636">
                  <c:v>34942</c:v>
                </c:pt>
                <c:pt idx="5637">
                  <c:v>34941</c:v>
                </c:pt>
                <c:pt idx="5638">
                  <c:v>34940</c:v>
                </c:pt>
                <c:pt idx="5639">
                  <c:v>34939</c:v>
                </c:pt>
                <c:pt idx="5640">
                  <c:v>34936</c:v>
                </c:pt>
                <c:pt idx="5641">
                  <c:v>34935</c:v>
                </c:pt>
                <c:pt idx="5642">
                  <c:v>34934</c:v>
                </c:pt>
                <c:pt idx="5643">
                  <c:v>34933</c:v>
                </c:pt>
                <c:pt idx="5644">
                  <c:v>34932</c:v>
                </c:pt>
                <c:pt idx="5645">
                  <c:v>34929</c:v>
                </c:pt>
                <c:pt idx="5646">
                  <c:v>34928</c:v>
                </c:pt>
                <c:pt idx="5647">
                  <c:v>34927</c:v>
                </c:pt>
                <c:pt idx="5648">
                  <c:v>34926</c:v>
                </c:pt>
                <c:pt idx="5649">
                  <c:v>34925</c:v>
                </c:pt>
                <c:pt idx="5650">
                  <c:v>34922</c:v>
                </c:pt>
                <c:pt idx="5651">
                  <c:v>34921</c:v>
                </c:pt>
                <c:pt idx="5652">
                  <c:v>34920</c:v>
                </c:pt>
                <c:pt idx="5653">
                  <c:v>34919</c:v>
                </c:pt>
                <c:pt idx="5654">
                  <c:v>34918</c:v>
                </c:pt>
                <c:pt idx="5655">
                  <c:v>34915</c:v>
                </c:pt>
                <c:pt idx="5656">
                  <c:v>34914</c:v>
                </c:pt>
                <c:pt idx="5657">
                  <c:v>34913</c:v>
                </c:pt>
                <c:pt idx="5658">
                  <c:v>34912</c:v>
                </c:pt>
                <c:pt idx="5659">
                  <c:v>34911</c:v>
                </c:pt>
                <c:pt idx="5660">
                  <c:v>34908</c:v>
                </c:pt>
                <c:pt idx="5661">
                  <c:v>34907</c:v>
                </c:pt>
                <c:pt idx="5662">
                  <c:v>34906</c:v>
                </c:pt>
                <c:pt idx="5663">
                  <c:v>34905</c:v>
                </c:pt>
                <c:pt idx="5664">
                  <c:v>34904</c:v>
                </c:pt>
              </c:numCache>
            </c:numRef>
          </c:cat>
          <c:val>
            <c:numRef>
              <c:f>'Stock Returns'!$B$2:$B$5666</c:f>
              <c:numCache>
                <c:formatCode>General</c:formatCode>
                <c:ptCount val="5665"/>
                <c:pt idx="0">
                  <c:v>0.76039999999999996</c:v>
                </c:pt>
                <c:pt idx="1">
                  <c:v>0.76119999999999999</c:v>
                </c:pt>
                <c:pt idx="2">
                  <c:v>0.76559999999999995</c:v>
                </c:pt>
                <c:pt idx="3">
                  <c:v>0.7732</c:v>
                </c:pt>
                <c:pt idx="4">
                  <c:v>0.77229999999999999</c:v>
                </c:pt>
                <c:pt idx="5">
                  <c:v>0.77229999999999999</c:v>
                </c:pt>
                <c:pt idx="6">
                  <c:v>0.78310000000000002</c:v>
                </c:pt>
                <c:pt idx="7">
                  <c:v>0.7823</c:v>
                </c:pt>
                <c:pt idx="8">
                  <c:v>0.78590000000000004</c:v>
                </c:pt>
                <c:pt idx="9">
                  <c:v>0.7873</c:v>
                </c:pt>
                <c:pt idx="10">
                  <c:v>0.77810000000000001</c:v>
                </c:pt>
                <c:pt idx="11">
                  <c:v>0.77759999999999996</c:v>
                </c:pt>
                <c:pt idx="12">
                  <c:v>0.77759999999999996</c:v>
                </c:pt>
                <c:pt idx="13">
                  <c:v>0.76559999999999995</c:v>
                </c:pt>
                <c:pt idx="14">
                  <c:v>0.77769999999999995</c:v>
                </c:pt>
                <c:pt idx="15">
                  <c:v>0.76249999999999996</c:v>
                </c:pt>
                <c:pt idx="16">
                  <c:v>0.76449999999999996</c:v>
                </c:pt>
                <c:pt idx="17">
                  <c:v>0.76129999999999998</c:v>
                </c:pt>
                <c:pt idx="18">
                  <c:v>0.76319999999999999</c:v>
                </c:pt>
                <c:pt idx="19">
                  <c:v>0.76319999999999999</c:v>
                </c:pt>
                <c:pt idx="20">
                  <c:v>0.77039999999999997</c:v>
                </c:pt>
                <c:pt idx="21">
                  <c:v>0.76019999999999999</c:v>
                </c:pt>
                <c:pt idx="22">
                  <c:v>0.7641</c:v>
                </c:pt>
                <c:pt idx="23">
                  <c:v>0.76800000000000002</c:v>
                </c:pt>
                <c:pt idx="24">
                  <c:v>0.77210000000000001</c:v>
                </c:pt>
                <c:pt idx="25">
                  <c:v>0.77139999999999997</c:v>
                </c:pt>
                <c:pt idx="26">
                  <c:v>0.77139999999999997</c:v>
                </c:pt>
                <c:pt idx="27">
                  <c:v>0.77839999999999998</c:v>
                </c:pt>
                <c:pt idx="28">
                  <c:v>0.78220000000000001</c:v>
                </c:pt>
                <c:pt idx="29">
                  <c:v>0.78220000000000001</c:v>
                </c:pt>
                <c:pt idx="30">
                  <c:v>0.7752</c:v>
                </c:pt>
                <c:pt idx="31">
                  <c:v>0.77810000000000001</c:v>
                </c:pt>
                <c:pt idx="32">
                  <c:v>0.78069999999999995</c:v>
                </c:pt>
                <c:pt idx="33">
                  <c:v>0.78069999999999995</c:v>
                </c:pt>
                <c:pt idx="34">
                  <c:v>0.78059999999999996</c:v>
                </c:pt>
                <c:pt idx="35">
                  <c:v>0.78800000000000003</c:v>
                </c:pt>
                <c:pt idx="36">
                  <c:v>0.78339999999999999</c:v>
                </c:pt>
                <c:pt idx="37">
                  <c:v>0.77980000000000005</c:v>
                </c:pt>
                <c:pt idx="38">
                  <c:v>0.78439999999999999</c:v>
                </c:pt>
                <c:pt idx="39">
                  <c:v>0.78400000000000003</c:v>
                </c:pt>
                <c:pt idx="40">
                  <c:v>0.78420000000000001</c:v>
                </c:pt>
                <c:pt idx="41">
                  <c:v>0.77910000000000001</c:v>
                </c:pt>
                <c:pt idx="42">
                  <c:v>0.78069999999999995</c:v>
                </c:pt>
                <c:pt idx="43">
                  <c:v>0.78100000000000003</c:v>
                </c:pt>
                <c:pt idx="44">
                  <c:v>0.77549999999999997</c:v>
                </c:pt>
                <c:pt idx="45">
                  <c:v>0.77629999999999999</c:v>
                </c:pt>
                <c:pt idx="46">
                  <c:v>0.77490000000000003</c:v>
                </c:pt>
                <c:pt idx="47">
                  <c:v>0.77669999999999995</c:v>
                </c:pt>
                <c:pt idx="48">
                  <c:v>0.77659999999999996</c:v>
                </c:pt>
                <c:pt idx="49">
                  <c:v>0.77129999999999999</c:v>
                </c:pt>
                <c:pt idx="50">
                  <c:v>0.77790000000000004</c:v>
                </c:pt>
                <c:pt idx="51">
                  <c:v>0.77959999999999996</c:v>
                </c:pt>
                <c:pt idx="52">
                  <c:v>0.77680000000000005</c:v>
                </c:pt>
                <c:pt idx="53">
                  <c:v>0.7792</c:v>
                </c:pt>
                <c:pt idx="54">
                  <c:v>0.77969999999999995</c:v>
                </c:pt>
                <c:pt idx="55">
                  <c:v>0.77939999999999998</c:v>
                </c:pt>
                <c:pt idx="56">
                  <c:v>0.77569999999999995</c:v>
                </c:pt>
                <c:pt idx="57">
                  <c:v>0.77590000000000003</c:v>
                </c:pt>
                <c:pt idx="58">
                  <c:v>0.78029999999999999</c:v>
                </c:pt>
                <c:pt idx="59">
                  <c:v>0.77810000000000001</c:v>
                </c:pt>
                <c:pt idx="60">
                  <c:v>0.77600000000000002</c:v>
                </c:pt>
                <c:pt idx="61">
                  <c:v>0.77659999999999996</c:v>
                </c:pt>
                <c:pt idx="62">
                  <c:v>0.77900000000000003</c:v>
                </c:pt>
                <c:pt idx="63">
                  <c:v>0.78969999999999996</c:v>
                </c:pt>
                <c:pt idx="64">
                  <c:v>0.79179999999999995</c:v>
                </c:pt>
                <c:pt idx="65">
                  <c:v>0.79200000000000004</c:v>
                </c:pt>
                <c:pt idx="66">
                  <c:v>0.78569999999999995</c:v>
                </c:pt>
                <c:pt idx="67">
                  <c:v>0.79069999999999996</c:v>
                </c:pt>
                <c:pt idx="68">
                  <c:v>0.79079999999999995</c:v>
                </c:pt>
                <c:pt idx="69">
                  <c:v>0.80210000000000004</c:v>
                </c:pt>
                <c:pt idx="70">
                  <c:v>0.80969999999999998</c:v>
                </c:pt>
                <c:pt idx="71">
                  <c:v>0.81630000000000003</c:v>
                </c:pt>
                <c:pt idx="72">
                  <c:v>0.81940000000000002</c:v>
                </c:pt>
                <c:pt idx="73">
                  <c:v>0.82269999999999999</c:v>
                </c:pt>
                <c:pt idx="74">
                  <c:v>0.82230000000000003</c:v>
                </c:pt>
                <c:pt idx="75">
                  <c:v>0.82210000000000005</c:v>
                </c:pt>
                <c:pt idx="76">
                  <c:v>0.82210000000000005</c:v>
                </c:pt>
                <c:pt idx="77">
                  <c:v>0.81399999999999995</c:v>
                </c:pt>
                <c:pt idx="78">
                  <c:v>0.81699999999999995</c:v>
                </c:pt>
                <c:pt idx="79">
                  <c:v>0.81459999999999999</c:v>
                </c:pt>
                <c:pt idx="80">
                  <c:v>0.82199999999999995</c:v>
                </c:pt>
                <c:pt idx="81">
                  <c:v>0.82020000000000004</c:v>
                </c:pt>
                <c:pt idx="82">
                  <c:v>0.8196</c:v>
                </c:pt>
                <c:pt idx="83">
                  <c:v>0.81089999999999995</c:v>
                </c:pt>
                <c:pt idx="84">
                  <c:v>0.80769999999999997</c:v>
                </c:pt>
                <c:pt idx="85">
                  <c:v>0.8075</c:v>
                </c:pt>
                <c:pt idx="86">
                  <c:v>0.80969999999999998</c:v>
                </c:pt>
                <c:pt idx="87">
                  <c:v>0.80659999999999998</c:v>
                </c:pt>
                <c:pt idx="88">
                  <c:v>0.80879999999999996</c:v>
                </c:pt>
                <c:pt idx="89">
                  <c:v>0.80930000000000002</c:v>
                </c:pt>
                <c:pt idx="90">
                  <c:v>0.81759999999999999</c:v>
                </c:pt>
                <c:pt idx="91">
                  <c:v>0.81610000000000005</c:v>
                </c:pt>
                <c:pt idx="92">
                  <c:v>0.81820000000000004</c:v>
                </c:pt>
                <c:pt idx="93">
                  <c:v>0.81279999999999997</c:v>
                </c:pt>
                <c:pt idx="94">
                  <c:v>0.81140000000000001</c:v>
                </c:pt>
                <c:pt idx="95">
                  <c:v>0.81069999999999998</c:v>
                </c:pt>
                <c:pt idx="96">
                  <c:v>0.8115</c:v>
                </c:pt>
                <c:pt idx="97">
                  <c:v>0.81069999999999998</c:v>
                </c:pt>
                <c:pt idx="98">
                  <c:v>0.81059999999999999</c:v>
                </c:pt>
                <c:pt idx="99">
                  <c:v>0.8115</c:v>
                </c:pt>
                <c:pt idx="100">
                  <c:v>0.81200000000000006</c:v>
                </c:pt>
                <c:pt idx="101">
                  <c:v>0.81479999999999997</c:v>
                </c:pt>
                <c:pt idx="102">
                  <c:v>0.81399999999999995</c:v>
                </c:pt>
                <c:pt idx="103">
                  <c:v>0.81389999999999996</c:v>
                </c:pt>
                <c:pt idx="104">
                  <c:v>0.81689999999999996</c:v>
                </c:pt>
                <c:pt idx="105">
                  <c:v>0.81220000000000003</c:v>
                </c:pt>
                <c:pt idx="106">
                  <c:v>0.82230000000000003</c:v>
                </c:pt>
                <c:pt idx="107">
                  <c:v>0.82120000000000004</c:v>
                </c:pt>
                <c:pt idx="108">
                  <c:v>0.82079999999999997</c:v>
                </c:pt>
                <c:pt idx="109">
                  <c:v>0.82410000000000005</c:v>
                </c:pt>
                <c:pt idx="110">
                  <c:v>0.82499999999999996</c:v>
                </c:pt>
                <c:pt idx="111">
                  <c:v>0.82440000000000002</c:v>
                </c:pt>
                <c:pt idx="112">
                  <c:v>0.83350000000000002</c:v>
                </c:pt>
                <c:pt idx="113">
                  <c:v>0.83</c:v>
                </c:pt>
                <c:pt idx="114">
                  <c:v>0.83</c:v>
                </c:pt>
                <c:pt idx="115">
                  <c:v>0.83089999999999997</c:v>
                </c:pt>
                <c:pt idx="116">
                  <c:v>0.83179999999999998</c:v>
                </c:pt>
                <c:pt idx="117">
                  <c:v>0.8327</c:v>
                </c:pt>
                <c:pt idx="118">
                  <c:v>0.83840000000000003</c:v>
                </c:pt>
                <c:pt idx="119">
                  <c:v>0.83940000000000003</c:v>
                </c:pt>
                <c:pt idx="120">
                  <c:v>0.84599999999999997</c:v>
                </c:pt>
                <c:pt idx="121">
                  <c:v>0.84750000000000003</c:v>
                </c:pt>
                <c:pt idx="122">
                  <c:v>0.8427</c:v>
                </c:pt>
                <c:pt idx="123">
                  <c:v>0.85029999999999994</c:v>
                </c:pt>
                <c:pt idx="124">
                  <c:v>0.85109999999999997</c:v>
                </c:pt>
                <c:pt idx="125">
                  <c:v>0.85170000000000001</c:v>
                </c:pt>
                <c:pt idx="126">
                  <c:v>0.85289999999999999</c:v>
                </c:pt>
                <c:pt idx="127">
                  <c:v>0.85619999999999996</c:v>
                </c:pt>
                <c:pt idx="128">
                  <c:v>0.85899999999999999</c:v>
                </c:pt>
                <c:pt idx="129">
                  <c:v>0.86799999999999999</c:v>
                </c:pt>
                <c:pt idx="130">
                  <c:v>0.86660000000000004</c:v>
                </c:pt>
                <c:pt idx="131">
                  <c:v>0.86660000000000004</c:v>
                </c:pt>
                <c:pt idx="132">
                  <c:v>0.86170000000000002</c:v>
                </c:pt>
                <c:pt idx="133">
                  <c:v>0.85929999999999995</c:v>
                </c:pt>
                <c:pt idx="134">
                  <c:v>0.87060000000000004</c:v>
                </c:pt>
                <c:pt idx="135">
                  <c:v>0.87060000000000004</c:v>
                </c:pt>
                <c:pt idx="136">
                  <c:v>0.87460000000000004</c:v>
                </c:pt>
                <c:pt idx="137">
                  <c:v>0.87450000000000006</c:v>
                </c:pt>
                <c:pt idx="138">
                  <c:v>0.87480000000000002</c:v>
                </c:pt>
                <c:pt idx="139">
                  <c:v>0.87029999999999996</c:v>
                </c:pt>
                <c:pt idx="140">
                  <c:v>0.87060000000000004</c:v>
                </c:pt>
                <c:pt idx="141">
                  <c:v>0.87060000000000004</c:v>
                </c:pt>
                <c:pt idx="142">
                  <c:v>0.86329999999999996</c:v>
                </c:pt>
                <c:pt idx="143">
                  <c:v>0.86439999999999995</c:v>
                </c:pt>
                <c:pt idx="144">
                  <c:v>0.86299999999999999</c:v>
                </c:pt>
                <c:pt idx="145">
                  <c:v>0.86299999999999999</c:v>
                </c:pt>
                <c:pt idx="146">
                  <c:v>0.85609999999999997</c:v>
                </c:pt>
                <c:pt idx="147">
                  <c:v>0.85780000000000001</c:v>
                </c:pt>
                <c:pt idx="148">
                  <c:v>0.87490000000000001</c:v>
                </c:pt>
                <c:pt idx="149">
                  <c:v>0.86880000000000002</c:v>
                </c:pt>
                <c:pt idx="150">
                  <c:v>0.87480000000000002</c:v>
                </c:pt>
                <c:pt idx="151">
                  <c:v>0.87960000000000005</c:v>
                </c:pt>
                <c:pt idx="152">
                  <c:v>0.87960000000000005</c:v>
                </c:pt>
                <c:pt idx="153">
                  <c:v>0.8821</c:v>
                </c:pt>
                <c:pt idx="154">
                  <c:v>0.87629999999999997</c:v>
                </c:pt>
                <c:pt idx="155">
                  <c:v>0.88590000000000002</c:v>
                </c:pt>
                <c:pt idx="156">
                  <c:v>0.88049999999999995</c:v>
                </c:pt>
                <c:pt idx="157">
                  <c:v>0.87970000000000004</c:v>
                </c:pt>
                <c:pt idx="158">
                  <c:v>0.87939999999999996</c:v>
                </c:pt>
                <c:pt idx="159">
                  <c:v>0.87939999999999996</c:v>
                </c:pt>
                <c:pt idx="160">
                  <c:v>0.87549999999999994</c:v>
                </c:pt>
                <c:pt idx="161">
                  <c:v>0.87639999999999996</c:v>
                </c:pt>
                <c:pt idx="162">
                  <c:v>0.87709999999999999</c:v>
                </c:pt>
                <c:pt idx="163">
                  <c:v>0.87739999999999996</c:v>
                </c:pt>
                <c:pt idx="164">
                  <c:v>0.87529999999999997</c:v>
                </c:pt>
                <c:pt idx="165">
                  <c:v>0.87439999999999996</c:v>
                </c:pt>
                <c:pt idx="166">
                  <c:v>0.87439999999999996</c:v>
                </c:pt>
                <c:pt idx="167">
                  <c:v>0.87690000000000001</c:v>
                </c:pt>
                <c:pt idx="168">
                  <c:v>0.87909999999999999</c:v>
                </c:pt>
                <c:pt idx="169">
                  <c:v>0.87080000000000002</c:v>
                </c:pt>
                <c:pt idx="170">
                  <c:v>0.875</c:v>
                </c:pt>
                <c:pt idx="171">
                  <c:v>0.86699999999999999</c:v>
                </c:pt>
                <c:pt idx="172">
                  <c:v>0.86799999999999999</c:v>
                </c:pt>
                <c:pt idx="173">
                  <c:v>0.86799999999999999</c:v>
                </c:pt>
                <c:pt idx="174">
                  <c:v>0.876</c:v>
                </c:pt>
                <c:pt idx="175">
                  <c:v>0.88360000000000005</c:v>
                </c:pt>
                <c:pt idx="176">
                  <c:v>0.88090000000000002</c:v>
                </c:pt>
                <c:pt idx="177">
                  <c:v>0.87660000000000005</c:v>
                </c:pt>
                <c:pt idx="178">
                  <c:v>0.86650000000000005</c:v>
                </c:pt>
                <c:pt idx="179">
                  <c:v>0.86739999999999995</c:v>
                </c:pt>
                <c:pt idx="180">
                  <c:v>0.86739999999999995</c:v>
                </c:pt>
                <c:pt idx="181">
                  <c:v>0.87960000000000005</c:v>
                </c:pt>
                <c:pt idx="182">
                  <c:v>0.87370000000000003</c:v>
                </c:pt>
                <c:pt idx="183">
                  <c:v>0.87350000000000005</c:v>
                </c:pt>
                <c:pt idx="184">
                  <c:v>0.87129999999999996</c:v>
                </c:pt>
                <c:pt idx="185">
                  <c:v>0.87360000000000004</c:v>
                </c:pt>
                <c:pt idx="186">
                  <c:v>0.87629999999999997</c:v>
                </c:pt>
                <c:pt idx="187">
                  <c:v>0.87629999999999997</c:v>
                </c:pt>
                <c:pt idx="188">
                  <c:v>0.88029999999999997</c:v>
                </c:pt>
                <c:pt idx="189">
                  <c:v>0.88549999999999995</c:v>
                </c:pt>
                <c:pt idx="190">
                  <c:v>0.88570000000000004</c:v>
                </c:pt>
                <c:pt idx="191">
                  <c:v>0.88759999999999994</c:v>
                </c:pt>
                <c:pt idx="192">
                  <c:v>0.89400000000000002</c:v>
                </c:pt>
                <c:pt idx="193">
                  <c:v>0.89200000000000002</c:v>
                </c:pt>
                <c:pt idx="194">
                  <c:v>0.89200000000000002</c:v>
                </c:pt>
                <c:pt idx="195">
                  <c:v>0.89829999999999999</c:v>
                </c:pt>
                <c:pt idx="196">
                  <c:v>0.89580000000000004</c:v>
                </c:pt>
                <c:pt idx="197">
                  <c:v>0.90800000000000003</c:v>
                </c:pt>
                <c:pt idx="198">
                  <c:v>0.90349999999999997</c:v>
                </c:pt>
                <c:pt idx="199">
                  <c:v>0.90149999999999997</c:v>
                </c:pt>
                <c:pt idx="200">
                  <c:v>0.90349999999999997</c:v>
                </c:pt>
                <c:pt idx="201">
                  <c:v>0.90349999999999997</c:v>
                </c:pt>
                <c:pt idx="202">
                  <c:v>0.90939999999999999</c:v>
                </c:pt>
                <c:pt idx="203">
                  <c:v>0.91579999999999995</c:v>
                </c:pt>
                <c:pt idx="204">
                  <c:v>0.92069999999999996</c:v>
                </c:pt>
                <c:pt idx="205">
                  <c:v>0.9274</c:v>
                </c:pt>
                <c:pt idx="206">
                  <c:v>0.9365</c:v>
                </c:pt>
                <c:pt idx="207">
                  <c:v>0.93759999999999999</c:v>
                </c:pt>
                <c:pt idx="208">
                  <c:v>0.93759999999999999</c:v>
                </c:pt>
                <c:pt idx="209">
                  <c:v>0.93320000000000003</c:v>
                </c:pt>
                <c:pt idx="210">
                  <c:v>0.93400000000000005</c:v>
                </c:pt>
                <c:pt idx="211">
                  <c:v>0.92730000000000001</c:v>
                </c:pt>
                <c:pt idx="212">
                  <c:v>0.93310000000000004</c:v>
                </c:pt>
                <c:pt idx="213">
                  <c:v>0.9325</c:v>
                </c:pt>
                <c:pt idx="214">
                  <c:v>0.93330000000000002</c:v>
                </c:pt>
                <c:pt idx="215">
                  <c:v>0.93330000000000002</c:v>
                </c:pt>
                <c:pt idx="216">
                  <c:v>0.93479999999999996</c:v>
                </c:pt>
                <c:pt idx="217">
                  <c:v>0.9335</c:v>
                </c:pt>
                <c:pt idx="218">
                  <c:v>0.93159999999999998</c:v>
                </c:pt>
                <c:pt idx="219">
                  <c:v>0.92759999999999998</c:v>
                </c:pt>
                <c:pt idx="220">
                  <c:v>0.93110000000000004</c:v>
                </c:pt>
                <c:pt idx="221">
                  <c:v>0.93110000000000004</c:v>
                </c:pt>
                <c:pt idx="222">
                  <c:v>0.93020000000000003</c:v>
                </c:pt>
                <c:pt idx="223">
                  <c:v>0.92910000000000004</c:v>
                </c:pt>
                <c:pt idx="224">
                  <c:v>0.92869999999999997</c:v>
                </c:pt>
                <c:pt idx="225">
                  <c:v>0.93189999999999995</c:v>
                </c:pt>
                <c:pt idx="226">
                  <c:v>0.93149999999999999</c:v>
                </c:pt>
                <c:pt idx="227">
                  <c:v>0.93189999999999995</c:v>
                </c:pt>
                <c:pt idx="228">
                  <c:v>0.93189999999999995</c:v>
                </c:pt>
                <c:pt idx="229">
                  <c:v>0.93189999999999995</c:v>
                </c:pt>
                <c:pt idx="230">
                  <c:v>0.93030000000000002</c:v>
                </c:pt>
                <c:pt idx="231">
                  <c:v>0.92669999999999997</c:v>
                </c:pt>
                <c:pt idx="232">
                  <c:v>0.92630000000000001</c:v>
                </c:pt>
                <c:pt idx="233">
                  <c:v>0.92779999999999996</c:v>
                </c:pt>
                <c:pt idx="234">
                  <c:v>0.9274</c:v>
                </c:pt>
                <c:pt idx="235">
                  <c:v>0.9274</c:v>
                </c:pt>
                <c:pt idx="236">
                  <c:v>0.92679999999999996</c:v>
                </c:pt>
                <c:pt idx="237">
                  <c:v>0.93430000000000002</c:v>
                </c:pt>
                <c:pt idx="238">
                  <c:v>0.93010000000000004</c:v>
                </c:pt>
                <c:pt idx="239">
                  <c:v>0.93300000000000005</c:v>
                </c:pt>
                <c:pt idx="240">
                  <c:v>0.93089999999999995</c:v>
                </c:pt>
                <c:pt idx="241">
                  <c:v>0.93100000000000005</c:v>
                </c:pt>
                <c:pt idx="242">
                  <c:v>0.93100000000000005</c:v>
                </c:pt>
                <c:pt idx="243">
                  <c:v>0.93010000000000004</c:v>
                </c:pt>
                <c:pt idx="244">
                  <c:v>0.9325</c:v>
                </c:pt>
                <c:pt idx="245">
                  <c:v>0.9385</c:v>
                </c:pt>
                <c:pt idx="246">
                  <c:v>0.94120000000000004</c:v>
                </c:pt>
                <c:pt idx="247">
                  <c:v>0.94</c:v>
                </c:pt>
                <c:pt idx="248">
                  <c:v>0.93940000000000001</c:v>
                </c:pt>
                <c:pt idx="249">
                  <c:v>0.93940000000000001</c:v>
                </c:pt>
                <c:pt idx="250">
                  <c:v>0.94179999999999997</c:v>
                </c:pt>
                <c:pt idx="251">
                  <c:v>0.94379999999999997</c:v>
                </c:pt>
                <c:pt idx="252">
                  <c:v>0.93869999999999998</c:v>
                </c:pt>
                <c:pt idx="253">
                  <c:v>0.93679999999999997</c:v>
                </c:pt>
                <c:pt idx="254">
                  <c:v>0.93940000000000001</c:v>
                </c:pt>
                <c:pt idx="255">
                  <c:v>0.93879999999999997</c:v>
                </c:pt>
                <c:pt idx="256">
                  <c:v>0.93879999999999997</c:v>
                </c:pt>
                <c:pt idx="257">
                  <c:v>0.93379999999999996</c:v>
                </c:pt>
                <c:pt idx="258">
                  <c:v>0.93700000000000006</c:v>
                </c:pt>
                <c:pt idx="259">
                  <c:v>0.93600000000000005</c:v>
                </c:pt>
                <c:pt idx="260">
                  <c:v>0.93920000000000003</c:v>
                </c:pt>
                <c:pt idx="261">
                  <c:v>0.9385</c:v>
                </c:pt>
                <c:pt idx="262">
                  <c:v>0.93889999999999996</c:v>
                </c:pt>
                <c:pt idx="263">
                  <c:v>0.93889999999999996</c:v>
                </c:pt>
                <c:pt idx="264">
                  <c:v>0.9385</c:v>
                </c:pt>
                <c:pt idx="265">
                  <c:v>0.94230000000000003</c:v>
                </c:pt>
                <c:pt idx="266">
                  <c:v>0.94089999999999996</c:v>
                </c:pt>
                <c:pt idx="267">
                  <c:v>0.93720000000000003</c:v>
                </c:pt>
                <c:pt idx="268">
                  <c:v>0.93559999999999999</c:v>
                </c:pt>
                <c:pt idx="269">
                  <c:v>0.93620000000000003</c:v>
                </c:pt>
                <c:pt idx="270">
                  <c:v>0.93620000000000003</c:v>
                </c:pt>
                <c:pt idx="271">
                  <c:v>0.93500000000000005</c:v>
                </c:pt>
                <c:pt idx="272">
                  <c:v>0.94310000000000005</c:v>
                </c:pt>
                <c:pt idx="273">
                  <c:v>0.9496</c:v>
                </c:pt>
                <c:pt idx="274">
                  <c:v>0.94310000000000005</c:v>
                </c:pt>
                <c:pt idx="275">
                  <c:v>0.94130000000000003</c:v>
                </c:pt>
                <c:pt idx="276">
                  <c:v>0.94220000000000004</c:v>
                </c:pt>
                <c:pt idx="277">
                  <c:v>0.94220000000000004</c:v>
                </c:pt>
                <c:pt idx="278">
                  <c:v>0.9405</c:v>
                </c:pt>
                <c:pt idx="279">
                  <c:v>0.94040000000000001</c:v>
                </c:pt>
                <c:pt idx="280">
                  <c:v>0.93600000000000005</c:v>
                </c:pt>
                <c:pt idx="281">
                  <c:v>0.94220000000000004</c:v>
                </c:pt>
                <c:pt idx="282">
                  <c:v>0.93859999999999999</c:v>
                </c:pt>
                <c:pt idx="283">
                  <c:v>0.93840000000000001</c:v>
                </c:pt>
                <c:pt idx="284">
                  <c:v>0.93840000000000001</c:v>
                </c:pt>
                <c:pt idx="285">
                  <c:v>0.93979999999999997</c:v>
                </c:pt>
                <c:pt idx="286">
                  <c:v>0.93989999999999996</c:v>
                </c:pt>
                <c:pt idx="287">
                  <c:v>0.9335</c:v>
                </c:pt>
                <c:pt idx="288">
                  <c:v>0.93910000000000005</c:v>
                </c:pt>
                <c:pt idx="289">
                  <c:v>0.93889999999999996</c:v>
                </c:pt>
                <c:pt idx="290">
                  <c:v>0.94</c:v>
                </c:pt>
                <c:pt idx="291">
                  <c:v>0.94</c:v>
                </c:pt>
                <c:pt idx="292">
                  <c:v>0.94259999999999999</c:v>
                </c:pt>
                <c:pt idx="293">
                  <c:v>0.93820000000000003</c:v>
                </c:pt>
                <c:pt idx="294">
                  <c:v>0.93679999999999997</c:v>
                </c:pt>
                <c:pt idx="295">
                  <c:v>0.9345</c:v>
                </c:pt>
                <c:pt idx="296">
                  <c:v>0.93369999999999997</c:v>
                </c:pt>
                <c:pt idx="297">
                  <c:v>0.93300000000000005</c:v>
                </c:pt>
                <c:pt idx="298">
                  <c:v>0.93300000000000005</c:v>
                </c:pt>
                <c:pt idx="299">
                  <c:v>0.93269999999999997</c:v>
                </c:pt>
                <c:pt idx="300">
                  <c:v>0.92720000000000002</c:v>
                </c:pt>
                <c:pt idx="301">
                  <c:v>0.92569999999999997</c:v>
                </c:pt>
                <c:pt idx="302">
                  <c:v>0.92330000000000001</c:v>
                </c:pt>
                <c:pt idx="303">
                  <c:v>0.92989999999999995</c:v>
                </c:pt>
                <c:pt idx="304">
                  <c:v>0.9304</c:v>
                </c:pt>
                <c:pt idx="305">
                  <c:v>0.9304</c:v>
                </c:pt>
                <c:pt idx="306">
                  <c:v>0.93130000000000002</c:v>
                </c:pt>
                <c:pt idx="307">
                  <c:v>0.92220000000000002</c:v>
                </c:pt>
                <c:pt idx="308">
                  <c:v>0.9264</c:v>
                </c:pt>
                <c:pt idx="309">
                  <c:v>0.92559999999999998</c:v>
                </c:pt>
                <c:pt idx="310">
                  <c:v>0.92400000000000004</c:v>
                </c:pt>
                <c:pt idx="311">
                  <c:v>0.92269999999999996</c:v>
                </c:pt>
                <c:pt idx="312">
                  <c:v>0.92269999999999996</c:v>
                </c:pt>
                <c:pt idx="313">
                  <c:v>0.92259999999999998</c:v>
                </c:pt>
                <c:pt idx="314">
                  <c:v>0.92330000000000001</c:v>
                </c:pt>
                <c:pt idx="315">
                  <c:v>0.92310000000000003</c:v>
                </c:pt>
                <c:pt idx="316">
                  <c:v>0.93340000000000001</c:v>
                </c:pt>
                <c:pt idx="317">
                  <c:v>0.93589999999999995</c:v>
                </c:pt>
                <c:pt idx="318">
                  <c:v>0.93589999999999995</c:v>
                </c:pt>
                <c:pt idx="319">
                  <c:v>0.93569999999999998</c:v>
                </c:pt>
                <c:pt idx="320">
                  <c:v>0.93689999999999996</c:v>
                </c:pt>
                <c:pt idx="321">
                  <c:v>0.93640000000000001</c:v>
                </c:pt>
                <c:pt idx="322">
                  <c:v>0.93579999999999997</c:v>
                </c:pt>
                <c:pt idx="323">
                  <c:v>0.93620000000000003</c:v>
                </c:pt>
                <c:pt idx="324">
                  <c:v>0.93579999999999997</c:v>
                </c:pt>
                <c:pt idx="325">
                  <c:v>0.93579999999999997</c:v>
                </c:pt>
                <c:pt idx="326">
                  <c:v>0.93679999999999997</c:v>
                </c:pt>
                <c:pt idx="327">
                  <c:v>0.9325</c:v>
                </c:pt>
                <c:pt idx="328">
                  <c:v>0.93510000000000004</c:v>
                </c:pt>
                <c:pt idx="329">
                  <c:v>0.9284</c:v>
                </c:pt>
                <c:pt idx="330">
                  <c:v>0.92730000000000001</c:v>
                </c:pt>
                <c:pt idx="331">
                  <c:v>0.92749999999999999</c:v>
                </c:pt>
                <c:pt idx="332">
                  <c:v>0.92700000000000005</c:v>
                </c:pt>
                <c:pt idx="333">
                  <c:v>0.92730000000000001</c:v>
                </c:pt>
                <c:pt idx="334">
                  <c:v>0.92849999999999999</c:v>
                </c:pt>
                <c:pt idx="335">
                  <c:v>0.92749999999999999</c:v>
                </c:pt>
                <c:pt idx="336">
                  <c:v>0.92500000000000004</c:v>
                </c:pt>
                <c:pt idx="337">
                  <c:v>0.92710000000000004</c:v>
                </c:pt>
                <c:pt idx="338">
                  <c:v>0.92700000000000005</c:v>
                </c:pt>
                <c:pt idx="339">
                  <c:v>0.92700000000000005</c:v>
                </c:pt>
                <c:pt idx="340">
                  <c:v>0.92710000000000004</c:v>
                </c:pt>
                <c:pt idx="341">
                  <c:v>0.92910000000000004</c:v>
                </c:pt>
                <c:pt idx="342">
                  <c:v>0.93720000000000003</c:v>
                </c:pt>
                <c:pt idx="343">
                  <c:v>0.93359999999999999</c:v>
                </c:pt>
                <c:pt idx="344">
                  <c:v>0.93310000000000004</c:v>
                </c:pt>
                <c:pt idx="345">
                  <c:v>0.93240000000000001</c:v>
                </c:pt>
                <c:pt idx="346">
                  <c:v>0.93240000000000001</c:v>
                </c:pt>
                <c:pt idx="347">
                  <c:v>0.93279999999999996</c:v>
                </c:pt>
                <c:pt idx="348">
                  <c:v>0.93740000000000001</c:v>
                </c:pt>
                <c:pt idx="349">
                  <c:v>0.93400000000000005</c:v>
                </c:pt>
                <c:pt idx="350">
                  <c:v>0.94099999999999995</c:v>
                </c:pt>
                <c:pt idx="351">
                  <c:v>0.93789999999999996</c:v>
                </c:pt>
                <c:pt idx="352">
                  <c:v>0.93920000000000003</c:v>
                </c:pt>
                <c:pt idx="353">
                  <c:v>0.93920000000000003</c:v>
                </c:pt>
                <c:pt idx="354">
                  <c:v>0.94120000000000004</c:v>
                </c:pt>
                <c:pt idx="355">
                  <c:v>0.93759999999999999</c:v>
                </c:pt>
                <c:pt idx="356">
                  <c:v>0.93489999999999995</c:v>
                </c:pt>
                <c:pt idx="357">
                  <c:v>0.9264</c:v>
                </c:pt>
                <c:pt idx="358">
                  <c:v>0.92869999999999997</c:v>
                </c:pt>
                <c:pt idx="359">
                  <c:v>0.92849999999999999</c:v>
                </c:pt>
                <c:pt idx="360">
                  <c:v>0.92849999999999999</c:v>
                </c:pt>
                <c:pt idx="361">
                  <c:v>0.9234</c:v>
                </c:pt>
                <c:pt idx="362">
                  <c:v>0.92459999999999998</c:v>
                </c:pt>
                <c:pt idx="363">
                  <c:v>0.92459999999999998</c:v>
                </c:pt>
                <c:pt idx="364">
                  <c:v>0.92630000000000001</c:v>
                </c:pt>
                <c:pt idx="365">
                  <c:v>0.92579999999999996</c:v>
                </c:pt>
                <c:pt idx="366">
                  <c:v>0.9244</c:v>
                </c:pt>
                <c:pt idx="367">
                  <c:v>0.9244</c:v>
                </c:pt>
                <c:pt idx="368">
                  <c:v>0.92669999999999997</c:v>
                </c:pt>
                <c:pt idx="369">
                  <c:v>0.92159999999999997</c:v>
                </c:pt>
                <c:pt idx="370">
                  <c:v>0.91590000000000005</c:v>
                </c:pt>
                <c:pt idx="371">
                  <c:v>0.91300000000000003</c:v>
                </c:pt>
                <c:pt idx="372">
                  <c:v>0.90920000000000001</c:v>
                </c:pt>
                <c:pt idx="373">
                  <c:v>0.90800000000000003</c:v>
                </c:pt>
                <c:pt idx="374">
                  <c:v>0.90800000000000003</c:v>
                </c:pt>
                <c:pt idx="375">
                  <c:v>0.90359999999999996</c:v>
                </c:pt>
                <c:pt idx="376">
                  <c:v>0.90269999999999995</c:v>
                </c:pt>
                <c:pt idx="377">
                  <c:v>0.91290000000000004</c:v>
                </c:pt>
                <c:pt idx="378">
                  <c:v>0.9083</c:v>
                </c:pt>
                <c:pt idx="379">
                  <c:v>0.90280000000000005</c:v>
                </c:pt>
                <c:pt idx="380">
                  <c:v>0.90280000000000005</c:v>
                </c:pt>
                <c:pt idx="381">
                  <c:v>0.90280000000000005</c:v>
                </c:pt>
                <c:pt idx="382">
                  <c:v>0.90280000000000005</c:v>
                </c:pt>
                <c:pt idx="383">
                  <c:v>0.89939999999999998</c:v>
                </c:pt>
                <c:pt idx="384">
                  <c:v>0.89570000000000005</c:v>
                </c:pt>
                <c:pt idx="385">
                  <c:v>0.90269999999999995</c:v>
                </c:pt>
                <c:pt idx="386">
                  <c:v>0.90559999999999996</c:v>
                </c:pt>
                <c:pt idx="387">
                  <c:v>0.90610000000000002</c:v>
                </c:pt>
                <c:pt idx="388">
                  <c:v>0.90659999999999996</c:v>
                </c:pt>
                <c:pt idx="389">
                  <c:v>0.91049999999999998</c:v>
                </c:pt>
                <c:pt idx="390">
                  <c:v>0.89759999999999995</c:v>
                </c:pt>
                <c:pt idx="391">
                  <c:v>0.89490000000000003</c:v>
                </c:pt>
                <c:pt idx="392">
                  <c:v>0.89249999999999996</c:v>
                </c:pt>
                <c:pt idx="393">
                  <c:v>0.89059999999999995</c:v>
                </c:pt>
                <c:pt idx="394">
                  <c:v>0.89219999999999999</c:v>
                </c:pt>
                <c:pt idx="395">
                  <c:v>0.8921</c:v>
                </c:pt>
                <c:pt idx="396">
                  <c:v>0.89539999999999997</c:v>
                </c:pt>
                <c:pt idx="397">
                  <c:v>0.8962</c:v>
                </c:pt>
                <c:pt idx="398">
                  <c:v>0.90069999999999995</c:v>
                </c:pt>
                <c:pt idx="399">
                  <c:v>0.90369999999999995</c:v>
                </c:pt>
                <c:pt idx="400">
                  <c:v>0.89749999999999996</c:v>
                </c:pt>
                <c:pt idx="401">
                  <c:v>0.89739999999999998</c:v>
                </c:pt>
                <c:pt idx="402">
                  <c:v>0.89659999999999995</c:v>
                </c:pt>
                <c:pt idx="403">
                  <c:v>0.90059999999999996</c:v>
                </c:pt>
                <c:pt idx="404">
                  <c:v>0.89939999999999998</c:v>
                </c:pt>
                <c:pt idx="405">
                  <c:v>0.90180000000000005</c:v>
                </c:pt>
                <c:pt idx="406">
                  <c:v>0.90349999999999997</c:v>
                </c:pt>
                <c:pt idx="407">
                  <c:v>0.90529999999999999</c:v>
                </c:pt>
                <c:pt idx="408">
                  <c:v>0.90280000000000005</c:v>
                </c:pt>
                <c:pt idx="409">
                  <c:v>0.90290000000000004</c:v>
                </c:pt>
                <c:pt idx="410">
                  <c:v>0.89849999999999997</c:v>
                </c:pt>
                <c:pt idx="411">
                  <c:v>0.90210000000000001</c:v>
                </c:pt>
                <c:pt idx="412">
                  <c:v>0.90390000000000004</c:v>
                </c:pt>
                <c:pt idx="413">
                  <c:v>0.89439999999999997</c:v>
                </c:pt>
                <c:pt idx="414">
                  <c:v>0.89429999999999998</c:v>
                </c:pt>
                <c:pt idx="415">
                  <c:v>0.89559999999999995</c:v>
                </c:pt>
                <c:pt idx="416">
                  <c:v>0.89580000000000004</c:v>
                </c:pt>
                <c:pt idx="417">
                  <c:v>0.89459999999999995</c:v>
                </c:pt>
                <c:pt idx="418">
                  <c:v>0.8931</c:v>
                </c:pt>
                <c:pt idx="419">
                  <c:v>0.8911</c:v>
                </c:pt>
                <c:pt idx="420">
                  <c:v>0.87419999999999998</c:v>
                </c:pt>
                <c:pt idx="421">
                  <c:v>0.87480000000000002</c:v>
                </c:pt>
                <c:pt idx="422">
                  <c:v>0.87539999999999996</c:v>
                </c:pt>
                <c:pt idx="423">
                  <c:v>0.87539999999999996</c:v>
                </c:pt>
                <c:pt idx="424">
                  <c:v>0.88019999999999998</c:v>
                </c:pt>
                <c:pt idx="425">
                  <c:v>0.87380000000000002</c:v>
                </c:pt>
                <c:pt idx="426">
                  <c:v>0.87770000000000004</c:v>
                </c:pt>
                <c:pt idx="427">
                  <c:v>0.87260000000000004</c:v>
                </c:pt>
                <c:pt idx="428">
                  <c:v>0.86960000000000004</c:v>
                </c:pt>
                <c:pt idx="429">
                  <c:v>0.86819999999999997</c:v>
                </c:pt>
                <c:pt idx="430">
                  <c:v>0.86819999999999997</c:v>
                </c:pt>
                <c:pt idx="431">
                  <c:v>0.87590000000000001</c:v>
                </c:pt>
                <c:pt idx="432">
                  <c:v>0.88429999999999997</c:v>
                </c:pt>
                <c:pt idx="433">
                  <c:v>0.88070000000000004</c:v>
                </c:pt>
                <c:pt idx="434">
                  <c:v>0.88019999999999998</c:v>
                </c:pt>
                <c:pt idx="435">
                  <c:v>0.87719999999999998</c:v>
                </c:pt>
                <c:pt idx="436">
                  <c:v>0.87780000000000002</c:v>
                </c:pt>
                <c:pt idx="437">
                  <c:v>0.878</c:v>
                </c:pt>
                <c:pt idx="438">
                  <c:v>0.88190000000000002</c:v>
                </c:pt>
                <c:pt idx="439">
                  <c:v>0.89019999999999999</c:v>
                </c:pt>
                <c:pt idx="440">
                  <c:v>0.89590000000000003</c:v>
                </c:pt>
                <c:pt idx="441">
                  <c:v>0.90459999999999996</c:v>
                </c:pt>
                <c:pt idx="442">
                  <c:v>0.90139999999999998</c:v>
                </c:pt>
                <c:pt idx="443">
                  <c:v>0.89939999999999998</c:v>
                </c:pt>
                <c:pt idx="444">
                  <c:v>0.89939999999999998</c:v>
                </c:pt>
                <c:pt idx="445">
                  <c:v>0.88939999999999997</c:v>
                </c:pt>
                <c:pt idx="446">
                  <c:v>0.88880000000000003</c:v>
                </c:pt>
                <c:pt idx="447">
                  <c:v>0.89170000000000005</c:v>
                </c:pt>
                <c:pt idx="448">
                  <c:v>0.89659999999999995</c:v>
                </c:pt>
                <c:pt idx="449">
                  <c:v>0.89649999999999996</c:v>
                </c:pt>
                <c:pt idx="450">
                  <c:v>0.89449999999999996</c:v>
                </c:pt>
                <c:pt idx="451">
                  <c:v>0.89429999999999998</c:v>
                </c:pt>
                <c:pt idx="452">
                  <c:v>0.89090000000000003</c:v>
                </c:pt>
                <c:pt idx="453">
                  <c:v>0.88900000000000001</c:v>
                </c:pt>
                <c:pt idx="454">
                  <c:v>0.89100000000000001</c:v>
                </c:pt>
                <c:pt idx="455">
                  <c:v>0.8921</c:v>
                </c:pt>
                <c:pt idx="456">
                  <c:v>0.88539999999999996</c:v>
                </c:pt>
                <c:pt idx="457">
                  <c:v>0.88670000000000004</c:v>
                </c:pt>
                <c:pt idx="458">
                  <c:v>0.88670000000000004</c:v>
                </c:pt>
                <c:pt idx="459">
                  <c:v>0.88849999999999996</c:v>
                </c:pt>
                <c:pt idx="460">
                  <c:v>0.89100000000000001</c:v>
                </c:pt>
                <c:pt idx="461">
                  <c:v>0.89190000000000003</c:v>
                </c:pt>
                <c:pt idx="462">
                  <c:v>0.89300000000000002</c:v>
                </c:pt>
                <c:pt idx="463">
                  <c:v>0.89219999999999999</c:v>
                </c:pt>
                <c:pt idx="464">
                  <c:v>0.89190000000000003</c:v>
                </c:pt>
                <c:pt idx="465">
                  <c:v>0.89190000000000003</c:v>
                </c:pt>
                <c:pt idx="466">
                  <c:v>0.88600000000000001</c:v>
                </c:pt>
                <c:pt idx="467">
                  <c:v>0.88419999999999999</c:v>
                </c:pt>
                <c:pt idx="468">
                  <c:v>0.89180000000000004</c:v>
                </c:pt>
                <c:pt idx="469">
                  <c:v>0.89380000000000004</c:v>
                </c:pt>
                <c:pt idx="470">
                  <c:v>0.8952</c:v>
                </c:pt>
                <c:pt idx="471">
                  <c:v>0.89570000000000005</c:v>
                </c:pt>
                <c:pt idx="472">
                  <c:v>0.89559999999999995</c:v>
                </c:pt>
                <c:pt idx="473">
                  <c:v>0.89259999999999995</c:v>
                </c:pt>
                <c:pt idx="474">
                  <c:v>0.90449999999999997</c:v>
                </c:pt>
                <c:pt idx="475">
                  <c:v>0.91439999999999999</c:v>
                </c:pt>
                <c:pt idx="476">
                  <c:v>0.90910000000000002</c:v>
                </c:pt>
                <c:pt idx="477">
                  <c:v>0.91020000000000001</c:v>
                </c:pt>
                <c:pt idx="478">
                  <c:v>0.91010000000000002</c:v>
                </c:pt>
                <c:pt idx="479">
                  <c:v>0.91020000000000001</c:v>
                </c:pt>
                <c:pt idx="480">
                  <c:v>0.90620000000000001</c:v>
                </c:pt>
                <c:pt idx="481">
                  <c:v>0.90349999999999997</c:v>
                </c:pt>
                <c:pt idx="482">
                  <c:v>0.91290000000000004</c:v>
                </c:pt>
                <c:pt idx="483">
                  <c:v>0.91139999999999999</c:v>
                </c:pt>
                <c:pt idx="484">
                  <c:v>0.91200000000000003</c:v>
                </c:pt>
                <c:pt idx="485">
                  <c:v>0.91069999999999995</c:v>
                </c:pt>
                <c:pt idx="486">
                  <c:v>0.91080000000000005</c:v>
                </c:pt>
                <c:pt idx="487">
                  <c:v>0.9083</c:v>
                </c:pt>
                <c:pt idx="488">
                  <c:v>0.9083</c:v>
                </c:pt>
                <c:pt idx="489">
                  <c:v>0.91190000000000004</c:v>
                </c:pt>
                <c:pt idx="490">
                  <c:v>0.91949999999999998</c:v>
                </c:pt>
                <c:pt idx="491">
                  <c:v>0.91659999999999997</c:v>
                </c:pt>
                <c:pt idx="492">
                  <c:v>0.91669999999999996</c:v>
                </c:pt>
                <c:pt idx="493">
                  <c:v>0.91639999999999999</c:v>
                </c:pt>
                <c:pt idx="494">
                  <c:v>0.92290000000000005</c:v>
                </c:pt>
                <c:pt idx="495">
                  <c:v>0.93289999999999995</c:v>
                </c:pt>
                <c:pt idx="496">
                  <c:v>0.94430000000000003</c:v>
                </c:pt>
                <c:pt idx="497">
                  <c:v>0.93669999999999998</c:v>
                </c:pt>
                <c:pt idx="498">
                  <c:v>0.93689999999999996</c:v>
                </c:pt>
                <c:pt idx="499">
                  <c:v>0.93679999999999997</c:v>
                </c:pt>
                <c:pt idx="500">
                  <c:v>0.93689999999999996</c:v>
                </c:pt>
                <c:pt idx="501">
                  <c:v>0.93079999999999996</c:v>
                </c:pt>
                <c:pt idx="502">
                  <c:v>0.93659999999999999</c:v>
                </c:pt>
                <c:pt idx="503">
                  <c:v>0.93030000000000002</c:v>
                </c:pt>
                <c:pt idx="504">
                  <c:v>0.9365</c:v>
                </c:pt>
                <c:pt idx="505">
                  <c:v>0.93679999999999997</c:v>
                </c:pt>
                <c:pt idx="506">
                  <c:v>0.93830000000000002</c:v>
                </c:pt>
                <c:pt idx="507">
                  <c:v>0.93779999999999997</c:v>
                </c:pt>
                <c:pt idx="508">
                  <c:v>0.94550000000000001</c:v>
                </c:pt>
                <c:pt idx="509">
                  <c:v>0.95240000000000002</c:v>
                </c:pt>
                <c:pt idx="510">
                  <c:v>0.94979999999999998</c:v>
                </c:pt>
                <c:pt idx="511">
                  <c:v>0.95150000000000001</c:v>
                </c:pt>
                <c:pt idx="512">
                  <c:v>0.94669999999999999</c:v>
                </c:pt>
                <c:pt idx="513">
                  <c:v>0.94359999999999999</c:v>
                </c:pt>
                <c:pt idx="514">
                  <c:v>0.94379999999999997</c:v>
                </c:pt>
                <c:pt idx="515">
                  <c:v>0.94550000000000001</c:v>
                </c:pt>
                <c:pt idx="516">
                  <c:v>0.9466</c:v>
                </c:pt>
                <c:pt idx="517">
                  <c:v>0.94740000000000002</c:v>
                </c:pt>
                <c:pt idx="518">
                  <c:v>0.95409999999999995</c:v>
                </c:pt>
                <c:pt idx="519">
                  <c:v>0.95979999999999999</c:v>
                </c:pt>
                <c:pt idx="520">
                  <c:v>0.95830000000000004</c:v>
                </c:pt>
                <c:pt idx="521">
                  <c:v>0.95830000000000004</c:v>
                </c:pt>
                <c:pt idx="522">
                  <c:v>0.96189999999999998</c:v>
                </c:pt>
                <c:pt idx="523">
                  <c:v>0.96440000000000003</c:v>
                </c:pt>
                <c:pt idx="524">
                  <c:v>0.97</c:v>
                </c:pt>
                <c:pt idx="525">
                  <c:v>0.96530000000000005</c:v>
                </c:pt>
                <c:pt idx="526">
                  <c:v>0.96589999999999998</c:v>
                </c:pt>
                <c:pt idx="527">
                  <c:v>0.9677</c:v>
                </c:pt>
                <c:pt idx="528">
                  <c:v>0.9677</c:v>
                </c:pt>
                <c:pt idx="529">
                  <c:v>0.96130000000000004</c:v>
                </c:pt>
                <c:pt idx="530">
                  <c:v>0.95440000000000003</c:v>
                </c:pt>
                <c:pt idx="531">
                  <c:v>0.95399999999999996</c:v>
                </c:pt>
                <c:pt idx="532">
                  <c:v>0.95130000000000003</c:v>
                </c:pt>
                <c:pt idx="533">
                  <c:v>0.9446</c:v>
                </c:pt>
                <c:pt idx="534">
                  <c:v>0.94669999999999999</c:v>
                </c:pt>
                <c:pt idx="535">
                  <c:v>0.94669999999999999</c:v>
                </c:pt>
                <c:pt idx="536">
                  <c:v>0.94550000000000001</c:v>
                </c:pt>
                <c:pt idx="537">
                  <c:v>0.94430000000000003</c:v>
                </c:pt>
                <c:pt idx="538">
                  <c:v>0.94220000000000004</c:v>
                </c:pt>
                <c:pt idx="539">
                  <c:v>0.94350000000000001</c:v>
                </c:pt>
                <c:pt idx="540">
                  <c:v>0.94410000000000005</c:v>
                </c:pt>
                <c:pt idx="541">
                  <c:v>0.94330000000000003</c:v>
                </c:pt>
                <c:pt idx="542">
                  <c:v>0.94330000000000003</c:v>
                </c:pt>
                <c:pt idx="543">
                  <c:v>0.93979999999999997</c:v>
                </c:pt>
                <c:pt idx="544">
                  <c:v>0.93810000000000004</c:v>
                </c:pt>
                <c:pt idx="545">
                  <c:v>0.93959999999999999</c:v>
                </c:pt>
                <c:pt idx="546">
                  <c:v>0.93159999999999998</c:v>
                </c:pt>
                <c:pt idx="547">
                  <c:v>0.93</c:v>
                </c:pt>
                <c:pt idx="548">
                  <c:v>0.93140000000000001</c:v>
                </c:pt>
                <c:pt idx="549">
                  <c:v>0.93140000000000001</c:v>
                </c:pt>
                <c:pt idx="550">
                  <c:v>0.93559999999999999</c:v>
                </c:pt>
                <c:pt idx="551">
                  <c:v>0.93630000000000002</c:v>
                </c:pt>
                <c:pt idx="552">
                  <c:v>0.93820000000000003</c:v>
                </c:pt>
                <c:pt idx="553">
                  <c:v>0.94189999999999996</c:v>
                </c:pt>
                <c:pt idx="554">
                  <c:v>0.94010000000000005</c:v>
                </c:pt>
                <c:pt idx="555">
                  <c:v>0.93969999999999998</c:v>
                </c:pt>
                <c:pt idx="556">
                  <c:v>0.93969999999999998</c:v>
                </c:pt>
                <c:pt idx="557">
                  <c:v>0.94440000000000002</c:v>
                </c:pt>
                <c:pt idx="558">
                  <c:v>0.94950000000000001</c:v>
                </c:pt>
                <c:pt idx="559">
                  <c:v>0.93540000000000001</c:v>
                </c:pt>
                <c:pt idx="560">
                  <c:v>0.93169999999999997</c:v>
                </c:pt>
                <c:pt idx="561">
                  <c:v>0.93259999999999998</c:v>
                </c:pt>
                <c:pt idx="562">
                  <c:v>0.92420000000000002</c:v>
                </c:pt>
                <c:pt idx="563">
                  <c:v>0.92420000000000002</c:v>
                </c:pt>
                <c:pt idx="564">
                  <c:v>0.92669999999999997</c:v>
                </c:pt>
                <c:pt idx="565">
                  <c:v>0.93379999999999996</c:v>
                </c:pt>
                <c:pt idx="566">
                  <c:v>0.92979999999999996</c:v>
                </c:pt>
                <c:pt idx="567">
                  <c:v>0.92279999999999995</c:v>
                </c:pt>
                <c:pt idx="568">
                  <c:v>0.91869999999999996</c:v>
                </c:pt>
                <c:pt idx="569">
                  <c:v>0.91810000000000003</c:v>
                </c:pt>
                <c:pt idx="570">
                  <c:v>0.91810000000000003</c:v>
                </c:pt>
                <c:pt idx="571">
                  <c:v>0.91249999999999998</c:v>
                </c:pt>
                <c:pt idx="572">
                  <c:v>0.91669999999999996</c:v>
                </c:pt>
                <c:pt idx="573">
                  <c:v>0.90500000000000003</c:v>
                </c:pt>
                <c:pt idx="574">
                  <c:v>0.9</c:v>
                </c:pt>
                <c:pt idx="575">
                  <c:v>0.89339999999999997</c:v>
                </c:pt>
                <c:pt idx="576">
                  <c:v>0.88980000000000004</c:v>
                </c:pt>
                <c:pt idx="577">
                  <c:v>0.88980000000000004</c:v>
                </c:pt>
                <c:pt idx="578">
                  <c:v>0.89200000000000002</c:v>
                </c:pt>
                <c:pt idx="579">
                  <c:v>0.8952</c:v>
                </c:pt>
                <c:pt idx="580">
                  <c:v>0.89249999999999996</c:v>
                </c:pt>
                <c:pt idx="581">
                  <c:v>0.90090000000000003</c:v>
                </c:pt>
                <c:pt idx="582">
                  <c:v>0.90259999999999996</c:v>
                </c:pt>
                <c:pt idx="583">
                  <c:v>0.9022</c:v>
                </c:pt>
                <c:pt idx="584">
                  <c:v>0.9022</c:v>
                </c:pt>
                <c:pt idx="585">
                  <c:v>0.90239999999999998</c:v>
                </c:pt>
                <c:pt idx="586">
                  <c:v>0.89670000000000005</c:v>
                </c:pt>
                <c:pt idx="587">
                  <c:v>0.90639999999999998</c:v>
                </c:pt>
                <c:pt idx="588">
                  <c:v>0.91159999999999997</c:v>
                </c:pt>
                <c:pt idx="589">
                  <c:v>0.92010000000000003</c:v>
                </c:pt>
                <c:pt idx="590">
                  <c:v>0.91820000000000002</c:v>
                </c:pt>
                <c:pt idx="591">
                  <c:v>0.91820000000000002</c:v>
                </c:pt>
                <c:pt idx="592">
                  <c:v>0.91249999999999998</c:v>
                </c:pt>
                <c:pt idx="593">
                  <c:v>0.91449999999999998</c:v>
                </c:pt>
                <c:pt idx="594">
                  <c:v>0.90959999999999996</c:v>
                </c:pt>
                <c:pt idx="595">
                  <c:v>0.91110000000000002</c:v>
                </c:pt>
                <c:pt idx="596">
                  <c:v>0.91849999999999998</c:v>
                </c:pt>
                <c:pt idx="597">
                  <c:v>0.91990000000000005</c:v>
                </c:pt>
                <c:pt idx="598">
                  <c:v>0.91990000000000005</c:v>
                </c:pt>
                <c:pt idx="599">
                  <c:v>0.91020000000000001</c:v>
                </c:pt>
                <c:pt idx="600">
                  <c:v>0.90010000000000001</c:v>
                </c:pt>
                <c:pt idx="601">
                  <c:v>0.89880000000000004</c:v>
                </c:pt>
                <c:pt idx="602">
                  <c:v>0.89100000000000001</c:v>
                </c:pt>
                <c:pt idx="603">
                  <c:v>0.89</c:v>
                </c:pt>
                <c:pt idx="604">
                  <c:v>0.8901</c:v>
                </c:pt>
                <c:pt idx="605">
                  <c:v>0.8901</c:v>
                </c:pt>
                <c:pt idx="606">
                  <c:v>0.89239999999999997</c:v>
                </c:pt>
                <c:pt idx="607">
                  <c:v>0.89810000000000001</c:v>
                </c:pt>
                <c:pt idx="608">
                  <c:v>0.90690000000000004</c:v>
                </c:pt>
                <c:pt idx="609">
                  <c:v>0.91859999999999997</c:v>
                </c:pt>
                <c:pt idx="610">
                  <c:v>0.92630000000000001</c:v>
                </c:pt>
                <c:pt idx="611">
                  <c:v>0.92600000000000005</c:v>
                </c:pt>
                <c:pt idx="612">
                  <c:v>0.92600000000000005</c:v>
                </c:pt>
                <c:pt idx="613">
                  <c:v>0.92320000000000002</c:v>
                </c:pt>
                <c:pt idx="614">
                  <c:v>0.91279999999999994</c:v>
                </c:pt>
                <c:pt idx="615">
                  <c:v>0.92930000000000001</c:v>
                </c:pt>
                <c:pt idx="616">
                  <c:v>0.92620000000000002</c:v>
                </c:pt>
                <c:pt idx="617">
                  <c:v>0.92200000000000004</c:v>
                </c:pt>
                <c:pt idx="618">
                  <c:v>0.91710000000000003</c:v>
                </c:pt>
                <c:pt idx="619">
                  <c:v>0.91710000000000003</c:v>
                </c:pt>
                <c:pt idx="620">
                  <c:v>0.91810000000000003</c:v>
                </c:pt>
                <c:pt idx="621">
                  <c:v>0.92279999999999995</c:v>
                </c:pt>
                <c:pt idx="622">
                  <c:v>0.92479999999999996</c:v>
                </c:pt>
                <c:pt idx="623">
                  <c:v>0.90880000000000005</c:v>
                </c:pt>
                <c:pt idx="624">
                  <c:v>0.9093</c:v>
                </c:pt>
                <c:pt idx="625">
                  <c:v>0.90449999999999997</c:v>
                </c:pt>
                <c:pt idx="626">
                  <c:v>0.90449999999999997</c:v>
                </c:pt>
                <c:pt idx="627">
                  <c:v>0.91710000000000003</c:v>
                </c:pt>
                <c:pt idx="628">
                  <c:v>0.92789999999999995</c:v>
                </c:pt>
                <c:pt idx="629">
                  <c:v>0.91439999999999999</c:v>
                </c:pt>
                <c:pt idx="630">
                  <c:v>0.91159999999999997</c:v>
                </c:pt>
                <c:pt idx="631">
                  <c:v>0.90349999999999997</c:v>
                </c:pt>
                <c:pt idx="632">
                  <c:v>0.90669999999999995</c:v>
                </c:pt>
                <c:pt idx="633">
                  <c:v>0.90669999999999995</c:v>
                </c:pt>
                <c:pt idx="634">
                  <c:v>0.91410000000000002</c:v>
                </c:pt>
                <c:pt idx="635">
                  <c:v>0.91180000000000005</c:v>
                </c:pt>
                <c:pt idx="636">
                  <c:v>0.91400000000000003</c:v>
                </c:pt>
                <c:pt idx="637">
                  <c:v>0.92379999999999995</c:v>
                </c:pt>
                <c:pt idx="638">
                  <c:v>0.9143</c:v>
                </c:pt>
                <c:pt idx="639">
                  <c:v>0.91400000000000003</c:v>
                </c:pt>
                <c:pt idx="640">
                  <c:v>0.91459999999999997</c:v>
                </c:pt>
                <c:pt idx="641">
                  <c:v>0.92600000000000005</c:v>
                </c:pt>
                <c:pt idx="642">
                  <c:v>0.92900000000000005</c:v>
                </c:pt>
                <c:pt idx="643">
                  <c:v>0.92420000000000002</c:v>
                </c:pt>
                <c:pt idx="644">
                  <c:v>0.92730000000000001</c:v>
                </c:pt>
                <c:pt idx="645">
                  <c:v>0.92510000000000003</c:v>
                </c:pt>
                <c:pt idx="646">
                  <c:v>0.92169999999999996</c:v>
                </c:pt>
                <c:pt idx="647">
                  <c:v>0.92169999999999996</c:v>
                </c:pt>
                <c:pt idx="648">
                  <c:v>0.91920000000000002</c:v>
                </c:pt>
                <c:pt idx="649">
                  <c:v>0.92869999999999997</c:v>
                </c:pt>
                <c:pt idx="650">
                  <c:v>0.94650000000000001</c:v>
                </c:pt>
                <c:pt idx="651">
                  <c:v>0.95540000000000003</c:v>
                </c:pt>
                <c:pt idx="652">
                  <c:v>0.95709999999999995</c:v>
                </c:pt>
                <c:pt idx="653">
                  <c:v>0.95669999999999999</c:v>
                </c:pt>
                <c:pt idx="654">
                  <c:v>0.95669999999999999</c:v>
                </c:pt>
                <c:pt idx="655">
                  <c:v>0.96079999999999999</c:v>
                </c:pt>
                <c:pt idx="656">
                  <c:v>0.94720000000000004</c:v>
                </c:pt>
                <c:pt idx="657">
                  <c:v>0.94510000000000005</c:v>
                </c:pt>
                <c:pt idx="658">
                  <c:v>0.94599999999999995</c:v>
                </c:pt>
                <c:pt idx="659">
                  <c:v>0.94259999999999999</c:v>
                </c:pt>
                <c:pt idx="660">
                  <c:v>0.94940000000000002</c:v>
                </c:pt>
                <c:pt idx="661">
                  <c:v>0.94940000000000002</c:v>
                </c:pt>
                <c:pt idx="662">
                  <c:v>0.95630000000000004</c:v>
                </c:pt>
                <c:pt idx="663">
                  <c:v>0.95209999999999995</c:v>
                </c:pt>
                <c:pt idx="664">
                  <c:v>0.96499999999999997</c:v>
                </c:pt>
                <c:pt idx="665">
                  <c:v>0.97509999999999997</c:v>
                </c:pt>
                <c:pt idx="666">
                  <c:v>0.9627</c:v>
                </c:pt>
                <c:pt idx="667">
                  <c:v>0.95689999999999997</c:v>
                </c:pt>
                <c:pt idx="668">
                  <c:v>0.95689999999999997</c:v>
                </c:pt>
                <c:pt idx="669">
                  <c:v>0.96660000000000001</c:v>
                </c:pt>
                <c:pt idx="670">
                  <c:v>0.96340000000000003</c:v>
                </c:pt>
                <c:pt idx="671">
                  <c:v>0.95660000000000001</c:v>
                </c:pt>
                <c:pt idx="672">
                  <c:v>0.96299999999999997</c:v>
                </c:pt>
                <c:pt idx="673">
                  <c:v>0.96350000000000002</c:v>
                </c:pt>
                <c:pt idx="674">
                  <c:v>0.9647</c:v>
                </c:pt>
                <c:pt idx="675">
                  <c:v>0.9647</c:v>
                </c:pt>
                <c:pt idx="676">
                  <c:v>0.97440000000000004</c:v>
                </c:pt>
                <c:pt idx="677">
                  <c:v>0.96699999999999997</c:v>
                </c:pt>
                <c:pt idx="678">
                  <c:v>0.9819</c:v>
                </c:pt>
                <c:pt idx="679">
                  <c:v>0.98129999999999995</c:v>
                </c:pt>
                <c:pt idx="680">
                  <c:v>0.97650000000000003</c:v>
                </c:pt>
                <c:pt idx="681">
                  <c:v>0.97289999999999999</c:v>
                </c:pt>
                <c:pt idx="682">
                  <c:v>0.97289999999999999</c:v>
                </c:pt>
                <c:pt idx="683">
                  <c:v>0.98240000000000005</c:v>
                </c:pt>
                <c:pt idx="684">
                  <c:v>0.98980000000000001</c:v>
                </c:pt>
                <c:pt idx="685">
                  <c:v>0.99129999999999996</c:v>
                </c:pt>
                <c:pt idx="686">
                  <c:v>0.997</c:v>
                </c:pt>
                <c:pt idx="687">
                  <c:v>0.99819999999999998</c:v>
                </c:pt>
                <c:pt idx="688">
                  <c:v>1.002</c:v>
                </c:pt>
                <c:pt idx="689">
                  <c:v>1.002</c:v>
                </c:pt>
                <c:pt idx="690">
                  <c:v>1.0075000000000001</c:v>
                </c:pt>
                <c:pt idx="691">
                  <c:v>1.0187999999999999</c:v>
                </c:pt>
                <c:pt idx="692">
                  <c:v>1.0173000000000001</c:v>
                </c:pt>
                <c:pt idx="693">
                  <c:v>1.024</c:v>
                </c:pt>
                <c:pt idx="694">
                  <c:v>1.0298</c:v>
                </c:pt>
                <c:pt idx="695">
                  <c:v>1.0316000000000001</c:v>
                </c:pt>
                <c:pt idx="696">
                  <c:v>1.0316000000000001</c:v>
                </c:pt>
                <c:pt idx="697">
                  <c:v>1.0256000000000001</c:v>
                </c:pt>
                <c:pt idx="698">
                  <c:v>1.0277000000000001</c:v>
                </c:pt>
                <c:pt idx="699">
                  <c:v>1.0367999999999999</c:v>
                </c:pt>
                <c:pt idx="700">
                  <c:v>1.034</c:v>
                </c:pt>
                <c:pt idx="701">
                  <c:v>1.0285</c:v>
                </c:pt>
                <c:pt idx="702">
                  <c:v>1.0278</c:v>
                </c:pt>
                <c:pt idx="703">
                  <c:v>1.0278</c:v>
                </c:pt>
                <c:pt idx="704">
                  <c:v>1.0290999999999999</c:v>
                </c:pt>
                <c:pt idx="705">
                  <c:v>1.0275000000000001</c:v>
                </c:pt>
                <c:pt idx="706">
                  <c:v>1.0268999999999999</c:v>
                </c:pt>
                <c:pt idx="707">
                  <c:v>1.0259</c:v>
                </c:pt>
                <c:pt idx="708">
                  <c:v>1.0268999999999999</c:v>
                </c:pt>
                <c:pt idx="709">
                  <c:v>1.0275000000000001</c:v>
                </c:pt>
                <c:pt idx="710">
                  <c:v>1.0275000000000001</c:v>
                </c:pt>
                <c:pt idx="711">
                  <c:v>1.0293000000000001</c:v>
                </c:pt>
                <c:pt idx="712">
                  <c:v>1.0301</c:v>
                </c:pt>
                <c:pt idx="713">
                  <c:v>1.0381</c:v>
                </c:pt>
                <c:pt idx="714">
                  <c:v>1.0336000000000001</c:v>
                </c:pt>
                <c:pt idx="715">
                  <c:v>1.0510999999999999</c:v>
                </c:pt>
                <c:pt idx="716">
                  <c:v>1.0502</c:v>
                </c:pt>
                <c:pt idx="717">
                  <c:v>1.0502</c:v>
                </c:pt>
                <c:pt idx="718">
                  <c:v>1.0543</c:v>
                </c:pt>
                <c:pt idx="719">
                  <c:v>1.054</c:v>
                </c:pt>
                <c:pt idx="720">
                  <c:v>1.0488999999999999</c:v>
                </c:pt>
                <c:pt idx="721">
                  <c:v>1.0419</c:v>
                </c:pt>
                <c:pt idx="722">
                  <c:v>1.0347999999999999</c:v>
                </c:pt>
                <c:pt idx="723">
                  <c:v>1.0418000000000001</c:v>
                </c:pt>
                <c:pt idx="724">
                  <c:v>1.038</c:v>
                </c:pt>
                <c:pt idx="725">
                  <c:v>1.0425</c:v>
                </c:pt>
                <c:pt idx="726">
                  <c:v>1.0451999999999999</c:v>
                </c:pt>
                <c:pt idx="727">
                  <c:v>1.0456000000000001</c:v>
                </c:pt>
                <c:pt idx="728">
                  <c:v>1.0436000000000001</c:v>
                </c:pt>
                <c:pt idx="729">
                  <c:v>1.0408999999999999</c:v>
                </c:pt>
                <c:pt idx="730">
                  <c:v>1.0409999999999999</c:v>
                </c:pt>
                <c:pt idx="731">
                  <c:v>1.0409999999999999</c:v>
                </c:pt>
                <c:pt idx="732">
                  <c:v>1.0418000000000001</c:v>
                </c:pt>
                <c:pt idx="733">
                  <c:v>1.0448</c:v>
                </c:pt>
                <c:pt idx="734">
                  <c:v>1.0471999999999999</c:v>
                </c:pt>
                <c:pt idx="735">
                  <c:v>1.0461</c:v>
                </c:pt>
                <c:pt idx="736">
                  <c:v>1.046</c:v>
                </c:pt>
                <c:pt idx="737">
                  <c:v>1.0442</c:v>
                </c:pt>
                <c:pt idx="738">
                  <c:v>1.0442</c:v>
                </c:pt>
                <c:pt idx="739">
                  <c:v>1.0438000000000001</c:v>
                </c:pt>
                <c:pt idx="740">
                  <c:v>1.0375000000000001</c:v>
                </c:pt>
                <c:pt idx="741">
                  <c:v>1.0358000000000001</c:v>
                </c:pt>
                <c:pt idx="742">
                  <c:v>1.0394000000000001</c:v>
                </c:pt>
                <c:pt idx="743">
                  <c:v>1.0355000000000001</c:v>
                </c:pt>
                <c:pt idx="744">
                  <c:v>1.0406</c:v>
                </c:pt>
                <c:pt idx="745">
                  <c:v>1.0406</c:v>
                </c:pt>
                <c:pt idx="746">
                  <c:v>1.0382</c:v>
                </c:pt>
                <c:pt idx="747">
                  <c:v>1.0293000000000001</c:v>
                </c:pt>
                <c:pt idx="748">
                  <c:v>1.0327</c:v>
                </c:pt>
                <c:pt idx="749">
                  <c:v>1.0271999999999999</c:v>
                </c:pt>
                <c:pt idx="750">
                  <c:v>1.0217000000000001</c:v>
                </c:pt>
                <c:pt idx="751">
                  <c:v>1.0232000000000001</c:v>
                </c:pt>
                <c:pt idx="752">
                  <c:v>1.0255000000000001</c:v>
                </c:pt>
                <c:pt idx="753">
                  <c:v>1.0266999999999999</c:v>
                </c:pt>
                <c:pt idx="754">
                  <c:v>1.0230999999999999</c:v>
                </c:pt>
                <c:pt idx="755">
                  <c:v>1.0264</c:v>
                </c:pt>
                <c:pt idx="756">
                  <c:v>1.0198</c:v>
                </c:pt>
                <c:pt idx="757">
                  <c:v>1.0194000000000001</c:v>
                </c:pt>
                <c:pt idx="758">
                  <c:v>1.0203</c:v>
                </c:pt>
                <c:pt idx="759">
                  <c:v>1.0203</c:v>
                </c:pt>
                <c:pt idx="760">
                  <c:v>1.0213000000000001</c:v>
                </c:pt>
                <c:pt idx="761">
                  <c:v>1.0232000000000001</c:v>
                </c:pt>
                <c:pt idx="762">
                  <c:v>1.0226</c:v>
                </c:pt>
                <c:pt idx="763">
                  <c:v>1.0264</c:v>
                </c:pt>
                <c:pt idx="764">
                  <c:v>1.0293000000000001</c:v>
                </c:pt>
                <c:pt idx="765">
                  <c:v>1.0319</c:v>
                </c:pt>
                <c:pt idx="766">
                  <c:v>1.0313000000000001</c:v>
                </c:pt>
                <c:pt idx="767">
                  <c:v>1.0288999999999999</c:v>
                </c:pt>
                <c:pt idx="768">
                  <c:v>1.0245</c:v>
                </c:pt>
                <c:pt idx="769">
                  <c:v>1.0353000000000001</c:v>
                </c:pt>
                <c:pt idx="770">
                  <c:v>1.0319</c:v>
                </c:pt>
                <c:pt idx="771">
                  <c:v>1.0297000000000001</c:v>
                </c:pt>
                <c:pt idx="772">
                  <c:v>1.0302</c:v>
                </c:pt>
                <c:pt idx="773">
                  <c:v>1.0302</c:v>
                </c:pt>
                <c:pt idx="774">
                  <c:v>1.0345</c:v>
                </c:pt>
                <c:pt idx="775">
                  <c:v>1.0354000000000001</c:v>
                </c:pt>
                <c:pt idx="776">
                  <c:v>1.0314000000000001</c:v>
                </c:pt>
                <c:pt idx="777">
                  <c:v>1.0259</c:v>
                </c:pt>
                <c:pt idx="778">
                  <c:v>1.0321</c:v>
                </c:pt>
                <c:pt idx="779">
                  <c:v>1.0317000000000001</c:v>
                </c:pt>
                <c:pt idx="780">
                  <c:v>1.0317000000000001</c:v>
                </c:pt>
                <c:pt idx="781">
                  <c:v>1.0290999999999999</c:v>
                </c:pt>
                <c:pt idx="782">
                  <c:v>1.0318000000000001</c:v>
                </c:pt>
                <c:pt idx="783">
                  <c:v>1.0389999999999999</c:v>
                </c:pt>
                <c:pt idx="784">
                  <c:v>1.0441</c:v>
                </c:pt>
                <c:pt idx="785">
                  <c:v>1.0421</c:v>
                </c:pt>
                <c:pt idx="786">
                  <c:v>1.0405</c:v>
                </c:pt>
                <c:pt idx="787">
                  <c:v>1.0405</c:v>
                </c:pt>
                <c:pt idx="788">
                  <c:v>1.0434000000000001</c:v>
                </c:pt>
                <c:pt idx="789">
                  <c:v>1.0416000000000001</c:v>
                </c:pt>
                <c:pt idx="790">
                  <c:v>1.0461</c:v>
                </c:pt>
                <c:pt idx="791">
                  <c:v>1.0407</c:v>
                </c:pt>
                <c:pt idx="792">
                  <c:v>1.0409999999999999</c:v>
                </c:pt>
                <c:pt idx="793">
                  <c:v>1.0423</c:v>
                </c:pt>
                <c:pt idx="794">
                  <c:v>1.0423</c:v>
                </c:pt>
                <c:pt idx="795">
                  <c:v>1.0443</c:v>
                </c:pt>
                <c:pt idx="796">
                  <c:v>1.0536000000000001</c:v>
                </c:pt>
                <c:pt idx="797">
                  <c:v>1.0559000000000001</c:v>
                </c:pt>
                <c:pt idx="798">
                  <c:v>1.0513999999999999</c:v>
                </c:pt>
                <c:pt idx="799">
                  <c:v>1.0502</c:v>
                </c:pt>
                <c:pt idx="800">
                  <c:v>1.0503</c:v>
                </c:pt>
                <c:pt idx="801">
                  <c:v>1.0503</c:v>
                </c:pt>
                <c:pt idx="802">
                  <c:v>1.0544</c:v>
                </c:pt>
                <c:pt idx="803">
                  <c:v>1.0566</c:v>
                </c:pt>
                <c:pt idx="804">
                  <c:v>1.0570999999999999</c:v>
                </c:pt>
                <c:pt idx="805">
                  <c:v>1.0563</c:v>
                </c:pt>
                <c:pt idx="806">
                  <c:v>1.0533999999999999</c:v>
                </c:pt>
                <c:pt idx="807">
                  <c:v>1.0533999999999999</c:v>
                </c:pt>
                <c:pt idx="808">
                  <c:v>1.0533999999999999</c:v>
                </c:pt>
                <c:pt idx="809">
                  <c:v>1.0597000000000001</c:v>
                </c:pt>
                <c:pt idx="810">
                  <c:v>1.05</c:v>
                </c:pt>
                <c:pt idx="811">
                  <c:v>1.0502</c:v>
                </c:pt>
                <c:pt idx="812">
                  <c:v>1.0503</c:v>
                </c:pt>
                <c:pt idx="813">
                  <c:v>1.0495000000000001</c:v>
                </c:pt>
                <c:pt idx="814">
                  <c:v>1.0478000000000001</c:v>
                </c:pt>
                <c:pt idx="815">
                  <c:v>1.0478000000000001</c:v>
                </c:pt>
                <c:pt idx="816">
                  <c:v>1.0465</c:v>
                </c:pt>
                <c:pt idx="817">
                  <c:v>1.0503</c:v>
                </c:pt>
                <c:pt idx="818">
                  <c:v>1.0391999999999999</c:v>
                </c:pt>
                <c:pt idx="819">
                  <c:v>1.0390999999999999</c:v>
                </c:pt>
                <c:pt idx="820">
                  <c:v>1.0391999999999999</c:v>
                </c:pt>
                <c:pt idx="821">
                  <c:v>1.0370999999999999</c:v>
                </c:pt>
                <c:pt idx="822">
                  <c:v>1.0370999999999999</c:v>
                </c:pt>
                <c:pt idx="823">
                  <c:v>1.0376000000000001</c:v>
                </c:pt>
                <c:pt idx="824">
                  <c:v>1.0375000000000001</c:v>
                </c:pt>
                <c:pt idx="825">
                  <c:v>1.0371999999999999</c:v>
                </c:pt>
                <c:pt idx="826">
                  <c:v>1.0361</c:v>
                </c:pt>
                <c:pt idx="827">
                  <c:v>1.0401</c:v>
                </c:pt>
                <c:pt idx="828">
                  <c:v>1.0397000000000001</c:v>
                </c:pt>
                <c:pt idx="829">
                  <c:v>1.0403</c:v>
                </c:pt>
                <c:pt idx="830">
                  <c:v>1.0481</c:v>
                </c:pt>
                <c:pt idx="831">
                  <c:v>1.0475000000000001</c:v>
                </c:pt>
                <c:pt idx="832">
                  <c:v>1.0523</c:v>
                </c:pt>
                <c:pt idx="833">
                  <c:v>1.0545</c:v>
                </c:pt>
                <c:pt idx="834">
                  <c:v>1.0555000000000001</c:v>
                </c:pt>
                <c:pt idx="835">
                  <c:v>1.0565</c:v>
                </c:pt>
                <c:pt idx="836">
                  <c:v>1.0565</c:v>
                </c:pt>
                <c:pt idx="837">
                  <c:v>1.0529999999999999</c:v>
                </c:pt>
                <c:pt idx="838">
                  <c:v>1.0542</c:v>
                </c:pt>
                <c:pt idx="839">
                  <c:v>1.0537000000000001</c:v>
                </c:pt>
                <c:pt idx="840">
                  <c:v>1.0485</c:v>
                </c:pt>
                <c:pt idx="841">
                  <c:v>1.0479000000000001</c:v>
                </c:pt>
                <c:pt idx="842">
                  <c:v>1.0485</c:v>
                </c:pt>
                <c:pt idx="843">
                  <c:v>1.0492999999999999</c:v>
                </c:pt>
                <c:pt idx="844">
                  <c:v>1.0470999999999999</c:v>
                </c:pt>
                <c:pt idx="845">
                  <c:v>1.0443</c:v>
                </c:pt>
                <c:pt idx="846">
                  <c:v>1.0468</c:v>
                </c:pt>
                <c:pt idx="847">
                  <c:v>1.0432999999999999</c:v>
                </c:pt>
                <c:pt idx="848">
                  <c:v>1.0423</c:v>
                </c:pt>
                <c:pt idx="849">
                  <c:v>1.0426</c:v>
                </c:pt>
                <c:pt idx="850">
                  <c:v>1.0429999999999999</c:v>
                </c:pt>
                <c:pt idx="851">
                  <c:v>1.0427999999999999</c:v>
                </c:pt>
                <c:pt idx="852">
                  <c:v>1.0468999999999999</c:v>
                </c:pt>
                <c:pt idx="853">
                  <c:v>1.0442</c:v>
                </c:pt>
                <c:pt idx="854">
                  <c:v>1.0469999999999999</c:v>
                </c:pt>
                <c:pt idx="855">
                  <c:v>1.0455000000000001</c:v>
                </c:pt>
                <c:pt idx="856">
                  <c:v>1.0458000000000001</c:v>
                </c:pt>
                <c:pt idx="857">
                  <c:v>1.0458000000000001</c:v>
                </c:pt>
                <c:pt idx="858">
                  <c:v>1.0377000000000001</c:v>
                </c:pt>
                <c:pt idx="859">
                  <c:v>1.0371999999999999</c:v>
                </c:pt>
                <c:pt idx="860">
                  <c:v>1.0387999999999999</c:v>
                </c:pt>
                <c:pt idx="861">
                  <c:v>1.0402</c:v>
                </c:pt>
                <c:pt idx="862">
                  <c:v>1.036</c:v>
                </c:pt>
                <c:pt idx="863">
                  <c:v>1.0338000000000001</c:v>
                </c:pt>
                <c:pt idx="864">
                  <c:v>1.0338000000000001</c:v>
                </c:pt>
                <c:pt idx="865">
                  <c:v>1.0338000000000001</c:v>
                </c:pt>
                <c:pt idx="866">
                  <c:v>1.0364</c:v>
                </c:pt>
                <c:pt idx="867">
                  <c:v>1.0444</c:v>
                </c:pt>
                <c:pt idx="868">
                  <c:v>1.0423</c:v>
                </c:pt>
                <c:pt idx="869">
                  <c:v>1.0390999999999999</c:v>
                </c:pt>
                <c:pt idx="870">
                  <c:v>1.0386</c:v>
                </c:pt>
                <c:pt idx="871">
                  <c:v>1.0386</c:v>
                </c:pt>
                <c:pt idx="872">
                  <c:v>1.04</c:v>
                </c:pt>
                <c:pt idx="873">
                  <c:v>1.0402</c:v>
                </c:pt>
                <c:pt idx="874">
                  <c:v>1.0426</c:v>
                </c:pt>
                <c:pt idx="875">
                  <c:v>1.0375000000000001</c:v>
                </c:pt>
                <c:pt idx="876">
                  <c:v>1.0344</c:v>
                </c:pt>
                <c:pt idx="877">
                  <c:v>1.0336000000000001</c:v>
                </c:pt>
                <c:pt idx="878">
                  <c:v>1.0336000000000001</c:v>
                </c:pt>
                <c:pt idx="879">
                  <c:v>1.0399</c:v>
                </c:pt>
                <c:pt idx="880">
                  <c:v>1.0375000000000001</c:v>
                </c:pt>
                <c:pt idx="881">
                  <c:v>1.0365</c:v>
                </c:pt>
                <c:pt idx="882">
                  <c:v>1.0338000000000001</c:v>
                </c:pt>
                <c:pt idx="883">
                  <c:v>1.0348999999999999</c:v>
                </c:pt>
                <c:pt idx="884">
                  <c:v>1.0371999999999999</c:v>
                </c:pt>
                <c:pt idx="885">
                  <c:v>1.0371999999999999</c:v>
                </c:pt>
                <c:pt idx="886">
                  <c:v>1.0348999999999999</c:v>
                </c:pt>
                <c:pt idx="887">
                  <c:v>1.0344</c:v>
                </c:pt>
                <c:pt idx="888">
                  <c:v>1.0266</c:v>
                </c:pt>
                <c:pt idx="889">
                  <c:v>1.0335000000000001</c:v>
                </c:pt>
                <c:pt idx="890">
                  <c:v>1.0301</c:v>
                </c:pt>
                <c:pt idx="891">
                  <c:v>1.0325</c:v>
                </c:pt>
                <c:pt idx="892">
                  <c:v>1.0325</c:v>
                </c:pt>
                <c:pt idx="893">
                  <c:v>1.0373000000000001</c:v>
                </c:pt>
                <c:pt idx="894">
                  <c:v>1.0376000000000001</c:v>
                </c:pt>
                <c:pt idx="895">
                  <c:v>1.0310999999999999</c:v>
                </c:pt>
                <c:pt idx="896">
                  <c:v>1.0262</c:v>
                </c:pt>
                <c:pt idx="897">
                  <c:v>1.0219</c:v>
                </c:pt>
                <c:pt idx="898">
                  <c:v>1.0229999999999999</c:v>
                </c:pt>
                <c:pt idx="899">
                  <c:v>1.0229999999999999</c:v>
                </c:pt>
                <c:pt idx="900">
                  <c:v>1.0248999999999999</c:v>
                </c:pt>
                <c:pt idx="901">
                  <c:v>1.0218</c:v>
                </c:pt>
                <c:pt idx="902">
                  <c:v>1.0185</c:v>
                </c:pt>
                <c:pt idx="903">
                  <c:v>1.0206999999999999</c:v>
                </c:pt>
                <c:pt idx="904">
                  <c:v>1.0166999999999999</c:v>
                </c:pt>
                <c:pt idx="905">
                  <c:v>1.0183</c:v>
                </c:pt>
                <c:pt idx="906">
                  <c:v>1.0183</c:v>
                </c:pt>
                <c:pt idx="907">
                  <c:v>1.0239</c:v>
                </c:pt>
                <c:pt idx="908">
                  <c:v>1.0227999999999999</c:v>
                </c:pt>
                <c:pt idx="909">
                  <c:v>1.0251999999999999</c:v>
                </c:pt>
                <c:pt idx="910">
                  <c:v>1.0356000000000001</c:v>
                </c:pt>
                <c:pt idx="911">
                  <c:v>1.0353000000000001</c:v>
                </c:pt>
                <c:pt idx="912">
                  <c:v>1.038</c:v>
                </c:pt>
                <c:pt idx="913">
                  <c:v>1.038</c:v>
                </c:pt>
                <c:pt idx="914">
                  <c:v>1.0438000000000001</c:v>
                </c:pt>
                <c:pt idx="915">
                  <c:v>1.0371999999999999</c:v>
                </c:pt>
                <c:pt idx="916">
                  <c:v>1.0364</c:v>
                </c:pt>
                <c:pt idx="917">
                  <c:v>1.0425</c:v>
                </c:pt>
                <c:pt idx="918">
                  <c:v>1.0432999999999999</c:v>
                </c:pt>
                <c:pt idx="919">
                  <c:v>1.046</c:v>
                </c:pt>
                <c:pt idx="920">
                  <c:v>1.0461</c:v>
                </c:pt>
                <c:pt idx="921">
                  <c:v>1.0437000000000001</c:v>
                </c:pt>
                <c:pt idx="922">
                  <c:v>1.0467</c:v>
                </c:pt>
                <c:pt idx="923">
                  <c:v>1.0451999999999999</c:v>
                </c:pt>
                <c:pt idx="924">
                  <c:v>1.0474000000000001</c:v>
                </c:pt>
                <c:pt idx="925">
                  <c:v>1.0537000000000001</c:v>
                </c:pt>
                <c:pt idx="926">
                  <c:v>1.0568</c:v>
                </c:pt>
                <c:pt idx="927">
                  <c:v>1.0568</c:v>
                </c:pt>
                <c:pt idx="928">
                  <c:v>1.0535000000000001</c:v>
                </c:pt>
                <c:pt idx="929">
                  <c:v>1.0466</c:v>
                </c:pt>
                <c:pt idx="930">
                  <c:v>1.0430999999999999</c:v>
                </c:pt>
                <c:pt idx="931">
                  <c:v>1.0334000000000001</c:v>
                </c:pt>
                <c:pt idx="932">
                  <c:v>1.0366</c:v>
                </c:pt>
                <c:pt idx="933">
                  <c:v>1.0384</c:v>
                </c:pt>
                <c:pt idx="934">
                  <c:v>1.0384</c:v>
                </c:pt>
                <c:pt idx="935">
                  <c:v>1.0282</c:v>
                </c:pt>
                <c:pt idx="936">
                  <c:v>1.0192000000000001</c:v>
                </c:pt>
                <c:pt idx="937">
                  <c:v>1.0223</c:v>
                </c:pt>
                <c:pt idx="938">
                  <c:v>1.0246</c:v>
                </c:pt>
                <c:pt idx="939">
                  <c:v>1.0278</c:v>
                </c:pt>
                <c:pt idx="940">
                  <c:v>1.0319</c:v>
                </c:pt>
                <c:pt idx="941">
                  <c:v>1.0319</c:v>
                </c:pt>
                <c:pt idx="942">
                  <c:v>1.0287999999999999</c:v>
                </c:pt>
                <c:pt idx="943">
                  <c:v>1.0347999999999999</c:v>
                </c:pt>
                <c:pt idx="944">
                  <c:v>1.0376000000000001</c:v>
                </c:pt>
                <c:pt idx="945">
                  <c:v>1.0367999999999999</c:v>
                </c:pt>
                <c:pt idx="946">
                  <c:v>1.0416000000000001</c:v>
                </c:pt>
                <c:pt idx="947">
                  <c:v>1.0402</c:v>
                </c:pt>
                <c:pt idx="948">
                  <c:v>1.0402</c:v>
                </c:pt>
                <c:pt idx="949">
                  <c:v>1.044</c:v>
                </c:pt>
                <c:pt idx="950">
                  <c:v>1.0503</c:v>
                </c:pt>
                <c:pt idx="951">
                  <c:v>1.0483</c:v>
                </c:pt>
                <c:pt idx="952">
                  <c:v>1.0443</c:v>
                </c:pt>
                <c:pt idx="953">
                  <c:v>1.0435000000000001</c:v>
                </c:pt>
                <c:pt idx="954">
                  <c:v>1.0418000000000001</c:v>
                </c:pt>
                <c:pt idx="955">
                  <c:v>1.0418000000000001</c:v>
                </c:pt>
                <c:pt idx="956">
                  <c:v>1.0508999999999999</c:v>
                </c:pt>
                <c:pt idx="957">
                  <c:v>1.0503</c:v>
                </c:pt>
                <c:pt idx="958">
                  <c:v>1.0488</c:v>
                </c:pt>
                <c:pt idx="959">
                  <c:v>1.0516000000000001</c:v>
                </c:pt>
                <c:pt idx="960">
                  <c:v>1.0556000000000001</c:v>
                </c:pt>
                <c:pt idx="961">
                  <c:v>1.0576000000000001</c:v>
                </c:pt>
                <c:pt idx="962">
                  <c:v>1.0576000000000001</c:v>
                </c:pt>
                <c:pt idx="963">
                  <c:v>1.0579000000000001</c:v>
                </c:pt>
                <c:pt idx="964">
                  <c:v>1.0571999999999999</c:v>
                </c:pt>
                <c:pt idx="965">
                  <c:v>1.0552999999999999</c:v>
                </c:pt>
                <c:pt idx="966">
                  <c:v>1.0567</c:v>
                </c:pt>
                <c:pt idx="967">
                  <c:v>1.0555000000000001</c:v>
                </c:pt>
                <c:pt idx="968">
                  <c:v>1.0566</c:v>
                </c:pt>
                <c:pt idx="969">
                  <c:v>1.0566</c:v>
                </c:pt>
                <c:pt idx="970">
                  <c:v>1.0462</c:v>
                </c:pt>
                <c:pt idx="971">
                  <c:v>1.0459000000000001</c:v>
                </c:pt>
                <c:pt idx="972">
                  <c:v>1.0502</c:v>
                </c:pt>
                <c:pt idx="973">
                  <c:v>1.0498000000000001</c:v>
                </c:pt>
                <c:pt idx="974">
                  <c:v>1.0467</c:v>
                </c:pt>
                <c:pt idx="975">
                  <c:v>1.0481</c:v>
                </c:pt>
                <c:pt idx="976">
                  <c:v>1.0481</c:v>
                </c:pt>
                <c:pt idx="977">
                  <c:v>1.0392999999999999</c:v>
                </c:pt>
                <c:pt idx="978">
                  <c:v>1.0296000000000001</c:v>
                </c:pt>
                <c:pt idx="979">
                  <c:v>1.0213000000000001</c:v>
                </c:pt>
                <c:pt idx="980">
                  <c:v>1.0268999999999999</c:v>
                </c:pt>
                <c:pt idx="981">
                  <c:v>1.0334000000000001</c:v>
                </c:pt>
                <c:pt idx="982">
                  <c:v>1.0376000000000001</c:v>
                </c:pt>
                <c:pt idx="983">
                  <c:v>1.0376000000000001</c:v>
                </c:pt>
                <c:pt idx="984">
                  <c:v>1.0424</c:v>
                </c:pt>
                <c:pt idx="985">
                  <c:v>1.0357000000000001</c:v>
                </c:pt>
                <c:pt idx="986">
                  <c:v>1.0314000000000001</c:v>
                </c:pt>
                <c:pt idx="987">
                  <c:v>1.0242</c:v>
                </c:pt>
                <c:pt idx="988">
                  <c:v>1.0230999999999999</c:v>
                </c:pt>
                <c:pt idx="989">
                  <c:v>1.0225</c:v>
                </c:pt>
                <c:pt idx="990">
                  <c:v>1.0225</c:v>
                </c:pt>
                <c:pt idx="991">
                  <c:v>1.0134000000000001</c:v>
                </c:pt>
                <c:pt idx="992">
                  <c:v>1.0246</c:v>
                </c:pt>
                <c:pt idx="993">
                  <c:v>1.0185999999999999</c:v>
                </c:pt>
                <c:pt idx="994">
                  <c:v>1.0206</c:v>
                </c:pt>
                <c:pt idx="995">
                  <c:v>1.0193000000000001</c:v>
                </c:pt>
                <c:pt idx="996">
                  <c:v>1.0209999999999999</c:v>
                </c:pt>
                <c:pt idx="997">
                  <c:v>1.0209999999999999</c:v>
                </c:pt>
                <c:pt idx="998">
                  <c:v>1.0278</c:v>
                </c:pt>
                <c:pt idx="999">
                  <c:v>1.0263</c:v>
                </c:pt>
                <c:pt idx="1000">
                  <c:v>1.0285</c:v>
                </c:pt>
                <c:pt idx="1001">
                  <c:v>1.0237000000000001</c:v>
                </c:pt>
                <c:pt idx="1002">
                  <c:v>1.0237000000000001</c:v>
                </c:pt>
                <c:pt idx="1003">
                  <c:v>1.0237000000000001</c:v>
                </c:pt>
                <c:pt idx="1004">
                  <c:v>1.0237000000000001</c:v>
                </c:pt>
                <c:pt idx="1005">
                  <c:v>1.0031000000000001</c:v>
                </c:pt>
                <c:pt idx="1006">
                  <c:v>1.0072000000000001</c:v>
                </c:pt>
                <c:pt idx="1007">
                  <c:v>1.0045999999999999</c:v>
                </c:pt>
                <c:pt idx="1008">
                  <c:v>1.0008999999999999</c:v>
                </c:pt>
                <c:pt idx="1009">
                  <c:v>1.0029999999999999</c:v>
                </c:pt>
                <c:pt idx="1010">
                  <c:v>1.0061</c:v>
                </c:pt>
                <c:pt idx="1011">
                  <c:v>1.0061</c:v>
                </c:pt>
                <c:pt idx="1012">
                  <c:v>1.0042</c:v>
                </c:pt>
                <c:pt idx="1013">
                  <c:v>1.0194000000000001</c:v>
                </c:pt>
                <c:pt idx="1014">
                  <c:v>1.0182</c:v>
                </c:pt>
                <c:pt idx="1015">
                  <c:v>1.0108999999999999</c:v>
                </c:pt>
                <c:pt idx="1016">
                  <c:v>1.0109999999999999</c:v>
                </c:pt>
                <c:pt idx="1017">
                  <c:v>1.0078</c:v>
                </c:pt>
                <c:pt idx="1018">
                  <c:v>1.0078</c:v>
                </c:pt>
                <c:pt idx="1019">
                  <c:v>1.0012000000000001</c:v>
                </c:pt>
                <c:pt idx="1020">
                  <c:v>0.99450000000000005</c:v>
                </c:pt>
                <c:pt idx="1021">
                  <c:v>0.99439999999999995</c:v>
                </c:pt>
                <c:pt idx="1022">
                  <c:v>0.98780000000000001</c:v>
                </c:pt>
                <c:pt idx="1023">
                  <c:v>0.99709999999999999</c:v>
                </c:pt>
                <c:pt idx="1024">
                  <c:v>0.99150000000000005</c:v>
                </c:pt>
                <c:pt idx="1025">
                  <c:v>0.99150000000000005</c:v>
                </c:pt>
                <c:pt idx="1026">
                  <c:v>0.99170000000000003</c:v>
                </c:pt>
                <c:pt idx="1027">
                  <c:v>0.99050000000000005</c:v>
                </c:pt>
                <c:pt idx="1028">
                  <c:v>0.97760000000000002</c:v>
                </c:pt>
                <c:pt idx="1029">
                  <c:v>0.97509999999999997</c:v>
                </c:pt>
                <c:pt idx="1030">
                  <c:v>0.96409999999999996</c:v>
                </c:pt>
                <c:pt idx="1031">
                  <c:v>0.96950000000000003</c:v>
                </c:pt>
                <c:pt idx="1032">
                  <c:v>0.96950000000000003</c:v>
                </c:pt>
                <c:pt idx="1033">
                  <c:v>0.97319999999999995</c:v>
                </c:pt>
                <c:pt idx="1034">
                  <c:v>0.97040000000000004</c:v>
                </c:pt>
                <c:pt idx="1035">
                  <c:v>0.98240000000000005</c:v>
                </c:pt>
                <c:pt idx="1036">
                  <c:v>0.98170000000000002</c:v>
                </c:pt>
                <c:pt idx="1037">
                  <c:v>0.98199999999999998</c:v>
                </c:pt>
                <c:pt idx="1038">
                  <c:v>0.97570000000000001</c:v>
                </c:pt>
                <c:pt idx="1039">
                  <c:v>0.97570000000000001</c:v>
                </c:pt>
                <c:pt idx="1040">
                  <c:v>0.97589999999999999</c:v>
                </c:pt>
                <c:pt idx="1041">
                  <c:v>0.97289999999999999</c:v>
                </c:pt>
                <c:pt idx="1042">
                  <c:v>0.97719999999999996</c:v>
                </c:pt>
                <c:pt idx="1043">
                  <c:v>0.99160000000000004</c:v>
                </c:pt>
                <c:pt idx="1044">
                  <c:v>0.98370000000000002</c:v>
                </c:pt>
                <c:pt idx="1045">
                  <c:v>0.98419999999999996</c:v>
                </c:pt>
                <c:pt idx="1046">
                  <c:v>0.98419999999999996</c:v>
                </c:pt>
                <c:pt idx="1047">
                  <c:v>0.98960000000000004</c:v>
                </c:pt>
                <c:pt idx="1048">
                  <c:v>0.99299999999999999</c:v>
                </c:pt>
                <c:pt idx="1049">
                  <c:v>0.99419999999999997</c:v>
                </c:pt>
                <c:pt idx="1050">
                  <c:v>0.99680000000000002</c:v>
                </c:pt>
                <c:pt idx="1051">
                  <c:v>1.0014000000000001</c:v>
                </c:pt>
                <c:pt idx="1052">
                  <c:v>1.0018</c:v>
                </c:pt>
                <c:pt idx="1053">
                  <c:v>1.0018</c:v>
                </c:pt>
                <c:pt idx="1054">
                  <c:v>1.0059</c:v>
                </c:pt>
                <c:pt idx="1055">
                  <c:v>1.0052000000000001</c:v>
                </c:pt>
                <c:pt idx="1056">
                  <c:v>1.01</c:v>
                </c:pt>
                <c:pt idx="1057">
                  <c:v>1.0214000000000001</c:v>
                </c:pt>
                <c:pt idx="1058">
                  <c:v>1.0153000000000001</c:v>
                </c:pt>
                <c:pt idx="1059">
                  <c:v>1.0153000000000001</c:v>
                </c:pt>
                <c:pt idx="1060">
                  <c:v>1.0266999999999999</c:v>
                </c:pt>
                <c:pt idx="1061">
                  <c:v>1.0302</c:v>
                </c:pt>
                <c:pt idx="1062">
                  <c:v>1.0333000000000001</c:v>
                </c:pt>
                <c:pt idx="1063">
                  <c:v>1.0427999999999999</c:v>
                </c:pt>
                <c:pt idx="1064">
                  <c:v>1.0455000000000001</c:v>
                </c:pt>
                <c:pt idx="1065">
                  <c:v>1.0466</c:v>
                </c:pt>
                <c:pt idx="1066">
                  <c:v>1.0466</c:v>
                </c:pt>
                <c:pt idx="1067">
                  <c:v>1.0366</c:v>
                </c:pt>
                <c:pt idx="1068">
                  <c:v>1.0361</c:v>
                </c:pt>
                <c:pt idx="1069">
                  <c:v>1.0333000000000001</c:v>
                </c:pt>
                <c:pt idx="1070">
                  <c:v>1.0305</c:v>
                </c:pt>
                <c:pt idx="1071">
                  <c:v>1.0383</c:v>
                </c:pt>
                <c:pt idx="1072">
                  <c:v>1.0378000000000001</c:v>
                </c:pt>
                <c:pt idx="1073">
                  <c:v>1.0378000000000001</c:v>
                </c:pt>
                <c:pt idx="1074">
                  <c:v>1.0344</c:v>
                </c:pt>
                <c:pt idx="1075">
                  <c:v>1.0371999999999999</c:v>
                </c:pt>
                <c:pt idx="1076">
                  <c:v>1.0407</c:v>
                </c:pt>
                <c:pt idx="1077">
                  <c:v>1.0349999999999999</c:v>
                </c:pt>
                <c:pt idx="1078">
                  <c:v>1.0337000000000001</c:v>
                </c:pt>
                <c:pt idx="1079">
                  <c:v>1.0368999999999999</c:v>
                </c:pt>
                <c:pt idx="1080">
                  <c:v>1.0368999999999999</c:v>
                </c:pt>
                <c:pt idx="1081">
                  <c:v>1.0438000000000001</c:v>
                </c:pt>
                <c:pt idx="1082">
                  <c:v>1.0322</c:v>
                </c:pt>
                <c:pt idx="1083">
                  <c:v>1.0230999999999999</c:v>
                </c:pt>
                <c:pt idx="1084">
                  <c:v>1.0310999999999999</c:v>
                </c:pt>
                <c:pt idx="1085">
                  <c:v>1.0287999999999999</c:v>
                </c:pt>
                <c:pt idx="1086">
                  <c:v>1.0304</c:v>
                </c:pt>
                <c:pt idx="1087">
                  <c:v>1.0304</c:v>
                </c:pt>
                <c:pt idx="1088">
                  <c:v>1.0291999999999999</c:v>
                </c:pt>
                <c:pt idx="1089">
                  <c:v>1.0283</c:v>
                </c:pt>
                <c:pt idx="1090">
                  <c:v>1.0304</c:v>
                </c:pt>
                <c:pt idx="1091">
                  <c:v>1.0429999999999999</c:v>
                </c:pt>
                <c:pt idx="1092">
                  <c:v>1.0427</c:v>
                </c:pt>
                <c:pt idx="1093">
                  <c:v>1.0346</c:v>
                </c:pt>
                <c:pt idx="1094">
                  <c:v>1.0346</c:v>
                </c:pt>
                <c:pt idx="1095">
                  <c:v>1.0374000000000001</c:v>
                </c:pt>
                <c:pt idx="1096">
                  <c:v>1.0386</c:v>
                </c:pt>
                <c:pt idx="1097">
                  <c:v>1.044</c:v>
                </c:pt>
                <c:pt idx="1098">
                  <c:v>1.0527</c:v>
                </c:pt>
                <c:pt idx="1099">
                  <c:v>1.0459000000000001</c:v>
                </c:pt>
                <c:pt idx="1100">
                  <c:v>1.0459000000000001</c:v>
                </c:pt>
                <c:pt idx="1101">
                  <c:v>1.0405</c:v>
                </c:pt>
                <c:pt idx="1102">
                  <c:v>1.0450999999999999</c:v>
                </c:pt>
                <c:pt idx="1103">
                  <c:v>1.0482</c:v>
                </c:pt>
                <c:pt idx="1104">
                  <c:v>1.0596000000000001</c:v>
                </c:pt>
                <c:pt idx="1105">
                  <c:v>1.0602</c:v>
                </c:pt>
                <c:pt idx="1106">
                  <c:v>1.0586</c:v>
                </c:pt>
                <c:pt idx="1107">
                  <c:v>1.0586</c:v>
                </c:pt>
                <c:pt idx="1108">
                  <c:v>1.052</c:v>
                </c:pt>
                <c:pt idx="1109">
                  <c:v>1.0438000000000001</c:v>
                </c:pt>
                <c:pt idx="1110">
                  <c:v>1.0539000000000001</c:v>
                </c:pt>
                <c:pt idx="1111">
                  <c:v>1.0533999999999999</c:v>
                </c:pt>
                <c:pt idx="1112">
                  <c:v>1.0564</c:v>
                </c:pt>
                <c:pt idx="1113">
                  <c:v>1.0573999999999999</c:v>
                </c:pt>
                <c:pt idx="1114">
                  <c:v>1.0573999999999999</c:v>
                </c:pt>
                <c:pt idx="1115">
                  <c:v>1.0642</c:v>
                </c:pt>
                <c:pt idx="1116">
                  <c:v>1.0581</c:v>
                </c:pt>
                <c:pt idx="1117">
                  <c:v>1.0550999999999999</c:v>
                </c:pt>
                <c:pt idx="1118">
                  <c:v>1.0673999999999999</c:v>
                </c:pt>
                <c:pt idx="1119">
                  <c:v>1.0719000000000001</c:v>
                </c:pt>
                <c:pt idx="1120">
                  <c:v>1.0712999999999999</c:v>
                </c:pt>
                <c:pt idx="1121">
                  <c:v>1.0723</c:v>
                </c:pt>
                <c:pt idx="1122">
                  <c:v>1.0808</c:v>
                </c:pt>
                <c:pt idx="1123">
                  <c:v>1.0730999999999999</c:v>
                </c:pt>
                <c:pt idx="1124">
                  <c:v>1.0765</c:v>
                </c:pt>
                <c:pt idx="1125">
                  <c:v>1.0755999999999999</c:v>
                </c:pt>
                <c:pt idx="1126">
                  <c:v>1.0688</c:v>
                </c:pt>
                <c:pt idx="1127">
                  <c:v>1.0692999999999999</c:v>
                </c:pt>
                <c:pt idx="1128">
                  <c:v>1.0692999999999999</c:v>
                </c:pt>
                <c:pt idx="1129">
                  <c:v>1.0726</c:v>
                </c:pt>
                <c:pt idx="1130">
                  <c:v>1.0622</c:v>
                </c:pt>
                <c:pt idx="1131">
                  <c:v>1.0671999999999999</c:v>
                </c:pt>
                <c:pt idx="1132">
                  <c:v>1.0723</c:v>
                </c:pt>
                <c:pt idx="1133">
                  <c:v>1.0803</c:v>
                </c:pt>
                <c:pt idx="1134">
                  <c:v>1.0704</c:v>
                </c:pt>
                <c:pt idx="1135">
                  <c:v>1.0704</c:v>
                </c:pt>
                <c:pt idx="1136">
                  <c:v>1.0753999999999999</c:v>
                </c:pt>
                <c:pt idx="1137">
                  <c:v>1.0685</c:v>
                </c:pt>
                <c:pt idx="1138">
                  <c:v>1.0703</c:v>
                </c:pt>
                <c:pt idx="1139">
                  <c:v>1.0703</c:v>
                </c:pt>
                <c:pt idx="1140">
                  <c:v>1.0703</c:v>
                </c:pt>
                <c:pt idx="1141">
                  <c:v>1.0667</c:v>
                </c:pt>
                <c:pt idx="1142">
                  <c:v>1.0667</c:v>
                </c:pt>
                <c:pt idx="1143">
                  <c:v>1.0767</c:v>
                </c:pt>
                <c:pt idx="1144">
                  <c:v>1.0787</c:v>
                </c:pt>
                <c:pt idx="1145">
                  <c:v>1.079</c:v>
                </c:pt>
                <c:pt idx="1146">
                  <c:v>1.0717000000000001</c:v>
                </c:pt>
                <c:pt idx="1147">
                  <c:v>1.0745</c:v>
                </c:pt>
                <c:pt idx="1148">
                  <c:v>1.0760000000000001</c:v>
                </c:pt>
                <c:pt idx="1149">
                  <c:v>1.0761000000000001</c:v>
                </c:pt>
                <c:pt idx="1150">
                  <c:v>1.0698000000000001</c:v>
                </c:pt>
                <c:pt idx="1151">
                  <c:v>1.0703</c:v>
                </c:pt>
                <c:pt idx="1152">
                  <c:v>1.0625</c:v>
                </c:pt>
                <c:pt idx="1153">
                  <c:v>1.0580000000000001</c:v>
                </c:pt>
                <c:pt idx="1154">
                  <c:v>1.0638000000000001</c:v>
                </c:pt>
                <c:pt idx="1155">
                  <c:v>1.0656000000000001</c:v>
                </c:pt>
                <c:pt idx="1156">
                  <c:v>1.0656000000000001</c:v>
                </c:pt>
                <c:pt idx="1157">
                  <c:v>1.0609999999999999</c:v>
                </c:pt>
                <c:pt idx="1158">
                  <c:v>1.0590999999999999</c:v>
                </c:pt>
                <c:pt idx="1159">
                  <c:v>1.0475000000000001</c:v>
                </c:pt>
                <c:pt idx="1160">
                  <c:v>1.0525</c:v>
                </c:pt>
                <c:pt idx="1161">
                  <c:v>1.0465</c:v>
                </c:pt>
                <c:pt idx="1162">
                  <c:v>1.0483</c:v>
                </c:pt>
                <c:pt idx="1163">
                  <c:v>1.0483</c:v>
                </c:pt>
                <c:pt idx="1164">
                  <c:v>1.0411999999999999</c:v>
                </c:pt>
                <c:pt idx="1165">
                  <c:v>1.0417000000000001</c:v>
                </c:pt>
                <c:pt idx="1166">
                  <c:v>1.0374000000000001</c:v>
                </c:pt>
                <c:pt idx="1167">
                  <c:v>1.0306999999999999</c:v>
                </c:pt>
                <c:pt idx="1168">
                  <c:v>1.0275000000000001</c:v>
                </c:pt>
                <c:pt idx="1169">
                  <c:v>1.0321</c:v>
                </c:pt>
                <c:pt idx="1170">
                  <c:v>1.0321</c:v>
                </c:pt>
                <c:pt idx="1171">
                  <c:v>1.0330999999999999</c:v>
                </c:pt>
                <c:pt idx="1172">
                  <c:v>1.0315000000000001</c:v>
                </c:pt>
                <c:pt idx="1173">
                  <c:v>1.0293000000000001</c:v>
                </c:pt>
                <c:pt idx="1174">
                  <c:v>1.0249999999999999</c:v>
                </c:pt>
                <c:pt idx="1175">
                  <c:v>1.0193000000000001</c:v>
                </c:pt>
                <c:pt idx="1176">
                  <c:v>1.0226</c:v>
                </c:pt>
                <c:pt idx="1177">
                  <c:v>1.0226</c:v>
                </c:pt>
                <c:pt idx="1178">
                  <c:v>1.0246999999999999</c:v>
                </c:pt>
                <c:pt idx="1179">
                  <c:v>1.0338000000000001</c:v>
                </c:pt>
                <c:pt idx="1180">
                  <c:v>1.0366</c:v>
                </c:pt>
                <c:pt idx="1181">
                  <c:v>1.0246999999999999</c:v>
                </c:pt>
                <c:pt idx="1182">
                  <c:v>1.0210999999999999</c:v>
                </c:pt>
                <c:pt idx="1183">
                  <c:v>1.0195000000000001</c:v>
                </c:pt>
                <c:pt idx="1184">
                  <c:v>1.0195000000000001</c:v>
                </c:pt>
                <c:pt idx="1185">
                  <c:v>1.0141</c:v>
                </c:pt>
                <c:pt idx="1186">
                  <c:v>1.0093000000000001</c:v>
                </c:pt>
                <c:pt idx="1187">
                  <c:v>1.0146999999999999</c:v>
                </c:pt>
                <c:pt idx="1188">
                  <c:v>1.0157</c:v>
                </c:pt>
                <c:pt idx="1189">
                  <c:v>1.0149999999999999</c:v>
                </c:pt>
                <c:pt idx="1190">
                  <c:v>1.0145</c:v>
                </c:pt>
                <c:pt idx="1191">
                  <c:v>1.0145</c:v>
                </c:pt>
                <c:pt idx="1192">
                  <c:v>1.0129999999999999</c:v>
                </c:pt>
                <c:pt idx="1193">
                  <c:v>1.0066999999999999</c:v>
                </c:pt>
                <c:pt idx="1194">
                  <c:v>1.0077</c:v>
                </c:pt>
                <c:pt idx="1195">
                  <c:v>0.99160000000000004</c:v>
                </c:pt>
                <c:pt idx="1196">
                  <c:v>0.99550000000000005</c:v>
                </c:pt>
                <c:pt idx="1197">
                  <c:v>0.997</c:v>
                </c:pt>
                <c:pt idx="1198">
                  <c:v>0.99629999999999996</c:v>
                </c:pt>
                <c:pt idx="1199">
                  <c:v>0.99380000000000002</c:v>
                </c:pt>
                <c:pt idx="1200">
                  <c:v>0.99039999999999995</c:v>
                </c:pt>
                <c:pt idx="1201">
                  <c:v>0.99870000000000003</c:v>
                </c:pt>
                <c:pt idx="1202">
                  <c:v>1.0035000000000001</c:v>
                </c:pt>
                <c:pt idx="1203">
                  <c:v>1.0202</c:v>
                </c:pt>
                <c:pt idx="1204">
                  <c:v>1.0213000000000001</c:v>
                </c:pt>
                <c:pt idx="1205">
                  <c:v>1.0219</c:v>
                </c:pt>
                <c:pt idx="1206">
                  <c:v>1.0169999999999999</c:v>
                </c:pt>
                <c:pt idx="1207">
                  <c:v>1.0274000000000001</c:v>
                </c:pt>
                <c:pt idx="1208">
                  <c:v>1.0245</c:v>
                </c:pt>
                <c:pt idx="1209">
                  <c:v>1.0251999999999999</c:v>
                </c:pt>
                <c:pt idx="1210">
                  <c:v>1.0243</c:v>
                </c:pt>
                <c:pt idx="1211">
                  <c:v>1.0213000000000001</c:v>
                </c:pt>
                <c:pt idx="1212">
                  <c:v>1.0213000000000001</c:v>
                </c:pt>
                <c:pt idx="1213">
                  <c:v>1.0242</c:v>
                </c:pt>
                <c:pt idx="1214">
                  <c:v>1.0281</c:v>
                </c:pt>
                <c:pt idx="1215">
                  <c:v>1.0042</c:v>
                </c:pt>
                <c:pt idx="1216">
                  <c:v>0.99060000000000004</c:v>
                </c:pt>
                <c:pt idx="1217">
                  <c:v>0.98250000000000004</c:v>
                </c:pt>
                <c:pt idx="1218">
                  <c:v>0.97089999999999999</c:v>
                </c:pt>
                <c:pt idx="1219">
                  <c:v>0.97089999999999999</c:v>
                </c:pt>
                <c:pt idx="1220">
                  <c:v>0.9698</c:v>
                </c:pt>
                <c:pt idx="1221">
                  <c:v>0.96960000000000002</c:v>
                </c:pt>
                <c:pt idx="1222">
                  <c:v>0.98350000000000004</c:v>
                </c:pt>
                <c:pt idx="1223">
                  <c:v>0.9839</c:v>
                </c:pt>
                <c:pt idx="1224">
                  <c:v>0.99890000000000001</c:v>
                </c:pt>
                <c:pt idx="1225">
                  <c:v>1.0004999999999999</c:v>
                </c:pt>
                <c:pt idx="1226">
                  <c:v>1.0004999999999999</c:v>
                </c:pt>
                <c:pt idx="1227">
                  <c:v>0.99809999999999999</c:v>
                </c:pt>
                <c:pt idx="1228">
                  <c:v>1.0041</c:v>
                </c:pt>
                <c:pt idx="1229">
                  <c:v>1.0139</c:v>
                </c:pt>
                <c:pt idx="1230">
                  <c:v>1.0197000000000001</c:v>
                </c:pt>
                <c:pt idx="1231">
                  <c:v>1.0329999999999999</c:v>
                </c:pt>
                <c:pt idx="1232">
                  <c:v>1.0274000000000001</c:v>
                </c:pt>
                <c:pt idx="1233">
                  <c:v>1.0279</c:v>
                </c:pt>
                <c:pt idx="1234">
                  <c:v>1.0147999999999999</c:v>
                </c:pt>
                <c:pt idx="1235">
                  <c:v>1.0135000000000001</c:v>
                </c:pt>
                <c:pt idx="1236">
                  <c:v>1.0382</c:v>
                </c:pt>
                <c:pt idx="1237">
                  <c:v>1.0347999999999999</c:v>
                </c:pt>
                <c:pt idx="1238">
                  <c:v>1.0407</c:v>
                </c:pt>
                <c:pt idx="1239">
                  <c:v>1.0373000000000001</c:v>
                </c:pt>
                <c:pt idx="1240">
                  <c:v>1.0373000000000001</c:v>
                </c:pt>
                <c:pt idx="1241">
                  <c:v>1.0415000000000001</c:v>
                </c:pt>
                <c:pt idx="1242">
                  <c:v>1.0345</c:v>
                </c:pt>
                <c:pt idx="1243">
                  <c:v>1.0327999999999999</c:v>
                </c:pt>
                <c:pt idx="1244">
                  <c:v>1.0529999999999999</c:v>
                </c:pt>
                <c:pt idx="1245">
                  <c:v>1.0664</c:v>
                </c:pt>
                <c:pt idx="1246">
                  <c:v>1.0699000000000001</c:v>
                </c:pt>
                <c:pt idx="1247">
                  <c:v>1.0699000000000001</c:v>
                </c:pt>
                <c:pt idx="1248">
                  <c:v>1.0718000000000001</c:v>
                </c:pt>
                <c:pt idx="1249">
                  <c:v>1.0394000000000001</c:v>
                </c:pt>
                <c:pt idx="1250">
                  <c:v>1.042</c:v>
                </c:pt>
                <c:pt idx="1251">
                  <c:v>1.0448</c:v>
                </c:pt>
                <c:pt idx="1252">
                  <c:v>1.0327</c:v>
                </c:pt>
                <c:pt idx="1253">
                  <c:v>1.0375000000000001</c:v>
                </c:pt>
                <c:pt idx="1254">
                  <c:v>1.0375000000000001</c:v>
                </c:pt>
                <c:pt idx="1255">
                  <c:v>1.0242</c:v>
                </c:pt>
                <c:pt idx="1256">
                  <c:v>1.0247999999999999</c:v>
                </c:pt>
                <c:pt idx="1257">
                  <c:v>1.0242</c:v>
                </c:pt>
                <c:pt idx="1258">
                  <c:v>1.0179</c:v>
                </c:pt>
                <c:pt idx="1259">
                  <c:v>1.0311999999999999</c:v>
                </c:pt>
                <c:pt idx="1260">
                  <c:v>1.0338000000000001</c:v>
                </c:pt>
                <c:pt idx="1261">
                  <c:v>1.0338000000000001</c:v>
                </c:pt>
                <c:pt idx="1262">
                  <c:v>1.0167999999999999</c:v>
                </c:pt>
                <c:pt idx="1263">
                  <c:v>1.0144</c:v>
                </c:pt>
                <c:pt idx="1264">
                  <c:v>0.99360000000000004</c:v>
                </c:pt>
                <c:pt idx="1265">
                  <c:v>0.99660000000000004</c:v>
                </c:pt>
                <c:pt idx="1266">
                  <c:v>0.97840000000000005</c:v>
                </c:pt>
                <c:pt idx="1267">
                  <c:v>0.97670000000000001</c:v>
                </c:pt>
                <c:pt idx="1268">
                  <c:v>0.97670000000000001</c:v>
                </c:pt>
                <c:pt idx="1269">
                  <c:v>0.97489999999999999</c:v>
                </c:pt>
                <c:pt idx="1270">
                  <c:v>0.96409999999999996</c:v>
                </c:pt>
                <c:pt idx="1271">
                  <c:v>0.95440000000000003</c:v>
                </c:pt>
                <c:pt idx="1272">
                  <c:v>0.95179999999999998</c:v>
                </c:pt>
                <c:pt idx="1273">
                  <c:v>0.96699999999999997</c:v>
                </c:pt>
                <c:pt idx="1274">
                  <c:v>0.96589999999999998</c:v>
                </c:pt>
                <c:pt idx="1275">
                  <c:v>0.96589999999999998</c:v>
                </c:pt>
                <c:pt idx="1276">
                  <c:v>0.97719999999999996</c:v>
                </c:pt>
                <c:pt idx="1277">
                  <c:v>0.97099999999999997</c:v>
                </c:pt>
                <c:pt idx="1278">
                  <c:v>0.99099999999999999</c:v>
                </c:pt>
                <c:pt idx="1279">
                  <c:v>0.98350000000000004</c:v>
                </c:pt>
                <c:pt idx="1280">
                  <c:v>0.98160000000000003</c:v>
                </c:pt>
                <c:pt idx="1281">
                  <c:v>0.97829999999999995</c:v>
                </c:pt>
                <c:pt idx="1282">
                  <c:v>0.97870000000000001</c:v>
                </c:pt>
                <c:pt idx="1283">
                  <c:v>0.98140000000000005</c:v>
                </c:pt>
                <c:pt idx="1284">
                  <c:v>1.0034000000000001</c:v>
                </c:pt>
                <c:pt idx="1285">
                  <c:v>1.0255000000000001</c:v>
                </c:pt>
                <c:pt idx="1286">
                  <c:v>1.0185</c:v>
                </c:pt>
                <c:pt idx="1287">
                  <c:v>1.0301</c:v>
                </c:pt>
                <c:pt idx="1288">
                  <c:v>1.0359</c:v>
                </c:pt>
                <c:pt idx="1289">
                  <c:v>1.0359</c:v>
                </c:pt>
                <c:pt idx="1290">
                  <c:v>1.0333000000000001</c:v>
                </c:pt>
                <c:pt idx="1291">
                  <c:v>1.0286</c:v>
                </c:pt>
                <c:pt idx="1292">
                  <c:v>1.0315000000000001</c:v>
                </c:pt>
                <c:pt idx="1293">
                  <c:v>1.0327999999999999</c:v>
                </c:pt>
                <c:pt idx="1294">
                  <c:v>1.0396000000000001</c:v>
                </c:pt>
                <c:pt idx="1295">
                  <c:v>1.0468999999999999</c:v>
                </c:pt>
                <c:pt idx="1296">
                  <c:v>1.0468999999999999</c:v>
                </c:pt>
                <c:pt idx="1297">
                  <c:v>1.0583</c:v>
                </c:pt>
                <c:pt idx="1298">
                  <c:v>1.0637000000000001</c:v>
                </c:pt>
                <c:pt idx="1299">
                  <c:v>1.0525</c:v>
                </c:pt>
                <c:pt idx="1300">
                  <c:v>1.0517000000000001</c:v>
                </c:pt>
                <c:pt idx="1301">
                  <c:v>1.0593999999999999</c:v>
                </c:pt>
                <c:pt idx="1302">
                  <c:v>1.0630999999999999</c:v>
                </c:pt>
                <c:pt idx="1303">
                  <c:v>1.0630999999999999</c:v>
                </c:pt>
                <c:pt idx="1304">
                  <c:v>1.0720000000000001</c:v>
                </c:pt>
                <c:pt idx="1305">
                  <c:v>1.0704</c:v>
                </c:pt>
                <c:pt idx="1306">
                  <c:v>1.0677000000000001</c:v>
                </c:pt>
                <c:pt idx="1307">
                  <c:v>1.0670999999999999</c:v>
                </c:pt>
                <c:pt idx="1308">
                  <c:v>1.0571999999999999</c:v>
                </c:pt>
                <c:pt idx="1309">
                  <c:v>1.0547</c:v>
                </c:pt>
                <c:pt idx="1310">
                  <c:v>1.0547</c:v>
                </c:pt>
                <c:pt idx="1311">
                  <c:v>1.0468</c:v>
                </c:pt>
                <c:pt idx="1312">
                  <c:v>1.0465</c:v>
                </c:pt>
                <c:pt idx="1313">
                  <c:v>1.0519000000000001</c:v>
                </c:pt>
                <c:pt idx="1314">
                  <c:v>1.0396000000000001</c:v>
                </c:pt>
                <c:pt idx="1315">
                  <c:v>1.0375000000000001</c:v>
                </c:pt>
                <c:pt idx="1316">
                  <c:v>1.0406</c:v>
                </c:pt>
                <c:pt idx="1317">
                  <c:v>1.0406</c:v>
                </c:pt>
                <c:pt idx="1318">
                  <c:v>1.0388999999999999</c:v>
                </c:pt>
                <c:pt idx="1319">
                  <c:v>1.0548999999999999</c:v>
                </c:pt>
                <c:pt idx="1320">
                  <c:v>1.0483</c:v>
                </c:pt>
                <c:pt idx="1321">
                  <c:v>1.0505</c:v>
                </c:pt>
                <c:pt idx="1322">
                  <c:v>1.0407999999999999</c:v>
                </c:pt>
                <c:pt idx="1323">
                  <c:v>1.0350999999999999</c:v>
                </c:pt>
                <c:pt idx="1324">
                  <c:v>1.0350999999999999</c:v>
                </c:pt>
                <c:pt idx="1325">
                  <c:v>1.0349999999999999</c:v>
                </c:pt>
                <c:pt idx="1326">
                  <c:v>1.0145</c:v>
                </c:pt>
                <c:pt idx="1327">
                  <c:v>1.0335000000000001</c:v>
                </c:pt>
                <c:pt idx="1328">
                  <c:v>1.0146999999999999</c:v>
                </c:pt>
                <c:pt idx="1329">
                  <c:v>1.0410999999999999</c:v>
                </c:pt>
                <c:pt idx="1330">
                  <c:v>1.044</c:v>
                </c:pt>
                <c:pt idx="1331">
                  <c:v>1.044</c:v>
                </c:pt>
                <c:pt idx="1332">
                  <c:v>1.0447</c:v>
                </c:pt>
                <c:pt idx="1333">
                  <c:v>1.0751999999999999</c:v>
                </c:pt>
                <c:pt idx="1334">
                  <c:v>1.0733999999999999</c:v>
                </c:pt>
                <c:pt idx="1335">
                  <c:v>1.0994999999999999</c:v>
                </c:pt>
                <c:pt idx="1336">
                  <c:v>1.1013999999999999</c:v>
                </c:pt>
                <c:pt idx="1337">
                  <c:v>1.0992</c:v>
                </c:pt>
                <c:pt idx="1338">
                  <c:v>1.0992</c:v>
                </c:pt>
                <c:pt idx="1339">
                  <c:v>1.1002000000000001</c:v>
                </c:pt>
                <c:pt idx="1340">
                  <c:v>1.1017999999999999</c:v>
                </c:pt>
                <c:pt idx="1341">
                  <c:v>1.0954999999999999</c:v>
                </c:pt>
                <c:pt idx="1342">
                  <c:v>1.0838000000000001</c:v>
                </c:pt>
                <c:pt idx="1343">
                  <c:v>1.0821000000000001</c:v>
                </c:pt>
                <c:pt idx="1344">
                  <c:v>1.0848</c:v>
                </c:pt>
                <c:pt idx="1345">
                  <c:v>1.0848</c:v>
                </c:pt>
                <c:pt idx="1346">
                  <c:v>1.0838000000000001</c:v>
                </c:pt>
                <c:pt idx="1347">
                  <c:v>1.0764</c:v>
                </c:pt>
                <c:pt idx="1348">
                  <c:v>1.0734999999999999</c:v>
                </c:pt>
                <c:pt idx="1349">
                  <c:v>1.0637000000000001</c:v>
                </c:pt>
                <c:pt idx="1350">
                  <c:v>1.0645</c:v>
                </c:pt>
                <c:pt idx="1351">
                  <c:v>1.0637000000000001</c:v>
                </c:pt>
                <c:pt idx="1352">
                  <c:v>1.0637000000000001</c:v>
                </c:pt>
                <c:pt idx="1353">
                  <c:v>1.0740000000000001</c:v>
                </c:pt>
                <c:pt idx="1354">
                  <c:v>1.0779000000000001</c:v>
                </c:pt>
                <c:pt idx="1355">
                  <c:v>1.0617000000000001</c:v>
                </c:pt>
                <c:pt idx="1356">
                  <c:v>1.0640000000000001</c:v>
                </c:pt>
                <c:pt idx="1357">
                  <c:v>1.0713999999999999</c:v>
                </c:pt>
                <c:pt idx="1358">
                  <c:v>1.0752999999999999</c:v>
                </c:pt>
                <c:pt idx="1359">
                  <c:v>1.0752999999999999</c:v>
                </c:pt>
                <c:pt idx="1360">
                  <c:v>1.0771999999999999</c:v>
                </c:pt>
                <c:pt idx="1361">
                  <c:v>1.0708</c:v>
                </c:pt>
                <c:pt idx="1362">
                  <c:v>1.0690999999999999</c:v>
                </c:pt>
                <c:pt idx="1363">
                  <c:v>1.0741000000000001</c:v>
                </c:pt>
                <c:pt idx="1364">
                  <c:v>1.0779000000000001</c:v>
                </c:pt>
                <c:pt idx="1365">
                  <c:v>1.0767</c:v>
                </c:pt>
                <c:pt idx="1366">
                  <c:v>1.0767</c:v>
                </c:pt>
                <c:pt idx="1367">
                  <c:v>1.0720000000000001</c:v>
                </c:pt>
                <c:pt idx="1368">
                  <c:v>1.0680000000000001</c:v>
                </c:pt>
                <c:pt idx="1369">
                  <c:v>1.0539000000000001</c:v>
                </c:pt>
                <c:pt idx="1370">
                  <c:v>1.0442</c:v>
                </c:pt>
                <c:pt idx="1371">
                  <c:v>1.0465</c:v>
                </c:pt>
                <c:pt idx="1372">
                  <c:v>1.0488</c:v>
                </c:pt>
                <c:pt idx="1373">
                  <c:v>1.0488</c:v>
                </c:pt>
                <c:pt idx="1374">
                  <c:v>1.0538000000000001</c:v>
                </c:pt>
                <c:pt idx="1375">
                  <c:v>1.0557000000000001</c:v>
                </c:pt>
                <c:pt idx="1376">
                  <c:v>1.0589999999999999</c:v>
                </c:pt>
                <c:pt idx="1377">
                  <c:v>1.0609</c:v>
                </c:pt>
                <c:pt idx="1378">
                  <c:v>1.0586</c:v>
                </c:pt>
                <c:pt idx="1379">
                  <c:v>1.0621</c:v>
                </c:pt>
                <c:pt idx="1380">
                  <c:v>1.0621</c:v>
                </c:pt>
                <c:pt idx="1381">
                  <c:v>1.0563</c:v>
                </c:pt>
                <c:pt idx="1382">
                  <c:v>1.0589</c:v>
                </c:pt>
                <c:pt idx="1383">
                  <c:v>1.0681</c:v>
                </c:pt>
                <c:pt idx="1384">
                  <c:v>1.0602</c:v>
                </c:pt>
                <c:pt idx="1385">
                  <c:v>1.0536000000000001</c:v>
                </c:pt>
                <c:pt idx="1386">
                  <c:v>1.0533999999999999</c:v>
                </c:pt>
                <c:pt idx="1387">
                  <c:v>1.0533999999999999</c:v>
                </c:pt>
                <c:pt idx="1388">
                  <c:v>1.0637000000000001</c:v>
                </c:pt>
                <c:pt idx="1389">
                  <c:v>1.0645</c:v>
                </c:pt>
                <c:pt idx="1390">
                  <c:v>1.0701000000000001</c:v>
                </c:pt>
                <c:pt idx="1391">
                  <c:v>1.0728</c:v>
                </c:pt>
                <c:pt idx="1392">
                  <c:v>1.0750999999999999</c:v>
                </c:pt>
                <c:pt idx="1393">
                  <c:v>1.0713999999999999</c:v>
                </c:pt>
                <c:pt idx="1394">
                  <c:v>1.0713999999999999</c:v>
                </c:pt>
                <c:pt idx="1395">
                  <c:v>1.0669</c:v>
                </c:pt>
                <c:pt idx="1396">
                  <c:v>1.0612999999999999</c:v>
                </c:pt>
                <c:pt idx="1397">
                  <c:v>1.0669999999999999</c:v>
                </c:pt>
                <c:pt idx="1398">
                  <c:v>1.0721000000000001</c:v>
                </c:pt>
                <c:pt idx="1399">
                  <c:v>1.069</c:v>
                </c:pt>
                <c:pt idx="1400">
                  <c:v>1.0686</c:v>
                </c:pt>
                <c:pt idx="1401">
                  <c:v>1.0686</c:v>
                </c:pt>
                <c:pt idx="1402">
                  <c:v>1.0629</c:v>
                </c:pt>
                <c:pt idx="1403">
                  <c:v>1.0508999999999999</c:v>
                </c:pt>
                <c:pt idx="1404">
                  <c:v>1.0555000000000001</c:v>
                </c:pt>
                <c:pt idx="1405">
                  <c:v>1.0490999999999999</c:v>
                </c:pt>
                <c:pt idx="1406">
                  <c:v>1.0627</c:v>
                </c:pt>
                <c:pt idx="1407">
                  <c:v>1.0657000000000001</c:v>
                </c:pt>
                <c:pt idx="1408">
                  <c:v>1.0657000000000001</c:v>
                </c:pt>
                <c:pt idx="1409">
                  <c:v>1.0676000000000001</c:v>
                </c:pt>
                <c:pt idx="1410">
                  <c:v>1.0633999999999999</c:v>
                </c:pt>
                <c:pt idx="1411">
                  <c:v>1.0625</c:v>
                </c:pt>
                <c:pt idx="1412">
                  <c:v>1.0557000000000001</c:v>
                </c:pt>
                <c:pt idx="1413">
                  <c:v>1.0548</c:v>
                </c:pt>
                <c:pt idx="1414">
                  <c:v>1.0570999999999999</c:v>
                </c:pt>
                <c:pt idx="1415">
                  <c:v>1.0570999999999999</c:v>
                </c:pt>
                <c:pt idx="1416">
                  <c:v>1.0657000000000001</c:v>
                </c:pt>
                <c:pt idx="1417">
                  <c:v>1.0686</c:v>
                </c:pt>
                <c:pt idx="1418">
                  <c:v>1.0838000000000001</c:v>
                </c:pt>
                <c:pt idx="1419">
                  <c:v>1.0786</c:v>
                </c:pt>
                <c:pt idx="1420">
                  <c:v>1.0748</c:v>
                </c:pt>
                <c:pt idx="1421">
                  <c:v>1.0698000000000001</c:v>
                </c:pt>
                <c:pt idx="1422">
                  <c:v>1.0698000000000001</c:v>
                </c:pt>
                <c:pt idx="1423">
                  <c:v>1.0621</c:v>
                </c:pt>
                <c:pt idx="1424">
                  <c:v>1.0742</c:v>
                </c:pt>
                <c:pt idx="1425">
                  <c:v>1.0863</c:v>
                </c:pt>
                <c:pt idx="1426">
                  <c:v>1.0931</c:v>
                </c:pt>
                <c:pt idx="1427">
                  <c:v>1.0959000000000001</c:v>
                </c:pt>
                <c:pt idx="1428">
                  <c:v>1.097</c:v>
                </c:pt>
                <c:pt idx="1429">
                  <c:v>1.097</c:v>
                </c:pt>
                <c:pt idx="1430">
                  <c:v>1.0932999999999999</c:v>
                </c:pt>
                <c:pt idx="1431">
                  <c:v>1.0867</c:v>
                </c:pt>
                <c:pt idx="1432">
                  <c:v>1.0821000000000001</c:v>
                </c:pt>
                <c:pt idx="1433">
                  <c:v>1.0713999999999999</c:v>
                </c:pt>
                <c:pt idx="1434">
                  <c:v>1.0766</c:v>
                </c:pt>
                <c:pt idx="1435">
                  <c:v>1.0732999999999999</c:v>
                </c:pt>
                <c:pt idx="1436">
                  <c:v>1.0732999999999999</c:v>
                </c:pt>
                <c:pt idx="1437">
                  <c:v>1.0743</c:v>
                </c:pt>
                <c:pt idx="1438">
                  <c:v>1.0683</c:v>
                </c:pt>
                <c:pt idx="1439">
                  <c:v>1.0551999999999999</c:v>
                </c:pt>
                <c:pt idx="1440">
                  <c:v>1.0491999999999999</c:v>
                </c:pt>
                <c:pt idx="1441">
                  <c:v>1.0557000000000001</c:v>
                </c:pt>
                <c:pt idx="1442">
                  <c:v>1.0566</c:v>
                </c:pt>
                <c:pt idx="1443">
                  <c:v>1.0566</c:v>
                </c:pt>
                <c:pt idx="1444">
                  <c:v>1.0548</c:v>
                </c:pt>
                <c:pt idx="1445">
                  <c:v>1.0492999999999999</c:v>
                </c:pt>
                <c:pt idx="1446">
                  <c:v>1.0470999999999999</c:v>
                </c:pt>
                <c:pt idx="1447">
                  <c:v>1.0478000000000001</c:v>
                </c:pt>
                <c:pt idx="1448">
                  <c:v>1.0573999999999999</c:v>
                </c:pt>
                <c:pt idx="1449">
                  <c:v>1.0566</c:v>
                </c:pt>
                <c:pt idx="1450">
                  <c:v>1.0566</c:v>
                </c:pt>
                <c:pt idx="1451">
                  <c:v>1.0469999999999999</c:v>
                </c:pt>
                <c:pt idx="1452">
                  <c:v>1.0432999999999999</c:v>
                </c:pt>
                <c:pt idx="1453">
                  <c:v>1.0324</c:v>
                </c:pt>
                <c:pt idx="1454">
                  <c:v>1.0345</c:v>
                </c:pt>
                <c:pt idx="1455">
                  <c:v>1.0394000000000001</c:v>
                </c:pt>
                <c:pt idx="1456">
                  <c:v>1.0385</c:v>
                </c:pt>
                <c:pt idx="1457">
                  <c:v>1.0385</c:v>
                </c:pt>
                <c:pt idx="1458">
                  <c:v>1.0311999999999999</c:v>
                </c:pt>
                <c:pt idx="1459">
                  <c:v>1.0316000000000001</c:v>
                </c:pt>
                <c:pt idx="1460">
                  <c:v>1.0304</c:v>
                </c:pt>
                <c:pt idx="1461">
                  <c:v>1.0233000000000001</c:v>
                </c:pt>
                <c:pt idx="1462">
                  <c:v>1.0248999999999999</c:v>
                </c:pt>
                <c:pt idx="1463">
                  <c:v>1.0259</c:v>
                </c:pt>
                <c:pt idx="1464">
                  <c:v>1.0259</c:v>
                </c:pt>
                <c:pt idx="1465">
                  <c:v>1.0202</c:v>
                </c:pt>
                <c:pt idx="1466">
                  <c:v>1.0142</c:v>
                </c:pt>
                <c:pt idx="1467">
                  <c:v>1.0085999999999999</c:v>
                </c:pt>
                <c:pt idx="1468">
                  <c:v>1.0053000000000001</c:v>
                </c:pt>
                <c:pt idx="1469">
                  <c:v>0.99729999999999996</c:v>
                </c:pt>
                <c:pt idx="1470">
                  <c:v>0.99639999999999995</c:v>
                </c:pt>
                <c:pt idx="1471">
                  <c:v>0.99639999999999995</c:v>
                </c:pt>
                <c:pt idx="1472">
                  <c:v>0.98470000000000002</c:v>
                </c:pt>
                <c:pt idx="1473">
                  <c:v>0.97819999999999996</c:v>
                </c:pt>
                <c:pt idx="1474">
                  <c:v>0.99390000000000001</c:v>
                </c:pt>
                <c:pt idx="1475">
                  <c:v>1.0085</c:v>
                </c:pt>
                <c:pt idx="1476">
                  <c:v>1.0105</c:v>
                </c:pt>
                <c:pt idx="1477">
                  <c:v>1.0148999999999999</c:v>
                </c:pt>
                <c:pt idx="1478">
                  <c:v>1.0148999999999999</c:v>
                </c:pt>
                <c:pt idx="1479">
                  <c:v>1.002</c:v>
                </c:pt>
                <c:pt idx="1480">
                  <c:v>1.01</c:v>
                </c:pt>
                <c:pt idx="1481">
                  <c:v>1.0085999999999999</c:v>
                </c:pt>
                <c:pt idx="1482">
                  <c:v>1.0121</c:v>
                </c:pt>
                <c:pt idx="1483">
                  <c:v>1.0147999999999999</c:v>
                </c:pt>
                <c:pt idx="1484">
                  <c:v>1.0139</c:v>
                </c:pt>
                <c:pt idx="1485">
                  <c:v>1.0136000000000001</c:v>
                </c:pt>
                <c:pt idx="1486">
                  <c:v>1.0132000000000001</c:v>
                </c:pt>
                <c:pt idx="1487">
                  <c:v>1.016</c:v>
                </c:pt>
                <c:pt idx="1488">
                  <c:v>1.0132000000000001</c:v>
                </c:pt>
                <c:pt idx="1489">
                  <c:v>1.0184</c:v>
                </c:pt>
                <c:pt idx="1490">
                  <c:v>1.0143</c:v>
                </c:pt>
                <c:pt idx="1491">
                  <c:v>1.0175000000000001</c:v>
                </c:pt>
                <c:pt idx="1492">
                  <c:v>1.0175000000000001</c:v>
                </c:pt>
                <c:pt idx="1493">
                  <c:v>1.0109999999999999</c:v>
                </c:pt>
                <c:pt idx="1494">
                  <c:v>1.0029999999999999</c:v>
                </c:pt>
                <c:pt idx="1495">
                  <c:v>1.0004999999999999</c:v>
                </c:pt>
                <c:pt idx="1496">
                  <c:v>1.0083</c:v>
                </c:pt>
                <c:pt idx="1497">
                  <c:v>1.0143</c:v>
                </c:pt>
                <c:pt idx="1498">
                  <c:v>1.0144</c:v>
                </c:pt>
                <c:pt idx="1499">
                  <c:v>1.0144</c:v>
                </c:pt>
                <c:pt idx="1500">
                  <c:v>1.0117</c:v>
                </c:pt>
                <c:pt idx="1501">
                  <c:v>1.0032000000000001</c:v>
                </c:pt>
                <c:pt idx="1502">
                  <c:v>0.99629999999999996</c:v>
                </c:pt>
                <c:pt idx="1503">
                  <c:v>1.0026999999999999</c:v>
                </c:pt>
                <c:pt idx="1504">
                  <c:v>1.0014000000000001</c:v>
                </c:pt>
                <c:pt idx="1505">
                  <c:v>1.0018</c:v>
                </c:pt>
                <c:pt idx="1506">
                  <c:v>1.0042</c:v>
                </c:pt>
                <c:pt idx="1507">
                  <c:v>1.0123</c:v>
                </c:pt>
                <c:pt idx="1508">
                  <c:v>1.0144</c:v>
                </c:pt>
                <c:pt idx="1509">
                  <c:v>1.0133000000000001</c:v>
                </c:pt>
                <c:pt idx="1510">
                  <c:v>1.0141</c:v>
                </c:pt>
                <c:pt idx="1511">
                  <c:v>1.0141</c:v>
                </c:pt>
                <c:pt idx="1512">
                  <c:v>1.0145</c:v>
                </c:pt>
                <c:pt idx="1513">
                  <c:v>1.0109999999999999</c:v>
                </c:pt>
                <c:pt idx="1514">
                  <c:v>1.0106999999999999</c:v>
                </c:pt>
                <c:pt idx="1515">
                  <c:v>0.99739999999999995</c:v>
                </c:pt>
                <c:pt idx="1516">
                  <c:v>0.98750000000000004</c:v>
                </c:pt>
                <c:pt idx="1517">
                  <c:v>0.99270000000000003</c:v>
                </c:pt>
                <c:pt idx="1518">
                  <c:v>0.99270000000000003</c:v>
                </c:pt>
                <c:pt idx="1519">
                  <c:v>0.98960000000000004</c:v>
                </c:pt>
                <c:pt idx="1520">
                  <c:v>0.99929999999999997</c:v>
                </c:pt>
                <c:pt idx="1521">
                  <c:v>0.99480000000000002</c:v>
                </c:pt>
                <c:pt idx="1522">
                  <c:v>0.99729999999999996</c:v>
                </c:pt>
                <c:pt idx="1523">
                  <c:v>0.98970000000000002</c:v>
                </c:pt>
                <c:pt idx="1524">
                  <c:v>0.98970000000000002</c:v>
                </c:pt>
                <c:pt idx="1525">
                  <c:v>0.98529999999999995</c:v>
                </c:pt>
                <c:pt idx="1526">
                  <c:v>0.99650000000000005</c:v>
                </c:pt>
                <c:pt idx="1527">
                  <c:v>0.99670000000000003</c:v>
                </c:pt>
                <c:pt idx="1528">
                  <c:v>0.99329999999999996</c:v>
                </c:pt>
                <c:pt idx="1529">
                  <c:v>0.99029999999999996</c:v>
                </c:pt>
                <c:pt idx="1530">
                  <c:v>0.98939999999999995</c:v>
                </c:pt>
                <c:pt idx="1531">
                  <c:v>0.98939999999999995</c:v>
                </c:pt>
                <c:pt idx="1532">
                  <c:v>0.99790000000000001</c:v>
                </c:pt>
                <c:pt idx="1533">
                  <c:v>0.99539999999999995</c:v>
                </c:pt>
                <c:pt idx="1534">
                  <c:v>0.9819</c:v>
                </c:pt>
                <c:pt idx="1535">
                  <c:v>0.99360000000000004</c:v>
                </c:pt>
                <c:pt idx="1536">
                  <c:v>0.995</c:v>
                </c:pt>
                <c:pt idx="1537">
                  <c:v>0.99560000000000004</c:v>
                </c:pt>
                <c:pt idx="1538">
                  <c:v>0.99639999999999995</c:v>
                </c:pt>
                <c:pt idx="1539">
                  <c:v>0.99409999999999998</c:v>
                </c:pt>
                <c:pt idx="1540">
                  <c:v>0.99970000000000003</c:v>
                </c:pt>
                <c:pt idx="1541">
                  <c:v>1.0065999999999999</c:v>
                </c:pt>
                <c:pt idx="1542">
                  <c:v>1.0166999999999999</c:v>
                </c:pt>
                <c:pt idx="1543">
                  <c:v>1.0214000000000001</c:v>
                </c:pt>
                <c:pt idx="1544">
                  <c:v>1.0226</c:v>
                </c:pt>
                <c:pt idx="1545">
                  <c:v>1.0226999999999999</c:v>
                </c:pt>
                <c:pt idx="1546">
                  <c:v>1.016</c:v>
                </c:pt>
                <c:pt idx="1547">
                  <c:v>1.0170999999999999</c:v>
                </c:pt>
                <c:pt idx="1548">
                  <c:v>1.0091000000000001</c:v>
                </c:pt>
                <c:pt idx="1549">
                  <c:v>1.0042</c:v>
                </c:pt>
                <c:pt idx="1550">
                  <c:v>1.0001</c:v>
                </c:pt>
                <c:pt idx="1551">
                  <c:v>1.0041</c:v>
                </c:pt>
                <c:pt idx="1552">
                  <c:v>1.0052000000000001</c:v>
                </c:pt>
                <c:pt idx="1553">
                  <c:v>1.0029999999999999</c:v>
                </c:pt>
                <c:pt idx="1554">
                  <c:v>0.99880000000000002</c:v>
                </c:pt>
                <c:pt idx="1555">
                  <c:v>0.99650000000000005</c:v>
                </c:pt>
                <c:pt idx="1556">
                  <c:v>0.99299999999999999</c:v>
                </c:pt>
                <c:pt idx="1557">
                  <c:v>0.98780000000000001</c:v>
                </c:pt>
                <c:pt idx="1558">
                  <c:v>0.98809999999999998</c:v>
                </c:pt>
                <c:pt idx="1559">
                  <c:v>0.98809999999999998</c:v>
                </c:pt>
                <c:pt idx="1560">
                  <c:v>0.98899999999999999</c:v>
                </c:pt>
                <c:pt idx="1561">
                  <c:v>0.98740000000000006</c:v>
                </c:pt>
                <c:pt idx="1562">
                  <c:v>0.99709999999999999</c:v>
                </c:pt>
                <c:pt idx="1563">
                  <c:v>0.99509999999999998</c:v>
                </c:pt>
                <c:pt idx="1564">
                  <c:v>0.98499999999999999</c:v>
                </c:pt>
                <c:pt idx="1565">
                  <c:v>0.98499999999999999</c:v>
                </c:pt>
                <c:pt idx="1566">
                  <c:v>0.98480000000000001</c:v>
                </c:pt>
                <c:pt idx="1567">
                  <c:v>0.97909999999999997</c:v>
                </c:pt>
                <c:pt idx="1568">
                  <c:v>0.98270000000000002</c:v>
                </c:pt>
                <c:pt idx="1569">
                  <c:v>0.98740000000000006</c:v>
                </c:pt>
                <c:pt idx="1570">
                  <c:v>0.99209999999999998</c:v>
                </c:pt>
                <c:pt idx="1571">
                  <c:v>0.99329999999999996</c:v>
                </c:pt>
                <c:pt idx="1572">
                  <c:v>0.97599999999999998</c:v>
                </c:pt>
                <c:pt idx="1573">
                  <c:v>0.9667</c:v>
                </c:pt>
                <c:pt idx="1574">
                  <c:v>0.95850000000000002</c:v>
                </c:pt>
                <c:pt idx="1575">
                  <c:v>0.96220000000000006</c:v>
                </c:pt>
                <c:pt idx="1576">
                  <c:v>0.96689999999999998</c:v>
                </c:pt>
                <c:pt idx="1577">
                  <c:v>0.96450000000000002</c:v>
                </c:pt>
                <c:pt idx="1578">
                  <c:v>0.98070000000000002</c:v>
                </c:pt>
                <c:pt idx="1579">
                  <c:v>0.98129999999999995</c:v>
                </c:pt>
                <c:pt idx="1580">
                  <c:v>0.97499999999999998</c:v>
                </c:pt>
                <c:pt idx="1581">
                  <c:v>0.98809999999999998</c:v>
                </c:pt>
                <c:pt idx="1582">
                  <c:v>0.98560000000000003</c:v>
                </c:pt>
                <c:pt idx="1583">
                  <c:v>0.98640000000000005</c:v>
                </c:pt>
                <c:pt idx="1584">
                  <c:v>0.98960000000000004</c:v>
                </c:pt>
                <c:pt idx="1585">
                  <c:v>0.98129999999999995</c:v>
                </c:pt>
                <c:pt idx="1586">
                  <c:v>0.97750000000000004</c:v>
                </c:pt>
                <c:pt idx="1587">
                  <c:v>0.98540000000000005</c:v>
                </c:pt>
                <c:pt idx="1588">
                  <c:v>0.98640000000000005</c:v>
                </c:pt>
                <c:pt idx="1589">
                  <c:v>0.98640000000000005</c:v>
                </c:pt>
                <c:pt idx="1590">
                  <c:v>0.99570000000000003</c:v>
                </c:pt>
                <c:pt idx="1591">
                  <c:v>1.0038</c:v>
                </c:pt>
                <c:pt idx="1592">
                  <c:v>1.0044999999999999</c:v>
                </c:pt>
                <c:pt idx="1593">
                  <c:v>1.012</c:v>
                </c:pt>
                <c:pt idx="1594">
                  <c:v>1.0161</c:v>
                </c:pt>
                <c:pt idx="1595">
                  <c:v>1.0158</c:v>
                </c:pt>
                <c:pt idx="1596">
                  <c:v>1.0158</c:v>
                </c:pt>
                <c:pt idx="1597">
                  <c:v>1.0157</c:v>
                </c:pt>
                <c:pt idx="1598">
                  <c:v>1.0045999999999999</c:v>
                </c:pt>
                <c:pt idx="1599">
                  <c:v>0.99890000000000001</c:v>
                </c:pt>
                <c:pt idx="1600">
                  <c:v>0.98839999999999995</c:v>
                </c:pt>
                <c:pt idx="1601">
                  <c:v>0.98580000000000001</c:v>
                </c:pt>
                <c:pt idx="1602">
                  <c:v>0.98050000000000004</c:v>
                </c:pt>
                <c:pt idx="1603">
                  <c:v>0.98050000000000004</c:v>
                </c:pt>
                <c:pt idx="1604">
                  <c:v>0.97899999999999998</c:v>
                </c:pt>
                <c:pt idx="1605">
                  <c:v>0.97409999999999997</c:v>
                </c:pt>
                <c:pt idx="1606">
                  <c:v>0.98499999999999999</c:v>
                </c:pt>
                <c:pt idx="1607">
                  <c:v>0.98939999999999995</c:v>
                </c:pt>
                <c:pt idx="1608">
                  <c:v>0.98440000000000005</c:v>
                </c:pt>
                <c:pt idx="1609">
                  <c:v>0.98270000000000002</c:v>
                </c:pt>
                <c:pt idx="1610">
                  <c:v>0.97819999999999996</c:v>
                </c:pt>
                <c:pt idx="1611">
                  <c:v>0.98650000000000004</c:v>
                </c:pt>
                <c:pt idx="1612">
                  <c:v>0.96809999999999996</c:v>
                </c:pt>
                <c:pt idx="1613">
                  <c:v>0.99139999999999995</c:v>
                </c:pt>
                <c:pt idx="1614">
                  <c:v>0.9889</c:v>
                </c:pt>
                <c:pt idx="1615">
                  <c:v>0.98919999999999997</c:v>
                </c:pt>
                <c:pt idx="1616">
                  <c:v>0.99319999999999997</c:v>
                </c:pt>
                <c:pt idx="1617">
                  <c:v>0.99009999999999998</c:v>
                </c:pt>
                <c:pt idx="1618">
                  <c:v>0.98609999999999998</c:v>
                </c:pt>
                <c:pt idx="1619">
                  <c:v>0.98299999999999998</c:v>
                </c:pt>
                <c:pt idx="1620">
                  <c:v>0.98929999999999996</c:v>
                </c:pt>
                <c:pt idx="1621">
                  <c:v>0.98570000000000002</c:v>
                </c:pt>
                <c:pt idx="1622">
                  <c:v>0.98499999999999999</c:v>
                </c:pt>
                <c:pt idx="1623">
                  <c:v>0.98229999999999995</c:v>
                </c:pt>
                <c:pt idx="1624">
                  <c:v>0.97640000000000005</c:v>
                </c:pt>
                <c:pt idx="1625">
                  <c:v>0.97119999999999995</c:v>
                </c:pt>
                <c:pt idx="1626">
                  <c:v>0.96750000000000003</c:v>
                </c:pt>
                <c:pt idx="1627">
                  <c:v>0.97150000000000003</c:v>
                </c:pt>
                <c:pt idx="1628">
                  <c:v>0.97250000000000003</c:v>
                </c:pt>
                <c:pt idx="1629">
                  <c:v>0.96699999999999997</c:v>
                </c:pt>
                <c:pt idx="1630">
                  <c:v>0.96950000000000003</c:v>
                </c:pt>
                <c:pt idx="1631">
                  <c:v>0.96750000000000003</c:v>
                </c:pt>
                <c:pt idx="1632">
                  <c:v>0.96340000000000003</c:v>
                </c:pt>
                <c:pt idx="1633">
                  <c:v>0.95989999999999998</c:v>
                </c:pt>
                <c:pt idx="1634">
                  <c:v>0.95930000000000004</c:v>
                </c:pt>
                <c:pt idx="1635">
                  <c:v>0.95930000000000004</c:v>
                </c:pt>
                <c:pt idx="1636">
                  <c:v>0.94879999999999998</c:v>
                </c:pt>
                <c:pt idx="1637">
                  <c:v>0.95669999999999999</c:v>
                </c:pt>
                <c:pt idx="1638">
                  <c:v>0.95520000000000005</c:v>
                </c:pt>
                <c:pt idx="1639">
                  <c:v>0.94720000000000004</c:v>
                </c:pt>
                <c:pt idx="1640">
                  <c:v>0.93669999999999998</c:v>
                </c:pt>
                <c:pt idx="1641">
                  <c:v>0.9365</c:v>
                </c:pt>
                <c:pt idx="1642">
                  <c:v>0.93810000000000004</c:v>
                </c:pt>
                <c:pt idx="1643">
                  <c:v>0.9395</c:v>
                </c:pt>
                <c:pt idx="1644">
                  <c:v>0.93500000000000005</c:v>
                </c:pt>
                <c:pt idx="1645">
                  <c:v>0.92630000000000001</c:v>
                </c:pt>
                <c:pt idx="1646">
                  <c:v>0.92290000000000005</c:v>
                </c:pt>
                <c:pt idx="1647">
                  <c:v>0.91810000000000003</c:v>
                </c:pt>
                <c:pt idx="1648">
                  <c:v>0.91049999999999998</c:v>
                </c:pt>
                <c:pt idx="1649">
                  <c:v>0.91700000000000004</c:v>
                </c:pt>
                <c:pt idx="1650">
                  <c:v>0.91690000000000005</c:v>
                </c:pt>
                <c:pt idx="1651">
                  <c:v>0.91120000000000001</c:v>
                </c:pt>
                <c:pt idx="1652">
                  <c:v>0.91120000000000001</c:v>
                </c:pt>
                <c:pt idx="1653">
                  <c:v>0.89270000000000005</c:v>
                </c:pt>
                <c:pt idx="1654">
                  <c:v>0.89170000000000005</c:v>
                </c:pt>
                <c:pt idx="1655">
                  <c:v>0.89900000000000002</c:v>
                </c:pt>
                <c:pt idx="1656">
                  <c:v>0.88590000000000002</c:v>
                </c:pt>
                <c:pt idx="1657">
                  <c:v>0.88480000000000003</c:v>
                </c:pt>
                <c:pt idx="1658">
                  <c:v>0.88249999999999995</c:v>
                </c:pt>
                <c:pt idx="1659">
                  <c:v>0.89100000000000001</c:v>
                </c:pt>
                <c:pt idx="1660">
                  <c:v>0.89380000000000004</c:v>
                </c:pt>
                <c:pt idx="1661">
                  <c:v>0.89180000000000004</c:v>
                </c:pt>
                <c:pt idx="1662">
                  <c:v>0.89859999999999995</c:v>
                </c:pt>
                <c:pt idx="1663">
                  <c:v>0.90529999999999999</c:v>
                </c:pt>
                <c:pt idx="1664">
                  <c:v>0.89710000000000001</c:v>
                </c:pt>
                <c:pt idx="1665">
                  <c:v>0.89259999999999995</c:v>
                </c:pt>
                <c:pt idx="1666">
                  <c:v>0.89629999999999999</c:v>
                </c:pt>
                <c:pt idx="1667">
                  <c:v>0.89480000000000004</c:v>
                </c:pt>
                <c:pt idx="1668">
                  <c:v>0.91300000000000003</c:v>
                </c:pt>
                <c:pt idx="1669">
                  <c:v>0.91649999999999998</c:v>
                </c:pt>
                <c:pt idx="1670">
                  <c:v>0.91849999999999998</c:v>
                </c:pt>
                <c:pt idx="1671">
                  <c:v>0.91649999999999998</c:v>
                </c:pt>
                <c:pt idx="1672">
                  <c:v>0.91679999999999995</c:v>
                </c:pt>
                <c:pt idx="1673">
                  <c:v>0.91290000000000004</c:v>
                </c:pt>
                <c:pt idx="1674">
                  <c:v>0.91390000000000005</c:v>
                </c:pt>
                <c:pt idx="1675">
                  <c:v>0.9042</c:v>
                </c:pt>
                <c:pt idx="1676">
                  <c:v>0.9002</c:v>
                </c:pt>
                <c:pt idx="1677">
                  <c:v>0.89349999999999996</c:v>
                </c:pt>
                <c:pt idx="1678">
                  <c:v>0.90249999999999997</c:v>
                </c:pt>
                <c:pt idx="1679">
                  <c:v>0.9022</c:v>
                </c:pt>
                <c:pt idx="1680">
                  <c:v>0.89549999999999996</c:v>
                </c:pt>
                <c:pt idx="1681">
                  <c:v>0.89339999999999997</c:v>
                </c:pt>
                <c:pt idx="1682">
                  <c:v>0.87809999999999999</c:v>
                </c:pt>
                <c:pt idx="1683">
                  <c:v>0.88360000000000005</c:v>
                </c:pt>
                <c:pt idx="1684">
                  <c:v>0.86839999999999995</c:v>
                </c:pt>
                <c:pt idx="1685">
                  <c:v>0.86880000000000002</c:v>
                </c:pt>
                <c:pt idx="1686">
                  <c:v>0.88349999999999995</c:v>
                </c:pt>
                <c:pt idx="1687">
                  <c:v>0.88400000000000001</c:v>
                </c:pt>
                <c:pt idx="1688">
                  <c:v>0.88360000000000005</c:v>
                </c:pt>
                <c:pt idx="1689">
                  <c:v>0.87590000000000001</c:v>
                </c:pt>
                <c:pt idx="1690">
                  <c:v>0.87770000000000004</c:v>
                </c:pt>
                <c:pt idx="1691">
                  <c:v>0.877</c:v>
                </c:pt>
                <c:pt idx="1692">
                  <c:v>0.86329999999999996</c:v>
                </c:pt>
                <c:pt idx="1693">
                  <c:v>0.85209999999999997</c:v>
                </c:pt>
                <c:pt idx="1694">
                  <c:v>0.83940000000000003</c:v>
                </c:pt>
                <c:pt idx="1695">
                  <c:v>0.84350000000000003</c:v>
                </c:pt>
                <c:pt idx="1696">
                  <c:v>0.84160000000000001</c:v>
                </c:pt>
                <c:pt idx="1697">
                  <c:v>0.84179999999999999</c:v>
                </c:pt>
                <c:pt idx="1698">
                  <c:v>0.84330000000000005</c:v>
                </c:pt>
                <c:pt idx="1699">
                  <c:v>0.84060000000000001</c:v>
                </c:pt>
                <c:pt idx="1700">
                  <c:v>0.84870000000000001</c:v>
                </c:pt>
                <c:pt idx="1701">
                  <c:v>0.87209999999999999</c:v>
                </c:pt>
                <c:pt idx="1702">
                  <c:v>0.87609999999999999</c:v>
                </c:pt>
                <c:pt idx="1703">
                  <c:v>0.87380000000000002</c:v>
                </c:pt>
                <c:pt idx="1704">
                  <c:v>0.87439999999999996</c:v>
                </c:pt>
                <c:pt idx="1705">
                  <c:v>0.86660000000000004</c:v>
                </c:pt>
                <c:pt idx="1706">
                  <c:v>0.87390000000000001</c:v>
                </c:pt>
                <c:pt idx="1707">
                  <c:v>0.87170000000000003</c:v>
                </c:pt>
                <c:pt idx="1708">
                  <c:v>0.87649999999999995</c:v>
                </c:pt>
                <c:pt idx="1709">
                  <c:v>0.88080000000000003</c:v>
                </c:pt>
                <c:pt idx="1710">
                  <c:v>0.87160000000000004</c:v>
                </c:pt>
                <c:pt idx="1711">
                  <c:v>0.87180000000000002</c:v>
                </c:pt>
                <c:pt idx="1712">
                  <c:v>0.86860000000000004</c:v>
                </c:pt>
                <c:pt idx="1713">
                  <c:v>0.8639</c:v>
                </c:pt>
                <c:pt idx="1714">
                  <c:v>0.86560000000000004</c:v>
                </c:pt>
                <c:pt idx="1715">
                  <c:v>0.85870000000000002</c:v>
                </c:pt>
                <c:pt idx="1716">
                  <c:v>0.85650000000000004</c:v>
                </c:pt>
                <c:pt idx="1717">
                  <c:v>0.85019999999999996</c:v>
                </c:pt>
                <c:pt idx="1718">
                  <c:v>0.85029999999999994</c:v>
                </c:pt>
                <c:pt idx="1719">
                  <c:v>0.85019999999999996</c:v>
                </c:pt>
                <c:pt idx="1720">
                  <c:v>0.82799999999999996</c:v>
                </c:pt>
                <c:pt idx="1721">
                  <c:v>0.82779999999999998</c:v>
                </c:pt>
                <c:pt idx="1722">
                  <c:v>0.81040000000000001</c:v>
                </c:pt>
                <c:pt idx="1723">
                  <c:v>0.81479999999999997</c:v>
                </c:pt>
                <c:pt idx="1724">
                  <c:v>0.82369999999999999</c:v>
                </c:pt>
                <c:pt idx="1725">
                  <c:v>0.82350000000000001</c:v>
                </c:pt>
                <c:pt idx="1726">
                  <c:v>0.8448</c:v>
                </c:pt>
                <c:pt idx="1727">
                  <c:v>0.84209999999999996</c:v>
                </c:pt>
                <c:pt idx="1728">
                  <c:v>0.83109999999999995</c:v>
                </c:pt>
                <c:pt idx="1729">
                  <c:v>0.84599999999999997</c:v>
                </c:pt>
                <c:pt idx="1730">
                  <c:v>0.84830000000000005</c:v>
                </c:pt>
                <c:pt idx="1731">
                  <c:v>0.84689999999999999</c:v>
                </c:pt>
                <c:pt idx="1732">
                  <c:v>0.84750000000000003</c:v>
                </c:pt>
                <c:pt idx="1733">
                  <c:v>0.85140000000000005</c:v>
                </c:pt>
                <c:pt idx="1734">
                  <c:v>0.8216</c:v>
                </c:pt>
                <c:pt idx="1735">
                  <c:v>0.82769999999999999</c:v>
                </c:pt>
                <c:pt idx="1736">
                  <c:v>0.82650000000000001</c:v>
                </c:pt>
                <c:pt idx="1737">
                  <c:v>0.82899999999999996</c:v>
                </c:pt>
                <c:pt idx="1738">
                  <c:v>0.83199999999999996</c:v>
                </c:pt>
                <c:pt idx="1739">
                  <c:v>0.83230000000000004</c:v>
                </c:pt>
                <c:pt idx="1740">
                  <c:v>0.81720000000000004</c:v>
                </c:pt>
                <c:pt idx="1741">
                  <c:v>0.84699999999999998</c:v>
                </c:pt>
                <c:pt idx="1742">
                  <c:v>0.86450000000000005</c:v>
                </c:pt>
                <c:pt idx="1743">
                  <c:v>0.87749999999999995</c:v>
                </c:pt>
                <c:pt idx="1744">
                  <c:v>0.87660000000000005</c:v>
                </c:pt>
                <c:pt idx="1745">
                  <c:v>0.88560000000000005</c:v>
                </c:pt>
                <c:pt idx="1746">
                  <c:v>0.88600000000000001</c:v>
                </c:pt>
                <c:pt idx="1747">
                  <c:v>0.89629999999999999</c:v>
                </c:pt>
                <c:pt idx="1748">
                  <c:v>0.89349999999999996</c:v>
                </c:pt>
                <c:pt idx="1749">
                  <c:v>0.89510000000000001</c:v>
                </c:pt>
                <c:pt idx="1750">
                  <c:v>0.90290000000000004</c:v>
                </c:pt>
                <c:pt idx="1751">
                  <c:v>0.88829999999999998</c:v>
                </c:pt>
                <c:pt idx="1752">
                  <c:v>0.88519999999999999</c:v>
                </c:pt>
                <c:pt idx="1753">
                  <c:v>0.90610000000000002</c:v>
                </c:pt>
                <c:pt idx="1754">
                  <c:v>0.90880000000000005</c:v>
                </c:pt>
                <c:pt idx="1755">
                  <c:v>0.92610000000000003</c:v>
                </c:pt>
                <c:pt idx="1756">
                  <c:v>0.92379999999999995</c:v>
                </c:pt>
                <c:pt idx="1757">
                  <c:v>0.92430000000000001</c:v>
                </c:pt>
                <c:pt idx="1758">
                  <c:v>0.92449999999999999</c:v>
                </c:pt>
                <c:pt idx="1759">
                  <c:v>0.92769999999999997</c:v>
                </c:pt>
                <c:pt idx="1760">
                  <c:v>0.9254</c:v>
                </c:pt>
                <c:pt idx="1761">
                  <c:v>0.91539999999999999</c:v>
                </c:pt>
                <c:pt idx="1762">
                  <c:v>0.92679999999999996</c:v>
                </c:pt>
                <c:pt idx="1763">
                  <c:v>0.92800000000000005</c:v>
                </c:pt>
                <c:pt idx="1764">
                  <c:v>0.9274</c:v>
                </c:pt>
                <c:pt idx="1765">
                  <c:v>0.92769999999999997</c:v>
                </c:pt>
                <c:pt idx="1766">
                  <c:v>0.9274</c:v>
                </c:pt>
                <c:pt idx="1767">
                  <c:v>0.92679999999999996</c:v>
                </c:pt>
                <c:pt idx="1768">
                  <c:v>0.93169999999999997</c:v>
                </c:pt>
                <c:pt idx="1769">
                  <c:v>0.92390000000000005</c:v>
                </c:pt>
                <c:pt idx="1770">
                  <c:v>0.91949999999999998</c:v>
                </c:pt>
                <c:pt idx="1771">
                  <c:v>0.92459999999999998</c:v>
                </c:pt>
                <c:pt idx="1772">
                  <c:v>0.93459999999999999</c:v>
                </c:pt>
                <c:pt idx="1773">
                  <c:v>0.93520000000000003</c:v>
                </c:pt>
                <c:pt idx="1774">
                  <c:v>0.92920000000000003</c:v>
                </c:pt>
                <c:pt idx="1775">
                  <c:v>0.92759999999999998</c:v>
                </c:pt>
                <c:pt idx="1776">
                  <c:v>0.93440000000000001</c:v>
                </c:pt>
                <c:pt idx="1777">
                  <c:v>0.93300000000000005</c:v>
                </c:pt>
                <c:pt idx="1778">
                  <c:v>0.93340000000000001</c:v>
                </c:pt>
                <c:pt idx="1779">
                  <c:v>0.92859999999999998</c:v>
                </c:pt>
                <c:pt idx="1780">
                  <c:v>0.92669999999999997</c:v>
                </c:pt>
                <c:pt idx="1781">
                  <c:v>0.92830000000000001</c:v>
                </c:pt>
                <c:pt idx="1782">
                  <c:v>0.9214</c:v>
                </c:pt>
                <c:pt idx="1783">
                  <c:v>0.92079999999999995</c:v>
                </c:pt>
                <c:pt idx="1784">
                  <c:v>0.91910000000000003</c:v>
                </c:pt>
                <c:pt idx="1785">
                  <c:v>0.91930000000000001</c:v>
                </c:pt>
                <c:pt idx="1786">
                  <c:v>0.92100000000000004</c:v>
                </c:pt>
                <c:pt idx="1787">
                  <c:v>0.91720000000000002</c:v>
                </c:pt>
                <c:pt idx="1788">
                  <c:v>0.91959999999999997</c:v>
                </c:pt>
                <c:pt idx="1789">
                  <c:v>0.91759999999999997</c:v>
                </c:pt>
                <c:pt idx="1790">
                  <c:v>0.9083</c:v>
                </c:pt>
                <c:pt idx="1791">
                  <c:v>0.90400000000000003</c:v>
                </c:pt>
                <c:pt idx="1792">
                  <c:v>0.90410000000000001</c:v>
                </c:pt>
                <c:pt idx="1793">
                  <c:v>0.90749999999999997</c:v>
                </c:pt>
                <c:pt idx="1794">
                  <c:v>0.90739999999999998</c:v>
                </c:pt>
                <c:pt idx="1795">
                  <c:v>0.91879999999999995</c:v>
                </c:pt>
                <c:pt idx="1796">
                  <c:v>0.91820000000000002</c:v>
                </c:pt>
                <c:pt idx="1797">
                  <c:v>0.91459999999999997</c:v>
                </c:pt>
                <c:pt idx="1798">
                  <c:v>0.91610000000000003</c:v>
                </c:pt>
                <c:pt idx="1799">
                  <c:v>0.91559999999999997</c:v>
                </c:pt>
                <c:pt idx="1800">
                  <c:v>0.92079999999999995</c:v>
                </c:pt>
                <c:pt idx="1801">
                  <c:v>0.92359999999999998</c:v>
                </c:pt>
                <c:pt idx="1802">
                  <c:v>0.91859999999999997</c:v>
                </c:pt>
                <c:pt idx="1803">
                  <c:v>0.91459999999999997</c:v>
                </c:pt>
                <c:pt idx="1804">
                  <c:v>0.91410000000000002</c:v>
                </c:pt>
                <c:pt idx="1805">
                  <c:v>0.91439999999999999</c:v>
                </c:pt>
                <c:pt idx="1806">
                  <c:v>0.91520000000000001</c:v>
                </c:pt>
                <c:pt idx="1807">
                  <c:v>0.9153</c:v>
                </c:pt>
                <c:pt idx="1808">
                  <c:v>0.91539999999999999</c:v>
                </c:pt>
                <c:pt idx="1809">
                  <c:v>0.91390000000000005</c:v>
                </c:pt>
                <c:pt idx="1810">
                  <c:v>0.9093</c:v>
                </c:pt>
                <c:pt idx="1811">
                  <c:v>0.91100000000000003</c:v>
                </c:pt>
                <c:pt idx="1812">
                  <c:v>0.90739999999999998</c:v>
                </c:pt>
                <c:pt idx="1813">
                  <c:v>0.90769999999999995</c:v>
                </c:pt>
                <c:pt idx="1814">
                  <c:v>0.90010000000000001</c:v>
                </c:pt>
                <c:pt idx="1815">
                  <c:v>0.90569999999999995</c:v>
                </c:pt>
                <c:pt idx="1816">
                  <c:v>0.90349999999999997</c:v>
                </c:pt>
                <c:pt idx="1817">
                  <c:v>0.90100000000000002</c:v>
                </c:pt>
                <c:pt idx="1818">
                  <c:v>0.89590000000000003</c:v>
                </c:pt>
                <c:pt idx="1819">
                  <c:v>0.89590000000000003</c:v>
                </c:pt>
                <c:pt idx="1820">
                  <c:v>0.89570000000000005</c:v>
                </c:pt>
                <c:pt idx="1821">
                  <c:v>0.88839999999999997</c:v>
                </c:pt>
                <c:pt idx="1822">
                  <c:v>0.89349999999999996</c:v>
                </c:pt>
                <c:pt idx="1823">
                  <c:v>0.89129999999999998</c:v>
                </c:pt>
                <c:pt idx="1824">
                  <c:v>0.90049999999999997</c:v>
                </c:pt>
                <c:pt idx="1825">
                  <c:v>0.90129999999999999</c:v>
                </c:pt>
                <c:pt idx="1826">
                  <c:v>0.89880000000000004</c:v>
                </c:pt>
                <c:pt idx="1827">
                  <c:v>0.89429999999999998</c:v>
                </c:pt>
                <c:pt idx="1828">
                  <c:v>0.89939999999999998</c:v>
                </c:pt>
                <c:pt idx="1829">
                  <c:v>0.90200000000000002</c:v>
                </c:pt>
                <c:pt idx="1830">
                  <c:v>0.88849999999999996</c:v>
                </c:pt>
                <c:pt idx="1831">
                  <c:v>0.88749999999999996</c:v>
                </c:pt>
                <c:pt idx="1832">
                  <c:v>0.88849999999999996</c:v>
                </c:pt>
                <c:pt idx="1833">
                  <c:v>0.88800000000000001</c:v>
                </c:pt>
                <c:pt idx="1834">
                  <c:v>0.89039999999999997</c:v>
                </c:pt>
                <c:pt idx="1835">
                  <c:v>0.87539999999999996</c:v>
                </c:pt>
                <c:pt idx="1836">
                  <c:v>0.87880000000000003</c:v>
                </c:pt>
                <c:pt idx="1837">
                  <c:v>0.86470000000000002</c:v>
                </c:pt>
                <c:pt idx="1838">
                  <c:v>0.86560000000000004</c:v>
                </c:pt>
                <c:pt idx="1839">
                  <c:v>0.86809999999999998</c:v>
                </c:pt>
                <c:pt idx="1840">
                  <c:v>0.86819999999999997</c:v>
                </c:pt>
                <c:pt idx="1841">
                  <c:v>0.86450000000000005</c:v>
                </c:pt>
                <c:pt idx="1842">
                  <c:v>0.88290000000000002</c:v>
                </c:pt>
                <c:pt idx="1843">
                  <c:v>0.88629999999999998</c:v>
                </c:pt>
                <c:pt idx="1844">
                  <c:v>0.89129999999999998</c:v>
                </c:pt>
                <c:pt idx="1845">
                  <c:v>0.8831</c:v>
                </c:pt>
                <c:pt idx="1846">
                  <c:v>0.88319999999999999</c:v>
                </c:pt>
                <c:pt idx="1847">
                  <c:v>0.88380000000000003</c:v>
                </c:pt>
                <c:pt idx="1848">
                  <c:v>0.89449999999999996</c:v>
                </c:pt>
                <c:pt idx="1849">
                  <c:v>0.89529999999999998</c:v>
                </c:pt>
                <c:pt idx="1850">
                  <c:v>0.89849999999999997</c:v>
                </c:pt>
                <c:pt idx="1851">
                  <c:v>0.9042</c:v>
                </c:pt>
                <c:pt idx="1852">
                  <c:v>0.90600000000000003</c:v>
                </c:pt>
                <c:pt idx="1853">
                  <c:v>0.90029999999999999</c:v>
                </c:pt>
                <c:pt idx="1854">
                  <c:v>0.90039999999999998</c:v>
                </c:pt>
                <c:pt idx="1855">
                  <c:v>0.9</c:v>
                </c:pt>
                <c:pt idx="1856">
                  <c:v>0.91</c:v>
                </c:pt>
                <c:pt idx="1857">
                  <c:v>0.92320000000000002</c:v>
                </c:pt>
                <c:pt idx="1858">
                  <c:v>0.9264</c:v>
                </c:pt>
                <c:pt idx="1859">
                  <c:v>0.92149999999999999</c:v>
                </c:pt>
                <c:pt idx="1860">
                  <c:v>0.92310000000000003</c:v>
                </c:pt>
                <c:pt idx="1861">
                  <c:v>0.93179999999999996</c:v>
                </c:pt>
                <c:pt idx="1862">
                  <c:v>0.92420000000000002</c:v>
                </c:pt>
                <c:pt idx="1863">
                  <c:v>0.91990000000000005</c:v>
                </c:pt>
                <c:pt idx="1864">
                  <c:v>0.92979999999999996</c:v>
                </c:pt>
                <c:pt idx="1865">
                  <c:v>0.93079999999999996</c:v>
                </c:pt>
                <c:pt idx="1866">
                  <c:v>0.92490000000000006</c:v>
                </c:pt>
                <c:pt idx="1867">
                  <c:v>0.92459999999999998</c:v>
                </c:pt>
                <c:pt idx="1868">
                  <c:v>0.91749999999999998</c:v>
                </c:pt>
                <c:pt idx="1869">
                  <c:v>0.91979999999999995</c:v>
                </c:pt>
                <c:pt idx="1870">
                  <c:v>0.91190000000000004</c:v>
                </c:pt>
                <c:pt idx="1871">
                  <c:v>0.91259999999999997</c:v>
                </c:pt>
                <c:pt idx="1872">
                  <c:v>0.89829999999999999</c:v>
                </c:pt>
                <c:pt idx="1873">
                  <c:v>0.8972</c:v>
                </c:pt>
                <c:pt idx="1874">
                  <c:v>0.89739999999999998</c:v>
                </c:pt>
                <c:pt idx="1875">
                  <c:v>0.89429999999999998</c:v>
                </c:pt>
                <c:pt idx="1876">
                  <c:v>0.89480000000000004</c:v>
                </c:pt>
                <c:pt idx="1877">
                  <c:v>0.88700000000000001</c:v>
                </c:pt>
                <c:pt idx="1878">
                  <c:v>0.88839999999999997</c:v>
                </c:pt>
                <c:pt idx="1879">
                  <c:v>0.88370000000000004</c:v>
                </c:pt>
                <c:pt idx="1880">
                  <c:v>0.88280000000000003</c:v>
                </c:pt>
                <c:pt idx="1881">
                  <c:v>0.87990000000000002</c:v>
                </c:pt>
                <c:pt idx="1882">
                  <c:v>0.87609999999999999</c:v>
                </c:pt>
                <c:pt idx="1883">
                  <c:v>0.88149999999999995</c:v>
                </c:pt>
                <c:pt idx="1884">
                  <c:v>0.8861</c:v>
                </c:pt>
                <c:pt idx="1885">
                  <c:v>0.89029999999999998</c:v>
                </c:pt>
                <c:pt idx="1886">
                  <c:v>0.89019999999999999</c:v>
                </c:pt>
                <c:pt idx="1887">
                  <c:v>0.88670000000000004</c:v>
                </c:pt>
                <c:pt idx="1888">
                  <c:v>0.90080000000000005</c:v>
                </c:pt>
                <c:pt idx="1889">
                  <c:v>0.90620000000000001</c:v>
                </c:pt>
                <c:pt idx="1890">
                  <c:v>0.91679999999999995</c:v>
                </c:pt>
                <c:pt idx="1891">
                  <c:v>0.91059999999999997</c:v>
                </c:pt>
                <c:pt idx="1892">
                  <c:v>0.91300000000000003</c:v>
                </c:pt>
                <c:pt idx="1893">
                  <c:v>0.91269999999999996</c:v>
                </c:pt>
                <c:pt idx="1894">
                  <c:v>0.91679999999999995</c:v>
                </c:pt>
                <c:pt idx="1895">
                  <c:v>0.90859999999999996</c:v>
                </c:pt>
                <c:pt idx="1896">
                  <c:v>0.90369999999999995</c:v>
                </c:pt>
                <c:pt idx="1897">
                  <c:v>0.91269999999999996</c:v>
                </c:pt>
                <c:pt idx="1898">
                  <c:v>0.91600000000000004</c:v>
                </c:pt>
                <c:pt idx="1899">
                  <c:v>0.9153</c:v>
                </c:pt>
                <c:pt idx="1900">
                  <c:v>0.91479999999999995</c:v>
                </c:pt>
                <c:pt idx="1901">
                  <c:v>0.92390000000000005</c:v>
                </c:pt>
                <c:pt idx="1902">
                  <c:v>0.92459999999999998</c:v>
                </c:pt>
                <c:pt idx="1903">
                  <c:v>0.92510000000000003</c:v>
                </c:pt>
                <c:pt idx="1904">
                  <c:v>0.91600000000000004</c:v>
                </c:pt>
                <c:pt idx="1905">
                  <c:v>0.91590000000000005</c:v>
                </c:pt>
                <c:pt idx="1906">
                  <c:v>0.90690000000000004</c:v>
                </c:pt>
                <c:pt idx="1907">
                  <c:v>0.90629999999999999</c:v>
                </c:pt>
                <c:pt idx="1908">
                  <c:v>0.91359999999999997</c:v>
                </c:pt>
                <c:pt idx="1909">
                  <c:v>0.93200000000000005</c:v>
                </c:pt>
                <c:pt idx="1910">
                  <c:v>0.91920000000000002</c:v>
                </c:pt>
                <c:pt idx="1911">
                  <c:v>0.92369999999999997</c:v>
                </c:pt>
                <c:pt idx="1912">
                  <c:v>0.91910000000000003</c:v>
                </c:pt>
                <c:pt idx="1913">
                  <c:v>0.91510000000000002</c:v>
                </c:pt>
                <c:pt idx="1914">
                  <c:v>0.91459999999999997</c:v>
                </c:pt>
                <c:pt idx="1915">
                  <c:v>0.91859999999999997</c:v>
                </c:pt>
                <c:pt idx="1916">
                  <c:v>0.92959999999999998</c:v>
                </c:pt>
                <c:pt idx="1917">
                  <c:v>0.93059999999999998</c:v>
                </c:pt>
                <c:pt idx="1918">
                  <c:v>0.93689999999999996</c:v>
                </c:pt>
                <c:pt idx="1919">
                  <c:v>0.93459999999999999</c:v>
                </c:pt>
                <c:pt idx="1920">
                  <c:v>0.93340000000000001</c:v>
                </c:pt>
                <c:pt idx="1921">
                  <c:v>0.93310000000000004</c:v>
                </c:pt>
                <c:pt idx="1922">
                  <c:v>0.9234</c:v>
                </c:pt>
                <c:pt idx="1923">
                  <c:v>0.92979999999999996</c:v>
                </c:pt>
                <c:pt idx="1924">
                  <c:v>0.93059999999999998</c:v>
                </c:pt>
                <c:pt idx="1925">
                  <c:v>0.92969999999999997</c:v>
                </c:pt>
                <c:pt idx="1926">
                  <c:v>0.92490000000000006</c:v>
                </c:pt>
                <c:pt idx="1927">
                  <c:v>0.91849999999999998</c:v>
                </c:pt>
                <c:pt idx="1928">
                  <c:v>0.91869999999999996</c:v>
                </c:pt>
                <c:pt idx="1929">
                  <c:v>0.91</c:v>
                </c:pt>
                <c:pt idx="1930">
                  <c:v>0.91</c:v>
                </c:pt>
                <c:pt idx="1931">
                  <c:v>0.90239999999999998</c:v>
                </c:pt>
                <c:pt idx="1932">
                  <c:v>0.90390000000000004</c:v>
                </c:pt>
                <c:pt idx="1933">
                  <c:v>0.90400000000000003</c:v>
                </c:pt>
                <c:pt idx="1934">
                  <c:v>0.90010000000000001</c:v>
                </c:pt>
                <c:pt idx="1935">
                  <c:v>0.91490000000000005</c:v>
                </c:pt>
                <c:pt idx="1936">
                  <c:v>0.89700000000000002</c:v>
                </c:pt>
                <c:pt idx="1937">
                  <c:v>0.91659999999999997</c:v>
                </c:pt>
                <c:pt idx="1938">
                  <c:v>0.91600000000000004</c:v>
                </c:pt>
                <c:pt idx="1939">
                  <c:v>0.92069999999999996</c:v>
                </c:pt>
                <c:pt idx="1940">
                  <c:v>0.92249999999999999</c:v>
                </c:pt>
                <c:pt idx="1941">
                  <c:v>0.92679999999999996</c:v>
                </c:pt>
                <c:pt idx="1942">
                  <c:v>0.92930000000000001</c:v>
                </c:pt>
                <c:pt idx="1943">
                  <c:v>0.92390000000000005</c:v>
                </c:pt>
                <c:pt idx="1944">
                  <c:v>0.92910000000000004</c:v>
                </c:pt>
                <c:pt idx="1945">
                  <c:v>0.91549999999999998</c:v>
                </c:pt>
                <c:pt idx="1946">
                  <c:v>0.91639999999999999</c:v>
                </c:pt>
                <c:pt idx="1947">
                  <c:v>0.9204</c:v>
                </c:pt>
                <c:pt idx="1948">
                  <c:v>0.91490000000000005</c:v>
                </c:pt>
                <c:pt idx="1949">
                  <c:v>0.90900000000000003</c:v>
                </c:pt>
                <c:pt idx="1950">
                  <c:v>0.90720000000000001</c:v>
                </c:pt>
                <c:pt idx="1951">
                  <c:v>0.90500000000000003</c:v>
                </c:pt>
                <c:pt idx="1952">
                  <c:v>0.90380000000000005</c:v>
                </c:pt>
                <c:pt idx="1953">
                  <c:v>0.90610000000000002</c:v>
                </c:pt>
                <c:pt idx="1954">
                  <c:v>0.89100000000000001</c:v>
                </c:pt>
                <c:pt idx="1955">
                  <c:v>0.89039999999999997</c:v>
                </c:pt>
                <c:pt idx="1956">
                  <c:v>0.87770000000000004</c:v>
                </c:pt>
                <c:pt idx="1957">
                  <c:v>0.86750000000000005</c:v>
                </c:pt>
                <c:pt idx="1958">
                  <c:v>0.86550000000000005</c:v>
                </c:pt>
                <c:pt idx="1959">
                  <c:v>0.86960000000000004</c:v>
                </c:pt>
                <c:pt idx="1960">
                  <c:v>0.88290000000000002</c:v>
                </c:pt>
                <c:pt idx="1961">
                  <c:v>0.87039999999999995</c:v>
                </c:pt>
                <c:pt idx="1962">
                  <c:v>0.87239999999999995</c:v>
                </c:pt>
                <c:pt idx="1963">
                  <c:v>0.86780000000000002</c:v>
                </c:pt>
                <c:pt idx="1964">
                  <c:v>0.86799999999999999</c:v>
                </c:pt>
                <c:pt idx="1965">
                  <c:v>0.86480000000000001</c:v>
                </c:pt>
                <c:pt idx="1966">
                  <c:v>0.86960000000000004</c:v>
                </c:pt>
                <c:pt idx="1967">
                  <c:v>0.87339999999999995</c:v>
                </c:pt>
                <c:pt idx="1968">
                  <c:v>0.86280000000000001</c:v>
                </c:pt>
                <c:pt idx="1969">
                  <c:v>0.86739999999999995</c:v>
                </c:pt>
                <c:pt idx="1970">
                  <c:v>0.87270000000000003</c:v>
                </c:pt>
                <c:pt idx="1971">
                  <c:v>0.87360000000000004</c:v>
                </c:pt>
                <c:pt idx="1972">
                  <c:v>0.86329999999999996</c:v>
                </c:pt>
                <c:pt idx="1973">
                  <c:v>0.86209999999999998</c:v>
                </c:pt>
                <c:pt idx="1974">
                  <c:v>0.86180000000000001</c:v>
                </c:pt>
                <c:pt idx="1975">
                  <c:v>0.86329999999999996</c:v>
                </c:pt>
                <c:pt idx="1976">
                  <c:v>0.86409999999999998</c:v>
                </c:pt>
                <c:pt idx="1977">
                  <c:v>0.86250000000000004</c:v>
                </c:pt>
                <c:pt idx="1978">
                  <c:v>0.86160000000000003</c:v>
                </c:pt>
                <c:pt idx="1979">
                  <c:v>0.85580000000000001</c:v>
                </c:pt>
                <c:pt idx="1980">
                  <c:v>0.85060000000000002</c:v>
                </c:pt>
                <c:pt idx="1981">
                  <c:v>0.84030000000000005</c:v>
                </c:pt>
                <c:pt idx="1982">
                  <c:v>0.83389999999999997</c:v>
                </c:pt>
                <c:pt idx="1983">
                  <c:v>0.82609999999999995</c:v>
                </c:pt>
                <c:pt idx="1984">
                  <c:v>0.84379999999999999</c:v>
                </c:pt>
                <c:pt idx="1985">
                  <c:v>0.84119999999999995</c:v>
                </c:pt>
                <c:pt idx="1986">
                  <c:v>0.83940000000000003</c:v>
                </c:pt>
                <c:pt idx="1987">
                  <c:v>0.82830000000000004</c:v>
                </c:pt>
                <c:pt idx="1988">
                  <c:v>0.83550000000000002</c:v>
                </c:pt>
                <c:pt idx="1989">
                  <c:v>0.83889999999999998</c:v>
                </c:pt>
                <c:pt idx="1990">
                  <c:v>0.83479999999999999</c:v>
                </c:pt>
                <c:pt idx="1991">
                  <c:v>0.83120000000000005</c:v>
                </c:pt>
                <c:pt idx="1992">
                  <c:v>0.82869999999999999</c:v>
                </c:pt>
                <c:pt idx="1993">
                  <c:v>0.82679999999999998</c:v>
                </c:pt>
                <c:pt idx="1994">
                  <c:v>0.82050000000000001</c:v>
                </c:pt>
                <c:pt idx="1995">
                  <c:v>0.83260000000000001</c:v>
                </c:pt>
                <c:pt idx="1996">
                  <c:v>0.84319999999999995</c:v>
                </c:pt>
                <c:pt idx="1997">
                  <c:v>0.8337</c:v>
                </c:pt>
                <c:pt idx="1998">
                  <c:v>0.82920000000000005</c:v>
                </c:pt>
                <c:pt idx="1999">
                  <c:v>0.83720000000000006</c:v>
                </c:pt>
                <c:pt idx="2000">
                  <c:v>0.83740000000000003</c:v>
                </c:pt>
                <c:pt idx="2001">
                  <c:v>0.83960000000000001</c:v>
                </c:pt>
                <c:pt idx="2002">
                  <c:v>0.84060000000000001</c:v>
                </c:pt>
                <c:pt idx="2003">
                  <c:v>0.84460000000000002</c:v>
                </c:pt>
                <c:pt idx="2004">
                  <c:v>0.84209999999999996</c:v>
                </c:pt>
                <c:pt idx="2005">
                  <c:v>0.83579999999999999</c:v>
                </c:pt>
                <c:pt idx="2006">
                  <c:v>0.8256</c:v>
                </c:pt>
                <c:pt idx="2007">
                  <c:v>0.81779999999999997</c:v>
                </c:pt>
                <c:pt idx="2008">
                  <c:v>0.82679999999999998</c:v>
                </c:pt>
                <c:pt idx="2009">
                  <c:v>0.8226</c:v>
                </c:pt>
                <c:pt idx="2010">
                  <c:v>0.81730000000000003</c:v>
                </c:pt>
                <c:pt idx="2011">
                  <c:v>0.81220000000000003</c:v>
                </c:pt>
                <c:pt idx="2012">
                  <c:v>0.81569999999999998</c:v>
                </c:pt>
                <c:pt idx="2013">
                  <c:v>0.81820000000000004</c:v>
                </c:pt>
                <c:pt idx="2014">
                  <c:v>0.81659999999999999</c:v>
                </c:pt>
                <c:pt idx="2015">
                  <c:v>0.80200000000000005</c:v>
                </c:pt>
                <c:pt idx="2016">
                  <c:v>0.80630000000000002</c:v>
                </c:pt>
                <c:pt idx="2017">
                  <c:v>0.80320000000000003</c:v>
                </c:pt>
                <c:pt idx="2018">
                  <c:v>0.79300000000000004</c:v>
                </c:pt>
                <c:pt idx="2019">
                  <c:v>0.78300000000000003</c:v>
                </c:pt>
                <c:pt idx="2020">
                  <c:v>0.77859999999999996</c:v>
                </c:pt>
                <c:pt idx="2021">
                  <c:v>0.78290000000000004</c:v>
                </c:pt>
                <c:pt idx="2022">
                  <c:v>0.77849999999999997</c:v>
                </c:pt>
                <c:pt idx="2023">
                  <c:v>0.78900000000000003</c:v>
                </c:pt>
                <c:pt idx="2024">
                  <c:v>0.79759999999999998</c:v>
                </c:pt>
                <c:pt idx="2025">
                  <c:v>0.79720000000000002</c:v>
                </c:pt>
                <c:pt idx="2026">
                  <c:v>0.79379999999999995</c:v>
                </c:pt>
                <c:pt idx="2027">
                  <c:v>0.80840000000000001</c:v>
                </c:pt>
                <c:pt idx="2028">
                  <c:v>0.80649999999999999</c:v>
                </c:pt>
                <c:pt idx="2029">
                  <c:v>0.80820000000000003</c:v>
                </c:pt>
                <c:pt idx="2030">
                  <c:v>0.80759999999999998</c:v>
                </c:pt>
                <c:pt idx="2031">
                  <c:v>0.8024</c:v>
                </c:pt>
                <c:pt idx="2032">
                  <c:v>0.79679999999999995</c:v>
                </c:pt>
                <c:pt idx="2033">
                  <c:v>0.79400000000000004</c:v>
                </c:pt>
                <c:pt idx="2034">
                  <c:v>0.78569999999999995</c:v>
                </c:pt>
                <c:pt idx="2035">
                  <c:v>0.80600000000000005</c:v>
                </c:pt>
                <c:pt idx="2036">
                  <c:v>0.79900000000000004</c:v>
                </c:pt>
                <c:pt idx="2037">
                  <c:v>0.79449999999999998</c:v>
                </c:pt>
                <c:pt idx="2038">
                  <c:v>0.79330000000000001</c:v>
                </c:pt>
                <c:pt idx="2039">
                  <c:v>0.79500000000000004</c:v>
                </c:pt>
                <c:pt idx="2040">
                  <c:v>0.81259999999999999</c:v>
                </c:pt>
                <c:pt idx="2041">
                  <c:v>0.81950000000000001</c:v>
                </c:pt>
                <c:pt idx="2042">
                  <c:v>0.80279999999999996</c:v>
                </c:pt>
                <c:pt idx="2043">
                  <c:v>0.80149999999999999</c:v>
                </c:pt>
                <c:pt idx="2044">
                  <c:v>0.78900000000000003</c:v>
                </c:pt>
                <c:pt idx="2045">
                  <c:v>0.79330000000000001</c:v>
                </c:pt>
                <c:pt idx="2046">
                  <c:v>0.80179999999999996</c:v>
                </c:pt>
                <c:pt idx="2047">
                  <c:v>0.80059999999999998</c:v>
                </c:pt>
                <c:pt idx="2048">
                  <c:v>0.82079999999999997</c:v>
                </c:pt>
                <c:pt idx="2049">
                  <c:v>0.81</c:v>
                </c:pt>
                <c:pt idx="2050">
                  <c:v>0.80130000000000001</c:v>
                </c:pt>
                <c:pt idx="2051">
                  <c:v>0.7843</c:v>
                </c:pt>
                <c:pt idx="2052">
                  <c:v>0.77600000000000002</c:v>
                </c:pt>
                <c:pt idx="2053">
                  <c:v>0.7863</c:v>
                </c:pt>
                <c:pt idx="2054">
                  <c:v>0.78220000000000001</c:v>
                </c:pt>
                <c:pt idx="2055">
                  <c:v>0.78290000000000004</c:v>
                </c:pt>
                <c:pt idx="2056">
                  <c:v>0.77839999999999998</c:v>
                </c:pt>
                <c:pt idx="2057">
                  <c:v>0.77529999999999999</c:v>
                </c:pt>
                <c:pt idx="2058">
                  <c:v>0.77490000000000003</c:v>
                </c:pt>
                <c:pt idx="2059">
                  <c:v>0.76570000000000005</c:v>
                </c:pt>
                <c:pt idx="2060">
                  <c:v>0.74929999999999997</c:v>
                </c:pt>
                <c:pt idx="2061">
                  <c:v>0.7601</c:v>
                </c:pt>
                <c:pt idx="2062">
                  <c:v>0.75319999999999998</c:v>
                </c:pt>
                <c:pt idx="2063">
                  <c:v>0.76500000000000001</c:v>
                </c:pt>
                <c:pt idx="2064">
                  <c:v>0.75890000000000002</c:v>
                </c:pt>
                <c:pt idx="2065">
                  <c:v>0.76859999999999995</c:v>
                </c:pt>
                <c:pt idx="2066">
                  <c:v>0.75429999999999997</c:v>
                </c:pt>
                <c:pt idx="2067">
                  <c:v>0.74839999999999995</c:v>
                </c:pt>
                <c:pt idx="2068">
                  <c:v>0.74270000000000003</c:v>
                </c:pt>
                <c:pt idx="2069">
                  <c:v>0.74029999999999996</c:v>
                </c:pt>
                <c:pt idx="2070">
                  <c:v>0.73040000000000005</c:v>
                </c:pt>
                <c:pt idx="2071">
                  <c:v>0.72619999999999996</c:v>
                </c:pt>
                <c:pt idx="2072">
                  <c:v>0.72699999999999998</c:v>
                </c:pt>
                <c:pt idx="2073">
                  <c:v>0.70640000000000003</c:v>
                </c:pt>
                <c:pt idx="2074">
                  <c:v>0.71020000000000005</c:v>
                </c:pt>
                <c:pt idx="2075">
                  <c:v>0.72309999999999997</c:v>
                </c:pt>
                <c:pt idx="2076">
                  <c:v>0.7147</c:v>
                </c:pt>
                <c:pt idx="2077">
                  <c:v>0.70540000000000003</c:v>
                </c:pt>
                <c:pt idx="2078">
                  <c:v>0.71160000000000001</c:v>
                </c:pt>
                <c:pt idx="2079">
                  <c:v>0.6966</c:v>
                </c:pt>
                <c:pt idx="2080">
                  <c:v>0.72209999999999996</c:v>
                </c:pt>
                <c:pt idx="2081">
                  <c:v>0.72060000000000002</c:v>
                </c:pt>
                <c:pt idx="2082">
                  <c:v>0.72840000000000005</c:v>
                </c:pt>
                <c:pt idx="2083">
                  <c:v>0.7238</c:v>
                </c:pt>
                <c:pt idx="2084">
                  <c:v>0.73170000000000002</c:v>
                </c:pt>
                <c:pt idx="2085">
                  <c:v>0.71899999999999997</c:v>
                </c:pt>
                <c:pt idx="2086">
                  <c:v>0.71940000000000004</c:v>
                </c:pt>
                <c:pt idx="2087">
                  <c:v>0.71020000000000005</c:v>
                </c:pt>
                <c:pt idx="2088">
                  <c:v>0.71079999999999999</c:v>
                </c:pt>
                <c:pt idx="2089">
                  <c:v>0.71399999999999997</c:v>
                </c:pt>
                <c:pt idx="2090">
                  <c:v>0.71499999999999997</c:v>
                </c:pt>
                <c:pt idx="2091">
                  <c:v>0.71530000000000005</c:v>
                </c:pt>
                <c:pt idx="2092">
                  <c:v>0.69899999999999995</c:v>
                </c:pt>
                <c:pt idx="2093">
                  <c:v>0.69120000000000004</c:v>
                </c:pt>
                <c:pt idx="2094">
                  <c:v>0.68130000000000002</c:v>
                </c:pt>
                <c:pt idx="2095">
                  <c:v>0.69399999999999995</c:v>
                </c:pt>
                <c:pt idx="2096">
                  <c:v>0.7016</c:v>
                </c:pt>
                <c:pt idx="2097">
                  <c:v>0.69769999999999999</c:v>
                </c:pt>
                <c:pt idx="2098">
                  <c:v>0.69540000000000002</c:v>
                </c:pt>
                <c:pt idx="2099">
                  <c:v>0.70530000000000004</c:v>
                </c:pt>
                <c:pt idx="2100">
                  <c:v>0.68689999999999996</c:v>
                </c:pt>
                <c:pt idx="2101">
                  <c:v>0.68530000000000002</c:v>
                </c:pt>
                <c:pt idx="2102">
                  <c:v>0.67659999999999998</c:v>
                </c:pt>
                <c:pt idx="2103">
                  <c:v>0.66200000000000003</c:v>
                </c:pt>
                <c:pt idx="2104">
                  <c:v>0.65939999999999999</c:v>
                </c:pt>
                <c:pt idx="2105">
                  <c:v>0.65790000000000004</c:v>
                </c:pt>
                <c:pt idx="2106">
                  <c:v>0.65469999999999995</c:v>
                </c:pt>
                <c:pt idx="2107">
                  <c:v>0.65210000000000001</c:v>
                </c:pt>
                <c:pt idx="2108">
                  <c:v>0.64590000000000003</c:v>
                </c:pt>
                <c:pt idx="2109">
                  <c:v>0.63180000000000003</c:v>
                </c:pt>
                <c:pt idx="2110">
                  <c:v>0.64059999999999995</c:v>
                </c:pt>
                <c:pt idx="2111">
                  <c:v>0.63849999999999996</c:v>
                </c:pt>
                <c:pt idx="2112">
                  <c:v>0.64939999999999998</c:v>
                </c:pt>
                <c:pt idx="2113">
                  <c:v>0.63780000000000003</c:v>
                </c:pt>
                <c:pt idx="2114">
                  <c:v>0.62980000000000003</c:v>
                </c:pt>
                <c:pt idx="2115">
                  <c:v>0.63859999999999995</c:v>
                </c:pt>
                <c:pt idx="2116">
                  <c:v>0.64770000000000005</c:v>
                </c:pt>
                <c:pt idx="2117">
                  <c:v>0.64690000000000003</c:v>
                </c:pt>
                <c:pt idx="2118">
                  <c:v>0.65110000000000001</c:v>
                </c:pt>
                <c:pt idx="2119">
                  <c:v>0.64149999999999996</c:v>
                </c:pt>
                <c:pt idx="2120">
                  <c:v>0.64549999999999996</c:v>
                </c:pt>
                <c:pt idx="2121">
                  <c:v>0.64370000000000005</c:v>
                </c:pt>
                <c:pt idx="2122">
                  <c:v>0.63719999999999999</c:v>
                </c:pt>
                <c:pt idx="2123">
                  <c:v>0.63500000000000001</c:v>
                </c:pt>
                <c:pt idx="2124">
                  <c:v>0.6502</c:v>
                </c:pt>
                <c:pt idx="2125">
                  <c:v>0.65559999999999996</c:v>
                </c:pt>
                <c:pt idx="2126">
                  <c:v>0.65239999999999998</c:v>
                </c:pt>
                <c:pt idx="2127">
                  <c:v>0.65590000000000004</c:v>
                </c:pt>
                <c:pt idx="2128">
                  <c:v>0.65490000000000004</c:v>
                </c:pt>
                <c:pt idx="2129">
                  <c:v>0.6784</c:v>
                </c:pt>
                <c:pt idx="2130">
                  <c:v>0.67549999999999999</c:v>
                </c:pt>
                <c:pt idx="2131">
                  <c:v>0.65229999999999999</c:v>
                </c:pt>
                <c:pt idx="2132">
                  <c:v>0.64410000000000001</c:v>
                </c:pt>
                <c:pt idx="2133">
                  <c:v>0.6512</c:v>
                </c:pt>
                <c:pt idx="2134">
                  <c:v>0.63149999999999995</c:v>
                </c:pt>
                <c:pt idx="2135">
                  <c:v>0.63759999999999994</c:v>
                </c:pt>
                <c:pt idx="2136">
                  <c:v>0.6522</c:v>
                </c:pt>
                <c:pt idx="2137">
                  <c:v>0.66600000000000004</c:v>
                </c:pt>
                <c:pt idx="2138">
                  <c:v>0.66149999999999998</c:v>
                </c:pt>
                <c:pt idx="2139">
                  <c:v>0.65990000000000004</c:v>
                </c:pt>
                <c:pt idx="2140">
                  <c:v>0.65380000000000005</c:v>
                </c:pt>
                <c:pt idx="2141">
                  <c:v>0.65539999999999998</c:v>
                </c:pt>
                <c:pt idx="2142">
                  <c:v>0.66200000000000003</c:v>
                </c:pt>
                <c:pt idx="2143">
                  <c:v>0.65069999999999995</c:v>
                </c:pt>
                <c:pt idx="2144">
                  <c:v>0.66690000000000005</c:v>
                </c:pt>
                <c:pt idx="2145">
                  <c:v>0.67330000000000001</c:v>
                </c:pt>
                <c:pt idx="2146">
                  <c:v>0.66300000000000003</c:v>
                </c:pt>
                <c:pt idx="2147">
                  <c:v>0.6613</c:v>
                </c:pt>
                <c:pt idx="2148">
                  <c:v>0.66490000000000005</c:v>
                </c:pt>
                <c:pt idx="2149">
                  <c:v>0.68179999999999996</c:v>
                </c:pt>
                <c:pt idx="2150">
                  <c:v>0.70369999999999999</c:v>
                </c:pt>
                <c:pt idx="2151">
                  <c:v>0.71199999999999997</c:v>
                </c:pt>
                <c:pt idx="2152">
                  <c:v>0.71279999999999999</c:v>
                </c:pt>
                <c:pt idx="2153">
                  <c:v>0.72319999999999995</c:v>
                </c:pt>
                <c:pt idx="2154">
                  <c:v>0.71719999999999995</c:v>
                </c:pt>
                <c:pt idx="2155">
                  <c:v>0.71140000000000003</c:v>
                </c:pt>
                <c:pt idx="2156">
                  <c:v>0.70540000000000003</c:v>
                </c:pt>
                <c:pt idx="2157">
                  <c:v>0.7026</c:v>
                </c:pt>
                <c:pt idx="2158">
                  <c:v>0.69169999999999998</c:v>
                </c:pt>
                <c:pt idx="2159">
                  <c:v>0.68530000000000002</c:v>
                </c:pt>
                <c:pt idx="2160">
                  <c:v>0.6845</c:v>
                </c:pt>
                <c:pt idx="2161">
                  <c:v>0.68300000000000005</c:v>
                </c:pt>
                <c:pt idx="2162">
                  <c:v>0.68300000000000005</c:v>
                </c:pt>
                <c:pt idx="2163">
                  <c:v>0.68059999999999998</c:v>
                </c:pt>
                <c:pt idx="2164">
                  <c:v>0.68400000000000005</c:v>
                </c:pt>
                <c:pt idx="2165">
                  <c:v>0.6804</c:v>
                </c:pt>
                <c:pt idx="2166">
                  <c:v>0.6865</c:v>
                </c:pt>
                <c:pt idx="2167">
                  <c:v>0.70379999999999998</c:v>
                </c:pt>
                <c:pt idx="2168">
                  <c:v>0.69440000000000002</c:v>
                </c:pt>
                <c:pt idx="2169">
                  <c:v>0.66869999999999996</c:v>
                </c:pt>
                <c:pt idx="2170">
                  <c:v>0.66420000000000001</c:v>
                </c:pt>
                <c:pt idx="2171">
                  <c:v>0.67210000000000003</c:v>
                </c:pt>
                <c:pt idx="2172">
                  <c:v>0.65580000000000005</c:v>
                </c:pt>
                <c:pt idx="2173">
                  <c:v>0.65869999999999995</c:v>
                </c:pt>
                <c:pt idx="2174">
                  <c:v>0.66459999999999997</c:v>
                </c:pt>
                <c:pt idx="2175">
                  <c:v>0.64549999999999996</c:v>
                </c:pt>
                <c:pt idx="2176">
                  <c:v>0.64449999999999996</c:v>
                </c:pt>
                <c:pt idx="2177">
                  <c:v>0.64870000000000005</c:v>
                </c:pt>
                <c:pt idx="2178">
                  <c:v>0.64290000000000003</c:v>
                </c:pt>
                <c:pt idx="2179">
                  <c:v>0.64029999999999998</c:v>
                </c:pt>
                <c:pt idx="2180">
                  <c:v>0.65510000000000002</c:v>
                </c:pt>
                <c:pt idx="2181">
                  <c:v>0.65710000000000002</c:v>
                </c:pt>
                <c:pt idx="2182">
                  <c:v>0.65229999999999999</c:v>
                </c:pt>
                <c:pt idx="2183">
                  <c:v>0.64929999999999999</c:v>
                </c:pt>
                <c:pt idx="2184">
                  <c:v>0.65369999999999995</c:v>
                </c:pt>
                <c:pt idx="2185">
                  <c:v>0.63200000000000001</c:v>
                </c:pt>
                <c:pt idx="2186">
                  <c:v>0.61040000000000005</c:v>
                </c:pt>
                <c:pt idx="2187">
                  <c:v>0.63660000000000005</c:v>
                </c:pt>
                <c:pt idx="2188">
                  <c:v>0.65249999999999997</c:v>
                </c:pt>
                <c:pt idx="2189">
                  <c:v>0.64890000000000003</c:v>
                </c:pt>
                <c:pt idx="2190">
                  <c:v>0.64839999999999998</c:v>
                </c:pt>
                <c:pt idx="2191">
                  <c:v>0.66620000000000001</c:v>
                </c:pt>
                <c:pt idx="2192">
                  <c:v>0.64070000000000005</c:v>
                </c:pt>
                <c:pt idx="2193">
                  <c:v>0.65710000000000002</c:v>
                </c:pt>
                <c:pt idx="2194">
                  <c:v>0.66969999999999996</c:v>
                </c:pt>
                <c:pt idx="2195">
                  <c:v>0.67420000000000002</c:v>
                </c:pt>
                <c:pt idx="2196">
                  <c:v>0.66539999999999999</c:v>
                </c:pt>
                <c:pt idx="2197">
                  <c:v>0.68169999999999997</c:v>
                </c:pt>
                <c:pt idx="2198">
                  <c:v>0.69789999999999996</c:v>
                </c:pt>
                <c:pt idx="2199">
                  <c:v>0.67659999999999998</c:v>
                </c:pt>
                <c:pt idx="2200">
                  <c:v>0.66769999999999996</c:v>
                </c:pt>
                <c:pt idx="2201">
                  <c:v>0.68240000000000001</c:v>
                </c:pt>
                <c:pt idx="2202">
                  <c:v>0.66800000000000004</c:v>
                </c:pt>
                <c:pt idx="2203">
                  <c:v>0.64180000000000004</c:v>
                </c:pt>
                <c:pt idx="2204">
                  <c:v>0.60129999999999995</c:v>
                </c:pt>
                <c:pt idx="2205">
                  <c:v>0.62209999999999999</c:v>
                </c:pt>
                <c:pt idx="2206">
                  <c:v>0.66930000000000001</c:v>
                </c:pt>
                <c:pt idx="2207">
                  <c:v>0.67320000000000002</c:v>
                </c:pt>
                <c:pt idx="2208">
                  <c:v>0.67110000000000003</c:v>
                </c:pt>
                <c:pt idx="2209">
                  <c:v>0.70399999999999996</c:v>
                </c:pt>
                <c:pt idx="2210">
                  <c:v>0.68869999999999998</c:v>
                </c:pt>
                <c:pt idx="2211">
                  <c:v>0.69020000000000004</c:v>
                </c:pt>
                <c:pt idx="2212">
                  <c:v>0.66149999999999998</c:v>
                </c:pt>
                <c:pt idx="2213">
                  <c:v>0.69620000000000004</c:v>
                </c:pt>
                <c:pt idx="2214">
                  <c:v>0.69840000000000002</c:v>
                </c:pt>
                <c:pt idx="2215">
                  <c:v>0.64349999999999996</c:v>
                </c:pt>
                <c:pt idx="2216">
                  <c:v>0.68420000000000003</c:v>
                </c:pt>
                <c:pt idx="2217">
                  <c:v>0.6643</c:v>
                </c:pt>
                <c:pt idx="2218">
                  <c:v>0.70599999999999996</c:v>
                </c:pt>
                <c:pt idx="2219">
                  <c:v>0.72230000000000005</c:v>
                </c:pt>
                <c:pt idx="2220">
                  <c:v>0.77400000000000002</c:v>
                </c:pt>
                <c:pt idx="2221">
                  <c:v>0.77270000000000005</c:v>
                </c:pt>
                <c:pt idx="2222">
                  <c:v>0.78739999999999999</c:v>
                </c:pt>
                <c:pt idx="2223">
                  <c:v>0.79239999999999999</c:v>
                </c:pt>
                <c:pt idx="2224">
                  <c:v>0.80449999999999999</c:v>
                </c:pt>
                <c:pt idx="2225">
                  <c:v>0.83099999999999996</c:v>
                </c:pt>
                <c:pt idx="2226">
                  <c:v>0.83530000000000004</c:v>
                </c:pt>
                <c:pt idx="2227">
                  <c:v>0.83399999999999996</c:v>
                </c:pt>
                <c:pt idx="2228">
                  <c:v>0.83289999999999997</c:v>
                </c:pt>
                <c:pt idx="2229">
                  <c:v>0.84419999999999995</c:v>
                </c:pt>
                <c:pt idx="2230">
                  <c:v>0.83450000000000002</c:v>
                </c:pt>
                <c:pt idx="2231">
                  <c:v>0.80479999999999996</c:v>
                </c:pt>
                <c:pt idx="2232">
                  <c:v>0.79049999999999998</c:v>
                </c:pt>
                <c:pt idx="2233">
                  <c:v>0.80069999999999997</c:v>
                </c:pt>
                <c:pt idx="2234">
                  <c:v>0.80640000000000001</c:v>
                </c:pt>
                <c:pt idx="2235">
                  <c:v>0.82369999999999999</c:v>
                </c:pt>
                <c:pt idx="2236">
                  <c:v>0.80700000000000005</c:v>
                </c:pt>
                <c:pt idx="2237">
                  <c:v>0.80169999999999997</c:v>
                </c:pt>
                <c:pt idx="2238">
                  <c:v>0.80220000000000002</c:v>
                </c:pt>
                <c:pt idx="2239">
                  <c:v>0.8165</c:v>
                </c:pt>
                <c:pt idx="2240">
                  <c:v>0.81579999999999997</c:v>
                </c:pt>
                <c:pt idx="2241">
                  <c:v>0.82299999999999995</c:v>
                </c:pt>
                <c:pt idx="2242">
                  <c:v>0.83589999999999998</c:v>
                </c:pt>
                <c:pt idx="2243">
                  <c:v>0.83779999999999999</c:v>
                </c:pt>
                <c:pt idx="2244">
                  <c:v>0.85350000000000004</c:v>
                </c:pt>
                <c:pt idx="2245">
                  <c:v>0.85860000000000003</c:v>
                </c:pt>
                <c:pt idx="2246">
                  <c:v>0.86250000000000004</c:v>
                </c:pt>
                <c:pt idx="2247">
                  <c:v>0.8589</c:v>
                </c:pt>
                <c:pt idx="2248">
                  <c:v>0.85540000000000005</c:v>
                </c:pt>
                <c:pt idx="2249">
                  <c:v>0.86270000000000002</c:v>
                </c:pt>
                <c:pt idx="2250">
                  <c:v>0.86650000000000005</c:v>
                </c:pt>
                <c:pt idx="2251">
                  <c:v>0.88070000000000004</c:v>
                </c:pt>
                <c:pt idx="2252">
                  <c:v>0.87360000000000004</c:v>
                </c:pt>
                <c:pt idx="2253">
                  <c:v>0.87139999999999995</c:v>
                </c:pt>
                <c:pt idx="2254">
                  <c:v>0.86819999999999997</c:v>
                </c:pt>
                <c:pt idx="2255">
                  <c:v>0.86639999999999995</c:v>
                </c:pt>
                <c:pt idx="2256">
                  <c:v>0.87190000000000001</c:v>
                </c:pt>
                <c:pt idx="2257">
                  <c:v>0.87450000000000006</c:v>
                </c:pt>
                <c:pt idx="2258">
                  <c:v>0.87339999999999995</c:v>
                </c:pt>
                <c:pt idx="2259">
                  <c:v>0.88380000000000003</c:v>
                </c:pt>
                <c:pt idx="2260">
                  <c:v>0.88939999999999997</c:v>
                </c:pt>
                <c:pt idx="2261">
                  <c:v>0.90649999999999997</c:v>
                </c:pt>
                <c:pt idx="2262">
                  <c:v>0.9083</c:v>
                </c:pt>
                <c:pt idx="2263">
                  <c:v>0.91610000000000003</c:v>
                </c:pt>
                <c:pt idx="2264">
                  <c:v>0.92930000000000001</c:v>
                </c:pt>
                <c:pt idx="2265">
                  <c:v>0.92910000000000004</c:v>
                </c:pt>
                <c:pt idx="2266">
                  <c:v>0.94220000000000004</c:v>
                </c:pt>
                <c:pt idx="2267">
                  <c:v>0.94430000000000003</c:v>
                </c:pt>
                <c:pt idx="2268">
                  <c:v>0.95279999999999998</c:v>
                </c:pt>
                <c:pt idx="2269">
                  <c:v>0.95669999999999999</c:v>
                </c:pt>
                <c:pt idx="2270">
                  <c:v>0.95630000000000004</c:v>
                </c:pt>
                <c:pt idx="2271">
                  <c:v>0.95850000000000002</c:v>
                </c:pt>
                <c:pt idx="2272">
                  <c:v>0.96189999999999998</c:v>
                </c:pt>
                <c:pt idx="2273">
                  <c:v>0.97130000000000005</c:v>
                </c:pt>
                <c:pt idx="2274">
                  <c:v>0.97709999999999997</c:v>
                </c:pt>
                <c:pt idx="2275">
                  <c:v>0.97040000000000004</c:v>
                </c:pt>
                <c:pt idx="2276">
                  <c:v>0.97619999999999996</c:v>
                </c:pt>
                <c:pt idx="2277">
                  <c:v>0.9748</c:v>
                </c:pt>
                <c:pt idx="2278">
                  <c:v>0.97940000000000005</c:v>
                </c:pt>
                <c:pt idx="2279">
                  <c:v>0.9718</c:v>
                </c:pt>
                <c:pt idx="2280">
                  <c:v>0.96619999999999995</c:v>
                </c:pt>
                <c:pt idx="2281">
                  <c:v>0.96189999999999998</c:v>
                </c:pt>
                <c:pt idx="2282">
                  <c:v>0.95709999999999995</c:v>
                </c:pt>
                <c:pt idx="2283">
                  <c:v>0.95350000000000001</c:v>
                </c:pt>
                <c:pt idx="2284">
                  <c:v>0.95640000000000003</c:v>
                </c:pt>
                <c:pt idx="2285">
                  <c:v>0.96319999999999995</c:v>
                </c:pt>
                <c:pt idx="2286">
                  <c:v>0.96020000000000005</c:v>
                </c:pt>
                <c:pt idx="2287">
                  <c:v>0.96189999999999998</c:v>
                </c:pt>
                <c:pt idx="2288">
                  <c:v>0.95509999999999995</c:v>
                </c:pt>
                <c:pt idx="2289">
                  <c:v>0.95840000000000003</c:v>
                </c:pt>
                <c:pt idx="2290">
                  <c:v>0.96079999999999999</c:v>
                </c:pt>
                <c:pt idx="2291">
                  <c:v>0.95569999999999999</c:v>
                </c:pt>
                <c:pt idx="2292">
                  <c:v>0.9597</c:v>
                </c:pt>
                <c:pt idx="2293">
                  <c:v>0.95509999999999995</c:v>
                </c:pt>
                <c:pt idx="2294">
                  <c:v>0.95199999999999996</c:v>
                </c:pt>
                <c:pt idx="2295">
                  <c:v>0.95330000000000004</c:v>
                </c:pt>
                <c:pt idx="2296">
                  <c:v>0.95099999999999996</c:v>
                </c:pt>
                <c:pt idx="2297">
                  <c:v>0.94710000000000005</c:v>
                </c:pt>
                <c:pt idx="2298">
                  <c:v>0.94369999999999998</c:v>
                </c:pt>
                <c:pt idx="2299">
                  <c:v>0.94069999999999998</c:v>
                </c:pt>
                <c:pt idx="2300">
                  <c:v>0.93910000000000005</c:v>
                </c:pt>
                <c:pt idx="2301">
                  <c:v>0.93430000000000002</c:v>
                </c:pt>
                <c:pt idx="2302">
                  <c:v>0.94689999999999996</c:v>
                </c:pt>
                <c:pt idx="2303">
                  <c:v>0.94599999999999995</c:v>
                </c:pt>
                <c:pt idx="2304">
                  <c:v>0.95040000000000002</c:v>
                </c:pt>
                <c:pt idx="2305">
                  <c:v>0.96279999999999999</c:v>
                </c:pt>
                <c:pt idx="2306">
                  <c:v>0.95899999999999996</c:v>
                </c:pt>
                <c:pt idx="2307">
                  <c:v>0.95740000000000003</c:v>
                </c:pt>
                <c:pt idx="2308">
                  <c:v>0.95240000000000002</c:v>
                </c:pt>
                <c:pt idx="2309">
                  <c:v>0.95530000000000004</c:v>
                </c:pt>
                <c:pt idx="2310">
                  <c:v>0.95589999999999997</c:v>
                </c:pt>
                <c:pt idx="2311">
                  <c:v>0.95550000000000002</c:v>
                </c:pt>
                <c:pt idx="2312">
                  <c:v>0.9627</c:v>
                </c:pt>
                <c:pt idx="2313">
                  <c:v>0.95879999999999999</c:v>
                </c:pt>
                <c:pt idx="2314">
                  <c:v>0.96079999999999999</c:v>
                </c:pt>
                <c:pt idx="2315">
                  <c:v>0.95940000000000003</c:v>
                </c:pt>
                <c:pt idx="2316">
                  <c:v>0.95550000000000002</c:v>
                </c:pt>
                <c:pt idx="2317">
                  <c:v>0.96230000000000004</c:v>
                </c:pt>
                <c:pt idx="2318">
                  <c:v>0.95860000000000001</c:v>
                </c:pt>
                <c:pt idx="2319">
                  <c:v>0.95340000000000003</c:v>
                </c:pt>
                <c:pt idx="2320">
                  <c:v>0.9556</c:v>
                </c:pt>
                <c:pt idx="2321">
                  <c:v>0.94040000000000001</c:v>
                </c:pt>
                <c:pt idx="2322">
                  <c:v>0.93410000000000004</c:v>
                </c:pt>
                <c:pt idx="2323">
                  <c:v>0.94020000000000004</c:v>
                </c:pt>
                <c:pt idx="2324">
                  <c:v>0.94769999999999999</c:v>
                </c:pt>
                <c:pt idx="2325">
                  <c:v>0.94330000000000003</c:v>
                </c:pt>
                <c:pt idx="2326">
                  <c:v>0.94350000000000001</c:v>
                </c:pt>
                <c:pt idx="2327">
                  <c:v>0.94210000000000005</c:v>
                </c:pt>
                <c:pt idx="2328">
                  <c:v>0.9496</c:v>
                </c:pt>
                <c:pt idx="2329">
                  <c:v>0.9466</c:v>
                </c:pt>
                <c:pt idx="2330">
                  <c:v>0.93469999999999998</c:v>
                </c:pt>
                <c:pt idx="2331">
                  <c:v>0.93340000000000001</c:v>
                </c:pt>
                <c:pt idx="2332">
                  <c:v>0.94369999999999998</c:v>
                </c:pt>
                <c:pt idx="2333">
                  <c:v>0.93400000000000005</c:v>
                </c:pt>
                <c:pt idx="2334">
                  <c:v>0.93899999999999995</c:v>
                </c:pt>
                <c:pt idx="2335">
                  <c:v>0.93320000000000003</c:v>
                </c:pt>
                <c:pt idx="2336">
                  <c:v>0.93969999999999998</c:v>
                </c:pt>
                <c:pt idx="2337">
                  <c:v>0.94910000000000005</c:v>
                </c:pt>
                <c:pt idx="2338">
                  <c:v>0.94479999999999997</c:v>
                </c:pt>
                <c:pt idx="2339">
                  <c:v>0.94269999999999998</c:v>
                </c:pt>
                <c:pt idx="2340">
                  <c:v>0.93440000000000001</c:v>
                </c:pt>
                <c:pt idx="2341">
                  <c:v>0.93759999999999999</c:v>
                </c:pt>
                <c:pt idx="2342">
                  <c:v>0.93959999999999999</c:v>
                </c:pt>
                <c:pt idx="2343">
                  <c:v>0.9264</c:v>
                </c:pt>
                <c:pt idx="2344">
                  <c:v>0.92669999999999997</c:v>
                </c:pt>
                <c:pt idx="2345">
                  <c:v>0.92769999999999997</c:v>
                </c:pt>
                <c:pt idx="2346">
                  <c:v>0.93220000000000003</c:v>
                </c:pt>
                <c:pt idx="2347">
                  <c:v>0.9284</c:v>
                </c:pt>
                <c:pt idx="2348">
                  <c:v>0.93189999999999995</c:v>
                </c:pt>
                <c:pt idx="2349">
                  <c:v>0.92579999999999996</c:v>
                </c:pt>
                <c:pt idx="2350">
                  <c:v>0.92249999999999999</c:v>
                </c:pt>
                <c:pt idx="2351">
                  <c:v>0.91639999999999999</c:v>
                </c:pt>
                <c:pt idx="2352">
                  <c:v>0.91410000000000002</c:v>
                </c:pt>
                <c:pt idx="2353">
                  <c:v>0.9073</c:v>
                </c:pt>
                <c:pt idx="2354">
                  <c:v>0.91300000000000003</c:v>
                </c:pt>
                <c:pt idx="2355">
                  <c:v>0.91739999999999999</c:v>
                </c:pt>
                <c:pt idx="2356">
                  <c:v>0.91890000000000005</c:v>
                </c:pt>
                <c:pt idx="2357">
                  <c:v>0.92</c:v>
                </c:pt>
                <c:pt idx="2358">
                  <c:v>0.91739999999999999</c:v>
                </c:pt>
                <c:pt idx="2359">
                  <c:v>0.90639999999999998</c:v>
                </c:pt>
                <c:pt idx="2360">
                  <c:v>0.90169999999999995</c:v>
                </c:pt>
                <c:pt idx="2361">
                  <c:v>0.8992</c:v>
                </c:pt>
                <c:pt idx="2362">
                  <c:v>0.91439999999999999</c:v>
                </c:pt>
                <c:pt idx="2363">
                  <c:v>0.92700000000000005</c:v>
                </c:pt>
                <c:pt idx="2364">
                  <c:v>0.92190000000000005</c:v>
                </c:pt>
                <c:pt idx="2365">
                  <c:v>0.93710000000000004</c:v>
                </c:pt>
                <c:pt idx="2366">
                  <c:v>0.94679999999999997</c:v>
                </c:pt>
                <c:pt idx="2367">
                  <c:v>0.93320000000000003</c:v>
                </c:pt>
                <c:pt idx="2368">
                  <c:v>0.92889999999999995</c:v>
                </c:pt>
                <c:pt idx="2369">
                  <c:v>0.91620000000000001</c:v>
                </c:pt>
                <c:pt idx="2370">
                  <c:v>0.92679999999999996</c:v>
                </c:pt>
                <c:pt idx="2371">
                  <c:v>0.92620000000000002</c:v>
                </c:pt>
                <c:pt idx="2372">
                  <c:v>0.93420000000000003</c:v>
                </c:pt>
                <c:pt idx="2373">
                  <c:v>0.92759999999999998</c:v>
                </c:pt>
                <c:pt idx="2374">
                  <c:v>0.9395</c:v>
                </c:pt>
                <c:pt idx="2375">
                  <c:v>0.93079999999999996</c:v>
                </c:pt>
                <c:pt idx="2376">
                  <c:v>0.94879999999999998</c:v>
                </c:pt>
                <c:pt idx="2377">
                  <c:v>0.94159999999999999</c:v>
                </c:pt>
                <c:pt idx="2378">
                  <c:v>0.93379999999999996</c:v>
                </c:pt>
                <c:pt idx="2379">
                  <c:v>0.92669999999999997</c:v>
                </c:pt>
                <c:pt idx="2380">
                  <c:v>0.9234</c:v>
                </c:pt>
                <c:pt idx="2381">
                  <c:v>0.91879999999999995</c:v>
                </c:pt>
                <c:pt idx="2382">
                  <c:v>0.91839999999999999</c:v>
                </c:pt>
                <c:pt idx="2383">
                  <c:v>0.91879999999999995</c:v>
                </c:pt>
                <c:pt idx="2384">
                  <c:v>0.91359999999999997</c:v>
                </c:pt>
                <c:pt idx="2385">
                  <c:v>0.90900000000000003</c:v>
                </c:pt>
                <c:pt idx="2386">
                  <c:v>0.90190000000000003</c:v>
                </c:pt>
                <c:pt idx="2387">
                  <c:v>0.89600000000000002</c:v>
                </c:pt>
                <c:pt idx="2388">
                  <c:v>0.90339999999999998</c:v>
                </c:pt>
                <c:pt idx="2389">
                  <c:v>0.90359999999999996</c:v>
                </c:pt>
                <c:pt idx="2390">
                  <c:v>0.89539999999999997</c:v>
                </c:pt>
                <c:pt idx="2391">
                  <c:v>0.89470000000000005</c:v>
                </c:pt>
                <c:pt idx="2392">
                  <c:v>0.89610000000000001</c:v>
                </c:pt>
                <c:pt idx="2393">
                  <c:v>0.8972</c:v>
                </c:pt>
                <c:pt idx="2394">
                  <c:v>0.90800000000000003</c:v>
                </c:pt>
                <c:pt idx="2395">
                  <c:v>0.90410000000000001</c:v>
                </c:pt>
                <c:pt idx="2396">
                  <c:v>0.89570000000000005</c:v>
                </c:pt>
                <c:pt idx="2397">
                  <c:v>0.89370000000000005</c:v>
                </c:pt>
                <c:pt idx="2398">
                  <c:v>0.88939999999999997</c:v>
                </c:pt>
                <c:pt idx="2399">
                  <c:v>0.88880000000000003</c:v>
                </c:pt>
                <c:pt idx="2400">
                  <c:v>0.87970000000000004</c:v>
                </c:pt>
                <c:pt idx="2401">
                  <c:v>0.88180000000000003</c:v>
                </c:pt>
                <c:pt idx="2402">
                  <c:v>0.87329999999999997</c:v>
                </c:pt>
                <c:pt idx="2403">
                  <c:v>0.86839999999999995</c:v>
                </c:pt>
                <c:pt idx="2404">
                  <c:v>0.86150000000000004</c:v>
                </c:pt>
                <c:pt idx="2405">
                  <c:v>0.87909999999999999</c:v>
                </c:pt>
                <c:pt idx="2406">
                  <c:v>0.87660000000000005</c:v>
                </c:pt>
                <c:pt idx="2407">
                  <c:v>0.87990000000000002</c:v>
                </c:pt>
                <c:pt idx="2408">
                  <c:v>0.88100000000000001</c:v>
                </c:pt>
                <c:pt idx="2409">
                  <c:v>0.89949999999999997</c:v>
                </c:pt>
                <c:pt idx="2410">
                  <c:v>0.89080000000000004</c:v>
                </c:pt>
                <c:pt idx="2411">
                  <c:v>0.89549999999999996</c:v>
                </c:pt>
                <c:pt idx="2412">
                  <c:v>0.8831</c:v>
                </c:pt>
                <c:pt idx="2413">
                  <c:v>0.87860000000000005</c:v>
                </c:pt>
                <c:pt idx="2414">
                  <c:v>0.873</c:v>
                </c:pt>
                <c:pt idx="2415">
                  <c:v>0.87219999999999998</c:v>
                </c:pt>
                <c:pt idx="2416">
                  <c:v>0.88029999999999997</c:v>
                </c:pt>
                <c:pt idx="2417">
                  <c:v>0.88370000000000004</c:v>
                </c:pt>
                <c:pt idx="2418">
                  <c:v>0.87619999999999998</c:v>
                </c:pt>
                <c:pt idx="2419">
                  <c:v>0.87490000000000001</c:v>
                </c:pt>
                <c:pt idx="2420">
                  <c:v>0.876</c:v>
                </c:pt>
                <c:pt idx="2421">
                  <c:v>0.878</c:v>
                </c:pt>
                <c:pt idx="2422">
                  <c:v>0.87419999999999998</c:v>
                </c:pt>
                <c:pt idx="2423">
                  <c:v>0.87129999999999996</c:v>
                </c:pt>
                <c:pt idx="2424">
                  <c:v>0.87150000000000005</c:v>
                </c:pt>
                <c:pt idx="2425">
                  <c:v>0.86739999999999995</c:v>
                </c:pt>
                <c:pt idx="2426">
                  <c:v>0.85880000000000001</c:v>
                </c:pt>
                <c:pt idx="2427">
                  <c:v>0.85899999999999999</c:v>
                </c:pt>
                <c:pt idx="2428">
                  <c:v>0.86050000000000004</c:v>
                </c:pt>
                <c:pt idx="2429">
                  <c:v>0.85699999999999998</c:v>
                </c:pt>
                <c:pt idx="2430">
                  <c:v>0.86080000000000001</c:v>
                </c:pt>
                <c:pt idx="2431">
                  <c:v>0.87590000000000001</c:v>
                </c:pt>
                <c:pt idx="2432">
                  <c:v>0.88339999999999996</c:v>
                </c:pt>
                <c:pt idx="2433">
                  <c:v>0.87329999999999997</c:v>
                </c:pt>
                <c:pt idx="2434">
                  <c:v>0.88500000000000001</c:v>
                </c:pt>
                <c:pt idx="2435">
                  <c:v>0.87619999999999998</c:v>
                </c:pt>
                <c:pt idx="2436">
                  <c:v>0.87880000000000003</c:v>
                </c:pt>
                <c:pt idx="2437">
                  <c:v>0.86990000000000001</c:v>
                </c:pt>
                <c:pt idx="2438">
                  <c:v>0.874</c:v>
                </c:pt>
                <c:pt idx="2439">
                  <c:v>0.88060000000000005</c:v>
                </c:pt>
                <c:pt idx="2440">
                  <c:v>0.88429999999999997</c:v>
                </c:pt>
                <c:pt idx="2441">
                  <c:v>0.88139999999999996</c:v>
                </c:pt>
                <c:pt idx="2442">
                  <c:v>0.88959999999999995</c:v>
                </c:pt>
                <c:pt idx="2443">
                  <c:v>0.877</c:v>
                </c:pt>
                <c:pt idx="2444">
                  <c:v>0.87070000000000003</c:v>
                </c:pt>
                <c:pt idx="2445">
                  <c:v>0.87780000000000002</c:v>
                </c:pt>
                <c:pt idx="2446">
                  <c:v>0.87150000000000005</c:v>
                </c:pt>
                <c:pt idx="2447">
                  <c:v>0.87080000000000002</c:v>
                </c:pt>
                <c:pt idx="2448">
                  <c:v>0.89270000000000005</c:v>
                </c:pt>
                <c:pt idx="2449">
                  <c:v>0.88400000000000001</c:v>
                </c:pt>
                <c:pt idx="2450">
                  <c:v>0.89300000000000002</c:v>
                </c:pt>
                <c:pt idx="2451">
                  <c:v>0.88560000000000005</c:v>
                </c:pt>
                <c:pt idx="2452">
                  <c:v>0.8952</c:v>
                </c:pt>
                <c:pt idx="2453">
                  <c:v>0.89580000000000004</c:v>
                </c:pt>
                <c:pt idx="2454">
                  <c:v>0.87749999999999995</c:v>
                </c:pt>
                <c:pt idx="2455">
                  <c:v>0.9113</c:v>
                </c:pt>
                <c:pt idx="2456">
                  <c:v>0.92720000000000002</c:v>
                </c:pt>
                <c:pt idx="2457">
                  <c:v>0.92800000000000005</c:v>
                </c:pt>
                <c:pt idx="2458">
                  <c:v>0.92889999999999995</c:v>
                </c:pt>
                <c:pt idx="2459">
                  <c:v>0.92069999999999996</c:v>
                </c:pt>
                <c:pt idx="2460">
                  <c:v>0.92320000000000002</c:v>
                </c:pt>
                <c:pt idx="2461">
                  <c:v>0.9123</c:v>
                </c:pt>
                <c:pt idx="2462">
                  <c:v>0.93430000000000002</c:v>
                </c:pt>
                <c:pt idx="2463">
                  <c:v>0.91879999999999995</c:v>
                </c:pt>
                <c:pt idx="2464">
                  <c:v>0.92130000000000001</c:v>
                </c:pt>
                <c:pt idx="2465">
                  <c:v>0.91830000000000001</c:v>
                </c:pt>
                <c:pt idx="2466">
                  <c:v>0.90890000000000004</c:v>
                </c:pt>
                <c:pt idx="2467">
                  <c:v>0.90300000000000002</c:v>
                </c:pt>
                <c:pt idx="2468">
                  <c:v>0.89859999999999995</c:v>
                </c:pt>
                <c:pt idx="2469">
                  <c:v>0.8861</c:v>
                </c:pt>
                <c:pt idx="2470">
                  <c:v>0.89059999999999995</c:v>
                </c:pt>
                <c:pt idx="2471">
                  <c:v>0.89600000000000002</c:v>
                </c:pt>
                <c:pt idx="2472">
                  <c:v>0.8871</c:v>
                </c:pt>
                <c:pt idx="2473">
                  <c:v>0.88800000000000001</c:v>
                </c:pt>
                <c:pt idx="2474">
                  <c:v>0.89880000000000004</c:v>
                </c:pt>
                <c:pt idx="2475">
                  <c:v>0.90300000000000002</c:v>
                </c:pt>
                <c:pt idx="2476">
                  <c:v>0.89970000000000006</c:v>
                </c:pt>
                <c:pt idx="2477">
                  <c:v>0.89780000000000004</c:v>
                </c:pt>
                <c:pt idx="2478">
                  <c:v>0.89880000000000004</c:v>
                </c:pt>
                <c:pt idx="2479">
                  <c:v>0.89249999999999996</c:v>
                </c:pt>
                <c:pt idx="2480">
                  <c:v>0.89700000000000002</c:v>
                </c:pt>
                <c:pt idx="2481">
                  <c:v>0.88749999999999996</c:v>
                </c:pt>
                <c:pt idx="2482">
                  <c:v>0.88200000000000001</c:v>
                </c:pt>
                <c:pt idx="2483">
                  <c:v>0.88500000000000001</c:v>
                </c:pt>
                <c:pt idx="2484">
                  <c:v>0.89429999999999998</c:v>
                </c:pt>
                <c:pt idx="2485">
                  <c:v>0.88770000000000004</c:v>
                </c:pt>
                <c:pt idx="2486">
                  <c:v>0.87960000000000005</c:v>
                </c:pt>
                <c:pt idx="2487">
                  <c:v>0.87580000000000002</c:v>
                </c:pt>
                <c:pt idx="2488">
                  <c:v>0.873</c:v>
                </c:pt>
                <c:pt idx="2489">
                  <c:v>0.86739999999999995</c:v>
                </c:pt>
                <c:pt idx="2490">
                  <c:v>0.86499999999999999</c:v>
                </c:pt>
                <c:pt idx="2491">
                  <c:v>0.86360000000000003</c:v>
                </c:pt>
                <c:pt idx="2492">
                  <c:v>0.85599999999999998</c:v>
                </c:pt>
                <c:pt idx="2493">
                  <c:v>0.8518</c:v>
                </c:pt>
                <c:pt idx="2494">
                  <c:v>0.83289999999999997</c:v>
                </c:pt>
                <c:pt idx="2495">
                  <c:v>0.8427</c:v>
                </c:pt>
                <c:pt idx="2496">
                  <c:v>0.84079999999999999</c:v>
                </c:pt>
                <c:pt idx="2497">
                  <c:v>0.84209999999999996</c:v>
                </c:pt>
                <c:pt idx="2498">
                  <c:v>0.83420000000000005</c:v>
                </c:pt>
                <c:pt idx="2499">
                  <c:v>0.82640000000000002</c:v>
                </c:pt>
                <c:pt idx="2500">
                  <c:v>0.82640000000000002</c:v>
                </c:pt>
                <c:pt idx="2501">
                  <c:v>0.8286</c:v>
                </c:pt>
                <c:pt idx="2502">
                  <c:v>0.8226</c:v>
                </c:pt>
                <c:pt idx="2503">
                  <c:v>0.82440000000000002</c:v>
                </c:pt>
                <c:pt idx="2504">
                  <c:v>0.8206</c:v>
                </c:pt>
                <c:pt idx="2505">
                  <c:v>0.81850000000000001</c:v>
                </c:pt>
                <c:pt idx="2506">
                  <c:v>0.81520000000000004</c:v>
                </c:pt>
                <c:pt idx="2507">
                  <c:v>0.81910000000000005</c:v>
                </c:pt>
                <c:pt idx="2508">
                  <c:v>0.81759999999999999</c:v>
                </c:pt>
                <c:pt idx="2509">
                  <c:v>0.83020000000000005</c:v>
                </c:pt>
                <c:pt idx="2510">
                  <c:v>0.82630000000000003</c:v>
                </c:pt>
                <c:pt idx="2511">
                  <c:v>0.81850000000000001</c:v>
                </c:pt>
                <c:pt idx="2512">
                  <c:v>0.80620000000000003</c:v>
                </c:pt>
                <c:pt idx="2513">
                  <c:v>0.80149999999999999</c:v>
                </c:pt>
                <c:pt idx="2514">
                  <c:v>0.80659999999999998</c:v>
                </c:pt>
                <c:pt idx="2515">
                  <c:v>0.79720000000000002</c:v>
                </c:pt>
                <c:pt idx="2516">
                  <c:v>0.78580000000000005</c:v>
                </c:pt>
                <c:pt idx="2517">
                  <c:v>0.82120000000000004</c:v>
                </c:pt>
                <c:pt idx="2518">
                  <c:v>0.8347</c:v>
                </c:pt>
                <c:pt idx="2519">
                  <c:v>0.84219999999999995</c:v>
                </c:pt>
                <c:pt idx="2520">
                  <c:v>0.84470000000000001</c:v>
                </c:pt>
                <c:pt idx="2521">
                  <c:v>0.85009999999999997</c:v>
                </c:pt>
                <c:pt idx="2522">
                  <c:v>0.86150000000000004</c:v>
                </c:pt>
                <c:pt idx="2523">
                  <c:v>0.85640000000000005</c:v>
                </c:pt>
                <c:pt idx="2524">
                  <c:v>0.85740000000000005</c:v>
                </c:pt>
                <c:pt idx="2525">
                  <c:v>0.85640000000000005</c:v>
                </c:pt>
                <c:pt idx="2526">
                  <c:v>0.85850000000000004</c:v>
                </c:pt>
                <c:pt idx="2527">
                  <c:v>0.84960000000000002</c:v>
                </c:pt>
                <c:pt idx="2528">
                  <c:v>0.85460000000000003</c:v>
                </c:pt>
                <c:pt idx="2529">
                  <c:v>0.8548</c:v>
                </c:pt>
                <c:pt idx="2530">
                  <c:v>0.85399999999999998</c:v>
                </c:pt>
                <c:pt idx="2531">
                  <c:v>0.87190000000000001</c:v>
                </c:pt>
                <c:pt idx="2532">
                  <c:v>0.88300000000000001</c:v>
                </c:pt>
                <c:pt idx="2533">
                  <c:v>0.88260000000000005</c:v>
                </c:pt>
                <c:pt idx="2534">
                  <c:v>0.88270000000000004</c:v>
                </c:pt>
                <c:pt idx="2535">
                  <c:v>0.87919999999999998</c:v>
                </c:pt>
                <c:pt idx="2536">
                  <c:v>0.87909999999999999</c:v>
                </c:pt>
                <c:pt idx="2537">
                  <c:v>0.87660000000000005</c:v>
                </c:pt>
                <c:pt idx="2538">
                  <c:v>0.87229999999999996</c:v>
                </c:pt>
                <c:pt idx="2539">
                  <c:v>0.87170000000000003</c:v>
                </c:pt>
                <c:pt idx="2540">
                  <c:v>0.86929999999999996</c:v>
                </c:pt>
                <c:pt idx="2541">
                  <c:v>0.86509999999999998</c:v>
                </c:pt>
                <c:pt idx="2542">
                  <c:v>0.86170000000000002</c:v>
                </c:pt>
                <c:pt idx="2543">
                  <c:v>0.86160000000000003</c:v>
                </c:pt>
                <c:pt idx="2544">
                  <c:v>0.86019999999999996</c:v>
                </c:pt>
                <c:pt idx="2545">
                  <c:v>0.85770000000000002</c:v>
                </c:pt>
                <c:pt idx="2546">
                  <c:v>0.85619999999999996</c:v>
                </c:pt>
                <c:pt idx="2547">
                  <c:v>0.85750000000000004</c:v>
                </c:pt>
                <c:pt idx="2548">
                  <c:v>0.85470000000000002</c:v>
                </c:pt>
                <c:pt idx="2549">
                  <c:v>0.85940000000000005</c:v>
                </c:pt>
                <c:pt idx="2550">
                  <c:v>0.84799999999999998</c:v>
                </c:pt>
                <c:pt idx="2551">
                  <c:v>0.8458</c:v>
                </c:pt>
                <c:pt idx="2552">
                  <c:v>0.83699999999999997</c:v>
                </c:pt>
                <c:pt idx="2553">
                  <c:v>0.84630000000000005</c:v>
                </c:pt>
                <c:pt idx="2554">
                  <c:v>0.84660000000000002</c:v>
                </c:pt>
                <c:pt idx="2555">
                  <c:v>0.8468</c:v>
                </c:pt>
                <c:pt idx="2556">
                  <c:v>0.84709999999999996</c:v>
                </c:pt>
                <c:pt idx="2557">
                  <c:v>0.84509999999999996</c:v>
                </c:pt>
                <c:pt idx="2558">
                  <c:v>0.84670000000000001</c:v>
                </c:pt>
                <c:pt idx="2559">
                  <c:v>0.84340000000000004</c:v>
                </c:pt>
                <c:pt idx="2560">
                  <c:v>0.84140000000000004</c:v>
                </c:pt>
                <c:pt idx="2561">
                  <c:v>0.83579999999999999</c:v>
                </c:pt>
                <c:pt idx="2562">
                  <c:v>0.83950000000000002</c:v>
                </c:pt>
                <c:pt idx="2563">
                  <c:v>0.84199999999999997</c:v>
                </c:pt>
                <c:pt idx="2564">
                  <c:v>0.84340000000000004</c:v>
                </c:pt>
                <c:pt idx="2565">
                  <c:v>0.84360000000000002</c:v>
                </c:pt>
                <c:pt idx="2566">
                  <c:v>0.84179999999999999</c:v>
                </c:pt>
                <c:pt idx="2567">
                  <c:v>0.84030000000000005</c:v>
                </c:pt>
                <c:pt idx="2568">
                  <c:v>0.83750000000000002</c:v>
                </c:pt>
                <c:pt idx="2569">
                  <c:v>0.83440000000000003</c:v>
                </c:pt>
                <c:pt idx="2570">
                  <c:v>0.83240000000000003</c:v>
                </c:pt>
                <c:pt idx="2571">
                  <c:v>0.82799999999999996</c:v>
                </c:pt>
                <c:pt idx="2572">
                  <c:v>0.82220000000000004</c:v>
                </c:pt>
                <c:pt idx="2573">
                  <c:v>0.81850000000000001</c:v>
                </c:pt>
                <c:pt idx="2574">
                  <c:v>0.81950000000000001</c:v>
                </c:pt>
                <c:pt idx="2575">
                  <c:v>0.81840000000000002</c:v>
                </c:pt>
                <c:pt idx="2576">
                  <c:v>0.81879999999999997</c:v>
                </c:pt>
                <c:pt idx="2577">
                  <c:v>0.82379999999999998</c:v>
                </c:pt>
                <c:pt idx="2578">
                  <c:v>0.8196</c:v>
                </c:pt>
                <c:pt idx="2579">
                  <c:v>0.82179999999999997</c:v>
                </c:pt>
                <c:pt idx="2580">
                  <c:v>0.82369999999999999</c:v>
                </c:pt>
                <c:pt idx="2581">
                  <c:v>0.8236</c:v>
                </c:pt>
                <c:pt idx="2582">
                  <c:v>0.82389999999999997</c:v>
                </c:pt>
                <c:pt idx="2583">
                  <c:v>0.83289999999999997</c:v>
                </c:pt>
                <c:pt idx="2584">
                  <c:v>0.83240000000000003</c:v>
                </c:pt>
                <c:pt idx="2585">
                  <c:v>0.83140000000000003</c:v>
                </c:pt>
                <c:pt idx="2586">
                  <c:v>0.82879999999999998</c:v>
                </c:pt>
                <c:pt idx="2587">
                  <c:v>0.82779999999999998</c:v>
                </c:pt>
                <c:pt idx="2588">
                  <c:v>0.82840000000000003</c:v>
                </c:pt>
                <c:pt idx="2589">
                  <c:v>0.82509999999999994</c:v>
                </c:pt>
                <c:pt idx="2590">
                  <c:v>0.82099999999999995</c:v>
                </c:pt>
                <c:pt idx="2591">
                  <c:v>0.82420000000000004</c:v>
                </c:pt>
                <c:pt idx="2592">
                  <c:v>0.82550000000000001</c:v>
                </c:pt>
                <c:pt idx="2593">
                  <c:v>0.82869999999999999</c:v>
                </c:pt>
                <c:pt idx="2594">
                  <c:v>0.8306</c:v>
                </c:pt>
                <c:pt idx="2595">
                  <c:v>0.83</c:v>
                </c:pt>
                <c:pt idx="2596">
                  <c:v>0.82609999999999995</c:v>
                </c:pt>
                <c:pt idx="2597">
                  <c:v>0.83320000000000005</c:v>
                </c:pt>
                <c:pt idx="2598">
                  <c:v>0.82689999999999997</c:v>
                </c:pt>
                <c:pt idx="2599">
                  <c:v>0.83220000000000005</c:v>
                </c:pt>
                <c:pt idx="2600">
                  <c:v>0.83750000000000002</c:v>
                </c:pt>
                <c:pt idx="2601">
                  <c:v>0.8347</c:v>
                </c:pt>
                <c:pt idx="2602">
                  <c:v>0.83660000000000001</c:v>
                </c:pt>
                <c:pt idx="2603">
                  <c:v>0.8367</c:v>
                </c:pt>
                <c:pt idx="2604">
                  <c:v>0.83260000000000001</c:v>
                </c:pt>
                <c:pt idx="2605">
                  <c:v>0.8327</c:v>
                </c:pt>
                <c:pt idx="2606">
                  <c:v>0.82930000000000004</c:v>
                </c:pt>
                <c:pt idx="2607">
                  <c:v>0.82420000000000004</c:v>
                </c:pt>
                <c:pt idx="2608">
                  <c:v>0.82650000000000001</c:v>
                </c:pt>
                <c:pt idx="2609">
                  <c:v>0.81669999999999998</c:v>
                </c:pt>
                <c:pt idx="2610">
                  <c:v>0.81630000000000003</c:v>
                </c:pt>
                <c:pt idx="2611">
                  <c:v>0.8196</c:v>
                </c:pt>
                <c:pt idx="2612">
                  <c:v>0.81830000000000003</c:v>
                </c:pt>
                <c:pt idx="2613">
                  <c:v>0.81220000000000003</c:v>
                </c:pt>
                <c:pt idx="2614">
                  <c:v>0.81689999999999996</c:v>
                </c:pt>
                <c:pt idx="2615">
                  <c:v>0.80859999999999999</c:v>
                </c:pt>
                <c:pt idx="2616">
                  <c:v>0.80649999999999999</c:v>
                </c:pt>
                <c:pt idx="2617">
                  <c:v>0.80489999999999995</c:v>
                </c:pt>
                <c:pt idx="2618">
                  <c:v>0.80830000000000002</c:v>
                </c:pt>
                <c:pt idx="2619">
                  <c:v>0.81020000000000003</c:v>
                </c:pt>
                <c:pt idx="2620">
                  <c:v>0.80559999999999998</c:v>
                </c:pt>
                <c:pt idx="2621">
                  <c:v>0.80649999999999999</c:v>
                </c:pt>
                <c:pt idx="2622">
                  <c:v>0.80720000000000003</c:v>
                </c:pt>
                <c:pt idx="2623">
                  <c:v>0.80359999999999998</c:v>
                </c:pt>
                <c:pt idx="2624">
                  <c:v>0.79930000000000001</c:v>
                </c:pt>
                <c:pt idx="2625">
                  <c:v>0.79610000000000003</c:v>
                </c:pt>
                <c:pt idx="2626">
                  <c:v>0.78869999999999996</c:v>
                </c:pt>
                <c:pt idx="2627">
                  <c:v>0.78549999999999998</c:v>
                </c:pt>
                <c:pt idx="2628">
                  <c:v>0.78259999999999996</c:v>
                </c:pt>
                <c:pt idx="2629">
                  <c:v>0.78410000000000002</c:v>
                </c:pt>
                <c:pt idx="2630">
                  <c:v>0.78029999999999999</c:v>
                </c:pt>
                <c:pt idx="2631">
                  <c:v>0.77700000000000002</c:v>
                </c:pt>
                <c:pt idx="2632">
                  <c:v>0.77800000000000002</c:v>
                </c:pt>
                <c:pt idx="2633">
                  <c:v>0.77470000000000006</c:v>
                </c:pt>
                <c:pt idx="2634">
                  <c:v>0.77070000000000005</c:v>
                </c:pt>
                <c:pt idx="2635">
                  <c:v>0.78210000000000002</c:v>
                </c:pt>
                <c:pt idx="2636">
                  <c:v>0.78520000000000001</c:v>
                </c:pt>
                <c:pt idx="2637">
                  <c:v>0.78820000000000001</c:v>
                </c:pt>
                <c:pt idx="2638">
                  <c:v>0.78869999999999996</c:v>
                </c:pt>
                <c:pt idx="2639">
                  <c:v>0.79349999999999998</c:v>
                </c:pt>
                <c:pt idx="2640">
                  <c:v>0.79169999999999996</c:v>
                </c:pt>
                <c:pt idx="2641">
                  <c:v>0.78879999999999995</c:v>
                </c:pt>
                <c:pt idx="2642">
                  <c:v>0.79120000000000001</c:v>
                </c:pt>
                <c:pt idx="2643">
                  <c:v>0.78600000000000003</c:v>
                </c:pt>
                <c:pt idx="2644">
                  <c:v>0.78680000000000005</c:v>
                </c:pt>
                <c:pt idx="2645">
                  <c:v>0.78700000000000003</c:v>
                </c:pt>
                <c:pt idx="2646">
                  <c:v>0.78469999999999995</c:v>
                </c:pt>
                <c:pt idx="2647">
                  <c:v>0.78380000000000005</c:v>
                </c:pt>
                <c:pt idx="2648">
                  <c:v>0.77910000000000001</c:v>
                </c:pt>
                <c:pt idx="2649">
                  <c:v>0.77170000000000005</c:v>
                </c:pt>
                <c:pt idx="2650">
                  <c:v>0.77649999999999997</c:v>
                </c:pt>
                <c:pt idx="2651">
                  <c:v>0.78159999999999996</c:v>
                </c:pt>
                <c:pt idx="2652">
                  <c:v>0.77800000000000002</c:v>
                </c:pt>
                <c:pt idx="2653">
                  <c:v>0.77769999999999995</c:v>
                </c:pt>
                <c:pt idx="2654">
                  <c:v>0.7762</c:v>
                </c:pt>
                <c:pt idx="2655">
                  <c:v>0.77490000000000003</c:v>
                </c:pt>
                <c:pt idx="2656">
                  <c:v>0.77410000000000001</c:v>
                </c:pt>
                <c:pt idx="2657">
                  <c:v>0.77590000000000003</c:v>
                </c:pt>
                <c:pt idx="2658">
                  <c:v>0.7722</c:v>
                </c:pt>
                <c:pt idx="2659">
                  <c:v>0.77170000000000005</c:v>
                </c:pt>
                <c:pt idx="2660">
                  <c:v>0.77349999999999997</c:v>
                </c:pt>
                <c:pt idx="2661">
                  <c:v>0.77329999999999999</c:v>
                </c:pt>
                <c:pt idx="2662">
                  <c:v>0.78110000000000002</c:v>
                </c:pt>
                <c:pt idx="2663">
                  <c:v>0.79249999999999998</c:v>
                </c:pt>
                <c:pt idx="2664">
                  <c:v>0.78800000000000003</c:v>
                </c:pt>
                <c:pt idx="2665">
                  <c:v>0.78979999999999995</c:v>
                </c:pt>
                <c:pt idx="2666">
                  <c:v>0.78900000000000003</c:v>
                </c:pt>
                <c:pt idx="2667">
                  <c:v>0.78690000000000004</c:v>
                </c:pt>
                <c:pt idx="2668">
                  <c:v>0.78320000000000001</c:v>
                </c:pt>
                <c:pt idx="2669">
                  <c:v>0.7843</c:v>
                </c:pt>
                <c:pt idx="2670">
                  <c:v>0.78349999999999997</c:v>
                </c:pt>
                <c:pt idx="2671">
                  <c:v>0.78110000000000002</c:v>
                </c:pt>
                <c:pt idx="2672">
                  <c:v>0.77629999999999999</c:v>
                </c:pt>
                <c:pt idx="2673">
                  <c:v>0.78110000000000002</c:v>
                </c:pt>
                <c:pt idx="2674">
                  <c:v>0.7802</c:v>
                </c:pt>
                <c:pt idx="2675">
                  <c:v>0.77929999999999999</c:v>
                </c:pt>
                <c:pt idx="2676">
                  <c:v>0.7843</c:v>
                </c:pt>
                <c:pt idx="2677">
                  <c:v>0.79149999999999998</c:v>
                </c:pt>
                <c:pt idx="2678">
                  <c:v>0.79590000000000005</c:v>
                </c:pt>
                <c:pt idx="2679">
                  <c:v>0.78939999999999999</c:v>
                </c:pt>
                <c:pt idx="2680">
                  <c:v>0.78939999999999999</c:v>
                </c:pt>
                <c:pt idx="2681">
                  <c:v>0.78969999999999996</c:v>
                </c:pt>
                <c:pt idx="2682">
                  <c:v>0.78410000000000002</c:v>
                </c:pt>
                <c:pt idx="2683">
                  <c:v>0.78169999999999995</c:v>
                </c:pt>
                <c:pt idx="2684">
                  <c:v>0.78490000000000004</c:v>
                </c:pt>
                <c:pt idx="2685">
                  <c:v>0.7843</c:v>
                </c:pt>
                <c:pt idx="2686">
                  <c:v>0.78439999999999999</c:v>
                </c:pt>
                <c:pt idx="2687">
                  <c:v>0.7853</c:v>
                </c:pt>
                <c:pt idx="2688">
                  <c:v>0.78380000000000005</c:v>
                </c:pt>
                <c:pt idx="2689">
                  <c:v>0.78</c:v>
                </c:pt>
                <c:pt idx="2690">
                  <c:v>0.78139999999999998</c:v>
                </c:pt>
                <c:pt idx="2691">
                  <c:v>0.78290000000000004</c:v>
                </c:pt>
                <c:pt idx="2692">
                  <c:v>0.78539999999999999</c:v>
                </c:pt>
                <c:pt idx="2693">
                  <c:v>0.78639999999999999</c:v>
                </c:pt>
                <c:pt idx="2694">
                  <c:v>0.7843</c:v>
                </c:pt>
                <c:pt idx="2695">
                  <c:v>0.78539999999999999</c:v>
                </c:pt>
                <c:pt idx="2696">
                  <c:v>0.7893</c:v>
                </c:pt>
                <c:pt idx="2697">
                  <c:v>0.78510000000000002</c:v>
                </c:pt>
                <c:pt idx="2698">
                  <c:v>0.78610000000000002</c:v>
                </c:pt>
                <c:pt idx="2699">
                  <c:v>0.78979999999999995</c:v>
                </c:pt>
                <c:pt idx="2700">
                  <c:v>0.78900000000000003</c:v>
                </c:pt>
                <c:pt idx="2701">
                  <c:v>0.78879999999999995</c:v>
                </c:pt>
                <c:pt idx="2702">
                  <c:v>0.78349999999999997</c:v>
                </c:pt>
                <c:pt idx="2703">
                  <c:v>0.78359999999999996</c:v>
                </c:pt>
                <c:pt idx="2704">
                  <c:v>0.77910000000000001</c:v>
                </c:pt>
                <c:pt idx="2705">
                  <c:v>0.77880000000000005</c:v>
                </c:pt>
                <c:pt idx="2706">
                  <c:v>0.77410000000000001</c:v>
                </c:pt>
                <c:pt idx="2707">
                  <c:v>0.77590000000000003</c:v>
                </c:pt>
                <c:pt idx="2708">
                  <c:v>0.77110000000000001</c:v>
                </c:pt>
                <c:pt idx="2709">
                  <c:v>0.77039999999999997</c:v>
                </c:pt>
                <c:pt idx="2710">
                  <c:v>0.76880000000000004</c:v>
                </c:pt>
                <c:pt idx="2711">
                  <c:v>0.76639999999999997</c:v>
                </c:pt>
                <c:pt idx="2712">
                  <c:v>0.76439999999999997</c:v>
                </c:pt>
                <c:pt idx="2713">
                  <c:v>0.76559999999999995</c:v>
                </c:pt>
                <c:pt idx="2714">
                  <c:v>0.76200000000000001</c:v>
                </c:pt>
                <c:pt idx="2715">
                  <c:v>0.76749999999999996</c:v>
                </c:pt>
                <c:pt idx="2716">
                  <c:v>0.76790000000000003</c:v>
                </c:pt>
                <c:pt idx="2717">
                  <c:v>0.77100000000000002</c:v>
                </c:pt>
                <c:pt idx="2718">
                  <c:v>0.77339999999999998</c:v>
                </c:pt>
                <c:pt idx="2719">
                  <c:v>0.77149999999999996</c:v>
                </c:pt>
                <c:pt idx="2720">
                  <c:v>0.76959999999999995</c:v>
                </c:pt>
                <c:pt idx="2721">
                  <c:v>0.77439999999999998</c:v>
                </c:pt>
                <c:pt idx="2722">
                  <c:v>0.77529999999999999</c:v>
                </c:pt>
                <c:pt idx="2723">
                  <c:v>0.77449999999999997</c:v>
                </c:pt>
                <c:pt idx="2724">
                  <c:v>0.77</c:v>
                </c:pt>
                <c:pt idx="2725">
                  <c:v>0.76890000000000003</c:v>
                </c:pt>
                <c:pt idx="2726">
                  <c:v>0.76419999999999999</c:v>
                </c:pt>
                <c:pt idx="2727">
                  <c:v>0.76180000000000003</c:v>
                </c:pt>
                <c:pt idx="2728">
                  <c:v>0.75770000000000004</c:v>
                </c:pt>
                <c:pt idx="2729">
                  <c:v>0.75700000000000001</c:v>
                </c:pt>
                <c:pt idx="2730">
                  <c:v>0.75860000000000005</c:v>
                </c:pt>
                <c:pt idx="2731">
                  <c:v>0.75949999999999995</c:v>
                </c:pt>
                <c:pt idx="2732">
                  <c:v>0.75460000000000005</c:v>
                </c:pt>
                <c:pt idx="2733">
                  <c:v>0.75429999999999997</c:v>
                </c:pt>
                <c:pt idx="2734">
                  <c:v>0.75380000000000003</c:v>
                </c:pt>
                <c:pt idx="2735">
                  <c:v>0.75090000000000001</c:v>
                </c:pt>
                <c:pt idx="2736">
                  <c:v>0.751</c:v>
                </c:pt>
                <c:pt idx="2737">
                  <c:v>0.7429</c:v>
                </c:pt>
                <c:pt idx="2738">
                  <c:v>0.74429999999999996</c:v>
                </c:pt>
                <c:pt idx="2739">
                  <c:v>0.74439999999999995</c:v>
                </c:pt>
                <c:pt idx="2740">
                  <c:v>0.74260000000000004</c:v>
                </c:pt>
                <c:pt idx="2741">
                  <c:v>0.74580000000000002</c:v>
                </c:pt>
                <c:pt idx="2742">
                  <c:v>0.74590000000000001</c:v>
                </c:pt>
                <c:pt idx="2743">
                  <c:v>0.74270000000000003</c:v>
                </c:pt>
                <c:pt idx="2744">
                  <c:v>0.74819999999999998</c:v>
                </c:pt>
                <c:pt idx="2745">
                  <c:v>0.74550000000000005</c:v>
                </c:pt>
                <c:pt idx="2746">
                  <c:v>0.74850000000000005</c:v>
                </c:pt>
                <c:pt idx="2747">
                  <c:v>0.75029999999999997</c:v>
                </c:pt>
                <c:pt idx="2748">
                  <c:v>0.75109999999999999</c:v>
                </c:pt>
                <c:pt idx="2749">
                  <c:v>0.75349999999999995</c:v>
                </c:pt>
                <c:pt idx="2750">
                  <c:v>0.75060000000000004</c:v>
                </c:pt>
                <c:pt idx="2751">
                  <c:v>0.75729999999999997</c:v>
                </c:pt>
                <c:pt idx="2752">
                  <c:v>0.75219999999999998</c:v>
                </c:pt>
                <c:pt idx="2753">
                  <c:v>0.75260000000000005</c:v>
                </c:pt>
                <c:pt idx="2754">
                  <c:v>0.75539999999999996</c:v>
                </c:pt>
                <c:pt idx="2755">
                  <c:v>0.75260000000000005</c:v>
                </c:pt>
                <c:pt idx="2756">
                  <c:v>0.75460000000000005</c:v>
                </c:pt>
                <c:pt idx="2757">
                  <c:v>0.753</c:v>
                </c:pt>
                <c:pt idx="2758">
                  <c:v>0.75060000000000004</c:v>
                </c:pt>
                <c:pt idx="2759">
                  <c:v>0.75119999999999998</c:v>
                </c:pt>
                <c:pt idx="2760">
                  <c:v>0.75419999999999998</c:v>
                </c:pt>
                <c:pt idx="2761">
                  <c:v>0.75860000000000005</c:v>
                </c:pt>
                <c:pt idx="2762">
                  <c:v>0.76629999999999998</c:v>
                </c:pt>
                <c:pt idx="2763">
                  <c:v>0.77129999999999999</c:v>
                </c:pt>
                <c:pt idx="2764">
                  <c:v>0.77070000000000005</c:v>
                </c:pt>
                <c:pt idx="2765">
                  <c:v>0.76680000000000004</c:v>
                </c:pt>
                <c:pt idx="2766">
                  <c:v>0.76380000000000003</c:v>
                </c:pt>
                <c:pt idx="2767">
                  <c:v>0.7631</c:v>
                </c:pt>
                <c:pt idx="2768">
                  <c:v>0.76380000000000003</c:v>
                </c:pt>
                <c:pt idx="2769">
                  <c:v>0.7591</c:v>
                </c:pt>
                <c:pt idx="2770">
                  <c:v>0.75600000000000001</c:v>
                </c:pt>
                <c:pt idx="2771">
                  <c:v>0.76129999999999998</c:v>
                </c:pt>
                <c:pt idx="2772">
                  <c:v>0.76280000000000003</c:v>
                </c:pt>
                <c:pt idx="2773">
                  <c:v>0.76200000000000001</c:v>
                </c:pt>
                <c:pt idx="2774">
                  <c:v>0.7631</c:v>
                </c:pt>
                <c:pt idx="2775">
                  <c:v>0.75870000000000004</c:v>
                </c:pt>
                <c:pt idx="2776">
                  <c:v>0.76100000000000001</c:v>
                </c:pt>
                <c:pt idx="2777">
                  <c:v>0.76770000000000005</c:v>
                </c:pt>
                <c:pt idx="2778">
                  <c:v>0.7651</c:v>
                </c:pt>
                <c:pt idx="2779">
                  <c:v>0.7591</c:v>
                </c:pt>
                <c:pt idx="2780">
                  <c:v>0.76570000000000005</c:v>
                </c:pt>
                <c:pt idx="2781">
                  <c:v>0.76739999999999997</c:v>
                </c:pt>
                <c:pt idx="2782">
                  <c:v>0.76629999999999998</c:v>
                </c:pt>
                <c:pt idx="2783">
                  <c:v>0.76100000000000001</c:v>
                </c:pt>
                <c:pt idx="2784">
                  <c:v>0.76359999999999995</c:v>
                </c:pt>
                <c:pt idx="2785">
                  <c:v>0.76480000000000004</c:v>
                </c:pt>
                <c:pt idx="2786">
                  <c:v>0.76100000000000001</c:v>
                </c:pt>
                <c:pt idx="2787">
                  <c:v>0.76400000000000001</c:v>
                </c:pt>
                <c:pt idx="2788">
                  <c:v>0.76590000000000003</c:v>
                </c:pt>
                <c:pt idx="2789">
                  <c:v>0.7661</c:v>
                </c:pt>
                <c:pt idx="2790">
                  <c:v>0.76729999999999998</c:v>
                </c:pt>
                <c:pt idx="2791">
                  <c:v>0.76219999999999999</c:v>
                </c:pt>
                <c:pt idx="2792">
                  <c:v>0.76149999999999995</c:v>
                </c:pt>
                <c:pt idx="2793">
                  <c:v>0.75270000000000004</c:v>
                </c:pt>
                <c:pt idx="2794">
                  <c:v>0.75449999999999995</c:v>
                </c:pt>
                <c:pt idx="2795">
                  <c:v>0.75260000000000005</c:v>
                </c:pt>
                <c:pt idx="2796">
                  <c:v>0.75170000000000003</c:v>
                </c:pt>
                <c:pt idx="2797">
                  <c:v>0.74980000000000002</c:v>
                </c:pt>
                <c:pt idx="2798">
                  <c:v>0.74609999999999999</c:v>
                </c:pt>
                <c:pt idx="2799">
                  <c:v>0.74770000000000003</c:v>
                </c:pt>
                <c:pt idx="2800">
                  <c:v>0.75309999999999999</c:v>
                </c:pt>
                <c:pt idx="2801">
                  <c:v>0.75429999999999997</c:v>
                </c:pt>
                <c:pt idx="2802">
                  <c:v>0.75219999999999998</c:v>
                </c:pt>
                <c:pt idx="2803">
                  <c:v>0.75280000000000002</c:v>
                </c:pt>
                <c:pt idx="2804">
                  <c:v>0.74690000000000001</c:v>
                </c:pt>
                <c:pt idx="2805">
                  <c:v>0.75249999999999995</c:v>
                </c:pt>
                <c:pt idx="2806">
                  <c:v>0.74590000000000001</c:v>
                </c:pt>
                <c:pt idx="2807">
                  <c:v>0.7419</c:v>
                </c:pt>
                <c:pt idx="2808">
                  <c:v>0.74480000000000002</c:v>
                </c:pt>
                <c:pt idx="2809">
                  <c:v>0.74270000000000003</c:v>
                </c:pt>
                <c:pt idx="2810">
                  <c:v>0.74280000000000002</c:v>
                </c:pt>
                <c:pt idx="2811">
                  <c:v>0.73860000000000003</c:v>
                </c:pt>
                <c:pt idx="2812">
                  <c:v>0.72850000000000004</c:v>
                </c:pt>
                <c:pt idx="2813">
                  <c:v>0.73360000000000003</c:v>
                </c:pt>
                <c:pt idx="2814">
                  <c:v>0.73219999999999996</c:v>
                </c:pt>
                <c:pt idx="2815">
                  <c:v>0.73199999999999998</c:v>
                </c:pt>
                <c:pt idx="2816">
                  <c:v>0.73370000000000002</c:v>
                </c:pt>
                <c:pt idx="2817">
                  <c:v>0.73909999999999998</c:v>
                </c:pt>
                <c:pt idx="2818">
                  <c:v>0.73819999999999997</c:v>
                </c:pt>
                <c:pt idx="2819">
                  <c:v>0.7369</c:v>
                </c:pt>
                <c:pt idx="2820">
                  <c:v>0.73860000000000003</c:v>
                </c:pt>
                <c:pt idx="2821">
                  <c:v>0.74080000000000001</c:v>
                </c:pt>
                <c:pt idx="2822">
                  <c:v>0.73619999999999997</c:v>
                </c:pt>
                <c:pt idx="2823">
                  <c:v>0.7369</c:v>
                </c:pt>
                <c:pt idx="2824">
                  <c:v>0.74680000000000002</c:v>
                </c:pt>
                <c:pt idx="2825">
                  <c:v>0.74809999999999999</c:v>
                </c:pt>
                <c:pt idx="2826">
                  <c:v>0.74099999999999999</c:v>
                </c:pt>
                <c:pt idx="2827">
                  <c:v>0.7409</c:v>
                </c:pt>
                <c:pt idx="2828">
                  <c:v>0.74009999999999998</c:v>
                </c:pt>
                <c:pt idx="2829">
                  <c:v>0.74970000000000003</c:v>
                </c:pt>
                <c:pt idx="2830">
                  <c:v>0.75170000000000003</c:v>
                </c:pt>
                <c:pt idx="2831">
                  <c:v>0.74739999999999995</c:v>
                </c:pt>
                <c:pt idx="2832">
                  <c:v>0.75219999999999998</c:v>
                </c:pt>
                <c:pt idx="2833">
                  <c:v>0.76229999999999998</c:v>
                </c:pt>
                <c:pt idx="2834">
                  <c:v>0.75839999999999996</c:v>
                </c:pt>
                <c:pt idx="2835">
                  <c:v>0.75739999999999996</c:v>
                </c:pt>
                <c:pt idx="2836">
                  <c:v>0.76060000000000005</c:v>
                </c:pt>
                <c:pt idx="2837">
                  <c:v>0.75290000000000001</c:v>
                </c:pt>
                <c:pt idx="2838">
                  <c:v>0.7581</c:v>
                </c:pt>
                <c:pt idx="2839">
                  <c:v>0.753</c:v>
                </c:pt>
                <c:pt idx="2840">
                  <c:v>0.75729999999999997</c:v>
                </c:pt>
                <c:pt idx="2841">
                  <c:v>0.7641</c:v>
                </c:pt>
                <c:pt idx="2842">
                  <c:v>0.75849999999999995</c:v>
                </c:pt>
                <c:pt idx="2843">
                  <c:v>0.76829999999999998</c:v>
                </c:pt>
                <c:pt idx="2844">
                  <c:v>0.76049999999999995</c:v>
                </c:pt>
                <c:pt idx="2845">
                  <c:v>0.77370000000000005</c:v>
                </c:pt>
                <c:pt idx="2846">
                  <c:v>0.77710000000000001</c:v>
                </c:pt>
                <c:pt idx="2847">
                  <c:v>0.77590000000000003</c:v>
                </c:pt>
                <c:pt idx="2848">
                  <c:v>0.77349999999999997</c:v>
                </c:pt>
                <c:pt idx="2849">
                  <c:v>0.76890000000000003</c:v>
                </c:pt>
                <c:pt idx="2850">
                  <c:v>0.77180000000000004</c:v>
                </c:pt>
                <c:pt idx="2851">
                  <c:v>0.77200000000000002</c:v>
                </c:pt>
                <c:pt idx="2852">
                  <c:v>0.77059999999999995</c:v>
                </c:pt>
                <c:pt idx="2853">
                  <c:v>0.7621</c:v>
                </c:pt>
                <c:pt idx="2854">
                  <c:v>0.75919999999999999</c:v>
                </c:pt>
                <c:pt idx="2855">
                  <c:v>0.75949999999999995</c:v>
                </c:pt>
                <c:pt idx="2856">
                  <c:v>0.75670000000000004</c:v>
                </c:pt>
                <c:pt idx="2857">
                  <c:v>0.75239999999999996</c:v>
                </c:pt>
                <c:pt idx="2858">
                  <c:v>0.74480000000000002</c:v>
                </c:pt>
                <c:pt idx="2859">
                  <c:v>0.74450000000000005</c:v>
                </c:pt>
                <c:pt idx="2860">
                  <c:v>0.74519999999999997</c:v>
                </c:pt>
                <c:pt idx="2861">
                  <c:v>0.7369</c:v>
                </c:pt>
                <c:pt idx="2862">
                  <c:v>0.74760000000000004</c:v>
                </c:pt>
                <c:pt idx="2863">
                  <c:v>0.74139999999999995</c:v>
                </c:pt>
                <c:pt idx="2864">
                  <c:v>0.73729999999999996</c:v>
                </c:pt>
                <c:pt idx="2865">
                  <c:v>0.72799999999999998</c:v>
                </c:pt>
                <c:pt idx="2866">
                  <c:v>0.7278</c:v>
                </c:pt>
                <c:pt idx="2867">
                  <c:v>0.73280000000000001</c:v>
                </c:pt>
                <c:pt idx="2868">
                  <c:v>0.73329999999999995</c:v>
                </c:pt>
                <c:pt idx="2869">
                  <c:v>0.7288</c:v>
                </c:pt>
                <c:pt idx="2870">
                  <c:v>0.72619999999999996</c:v>
                </c:pt>
                <c:pt idx="2871">
                  <c:v>0.73050000000000004</c:v>
                </c:pt>
                <c:pt idx="2872">
                  <c:v>0.72750000000000004</c:v>
                </c:pt>
                <c:pt idx="2873">
                  <c:v>0.72070000000000001</c:v>
                </c:pt>
                <c:pt idx="2874">
                  <c:v>0.71479999999999999</c:v>
                </c:pt>
                <c:pt idx="2875">
                  <c:v>0.7157</c:v>
                </c:pt>
                <c:pt idx="2876">
                  <c:v>0.71419999999999995</c:v>
                </c:pt>
                <c:pt idx="2877">
                  <c:v>0.70750000000000002</c:v>
                </c:pt>
                <c:pt idx="2878">
                  <c:v>0.70479999999999998</c:v>
                </c:pt>
                <c:pt idx="2879">
                  <c:v>0.70530000000000004</c:v>
                </c:pt>
                <c:pt idx="2880">
                  <c:v>0.70899999999999996</c:v>
                </c:pt>
                <c:pt idx="2881">
                  <c:v>0.71440000000000003</c:v>
                </c:pt>
                <c:pt idx="2882">
                  <c:v>0.71930000000000005</c:v>
                </c:pt>
                <c:pt idx="2883">
                  <c:v>0.71589999999999998</c:v>
                </c:pt>
                <c:pt idx="2884">
                  <c:v>0.72</c:v>
                </c:pt>
                <c:pt idx="2885">
                  <c:v>0.72719999999999996</c:v>
                </c:pt>
                <c:pt idx="2886">
                  <c:v>0.73750000000000004</c:v>
                </c:pt>
                <c:pt idx="2887">
                  <c:v>0.73909999999999998</c:v>
                </c:pt>
                <c:pt idx="2888">
                  <c:v>0.73670000000000002</c:v>
                </c:pt>
                <c:pt idx="2889">
                  <c:v>0.73509999999999998</c:v>
                </c:pt>
                <c:pt idx="2890">
                  <c:v>0.73129999999999995</c:v>
                </c:pt>
                <c:pt idx="2891">
                  <c:v>0.73399999999999999</c:v>
                </c:pt>
                <c:pt idx="2892">
                  <c:v>0.73360000000000003</c:v>
                </c:pt>
                <c:pt idx="2893">
                  <c:v>0.73319999999999996</c:v>
                </c:pt>
                <c:pt idx="2894">
                  <c:v>0.74019999999999997</c:v>
                </c:pt>
                <c:pt idx="2895">
                  <c:v>0.74429999999999996</c:v>
                </c:pt>
                <c:pt idx="2896">
                  <c:v>0.74819999999999998</c:v>
                </c:pt>
                <c:pt idx="2897">
                  <c:v>0.74429999999999996</c:v>
                </c:pt>
                <c:pt idx="2898">
                  <c:v>0.74260000000000004</c:v>
                </c:pt>
                <c:pt idx="2899">
                  <c:v>0.73719999999999997</c:v>
                </c:pt>
                <c:pt idx="2900">
                  <c:v>0.73929999999999996</c:v>
                </c:pt>
                <c:pt idx="2901">
                  <c:v>0.73870000000000002</c:v>
                </c:pt>
                <c:pt idx="2902">
                  <c:v>0.73660000000000003</c:v>
                </c:pt>
                <c:pt idx="2903">
                  <c:v>0.73939999999999995</c:v>
                </c:pt>
                <c:pt idx="2904">
                  <c:v>0.74170000000000003</c:v>
                </c:pt>
                <c:pt idx="2905">
                  <c:v>0.73929999999999996</c:v>
                </c:pt>
                <c:pt idx="2906">
                  <c:v>0.73880000000000001</c:v>
                </c:pt>
                <c:pt idx="2907">
                  <c:v>0.73760000000000003</c:v>
                </c:pt>
                <c:pt idx="2908">
                  <c:v>0.74170000000000003</c:v>
                </c:pt>
                <c:pt idx="2909">
                  <c:v>0.73839999999999995</c:v>
                </c:pt>
                <c:pt idx="2910">
                  <c:v>0.73750000000000004</c:v>
                </c:pt>
                <c:pt idx="2911">
                  <c:v>0.73980000000000001</c:v>
                </c:pt>
                <c:pt idx="2912">
                  <c:v>0.7389</c:v>
                </c:pt>
                <c:pt idx="2913">
                  <c:v>0.74019999999999997</c:v>
                </c:pt>
                <c:pt idx="2914">
                  <c:v>0.74170000000000003</c:v>
                </c:pt>
                <c:pt idx="2915">
                  <c:v>0.74850000000000005</c:v>
                </c:pt>
                <c:pt idx="2916">
                  <c:v>0.75319999999999998</c:v>
                </c:pt>
                <c:pt idx="2917">
                  <c:v>0.75309999999999999</c:v>
                </c:pt>
                <c:pt idx="2918">
                  <c:v>0.75749999999999995</c:v>
                </c:pt>
                <c:pt idx="2919">
                  <c:v>0.74839999999999995</c:v>
                </c:pt>
                <c:pt idx="2920">
                  <c:v>0.75119999999999998</c:v>
                </c:pt>
                <c:pt idx="2921">
                  <c:v>0.75160000000000005</c:v>
                </c:pt>
                <c:pt idx="2922">
                  <c:v>0.75290000000000001</c:v>
                </c:pt>
                <c:pt idx="2923">
                  <c:v>0.75180000000000002</c:v>
                </c:pt>
                <c:pt idx="2924">
                  <c:v>0.75319999999999998</c:v>
                </c:pt>
                <c:pt idx="2925">
                  <c:v>0.74829999999999997</c:v>
                </c:pt>
                <c:pt idx="2926">
                  <c:v>0.74770000000000003</c:v>
                </c:pt>
                <c:pt idx="2927">
                  <c:v>0.74809999999999999</c:v>
                </c:pt>
                <c:pt idx="2928">
                  <c:v>0.75260000000000005</c:v>
                </c:pt>
                <c:pt idx="2929">
                  <c:v>0.75470000000000004</c:v>
                </c:pt>
                <c:pt idx="2930">
                  <c:v>0.75449999999999995</c:v>
                </c:pt>
                <c:pt idx="2931">
                  <c:v>0.75039999999999996</c:v>
                </c:pt>
                <c:pt idx="2932">
                  <c:v>0.75490000000000002</c:v>
                </c:pt>
                <c:pt idx="2933">
                  <c:v>0.74950000000000006</c:v>
                </c:pt>
                <c:pt idx="2934">
                  <c:v>0.75390000000000001</c:v>
                </c:pt>
                <c:pt idx="2935">
                  <c:v>0.75480000000000003</c:v>
                </c:pt>
                <c:pt idx="2936">
                  <c:v>0.74780000000000002</c:v>
                </c:pt>
                <c:pt idx="2937">
                  <c:v>0.748</c:v>
                </c:pt>
                <c:pt idx="2938">
                  <c:v>0.74139999999999995</c:v>
                </c:pt>
                <c:pt idx="2939">
                  <c:v>0.73299999999999998</c:v>
                </c:pt>
                <c:pt idx="2940">
                  <c:v>0.73350000000000004</c:v>
                </c:pt>
                <c:pt idx="2941">
                  <c:v>0.73260000000000003</c:v>
                </c:pt>
                <c:pt idx="2942">
                  <c:v>0.7288</c:v>
                </c:pt>
                <c:pt idx="2943">
                  <c:v>0.72399999999999998</c:v>
                </c:pt>
                <c:pt idx="2944">
                  <c:v>0.73080000000000001</c:v>
                </c:pt>
                <c:pt idx="2945">
                  <c:v>0.72809999999999997</c:v>
                </c:pt>
                <c:pt idx="2946">
                  <c:v>0.73109999999999997</c:v>
                </c:pt>
                <c:pt idx="2947">
                  <c:v>0.73350000000000004</c:v>
                </c:pt>
                <c:pt idx="2948">
                  <c:v>0.7339</c:v>
                </c:pt>
                <c:pt idx="2949">
                  <c:v>0.74039999999999995</c:v>
                </c:pt>
                <c:pt idx="2950">
                  <c:v>0.74380000000000002</c:v>
                </c:pt>
                <c:pt idx="2951">
                  <c:v>0.74709999999999999</c:v>
                </c:pt>
                <c:pt idx="2952">
                  <c:v>0.75509999999999999</c:v>
                </c:pt>
                <c:pt idx="2953">
                  <c:v>0.75339999999999996</c:v>
                </c:pt>
                <c:pt idx="2954">
                  <c:v>0.75480000000000003</c:v>
                </c:pt>
                <c:pt idx="2955">
                  <c:v>0.75109999999999999</c:v>
                </c:pt>
                <c:pt idx="2956">
                  <c:v>0.74970000000000003</c:v>
                </c:pt>
                <c:pt idx="2957">
                  <c:v>0.74809999999999999</c:v>
                </c:pt>
                <c:pt idx="2958">
                  <c:v>0.75360000000000005</c:v>
                </c:pt>
                <c:pt idx="2959">
                  <c:v>0.75109999999999999</c:v>
                </c:pt>
                <c:pt idx="2960">
                  <c:v>0.74880000000000002</c:v>
                </c:pt>
                <c:pt idx="2961">
                  <c:v>0.74239999999999995</c:v>
                </c:pt>
                <c:pt idx="2962">
                  <c:v>0.73929999999999996</c:v>
                </c:pt>
                <c:pt idx="2963">
                  <c:v>0.73819999999999997</c:v>
                </c:pt>
                <c:pt idx="2964">
                  <c:v>0.74309999999999998</c:v>
                </c:pt>
                <c:pt idx="2965">
                  <c:v>0.73560000000000003</c:v>
                </c:pt>
                <c:pt idx="2966">
                  <c:v>0.73919999999999997</c:v>
                </c:pt>
                <c:pt idx="2967">
                  <c:v>0.73770000000000002</c:v>
                </c:pt>
                <c:pt idx="2968">
                  <c:v>0.73760000000000003</c:v>
                </c:pt>
                <c:pt idx="2969">
                  <c:v>0.73609999999999998</c:v>
                </c:pt>
                <c:pt idx="2970">
                  <c:v>0.73329999999999995</c:v>
                </c:pt>
                <c:pt idx="2971">
                  <c:v>0.73419999999999996</c:v>
                </c:pt>
                <c:pt idx="2972">
                  <c:v>0.73199999999999998</c:v>
                </c:pt>
                <c:pt idx="2973">
                  <c:v>0.73309999999999997</c:v>
                </c:pt>
                <c:pt idx="2974">
                  <c:v>0.72789999999999999</c:v>
                </c:pt>
                <c:pt idx="2975">
                  <c:v>0.73250000000000004</c:v>
                </c:pt>
                <c:pt idx="2976">
                  <c:v>0.72989999999999999</c:v>
                </c:pt>
                <c:pt idx="2977">
                  <c:v>0.73619999999999997</c:v>
                </c:pt>
                <c:pt idx="2978">
                  <c:v>0.7349</c:v>
                </c:pt>
                <c:pt idx="2979">
                  <c:v>0.73360000000000003</c:v>
                </c:pt>
                <c:pt idx="2980">
                  <c:v>0.73299999999999998</c:v>
                </c:pt>
                <c:pt idx="2981">
                  <c:v>0.73939999999999995</c:v>
                </c:pt>
                <c:pt idx="2982">
                  <c:v>0.74260000000000004</c:v>
                </c:pt>
                <c:pt idx="2983">
                  <c:v>0.74439999999999995</c:v>
                </c:pt>
                <c:pt idx="2984">
                  <c:v>0.748</c:v>
                </c:pt>
                <c:pt idx="2985">
                  <c:v>0.74980000000000002</c:v>
                </c:pt>
                <c:pt idx="2986">
                  <c:v>0.75739999999999996</c:v>
                </c:pt>
                <c:pt idx="2987">
                  <c:v>0.75460000000000005</c:v>
                </c:pt>
                <c:pt idx="2988">
                  <c:v>0.75649999999999995</c:v>
                </c:pt>
                <c:pt idx="2989">
                  <c:v>0.74990000000000001</c:v>
                </c:pt>
                <c:pt idx="2990">
                  <c:v>0.74839999999999995</c:v>
                </c:pt>
                <c:pt idx="2991">
                  <c:v>0.75219999999999998</c:v>
                </c:pt>
                <c:pt idx="2992">
                  <c:v>0.74950000000000006</c:v>
                </c:pt>
                <c:pt idx="2993">
                  <c:v>0.74850000000000005</c:v>
                </c:pt>
                <c:pt idx="2994">
                  <c:v>0.74909999999999999</c:v>
                </c:pt>
                <c:pt idx="2995">
                  <c:v>0.75190000000000001</c:v>
                </c:pt>
                <c:pt idx="2996">
                  <c:v>0.75080000000000002</c:v>
                </c:pt>
                <c:pt idx="2997">
                  <c:v>0.75509999999999999</c:v>
                </c:pt>
                <c:pt idx="2998">
                  <c:v>0.75229999999999997</c:v>
                </c:pt>
                <c:pt idx="2999">
                  <c:v>0.7591</c:v>
                </c:pt>
                <c:pt idx="3000">
                  <c:v>0.75600000000000001</c:v>
                </c:pt>
                <c:pt idx="3001">
                  <c:v>0.75839999999999996</c:v>
                </c:pt>
                <c:pt idx="3002">
                  <c:v>0.75649999999999995</c:v>
                </c:pt>
                <c:pt idx="3003">
                  <c:v>0.76359999999999995</c:v>
                </c:pt>
                <c:pt idx="3004">
                  <c:v>0.7631</c:v>
                </c:pt>
                <c:pt idx="3005">
                  <c:v>0.76290000000000002</c:v>
                </c:pt>
                <c:pt idx="3006">
                  <c:v>0.76</c:v>
                </c:pt>
                <c:pt idx="3007">
                  <c:v>0.75860000000000005</c:v>
                </c:pt>
                <c:pt idx="3008">
                  <c:v>0.75539999999999996</c:v>
                </c:pt>
                <c:pt idx="3009">
                  <c:v>0.75600000000000001</c:v>
                </c:pt>
                <c:pt idx="3010">
                  <c:v>0.75739999999999996</c:v>
                </c:pt>
                <c:pt idx="3011">
                  <c:v>0.76290000000000002</c:v>
                </c:pt>
                <c:pt idx="3012">
                  <c:v>0.76990000000000003</c:v>
                </c:pt>
                <c:pt idx="3013">
                  <c:v>0.76639999999999997</c:v>
                </c:pt>
                <c:pt idx="3014">
                  <c:v>0.76670000000000005</c:v>
                </c:pt>
                <c:pt idx="3015">
                  <c:v>0.76739999999999997</c:v>
                </c:pt>
                <c:pt idx="3016">
                  <c:v>0.76619999999999999</c:v>
                </c:pt>
                <c:pt idx="3017">
                  <c:v>0.77100000000000002</c:v>
                </c:pt>
                <c:pt idx="3018">
                  <c:v>0.76880000000000004</c:v>
                </c:pt>
                <c:pt idx="3019">
                  <c:v>0.77</c:v>
                </c:pt>
                <c:pt idx="3020">
                  <c:v>0.77400000000000002</c:v>
                </c:pt>
                <c:pt idx="3021">
                  <c:v>0.77259999999999995</c:v>
                </c:pt>
                <c:pt idx="3022">
                  <c:v>0.7671</c:v>
                </c:pt>
                <c:pt idx="3023">
                  <c:v>0.76800000000000002</c:v>
                </c:pt>
                <c:pt idx="3024">
                  <c:v>0.76729999999999998</c:v>
                </c:pt>
                <c:pt idx="3025">
                  <c:v>0.76529999999999998</c:v>
                </c:pt>
                <c:pt idx="3026">
                  <c:v>0.76190000000000002</c:v>
                </c:pt>
                <c:pt idx="3027">
                  <c:v>0.75409999999999999</c:v>
                </c:pt>
                <c:pt idx="3028">
                  <c:v>0.748</c:v>
                </c:pt>
                <c:pt idx="3029">
                  <c:v>0.75260000000000005</c:v>
                </c:pt>
                <c:pt idx="3030">
                  <c:v>0.75519999999999998</c:v>
                </c:pt>
                <c:pt idx="3031">
                  <c:v>0.75919999999999999</c:v>
                </c:pt>
                <c:pt idx="3032">
                  <c:v>0.75639999999999996</c:v>
                </c:pt>
                <c:pt idx="3033">
                  <c:v>0.75509999999999999</c:v>
                </c:pt>
                <c:pt idx="3034">
                  <c:v>0.75470000000000004</c:v>
                </c:pt>
                <c:pt idx="3035">
                  <c:v>0.75080000000000002</c:v>
                </c:pt>
                <c:pt idx="3036">
                  <c:v>0.75280000000000002</c:v>
                </c:pt>
                <c:pt idx="3037">
                  <c:v>0.75990000000000002</c:v>
                </c:pt>
                <c:pt idx="3038">
                  <c:v>0.76939999999999997</c:v>
                </c:pt>
                <c:pt idx="3039">
                  <c:v>0.76839999999999997</c:v>
                </c:pt>
                <c:pt idx="3040">
                  <c:v>0.77290000000000003</c:v>
                </c:pt>
                <c:pt idx="3041">
                  <c:v>0.77400000000000002</c:v>
                </c:pt>
                <c:pt idx="3042">
                  <c:v>0.76559999999999995</c:v>
                </c:pt>
                <c:pt idx="3043">
                  <c:v>0.7611</c:v>
                </c:pt>
                <c:pt idx="3044">
                  <c:v>0.76449999999999996</c:v>
                </c:pt>
                <c:pt idx="3045">
                  <c:v>0.76759999999999995</c:v>
                </c:pt>
                <c:pt idx="3046">
                  <c:v>0.77239999999999998</c:v>
                </c:pt>
                <c:pt idx="3047">
                  <c:v>0.77190000000000003</c:v>
                </c:pt>
                <c:pt idx="3048">
                  <c:v>0.76580000000000004</c:v>
                </c:pt>
                <c:pt idx="3049">
                  <c:v>0.76180000000000003</c:v>
                </c:pt>
                <c:pt idx="3050">
                  <c:v>0.75690000000000002</c:v>
                </c:pt>
                <c:pt idx="3051">
                  <c:v>0.75949999999999995</c:v>
                </c:pt>
                <c:pt idx="3052">
                  <c:v>0.75560000000000005</c:v>
                </c:pt>
                <c:pt idx="3053">
                  <c:v>0.75819999999999999</c:v>
                </c:pt>
                <c:pt idx="3054">
                  <c:v>0.76329999999999998</c:v>
                </c:pt>
                <c:pt idx="3055">
                  <c:v>0.76419999999999999</c:v>
                </c:pt>
                <c:pt idx="3056">
                  <c:v>0.76529999999999998</c:v>
                </c:pt>
                <c:pt idx="3057">
                  <c:v>0.75629999999999997</c:v>
                </c:pt>
                <c:pt idx="3058">
                  <c:v>0.75119999999999998</c:v>
                </c:pt>
                <c:pt idx="3059">
                  <c:v>0.75380000000000003</c:v>
                </c:pt>
                <c:pt idx="3060">
                  <c:v>0.74890000000000001</c:v>
                </c:pt>
                <c:pt idx="3061">
                  <c:v>0.75160000000000005</c:v>
                </c:pt>
                <c:pt idx="3062">
                  <c:v>0.74939999999999996</c:v>
                </c:pt>
                <c:pt idx="3063">
                  <c:v>0.75719999999999998</c:v>
                </c:pt>
                <c:pt idx="3064">
                  <c:v>0.74719999999999998</c:v>
                </c:pt>
                <c:pt idx="3065">
                  <c:v>0.74170000000000003</c:v>
                </c:pt>
                <c:pt idx="3066">
                  <c:v>0.73980000000000001</c:v>
                </c:pt>
                <c:pt idx="3067">
                  <c:v>0.74050000000000005</c:v>
                </c:pt>
                <c:pt idx="3068">
                  <c:v>0.74199999999999999</c:v>
                </c:pt>
                <c:pt idx="3069">
                  <c:v>0.75019999999999998</c:v>
                </c:pt>
                <c:pt idx="3070">
                  <c:v>0.75109999999999999</c:v>
                </c:pt>
                <c:pt idx="3071">
                  <c:v>0.76049999999999995</c:v>
                </c:pt>
                <c:pt idx="3072">
                  <c:v>0.76200000000000001</c:v>
                </c:pt>
                <c:pt idx="3073">
                  <c:v>0.76270000000000004</c:v>
                </c:pt>
                <c:pt idx="3074">
                  <c:v>0.76919999999999999</c:v>
                </c:pt>
                <c:pt idx="3075">
                  <c:v>0.76880000000000004</c:v>
                </c:pt>
                <c:pt idx="3076">
                  <c:v>0.77210000000000001</c:v>
                </c:pt>
                <c:pt idx="3077">
                  <c:v>0.77890000000000004</c:v>
                </c:pt>
                <c:pt idx="3078">
                  <c:v>0.78029999999999999</c:v>
                </c:pt>
                <c:pt idx="3079">
                  <c:v>0.77549999999999997</c:v>
                </c:pt>
                <c:pt idx="3080">
                  <c:v>0.77739999999999998</c:v>
                </c:pt>
                <c:pt idx="3081">
                  <c:v>0.77310000000000001</c:v>
                </c:pt>
                <c:pt idx="3082">
                  <c:v>0.76980000000000004</c:v>
                </c:pt>
                <c:pt idx="3083">
                  <c:v>0.76439999999999997</c:v>
                </c:pt>
                <c:pt idx="3084">
                  <c:v>0.76080000000000003</c:v>
                </c:pt>
                <c:pt idx="3085">
                  <c:v>0.76139999999999997</c:v>
                </c:pt>
                <c:pt idx="3086">
                  <c:v>0.76739999999999997</c:v>
                </c:pt>
                <c:pt idx="3087">
                  <c:v>0.76500000000000001</c:v>
                </c:pt>
                <c:pt idx="3088">
                  <c:v>0.76910000000000001</c:v>
                </c:pt>
                <c:pt idx="3089">
                  <c:v>0.76539999999999997</c:v>
                </c:pt>
                <c:pt idx="3090">
                  <c:v>0.75609999999999999</c:v>
                </c:pt>
                <c:pt idx="3091">
                  <c:v>0.754</c:v>
                </c:pt>
                <c:pt idx="3092">
                  <c:v>0.74950000000000006</c:v>
                </c:pt>
                <c:pt idx="3093">
                  <c:v>0.75590000000000002</c:v>
                </c:pt>
                <c:pt idx="3094">
                  <c:v>0.76049999999999995</c:v>
                </c:pt>
                <c:pt idx="3095">
                  <c:v>0.76249999999999996</c:v>
                </c:pt>
                <c:pt idx="3096">
                  <c:v>0.75819999999999999</c:v>
                </c:pt>
                <c:pt idx="3097">
                  <c:v>0.76219999999999999</c:v>
                </c:pt>
                <c:pt idx="3098">
                  <c:v>0.76329999999999998</c:v>
                </c:pt>
                <c:pt idx="3099">
                  <c:v>0.75949999999999995</c:v>
                </c:pt>
                <c:pt idx="3100">
                  <c:v>0.75570000000000004</c:v>
                </c:pt>
                <c:pt idx="3101">
                  <c:v>0.7581</c:v>
                </c:pt>
                <c:pt idx="3102">
                  <c:v>0.76119999999999999</c:v>
                </c:pt>
                <c:pt idx="3103">
                  <c:v>0.75619999999999998</c:v>
                </c:pt>
                <c:pt idx="3104">
                  <c:v>0.75570000000000004</c:v>
                </c:pt>
                <c:pt idx="3105">
                  <c:v>0.76070000000000004</c:v>
                </c:pt>
                <c:pt idx="3106">
                  <c:v>0.76559999999999995</c:v>
                </c:pt>
                <c:pt idx="3107">
                  <c:v>0.77429999999999999</c:v>
                </c:pt>
                <c:pt idx="3108">
                  <c:v>0.77629999999999999</c:v>
                </c:pt>
                <c:pt idx="3109">
                  <c:v>0.77259999999999995</c:v>
                </c:pt>
                <c:pt idx="3110">
                  <c:v>0.7752</c:v>
                </c:pt>
                <c:pt idx="3111">
                  <c:v>0.78059999999999996</c:v>
                </c:pt>
                <c:pt idx="3112">
                  <c:v>0.78069999999999995</c:v>
                </c:pt>
                <c:pt idx="3113">
                  <c:v>0.77390000000000003</c:v>
                </c:pt>
                <c:pt idx="3114">
                  <c:v>0.77959999999999996</c:v>
                </c:pt>
                <c:pt idx="3115">
                  <c:v>0.78049999999999997</c:v>
                </c:pt>
                <c:pt idx="3116">
                  <c:v>0.77869999999999995</c:v>
                </c:pt>
                <c:pt idx="3117">
                  <c:v>0.77659999999999996</c:v>
                </c:pt>
                <c:pt idx="3118">
                  <c:v>0.77810000000000001</c:v>
                </c:pt>
                <c:pt idx="3119">
                  <c:v>0.77990000000000004</c:v>
                </c:pt>
                <c:pt idx="3120">
                  <c:v>0.78220000000000001</c:v>
                </c:pt>
                <c:pt idx="3121">
                  <c:v>0.77580000000000005</c:v>
                </c:pt>
                <c:pt idx="3122">
                  <c:v>0.77610000000000001</c:v>
                </c:pt>
                <c:pt idx="3123">
                  <c:v>0.77070000000000005</c:v>
                </c:pt>
                <c:pt idx="3124">
                  <c:v>0.7671</c:v>
                </c:pt>
                <c:pt idx="3125">
                  <c:v>0.76890000000000003</c:v>
                </c:pt>
                <c:pt idx="3126">
                  <c:v>0.77149999999999996</c:v>
                </c:pt>
                <c:pt idx="3127">
                  <c:v>0.77859999999999996</c:v>
                </c:pt>
                <c:pt idx="3128">
                  <c:v>0.77539999999999998</c:v>
                </c:pt>
                <c:pt idx="3129">
                  <c:v>0.7752</c:v>
                </c:pt>
                <c:pt idx="3130">
                  <c:v>0.77239999999999998</c:v>
                </c:pt>
                <c:pt idx="3131">
                  <c:v>0.76649999999999996</c:v>
                </c:pt>
                <c:pt idx="3132">
                  <c:v>0.76590000000000003</c:v>
                </c:pt>
                <c:pt idx="3133">
                  <c:v>0.76880000000000004</c:v>
                </c:pt>
                <c:pt idx="3134">
                  <c:v>0.7681</c:v>
                </c:pt>
                <c:pt idx="3135">
                  <c:v>0.77080000000000004</c:v>
                </c:pt>
                <c:pt idx="3136">
                  <c:v>0.77310000000000001</c:v>
                </c:pt>
                <c:pt idx="3137">
                  <c:v>0.77029999999999998</c:v>
                </c:pt>
                <c:pt idx="3138">
                  <c:v>0.77110000000000001</c:v>
                </c:pt>
                <c:pt idx="3139">
                  <c:v>0.76780000000000004</c:v>
                </c:pt>
                <c:pt idx="3140">
                  <c:v>0.77180000000000004</c:v>
                </c:pt>
                <c:pt idx="3141">
                  <c:v>0.77159999999999995</c:v>
                </c:pt>
                <c:pt idx="3142">
                  <c:v>0.7702</c:v>
                </c:pt>
                <c:pt idx="3143">
                  <c:v>0.78380000000000005</c:v>
                </c:pt>
                <c:pt idx="3144">
                  <c:v>0.78580000000000005</c:v>
                </c:pt>
                <c:pt idx="3145">
                  <c:v>0.79479999999999995</c:v>
                </c:pt>
                <c:pt idx="3146">
                  <c:v>0.79259999999999997</c:v>
                </c:pt>
                <c:pt idx="3147">
                  <c:v>0.79420000000000002</c:v>
                </c:pt>
                <c:pt idx="3148">
                  <c:v>0.79049999999999998</c:v>
                </c:pt>
                <c:pt idx="3149">
                  <c:v>0.78759999999999997</c:v>
                </c:pt>
                <c:pt idx="3150">
                  <c:v>0.7923</c:v>
                </c:pt>
                <c:pt idx="3151">
                  <c:v>0.78979999999999995</c:v>
                </c:pt>
                <c:pt idx="3152">
                  <c:v>0.79339999999999999</c:v>
                </c:pt>
                <c:pt idx="3153">
                  <c:v>0.79810000000000003</c:v>
                </c:pt>
                <c:pt idx="3154">
                  <c:v>0.79210000000000003</c:v>
                </c:pt>
                <c:pt idx="3155">
                  <c:v>0.79079999999999995</c:v>
                </c:pt>
                <c:pt idx="3156">
                  <c:v>0.78239999999999998</c:v>
                </c:pt>
                <c:pt idx="3157">
                  <c:v>0.78320000000000001</c:v>
                </c:pt>
                <c:pt idx="3158">
                  <c:v>0.78620000000000001</c:v>
                </c:pt>
                <c:pt idx="3159">
                  <c:v>0.79200000000000004</c:v>
                </c:pt>
                <c:pt idx="3160">
                  <c:v>0.78690000000000004</c:v>
                </c:pt>
                <c:pt idx="3161">
                  <c:v>0.78690000000000004</c:v>
                </c:pt>
                <c:pt idx="3162">
                  <c:v>0.78710000000000002</c:v>
                </c:pt>
                <c:pt idx="3163">
                  <c:v>0.79430000000000001</c:v>
                </c:pt>
                <c:pt idx="3164">
                  <c:v>0.78939999999999999</c:v>
                </c:pt>
                <c:pt idx="3165">
                  <c:v>0.78859999999999997</c:v>
                </c:pt>
                <c:pt idx="3166">
                  <c:v>0.78790000000000004</c:v>
                </c:pt>
                <c:pt idx="3167">
                  <c:v>0.78510000000000002</c:v>
                </c:pt>
                <c:pt idx="3168">
                  <c:v>0.78669999999999995</c:v>
                </c:pt>
                <c:pt idx="3169">
                  <c:v>0.78810000000000002</c:v>
                </c:pt>
                <c:pt idx="3170">
                  <c:v>0.78580000000000005</c:v>
                </c:pt>
                <c:pt idx="3171">
                  <c:v>0.78359999999999996</c:v>
                </c:pt>
                <c:pt idx="3172">
                  <c:v>0.77</c:v>
                </c:pt>
                <c:pt idx="3173">
                  <c:v>0.76619999999999999</c:v>
                </c:pt>
                <c:pt idx="3174">
                  <c:v>0.76880000000000004</c:v>
                </c:pt>
                <c:pt idx="3175">
                  <c:v>0.7702</c:v>
                </c:pt>
                <c:pt idx="3176">
                  <c:v>0.77029999999999998</c:v>
                </c:pt>
                <c:pt idx="3177">
                  <c:v>0.77780000000000005</c:v>
                </c:pt>
                <c:pt idx="3178">
                  <c:v>0.77490000000000003</c:v>
                </c:pt>
                <c:pt idx="3179">
                  <c:v>0.77480000000000004</c:v>
                </c:pt>
                <c:pt idx="3180">
                  <c:v>0.77439999999999998</c:v>
                </c:pt>
                <c:pt idx="3181">
                  <c:v>0.77610000000000001</c:v>
                </c:pt>
                <c:pt idx="3182">
                  <c:v>0.77400000000000002</c:v>
                </c:pt>
                <c:pt idx="3183">
                  <c:v>0.76429999999999998</c:v>
                </c:pt>
                <c:pt idx="3184">
                  <c:v>0.77010000000000001</c:v>
                </c:pt>
                <c:pt idx="3185">
                  <c:v>0.76970000000000005</c:v>
                </c:pt>
                <c:pt idx="3186">
                  <c:v>0.75890000000000002</c:v>
                </c:pt>
                <c:pt idx="3187">
                  <c:v>0.7591</c:v>
                </c:pt>
                <c:pt idx="3188">
                  <c:v>0.75609999999999999</c:v>
                </c:pt>
                <c:pt idx="3189">
                  <c:v>0.75749999999999995</c:v>
                </c:pt>
                <c:pt idx="3190">
                  <c:v>0.75900000000000001</c:v>
                </c:pt>
                <c:pt idx="3191">
                  <c:v>0.76649999999999996</c:v>
                </c:pt>
                <c:pt idx="3192">
                  <c:v>0.76749999999999996</c:v>
                </c:pt>
                <c:pt idx="3193">
                  <c:v>0.76170000000000004</c:v>
                </c:pt>
                <c:pt idx="3194">
                  <c:v>0.75849999999999995</c:v>
                </c:pt>
                <c:pt idx="3195">
                  <c:v>0.75660000000000005</c:v>
                </c:pt>
                <c:pt idx="3196">
                  <c:v>0.76029999999999998</c:v>
                </c:pt>
                <c:pt idx="3197">
                  <c:v>0.76470000000000005</c:v>
                </c:pt>
                <c:pt idx="3198">
                  <c:v>0.76490000000000002</c:v>
                </c:pt>
                <c:pt idx="3199">
                  <c:v>0.77929999999999999</c:v>
                </c:pt>
                <c:pt idx="3200">
                  <c:v>0.78249999999999997</c:v>
                </c:pt>
                <c:pt idx="3201">
                  <c:v>0.77939999999999998</c:v>
                </c:pt>
                <c:pt idx="3202">
                  <c:v>0.77300000000000002</c:v>
                </c:pt>
                <c:pt idx="3203">
                  <c:v>0.77959999999999996</c:v>
                </c:pt>
                <c:pt idx="3204">
                  <c:v>0.7772</c:v>
                </c:pt>
                <c:pt idx="3205">
                  <c:v>0.76890000000000003</c:v>
                </c:pt>
                <c:pt idx="3206">
                  <c:v>0.76670000000000005</c:v>
                </c:pt>
                <c:pt idx="3207">
                  <c:v>0.76449999999999996</c:v>
                </c:pt>
                <c:pt idx="3208">
                  <c:v>0.76539999999999997</c:v>
                </c:pt>
                <c:pt idx="3209">
                  <c:v>0.76380000000000003</c:v>
                </c:pt>
                <c:pt idx="3210">
                  <c:v>0.76400000000000001</c:v>
                </c:pt>
                <c:pt idx="3211">
                  <c:v>0.75649999999999995</c:v>
                </c:pt>
                <c:pt idx="3212">
                  <c:v>0.76329999999999998</c:v>
                </c:pt>
                <c:pt idx="3213">
                  <c:v>0.75660000000000005</c:v>
                </c:pt>
                <c:pt idx="3214">
                  <c:v>0.75870000000000004</c:v>
                </c:pt>
                <c:pt idx="3215">
                  <c:v>0.75109999999999999</c:v>
                </c:pt>
                <c:pt idx="3216">
                  <c:v>0.75629999999999997</c:v>
                </c:pt>
                <c:pt idx="3217">
                  <c:v>0.75639999999999996</c:v>
                </c:pt>
                <c:pt idx="3218">
                  <c:v>0.77410000000000001</c:v>
                </c:pt>
                <c:pt idx="3219">
                  <c:v>0.7742</c:v>
                </c:pt>
                <c:pt idx="3220">
                  <c:v>0.78129999999999999</c:v>
                </c:pt>
                <c:pt idx="3221">
                  <c:v>0.77510000000000001</c:v>
                </c:pt>
                <c:pt idx="3222">
                  <c:v>0.77590000000000003</c:v>
                </c:pt>
                <c:pt idx="3223">
                  <c:v>0.77100000000000002</c:v>
                </c:pt>
                <c:pt idx="3224">
                  <c:v>0.78490000000000004</c:v>
                </c:pt>
                <c:pt idx="3225">
                  <c:v>0.79049999999999998</c:v>
                </c:pt>
                <c:pt idx="3226">
                  <c:v>0.7913</c:v>
                </c:pt>
                <c:pt idx="3227">
                  <c:v>0.78810000000000002</c:v>
                </c:pt>
                <c:pt idx="3228">
                  <c:v>0.78580000000000005</c:v>
                </c:pt>
                <c:pt idx="3229">
                  <c:v>0.78249999999999997</c:v>
                </c:pt>
                <c:pt idx="3230">
                  <c:v>0.78369999999999995</c:v>
                </c:pt>
                <c:pt idx="3231">
                  <c:v>0.77849999999999997</c:v>
                </c:pt>
                <c:pt idx="3232">
                  <c:v>0.78190000000000004</c:v>
                </c:pt>
                <c:pt idx="3233">
                  <c:v>0.77270000000000005</c:v>
                </c:pt>
                <c:pt idx="3234">
                  <c:v>0.77339999999999998</c:v>
                </c:pt>
                <c:pt idx="3235">
                  <c:v>0.76939999999999997</c:v>
                </c:pt>
                <c:pt idx="3236">
                  <c:v>0.76490000000000002</c:v>
                </c:pt>
                <c:pt idx="3237">
                  <c:v>0.75970000000000004</c:v>
                </c:pt>
                <c:pt idx="3238">
                  <c:v>0.76049999999999995</c:v>
                </c:pt>
                <c:pt idx="3239">
                  <c:v>0.75700000000000001</c:v>
                </c:pt>
                <c:pt idx="3240">
                  <c:v>0.7621</c:v>
                </c:pt>
                <c:pt idx="3241">
                  <c:v>0.75729999999999997</c:v>
                </c:pt>
                <c:pt idx="3242">
                  <c:v>0.75600000000000001</c:v>
                </c:pt>
                <c:pt idx="3243">
                  <c:v>0.74660000000000004</c:v>
                </c:pt>
                <c:pt idx="3244">
                  <c:v>0.74639999999999995</c:v>
                </c:pt>
                <c:pt idx="3245">
                  <c:v>0.748</c:v>
                </c:pt>
                <c:pt idx="3246">
                  <c:v>0.74580000000000002</c:v>
                </c:pt>
                <c:pt idx="3247">
                  <c:v>0.74470000000000003</c:v>
                </c:pt>
                <c:pt idx="3248">
                  <c:v>0.746</c:v>
                </c:pt>
                <c:pt idx="3249">
                  <c:v>0.74660000000000004</c:v>
                </c:pt>
                <c:pt idx="3250">
                  <c:v>0.73960000000000004</c:v>
                </c:pt>
                <c:pt idx="3251">
                  <c:v>0.73809999999999998</c:v>
                </c:pt>
                <c:pt idx="3252">
                  <c:v>0.7339</c:v>
                </c:pt>
                <c:pt idx="3253">
                  <c:v>0.72719999999999996</c:v>
                </c:pt>
                <c:pt idx="3254">
                  <c:v>0.7258</c:v>
                </c:pt>
                <c:pt idx="3255">
                  <c:v>0.73060000000000003</c:v>
                </c:pt>
                <c:pt idx="3256">
                  <c:v>0.7298</c:v>
                </c:pt>
                <c:pt idx="3257">
                  <c:v>0.72560000000000002</c:v>
                </c:pt>
                <c:pt idx="3258">
                  <c:v>0.73080000000000001</c:v>
                </c:pt>
                <c:pt idx="3259">
                  <c:v>0.73270000000000002</c:v>
                </c:pt>
                <c:pt idx="3260">
                  <c:v>0.73480000000000001</c:v>
                </c:pt>
                <c:pt idx="3261">
                  <c:v>0.7278</c:v>
                </c:pt>
                <c:pt idx="3262">
                  <c:v>0.72389999999999999</c:v>
                </c:pt>
                <c:pt idx="3263">
                  <c:v>0.72450000000000003</c:v>
                </c:pt>
                <c:pt idx="3264">
                  <c:v>0.72260000000000002</c:v>
                </c:pt>
                <c:pt idx="3265">
                  <c:v>0.72560000000000002</c:v>
                </c:pt>
                <c:pt idx="3266">
                  <c:v>0.7278</c:v>
                </c:pt>
                <c:pt idx="3267">
                  <c:v>0.71660000000000001</c:v>
                </c:pt>
                <c:pt idx="3268">
                  <c:v>0.71709999999999996</c:v>
                </c:pt>
                <c:pt idx="3269">
                  <c:v>0.71199999999999997</c:v>
                </c:pt>
                <c:pt idx="3270">
                  <c:v>0.71360000000000001</c:v>
                </c:pt>
                <c:pt idx="3271">
                  <c:v>0.71360000000000001</c:v>
                </c:pt>
                <c:pt idx="3272">
                  <c:v>0.70650000000000002</c:v>
                </c:pt>
                <c:pt idx="3273">
                  <c:v>0.70320000000000005</c:v>
                </c:pt>
                <c:pt idx="3274">
                  <c:v>0.70030000000000003</c:v>
                </c:pt>
                <c:pt idx="3275">
                  <c:v>0.69810000000000005</c:v>
                </c:pt>
                <c:pt idx="3276">
                  <c:v>0.69910000000000005</c:v>
                </c:pt>
                <c:pt idx="3277">
                  <c:v>0.69499999999999995</c:v>
                </c:pt>
                <c:pt idx="3278">
                  <c:v>0.70169999999999999</c:v>
                </c:pt>
                <c:pt idx="3279">
                  <c:v>0.69520000000000004</c:v>
                </c:pt>
                <c:pt idx="3280">
                  <c:v>0.69530000000000003</c:v>
                </c:pt>
                <c:pt idx="3281">
                  <c:v>0.68789999999999996</c:v>
                </c:pt>
                <c:pt idx="3282">
                  <c:v>0.69630000000000003</c:v>
                </c:pt>
                <c:pt idx="3283">
                  <c:v>0.69369999999999998</c:v>
                </c:pt>
                <c:pt idx="3284">
                  <c:v>0.6925</c:v>
                </c:pt>
                <c:pt idx="3285">
                  <c:v>0.69120000000000004</c:v>
                </c:pt>
                <c:pt idx="3286">
                  <c:v>0.69550000000000001</c:v>
                </c:pt>
                <c:pt idx="3287">
                  <c:v>0.70369999999999999</c:v>
                </c:pt>
                <c:pt idx="3288">
                  <c:v>0.70440000000000003</c:v>
                </c:pt>
                <c:pt idx="3289">
                  <c:v>0.69869999999999999</c:v>
                </c:pt>
                <c:pt idx="3290">
                  <c:v>0.70309999999999995</c:v>
                </c:pt>
                <c:pt idx="3291">
                  <c:v>0.70379999999999998</c:v>
                </c:pt>
                <c:pt idx="3292">
                  <c:v>0.70660000000000001</c:v>
                </c:pt>
                <c:pt idx="3293">
                  <c:v>0.70399999999999996</c:v>
                </c:pt>
                <c:pt idx="3294">
                  <c:v>0.71160000000000001</c:v>
                </c:pt>
                <c:pt idx="3295">
                  <c:v>0.72270000000000001</c:v>
                </c:pt>
                <c:pt idx="3296">
                  <c:v>0.7258</c:v>
                </c:pt>
                <c:pt idx="3297">
                  <c:v>0.71589999999999998</c:v>
                </c:pt>
                <c:pt idx="3298">
                  <c:v>0.71550000000000002</c:v>
                </c:pt>
                <c:pt idx="3299">
                  <c:v>0.71879999999999999</c:v>
                </c:pt>
                <c:pt idx="3300">
                  <c:v>0.71689999999999998</c:v>
                </c:pt>
                <c:pt idx="3301">
                  <c:v>0.71519999999999995</c:v>
                </c:pt>
                <c:pt idx="3302">
                  <c:v>0.71389999999999998</c:v>
                </c:pt>
                <c:pt idx="3303">
                  <c:v>0.71140000000000003</c:v>
                </c:pt>
                <c:pt idx="3304">
                  <c:v>0.71689999999999998</c:v>
                </c:pt>
                <c:pt idx="3305">
                  <c:v>0.71319999999999995</c:v>
                </c:pt>
                <c:pt idx="3306">
                  <c:v>0.70430000000000004</c:v>
                </c:pt>
                <c:pt idx="3307">
                  <c:v>0.70289999999999997</c:v>
                </c:pt>
                <c:pt idx="3308">
                  <c:v>0.70640000000000003</c:v>
                </c:pt>
                <c:pt idx="3309">
                  <c:v>0.70409999999999995</c:v>
                </c:pt>
                <c:pt idx="3310">
                  <c:v>0.70179999999999998</c:v>
                </c:pt>
                <c:pt idx="3311">
                  <c:v>0.69710000000000005</c:v>
                </c:pt>
                <c:pt idx="3312">
                  <c:v>0.69830000000000003</c:v>
                </c:pt>
                <c:pt idx="3313">
                  <c:v>0.69950000000000001</c:v>
                </c:pt>
                <c:pt idx="3314">
                  <c:v>0.70960000000000001</c:v>
                </c:pt>
                <c:pt idx="3315">
                  <c:v>0.7097</c:v>
                </c:pt>
                <c:pt idx="3316">
                  <c:v>0.71519999999999995</c:v>
                </c:pt>
                <c:pt idx="3317">
                  <c:v>0.71430000000000005</c:v>
                </c:pt>
                <c:pt idx="3318">
                  <c:v>0.72709999999999997</c:v>
                </c:pt>
                <c:pt idx="3319">
                  <c:v>0.7319</c:v>
                </c:pt>
                <c:pt idx="3320">
                  <c:v>0.7319</c:v>
                </c:pt>
                <c:pt idx="3321">
                  <c:v>0.72299999999999998</c:v>
                </c:pt>
                <c:pt idx="3322">
                  <c:v>0.72430000000000005</c:v>
                </c:pt>
                <c:pt idx="3323">
                  <c:v>0.72529999999999994</c:v>
                </c:pt>
                <c:pt idx="3324">
                  <c:v>0.7278</c:v>
                </c:pt>
                <c:pt idx="3325">
                  <c:v>0.72270000000000001</c:v>
                </c:pt>
                <c:pt idx="3326">
                  <c:v>0.72019999999999995</c:v>
                </c:pt>
                <c:pt idx="3327">
                  <c:v>0.72370000000000001</c:v>
                </c:pt>
                <c:pt idx="3328">
                  <c:v>0.71379999999999999</c:v>
                </c:pt>
                <c:pt idx="3329">
                  <c:v>0.71209999999999996</c:v>
                </c:pt>
                <c:pt idx="3330">
                  <c:v>0.71360000000000001</c:v>
                </c:pt>
                <c:pt idx="3331">
                  <c:v>0.70609999999999995</c:v>
                </c:pt>
                <c:pt idx="3332">
                  <c:v>0.69720000000000004</c:v>
                </c:pt>
                <c:pt idx="3333">
                  <c:v>0.69020000000000004</c:v>
                </c:pt>
                <c:pt idx="3334">
                  <c:v>0.70050000000000001</c:v>
                </c:pt>
                <c:pt idx="3335">
                  <c:v>0.70009999999999994</c:v>
                </c:pt>
                <c:pt idx="3336">
                  <c:v>0.70089999999999997</c:v>
                </c:pt>
                <c:pt idx="3337">
                  <c:v>0.68810000000000004</c:v>
                </c:pt>
                <c:pt idx="3338">
                  <c:v>0.68669999999999998</c:v>
                </c:pt>
                <c:pt idx="3339">
                  <c:v>0.69069999999999998</c:v>
                </c:pt>
                <c:pt idx="3340">
                  <c:v>0.68920000000000003</c:v>
                </c:pt>
                <c:pt idx="3341">
                  <c:v>0.68279999999999996</c:v>
                </c:pt>
                <c:pt idx="3342">
                  <c:v>0.68730000000000002</c:v>
                </c:pt>
                <c:pt idx="3343">
                  <c:v>0.69869999999999999</c:v>
                </c:pt>
                <c:pt idx="3344">
                  <c:v>0.68720000000000003</c:v>
                </c:pt>
                <c:pt idx="3345">
                  <c:v>0.69230000000000003</c:v>
                </c:pt>
                <c:pt idx="3346">
                  <c:v>0.69810000000000005</c:v>
                </c:pt>
                <c:pt idx="3347">
                  <c:v>0.69069999999999998</c:v>
                </c:pt>
                <c:pt idx="3348">
                  <c:v>0.69979999999999998</c:v>
                </c:pt>
                <c:pt idx="3349">
                  <c:v>0.70650000000000002</c:v>
                </c:pt>
                <c:pt idx="3350">
                  <c:v>0.69569999999999999</c:v>
                </c:pt>
                <c:pt idx="3351">
                  <c:v>0.68910000000000005</c:v>
                </c:pt>
                <c:pt idx="3352">
                  <c:v>0.69450000000000001</c:v>
                </c:pt>
                <c:pt idx="3353">
                  <c:v>0.70809999999999995</c:v>
                </c:pt>
                <c:pt idx="3354">
                  <c:v>0.71509999999999996</c:v>
                </c:pt>
                <c:pt idx="3355">
                  <c:v>0.71430000000000005</c:v>
                </c:pt>
                <c:pt idx="3356">
                  <c:v>0.71679999999999999</c:v>
                </c:pt>
                <c:pt idx="3357">
                  <c:v>0.70720000000000005</c:v>
                </c:pt>
                <c:pt idx="3358">
                  <c:v>0.70809999999999995</c:v>
                </c:pt>
                <c:pt idx="3359">
                  <c:v>0.69869999999999999</c:v>
                </c:pt>
                <c:pt idx="3360">
                  <c:v>0.69799999999999995</c:v>
                </c:pt>
                <c:pt idx="3361">
                  <c:v>0.69499999999999995</c:v>
                </c:pt>
                <c:pt idx="3362">
                  <c:v>0.69820000000000004</c:v>
                </c:pt>
                <c:pt idx="3363">
                  <c:v>0.68720000000000003</c:v>
                </c:pt>
                <c:pt idx="3364">
                  <c:v>0.68510000000000004</c:v>
                </c:pt>
                <c:pt idx="3365">
                  <c:v>0.69159999999999999</c:v>
                </c:pt>
                <c:pt idx="3366">
                  <c:v>0.68910000000000005</c:v>
                </c:pt>
                <c:pt idx="3367">
                  <c:v>0.69720000000000004</c:v>
                </c:pt>
                <c:pt idx="3368">
                  <c:v>0.69550000000000001</c:v>
                </c:pt>
                <c:pt idx="3369">
                  <c:v>0.6956</c:v>
                </c:pt>
                <c:pt idx="3370">
                  <c:v>0.70489999999999997</c:v>
                </c:pt>
                <c:pt idx="3371">
                  <c:v>0.7228</c:v>
                </c:pt>
                <c:pt idx="3372">
                  <c:v>0.73260000000000003</c:v>
                </c:pt>
                <c:pt idx="3373">
                  <c:v>0.73029999999999995</c:v>
                </c:pt>
                <c:pt idx="3374">
                  <c:v>0.72150000000000003</c:v>
                </c:pt>
                <c:pt idx="3375">
                  <c:v>0.72170000000000001</c:v>
                </c:pt>
                <c:pt idx="3376">
                  <c:v>0.72189999999999999</c:v>
                </c:pt>
                <c:pt idx="3377">
                  <c:v>0.72209999999999996</c:v>
                </c:pt>
                <c:pt idx="3378">
                  <c:v>0.73450000000000004</c:v>
                </c:pt>
                <c:pt idx="3379">
                  <c:v>0.73480000000000001</c:v>
                </c:pt>
                <c:pt idx="3380">
                  <c:v>0.73219999999999996</c:v>
                </c:pt>
                <c:pt idx="3381">
                  <c:v>0.73419999999999996</c:v>
                </c:pt>
                <c:pt idx="3382">
                  <c:v>0.72909999999999997</c:v>
                </c:pt>
                <c:pt idx="3383">
                  <c:v>0.73640000000000005</c:v>
                </c:pt>
                <c:pt idx="3384">
                  <c:v>0.74550000000000005</c:v>
                </c:pt>
                <c:pt idx="3385">
                  <c:v>0.74339999999999995</c:v>
                </c:pt>
                <c:pt idx="3386">
                  <c:v>0.74180000000000001</c:v>
                </c:pt>
                <c:pt idx="3387">
                  <c:v>0.73309999999999997</c:v>
                </c:pt>
                <c:pt idx="3388">
                  <c:v>0.75519999999999998</c:v>
                </c:pt>
                <c:pt idx="3389">
                  <c:v>0.76670000000000005</c:v>
                </c:pt>
                <c:pt idx="3390">
                  <c:v>0.76300000000000001</c:v>
                </c:pt>
                <c:pt idx="3391">
                  <c:v>0.76229999999999998</c:v>
                </c:pt>
                <c:pt idx="3392">
                  <c:v>0.76570000000000005</c:v>
                </c:pt>
                <c:pt idx="3393">
                  <c:v>0.76149999999999995</c:v>
                </c:pt>
                <c:pt idx="3394">
                  <c:v>0.75260000000000005</c:v>
                </c:pt>
                <c:pt idx="3395">
                  <c:v>0.75800000000000001</c:v>
                </c:pt>
                <c:pt idx="3396">
                  <c:v>0.76880000000000004</c:v>
                </c:pt>
                <c:pt idx="3397">
                  <c:v>0.76549999999999996</c:v>
                </c:pt>
                <c:pt idx="3398">
                  <c:v>0.75319999999999998</c:v>
                </c:pt>
                <c:pt idx="3399">
                  <c:v>0.74780000000000002</c:v>
                </c:pt>
                <c:pt idx="3400">
                  <c:v>0.74619999999999997</c:v>
                </c:pt>
                <c:pt idx="3401">
                  <c:v>0.73929999999999996</c:v>
                </c:pt>
                <c:pt idx="3402">
                  <c:v>0.74460000000000004</c:v>
                </c:pt>
                <c:pt idx="3403">
                  <c:v>0.75249999999999995</c:v>
                </c:pt>
                <c:pt idx="3404">
                  <c:v>0.75319999999999998</c:v>
                </c:pt>
                <c:pt idx="3405">
                  <c:v>0.74819999999999998</c:v>
                </c:pt>
                <c:pt idx="3406">
                  <c:v>0.75229999999999997</c:v>
                </c:pt>
                <c:pt idx="3407">
                  <c:v>0.74019999999999997</c:v>
                </c:pt>
                <c:pt idx="3408">
                  <c:v>0.74180000000000001</c:v>
                </c:pt>
                <c:pt idx="3409">
                  <c:v>0.73680000000000001</c:v>
                </c:pt>
                <c:pt idx="3410">
                  <c:v>0.73209999999999997</c:v>
                </c:pt>
                <c:pt idx="3411">
                  <c:v>0.73850000000000005</c:v>
                </c:pt>
                <c:pt idx="3412">
                  <c:v>0.74670000000000003</c:v>
                </c:pt>
                <c:pt idx="3413">
                  <c:v>0.75819999999999999</c:v>
                </c:pt>
                <c:pt idx="3414">
                  <c:v>0.7581</c:v>
                </c:pt>
                <c:pt idx="3415">
                  <c:v>0.75980000000000003</c:v>
                </c:pt>
                <c:pt idx="3416">
                  <c:v>0.74990000000000001</c:v>
                </c:pt>
                <c:pt idx="3417">
                  <c:v>0.75080000000000002</c:v>
                </c:pt>
                <c:pt idx="3418">
                  <c:v>0.76359999999999995</c:v>
                </c:pt>
                <c:pt idx="3419">
                  <c:v>0.77190000000000003</c:v>
                </c:pt>
                <c:pt idx="3420">
                  <c:v>0.77339999999999998</c:v>
                </c:pt>
                <c:pt idx="3421">
                  <c:v>0.77100000000000002</c:v>
                </c:pt>
                <c:pt idx="3422">
                  <c:v>0.77180000000000004</c:v>
                </c:pt>
                <c:pt idx="3423">
                  <c:v>0.77959999999999996</c:v>
                </c:pt>
                <c:pt idx="3424">
                  <c:v>0.77039999999999997</c:v>
                </c:pt>
                <c:pt idx="3425">
                  <c:v>0.76839999999999997</c:v>
                </c:pt>
                <c:pt idx="3426">
                  <c:v>0.79110000000000003</c:v>
                </c:pt>
                <c:pt idx="3427">
                  <c:v>0.78839999999999999</c:v>
                </c:pt>
                <c:pt idx="3428">
                  <c:v>0.79810000000000003</c:v>
                </c:pt>
                <c:pt idx="3429">
                  <c:v>0.79249999999999998</c:v>
                </c:pt>
                <c:pt idx="3430">
                  <c:v>0.78920000000000001</c:v>
                </c:pt>
                <c:pt idx="3431">
                  <c:v>0.78849999999999998</c:v>
                </c:pt>
                <c:pt idx="3432">
                  <c:v>0.78849999999999998</c:v>
                </c:pt>
                <c:pt idx="3433">
                  <c:v>0.78010000000000002</c:v>
                </c:pt>
                <c:pt idx="3434">
                  <c:v>0.7752</c:v>
                </c:pt>
                <c:pt idx="3435">
                  <c:v>0.76970000000000005</c:v>
                </c:pt>
                <c:pt idx="3436">
                  <c:v>0.76139999999999997</c:v>
                </c:pt>
                <c:pt idx="3437">
                  <c:v>0.76170000000000004</c:v>
                </c:pt>
                <c:pt idx="3438">
                  <c:v>0.76480000000000004</c:v>
                </c:pt>
                <c:pt idx="3439">
                  <c:v>0.75790000000000002</c:v>
                </c:pt>
                <c:pt idx="3440">
                  <c:v>0.76380000000000003</c:v>
                </c:pt>
                <c:pt idx="3441">
                  <c:v>0.76149999999999995</c:v>
                </c:pt>
                <c:pt idx="3442">
                  <c:v>0.77390000000000003</c:v>
                </c:pt>
                <c:pt idx="3443">
                  <c:v>0.77880000000000005</c:v>
                </c:pt>
                <c:pt idx="3444">
                  <c:v>0.76910000000000001</c:v>
                </c:pt>
                <c:pt idx="3445">
                  <c:v>0.77270000000000005</c:v>
                </c:pt>
                <c:pt idx="3446">
                  <c:v>0.77859999999999996</c:v>
                </c:pt>
                <c:pt idx="3447">
                  <c:v>0.77280000000000004</c:v>
                </c:pt>
                <c:pt idx="3448">
                  <c:v>0.76819999999999999</c:v>
                </c:pt>
                <c:pt idx="3449">
                  <c:v>0.75529999999999997</c:v>
                </c:pt>
                <c:pt idx="3450">
                  <c:v>0.76370000000000005</c:v>
                </c:pt>
                <c:pt idx="3451">
                  <c:v>0.77049999999999996</c:v>
                </c:pt>
                <c:pt idx="3452">
                  <c:v>0.77759999999999996</c:v>
                </c:pt>
                <c:pt idx="3453">
                  <c:v>0.77729999999999999</c:v>
                </c:pt>
                <c:pt idx="3454">
                  <c:v>0.77780000000000005</c:v>
                </c:pt>
                <c:pt idx="3455">
                  <c:v>0.77669999999999995</c:v>
                </c:pt>
                <c:pt idx="3456">
                  <c:v>0.77439999999999998</c:v>
                </c:pt>
                <c:pt idx="3457">
                  <c:v>0.76870000000000005</c:v>
                </c:pt>
                <c:pt idx="3458">
                  <c:v>0.77029999999999998</c:v>
                </c:pt>
                <c:pt idx="3459">
                  <c:v>0.76780000000000004</c:v>
                </c:pt>
                <c:pt idx="3460">
                  <c:v>0.75870000000000004</c:v>
                </c:pt>
                <c:pt idx="3461">
                  <c:v>0.75090000000000001</c:v>
                </c:pt>
                <c:pt idx="3462">
                  <c:v>0.75209999999999999</c:v>
                </c:pt>
                <c:pt idx="3463">
                  <c:v>0.74890000000000001</c:v>
                </c:pt>
                <c:pt idx="3464">
                  <c:v>0.74329999999999996</c:v>
                </c:pt>
                <c:pt idx="3465">
                  <c:v>0.7409</c:v>
                </c:pt>
                <c:pt idx="3466">
                  <c:v>0.74229999999999996</c:v>
                </c:pt>
                <c:pt idx="3467">
                  <c:v>0.7419</c:v>
                </c:pt>
                <c:pt idx="3468">
                  <c:v>0.73609999999999998</c:v>
                </c:pt>
                <c:pt idx="3469">
                  <c:v>0.73299999999999998</c:v>
                </c:pt>
                <c:pt idx="3470">
                  <c:v>0.73680000000000001</c:v>
                </c:pt>
                <c:pt idx="3471">
                  <c:v>0.74160000000000004</c:v>
                </c:pt>
                <c:pt idx="3472">
                  <c:v>0.73860000000000003</c:v>
                </c:pt>
                <c:pt idx="3473">
                  <c:v>0.74319999999999997</c:v>
                </c:pt>
                <c:pt idx="3474">
                  <c:v>0.74339999999999995</c:v>
                </c:pt>
                <c:pt idx="3475">
                  <c:v>0.74239999999999995</c:v>
                </c:pt>
                <c:pt idx="3476">
                  <c:v>0.73909999999999998</c:v>
                </c:pt>
                <c:pt idx="3477">
                  <c:v>0.73880000000000001</c:v>
                </c:pt>
                <c:pt idx="3478">
                  <c:v>0.74170000000000003</c:v>
                </c:pt>
                <c:pt idx="3479">
                  <c:v>0.74</c:v>
                </c:pt>
                <c:pt idx="3480">
                  <c:v>0.73660000000000003</c:v>
                </c:pt>
                <c:pt idx="3481">
                  <c:v>0.7349</c:v>
                </c:pt>
                <c:pt idx="3482">
                  <c:v>0.73640000000000005</c:v>
                </c:pt>
                <c:pt idx="3483">
                  <c:v>0.73080000000000001</c:v>
                </c:pt>
                <c:pt idx="3484">
                  <c:v>0.72789999999999999</c:v>
                </c:pt>
                <c:pt idx="3485">
                  <c:v>0.72409999999999997</c:v>
                </c:pt>
                <c:pt idx="3486">
                  <c:v>0.72240000000000004</c:v>
                </c:pt>
                <c:pt idx="3487">
                  <c:v>0.72360000000000002</c:v>
                </c:pt>
                <c:pt idx="3488">
                  <c:v>0.71789999999999998</c:v>
                </c:pt>
                <c:pt idx="3489">
                  <c:v>0.71799999999999997</c:v>
                </c:pt>
                <c:pt idx="3490">
                  <c:v>0.7238</c:v>
                </c:pt>
                <c:pt idx="3491">
                  <c:v>0.72250000000000003</c:v>
                </c:pt>
                <c:pt idx="3492">
                  <c:v>0.72199999999999998</c:v>
                </c:pt>
                <c:pt idx="3493">
                  <c:v>0.72409999999999997</c:v>
                </c:pt>
                <c:pt idx="3494">
                  <c:v>0.71160000000000001</c:v>
                </c:pt>
                <c:pt idx="3495">
                  <c:v>0.72030000000000005</c:v>
                </c:pt>
                <c:pt idx="3496">
                  <c:v>0.71970000000000001</c:v>
                </c:pt>
                <c:pt idx="3497">
                  <c:v>0.71870000000000001</c:v>
                </c:pt>
                <c:pt idx="3498">
                  <c:v>0.71550000000000002</c:v>
                </c:pt>
                <c:pt idx="3499">
                  <c:v>0.71599999999999997</c:v>
                </c:pt>
                <c:pt idx="3500">
                  <c:v>0.70950000000000002</c:v>
                </c:pt>
                <c:pt idx="3501">
                  <c:v>0.70569999999999999</c:v>
                </c:pt>
                <c:pt idx="3502">
                  <c:v>0.70879999999999999</c:v>
                </c:pt>
                <c:pt idx="3503">
                  <c:v>0.70279999999999998</c:v>
                </c:pt>
                <c:pt idx="3504">
                  <c:v>0.69869999999999999</c:v>
                </c:pt>
                <c:pt idx="3505">
                  <c:v>0.70689999999999997</c:v>
                </c:pt>
                <c:pt idx="3506">
                  <c:v>0.70389999999999997</c:v>
                </c:pt>
                <c:pt idx="3507">
                  <c:v>0.7036</c:v>
                </c:pt>
                <c:pt idx="3508">
                  <c:v>0.70599999999999996</c:v>
                </c:pt>
                <c:pt idx="3509">
                  <c:v>0.7046</c:v>
                </c:pt>
                <c:pt idx="3510">
                  <c:v>0.69989999999999997</c:v>
                </c:pt>
                <c:pt idx="3511">
                  <c:v>0.6996</c:v>
                </c:pt>
                <c:pt idx="3512">
                  <c:v>0.70509999999999995</c:v>
                </c:pt>
                <c:pt idx="3513">
                  <c:v>0.6996</c:v>
                </c:pt>
                <c:pt idx="3514">
                  <c:v>0.69169999999999998</c:v>
                </c:pt>
                <c:pt idx="3515">
                  <c:v>0.69240000000000002</c:v>
                </c:pt>
                <c:pt idx="3516">
                  <c:v>0.68859999999999999</c:v>
                </c:pt>
                <c:pt idx="3517">
                  <c:v>0.69</c:v>
                </c:pt>
                <c:pt idx="3518">
                  <c:v>0.68989999999999996</c:v>
                </c:pt>
                <c:pt idx="3519">
                  <c:v>0.69020000000000004</c:v>
                </c:pt>
                <c:pt idx="3520">
                  <c:v>0.69069999999999998</c:v>
                </c:pt>
                <c:pt idx="3521">
                  <c:v>0.68920000000000003</c:v>
                </c:pt>
                <c:pt idx="3522">
                  <c:v>0.68969999999999998</c:v>
                </c:pt>
                <c:pt idx="3523">
                  <c:v>0.6905</c:v>
                </c:pt>
                <c:pt idx="3524">
                  <c:v>0.68489999999999995</c:v>
                </c:pt>
                <c:pt idx="3525">
                  <c:v>0.67810000000000004</c:v>
                </c:pt>
                <c:pt idx="3526">
                  <c:v>0.68500000000000005</c:v>
                </c:pt>
                <c:pt idx="3527">
                  <c:v>0.68730000000000002</c:v>
                </c:pt>
                <c:pt idx="3528">
                  <c:v>0.68079999999999996</c:v>
                </c:pt>
                <c:pt idx="3529">
                  <c:v>0.6764</c:v>
                </c:pt>
                <c:pt idx="3530">
                  <c:v>0.67449999999999999</c:v>
                </c:pt>
                <c:pt idx="3531">
                  <c:v>0.67859999999999998</c:v>
                </c:pt>
                <c:pt idx="3532">
                  <c:v>0.67859999999999998</c:v>
                </c:pt>
                <c:pt idx="3533">
                  <c:v>0.67579999999999996</c:v>
                </c:pt>
                <c:pt idx="3534">
                  <c:v>0.6784</c:v>
                </c:pt>
                <c:pt idx="3535">
                  <c:v>0.6714</c:v>
                </c:pt>
                <c:pt idx="3536">
                  <c:v>0.66610000000000003</c:v>
                </c:pt>
                <c:pt idx="3537">
                  <c:v>0.66510000000000002</c:v>
                </c:pt>
                <c:pt idx="3538">
                  <c:v>0.66359999999999997</c:v>
                </c:pt>
                <c:pt idx="3539">
                  <c:v>0.66559999999999997</c:v>
                </c:pt>
                <c:pt idx="3540">
                  <c:v>0.66239999999999999</c:v>
                </c:pt>
                <c:pt idx="3541">
                  <c:v>0.65990000000000004</c:v>
                </c:pt>
                <c:pt idx="3542">
                  <c:v>0.65759999999999996</c:v>
                </c:pt>
                <c:pt idx="3543">
                  <c:v>0.65920000000000001</c:v>
                </c:pt>
                <c:pt idx="3544">
                  <c:v>0.65010000000000001</c:v>
                </c:pt>
                <c:pt idx="3545">
                  <c:v>0.64810000000000001</c:v>
                </c:pt>
                <c:pt idx="3546">
                  <c:v>0.64229999999999998</c:v>
                </c:pt>
                <c:pt idx="3547">
                  <c:v>0.64090000000000003</c:v>
                </c:pt>
                <c:pt idx="3548">
                  <c:v>0.63639999999999997</c:v>
                </c:pt>
                <c:pt idx="3549">
                  <c:v>0.64510000000000001</c:v>
                </c:pt>
                <c:pt idx="3550">
                  <c:v>0.64729999999999999</c:v>
                </c:pt>
                <c:pt idx="3551">
                  <c:v>0.64059999999999995</c:v>
                </c:pt>
                <c:pt idx="3552">
                  <c:v>0.6401</c:v>
                </c:pt>
                <c:pt idx="3553">
                  <c:v>0.64419999999999999</c:v>
                </c:pt>
                <c:pt idx="3554">
                  <c:v>0.65059999999999996</c:v>
                </c:pt>
                <c:pt idx="3555">
                  <c:v>0.65159999999999996</c:v>
                </c:pt>
                <c:pt idx="3556">
                  <c:v>0.65329999999999999</c:v>
                </c:pt>
                <c:pt idx="3557">
                  <c:v>0.66090000000000004</c:v>
                </c:pt>
                <c:pt idx="3558">
                  <c:v>0.65580000000000005</c:v>
                </c:pt>
                <c:pt idx="3559">
                  <c:v>0.6583</c:v>
                </c:pt>
                <c:pt idx="3560">
                  <c:v>0.65980000000000005</c:v>
                </c:pt>
                <c:pt idx="3561">
                  <c:v>0.65580000000000005</c:v>
                </c:pt>
                <c:pt idx="3562">
                  <c:v>0.65839999999999999</c:v>
                </c:pt>
                <c:pt idx="3563">
                  <c:v>0.65820000000000001</c:v>
                </c:pt>
                <c:pt idx="3564">
                  <c:v>0.65859999999999996</c:v>
                </c:pt>
                <c:pt idx="3565">
                  <c:v>0.65290000000000004</c:v>
                </c:pt>
                <c:pt idx="3566">
                  <c:v>0.65080000000000005</c:v>
                </c:pt>
                <c:pt idx="3567">
                  <c:v>0.64880000000000004</c:v>
                </c:pt>
                <c:pt idx="3568">
                  <c:v>0.64510000000000001</c:v>
                </c:pt>
                <c:pt idx="3569">
                  <c:v>0.64339999999999997</c:v>
                </c:pt>
                <c:pt idx="3570">
                  <c:v>0.65090000000000003</c:v>
                </c:pt>
                <c:pt idx="3571">
                  <c:v>0.64800000000000002</c:v>
                </c:pt>
                <c:pt idx="3572">
                  <c:v>0.65229999999999999</c:v>
                </c:pt>
                <c:pt idx="3573">
                  <c:v>0.66449999999999998</c:v>
                </c:pt>
                <c:pt idx="3574">
                  <c:v>0.66290000000000004</c:v>
                </c:pt>
                <c:pt idx="3575">
                  <c:v>0.66320000000000001</c:v>
                </c:pt>
                <c:pt idx="3576">
                  <c:v>0.66490000000000005</c:v>
                </c:pt>
                <c:pt idx="3577">
                  <c:v>0.65920000000000001</c:v>
                </c:pt>
                <c:pt idx="3578">
                  <c:v>0.65139999999999998</c:v>
                </c:pt>
                <c:pt idx="3579">
                  <c:v>0.65200000000000002</c:v>
                </c:pt>
                <c:pt idx="3580">
                  <c:v>0.64770000000000005</c:v>
                </c:pt>
                <c:pt idx="3581">
                  <c:v>0.65339999999999998</c:v>
                </c:pt>
                <c:pt idx="3582">
                  <c:v>0.65580000000000005</c:v>
                </c:pt>
                <c:pt idx="3583">
                  <c:v>0.65069999999999995</c:v>
                </c:pt>
                <c:pt idx="3584">
                  <c:v>0.65910000000000002</c:v>
                </c:pt>
                <c:pt idx="3585">
                  <c:v>0.65969999999999995</c:v>
                </c:pt>
                <c:pt idx="3586">
                  <c:v>0.65810000000000002</c:v>
                </c:pt>
                <c:pt idx="3587">
                  <c:v>0.65739999999999998</c:v>
                </c:pt>
                <c:pt idx="3588">
                  <c:v>0.66049999999999998</c:v>
                </c:pt>
                <c:pt idx="3589">
                  <c:v>0.67869999999999997</c:v>
                </c:pt>
                <c:pt idx="3590">
                  <c:v>0.67900000000000005</c:v>
                </c:pt>
                <c:pt idx="3591">
                  <c:v>0.68140000000000001</c:v>
                </c:pt>
                <c:pt idx="3592">
                  <c:v>0.68149999999999999</c:v>
                </c:pt>
                <c:pt idx="3593">
                  <c:v>0.67610000000000003</c:v>
                </c:pt>
                <c:pt idx="3594">
                  <c:v>0.67259999999999998</c:v>
                </c:pt>
                <c:pt idx="3595">
                  <c:v>0.66620000000000001</c:v>
                </c:pt>
                <c:pt idx="3596">
                  <c:v>0.66359999999999997</c:v>
                </c:pt>
                <c:pt idx="3597">
                  <c:v>0.66830000000000001</c:v>
                </c:pt>
                <c:pt idx="3598">
                  <c:v>0.66349999999999998</c:v>
                </c:pt>
                <c:pt idx="3599">
                  <c:v>0.66349999999999998</c:v>
                </c:pt>
                <c:pt idx="3600">
                  <c:v>0.66820000000000002</c:v>
                </c:pt>
                <c:pt idx="3601">
                  <c:v>0.67110000000000003</c:v>
                </c:pt>
                <c:pt idx="3602">
                  <c:v>0.67320000000000002</c:v>
                </c:pt>
                <c:pt idx="3603">
                  <c:v>0.67</c:v>
                </c:pt>
                <c:pt idx="3604">
                  <c:v>0.66879999999999995</c:v>
                </c:pt>
                <c:pt idx="3605">
                  <c:v>0.66830000000000001</c:v>
                </c:pt>
                <c:pt idx="3606">
                  <c:v>0.66459999999999997</c:v>
                </c:pt>
                <c:pt idx="3607">
                  <c:v>0.66290000000000004</c:v>
                </c:pt>
                <c:pt idx="3608">
                  <c:v>0.65690000000000004</c:v>
                </c:pt>
                <c:pt idx="3609">
                  <c:v>0.65639999999999998</c:v>
                </c:pt>
                <c:pt idx="3610">
                  <c:v>0.6583</c:v>
                </c:pt>
                <c:pt idx="3611">
                  <c:v>0.66510000000000002</c:v>
                </c:pt>
                <c:pt idx="3612">
                  <c:v>0.66449999999999998</c:v>
                </c:pt>
                <c:pt idx="3613">
                  <c:v>0.66039999999999999</c:v>
                </c:pt>
                <c:pt idx="3614">
                  <c:v>0.65810000000000002</c:v>
                </c:pt>
                <c:pt idx="3615">
                  <c:v>0.65380000000000005</c:v>
                </c:pt>
                <c:pt idx="3616">
                  <c:v>0.65139999999999998</c:v>
                </c:pt>
                <c:pt idx="3617">
                  <c:v>0.65069999999999995</c:v>
                </c:pt>
                <c:pt idx="3618">
                  <c:v>0.65529999999999999</c:v>
                </c:pt>
                <c:pt idx="3619">
                  <c:v>0.65980000000000005</c:v>
                </c:pt>
                <c:pt idx="3620">
                  <c:v>0.65890000000000004</c:v>
                </c:pt>
                <c:pt idx="3621">
                  <c:v>0.65769999999999995</c:v>
                </c:pt>
                <c:pt idx="3622">
                  <c:v>0.65559999999999996</c:v>
                </c:pt>
                <c:pt idx="3623">
                  <c:v>0.65790000000000004</c:v>
                </c:pt>
                <c:pt idx="3624">
                  <c:v>0.65469999999999995</c:v>
                </c:pt>
                <c:pt idx="3625">
                  <c:v>0.65139999999999998</c:v>
                </c:pt>
                <c:pt idx="3626">
                  <c:v>0.64139999999999997</c:v>
                </c:pt>
                <c:pt idx="3627">
                  <c:v>0.64749999999999996</c:v>
                </c:pt>
                <c:pt idx="3628">
                  <c:v>0.64849999999999997</c:v>
                </c:pt>
                <c:pt idx="3629">
                  <c:v>0.64880000000000004</c:v>
                </c:pt>
                <c:pt idx="3630">
                  <c:v>0.64480000000000004</c:v>
                </c:pt>
                <c:pt idx="3631">
                  <c:v>0.64329999999999998</c:v>
                </c:pt>
                <c:pt idx="3632">
                  <c:v>0.63839999999999997</c:v>
                </c:pt>
                <c:pt idx="3633">
                  <c:v>0.64280000000000004</c:v>
                </c:pt>
                <c:pt idx="3634">
                  <c:v>0.63480000000000003</c:v>
                </c:pt>
                <c:pt idx="3635">
                  <c:v>0.63019999999999998</c:v>
                </c:pt>
                <c:pt idx="3636">
                  <c:v>0.63149999999999995</c:v>
                </c:pt>
                <c:pt idx="3637">
                  <c:v>0.62629999999999997</c:v>
                </c:pt>
                <c:pt idx="3638">
                  <c:v>0.62190000000000001</c:v>
                </c:pt>
                <c:pt idx="3639">
                  <c:v>0.61819999999999997</c:v>
                </c:pt>
                <c:pt idx="3640">
                  <c:v>0.61629999999999996</c:v>
                </c:pt>
                <c:pt idx="3641">
                  <c:v>0.61760000000000004</c:v>
                </c:pt>
                <c:pt idx="3642">
                  <c:v>0.61860000000000004</c:v>
                </c:pt>
                <c:pt idx="3643">
                  <c:v>0.62139999999999995</c:v>
                </c:pt>
                <c:pt idx="3644">
                  <c:v>0.61419999999999997</c:v>
                </c:pt>
                <c:pt idx="3645">
                  <c:v>0.61480000000000001</c:v>
                </c:pt>
                <c:pt idx="3646">
                  <c:v>0.61399999999999999</c:v>
                </c:pt>
                <c:pt idx="3647">
                  <c:v>0.61270000000000002</c:v>
                </c:pt>
                <c:pt idx="3648">
                  <c:v>0.60670000000000002</c:v>
                </c:pt>
                <c:pt idx="3649">
                  <c:v>0.60489999999999999</c:v>
                </c:pt>
                <c:pt idx="3650">
                  <c:v>0.60560000000000003</c:v>
                </c:pt>
                <c:pt idx="3651">
                  <c:v>0.60560000000000003</c:v>
                </c:pt>
                <c:pt idx="3652">
                  <c:v>0.60540000000000005</c:v>
                </c:pt>
                <c:pt idx="3653">
                  <c:v>0.60089999999999999</c:v>
                </c:pt>
                <c:pt idx="3654">
                  <c:v>0.59799999999999998</c:v>
                </c:pt>
                <c:pt idx="3655">
                  <c:v>0.60060000000000002</c:v>
                </c:pt>
                <c:pt idx="3656">
                  <c:v>0.60170000000000001</c:v>
                </c:pt>
                <c:pt idx="3657">
                  <c:v>0.60250000000000004</c:v>
                </c:pt>
                <c:pt idx="3658">
                  <c:v>0.60460000000000003</c:v>
                </c:pt>
                <c:pt idx="3659">
                  <c:v>0.60409999999999997</c:v>
                </c:pt>
                <c:pt idx="3660">
                  <c:v>0.60109999999999997</c:v>
                </c:pt>
                <c:pt idx="3661">
                  <c:v>0.60140000000000005</c:v>
                </c:pt>
                <c:pt idx="3662">
                  <c:v>0.59819999999999995</c:v>
                </c:pt>
                <c:pt idx="3663">
                  <c:v>0.59619999999999995</c:v>
                </c:pt>
                <c:pt idx="3664">
                  <c:v>0.59489999999999998</c:v>
                </c:pt>
                <c:pt idx="3665">
                  <c:v>0.59130000000000005</c:v>
                </c:pt>
                <c:pt idx="3666">
                  <c:v>0.59330000000000005</c:v>
                </c:pt>
                <c:pt idx="3667">
                  <c:v>0.5897</c:v>
                </c:pt>
                <c:pt idx="3668">
                  <c:v>0.59419999999999995</c:v>
                </c:pt>
                <c:pt idx="3669">
                  <c:v>0.59279999999999999</c:v>
                </c:pt>
                <c:pt idx="3670">
                  <c:v>0.5988</c:v>
                </c:pt>
                <c:pt idx="3671">
                  <c:v>0.59470000000000001</c:v>
                </c:pt>
                <c:pt idx="3672">
                  <c:v>0.59560000000000002</c:v>
                </c:pt>
                <c:pt idx="3673">
                  <c:v>0.60429999999999995</c:v>
                </c:pt>
                <c:pt idx="3674">
                  <c:v>0.61460000000000004</c:v>
                </c:pt>
                <c:pt idx="3675">
                  <c:v>0.6139</c:v>
                </c:pt>
                <c:pt idx="3676">
                  <c:v>0.61439999999999995</c:v>
                </c:pt>
                <c:pt idx="3677">
                  <c:v>0.61660000000000004</c:v>
                </c:pt>
                <c:pt idx="3678">
                  <c:v>0.61260000000000003</c:v>
                </c:pt>
                <c:pt idx="3679">
                  <c:v>0.61450000000000005</c:v>
                </c:pt>
                <c:pt idx="3680">
                  <c:v>0.60850000000000004</c:v>
                </c:pt>
                <c:pt idx="3681">
                  <c:v>0.60519999999999996</c:v>
                </c:pt>
                <c:pt idx="3682">
                  <c:v>0.60709999999999997</c:v>
                </c:pt>
                <c:pt idx="3683">
                  <c:v>0.60560000000000003</c:v>
                </c:pt>
                <c:pt idx="3684">
                  <c:v>0.60529999999999995</c:v>
                </c:pt>
                <c:pt idx="3685">
                  <c:v>0.59719999999999995</c:v>
                </c:pt>
                <c:pt idx="3686">
                  <c:v>0.59850000000000003</c:v>
                </c:pt>
                <c:pt idx="3687">
                  <c:v>0.59409999999999996</c:v>
                </c:pt>
                <c:pt idx="3688">
                  <c:v>0.5897</c:v>
                </c:pt>
                <c:pt idx="3689">
                  <c:v>0.5907</c:v>
                </c:pt>
                <c:pt idx="3690">
                  <c:v>0.59189999999999998</c:v>
                </c:pt>
                <c:pt idx="3691">
                  <c:v>0.59570000000000001</c:v>
                </c:pt>
                <c:pt idx="3692">
                  <c:v>0.58879999999999999</c:v>
                </c:pt>
                <c:pt idx="3693">
                  <c:v>0.59109999999999996</c:v>
                </c:pt>
                <c:pt idx="3694">
                  <c:v>0.59130000000000005</c:v>
                </c:pt>
                <c:pt idx="3695">
                  <c:v>0.5907</c:v>
                </c:pt>
                <c:pt idx="3696">
                  <c:v>0.59199999999999997</c:v>
                </c:pt>
                <c:pt idx="3697">
                  <c:v>0.59</c:v>
                </c:pt>
                <c:pt idx="3698">
                  <c:v>0.59179999999999999</c:v>
                </c:pt>
                <c:pt idx="3699">
                  <c:v>0.58450000000000002</c:v>
                </c:pt>
                <c:pt idx="3700">
                  <c:v>0.58679999999999999</c:v>
                </c:pt>
                <c:pt idx="3701">
                  <c:v>0.58919999999999995</c:v>
                </c:pt>
                <c:pt idx="3702">
                  <c:v>0.58960000000000001</c:v>
                </c:pt>
                <c:pt idx="3703">
                  <c:v>0.58850000000000002</c:v>
                </c:pt>
                <c:pt idx="3704">
                  <c:v>0.59040000000000004</c:v>
                </c:pt>
                <c:pt idx="3705">
                  <c:v>0.59199999999999997</c:v>
                </c:pt>
                <c:pt idx="3706">
                  <c:v>0.5907</c:v>
                </c:pt>
                <c:pt idx="3707">
                  <c:v>0.58640000000000003</c:v>
                </c:pt>
                <c:pt idx="3708">
                  <c:v>0.58909999999999996</c:v>
                </c:pt>
                <c:pt idx="3709">
                  <c:v>0.59109999999999996</c:v>
                </c:pt>
                <c:pt idx="3710">
                  <c:v>0.59179999999999999</c:v>
                </c:pt>
                <c:pt idx="3711">
                  <c:v>0.5877</c:v>
                </c:pt>
                <c:pt idx="3712">
                  <c:v>0.58420000000000005</c:v>
                </c:pt>
                <c:pt idx="3713">
                  <c:v>0.58340000000000003</c:v>
                </c:pt>
                <c:pt idx="3714">
                  <c:v>0.58530000000000004</c:v>
                </c:pt>
                <c:pt idx="3715">
                  <c:v>0.58399999999999996</c:v>
                </c:pt>
                <c:pt idx="3716">
                  <c:v>0.57589999999999997</c:v>
                </c:pt>
                <c:pt idx="3717">
                  <c:v>0.5766</c:v>
                </c:pt>
                <c:pt idx="3718">
                  <c:v>0.57340000000000002</c:v>
                </c:pt>
                <c:pt idx="3719">
                  <c:v>0.57599999999999996</c:v>
                </c:pt>
                <c:pt idx="3720">
                  <c:v>0.56759999999999999</c:v>
                </c:pt>
                <c:pt idx="3721">
                  <c:v>0.56330000000000002</c:v>
                </c:pt>
                <c:pt idx="3722">
                  <c:v>0.56179999999999997</c:v>
                </c:pt>
                <c:pt idx="3723">
                  <c:v>0.5615</c:v>
                </c:pt>
                <c:pt idx="3724">
                  <c:v>0.56489999999999996</c:v>
                </c:pt>
                <c:pt idx="3725">
                  <c:v>0.56120000000000003</c:v>
                </c:pt>
                <c:pt idx="3726">
                  <c:v>0.56320000000000003</c:v>
                </c:pt>
                <c:pt idx="3727">
                  <c:v>0.56289999999999996</c:v>
                </c:pt>
                <c:pt idx="3728">
                  <c:v>0.56240000000000001</c:v>
                </c:pt>
                <c:pt idx="3729">
                  <c:v>0.56210000000000004</c:v>
                </c:pt>
                <c:pt idx="3730">
                  <c:v>0.56310000000000004</c:v>
                </c:pt>
                <c:pt idx="3731">
                  <c:v>0.56530000000000002</c:v>
                </c:pt>
                <c:pt idx="3732">
                  <c:v>0.56499999999999995</c:v>
                </c:pt>
                <c:pt idx="3733">
                  <c:v>0.56559999999999999</c:v>
                </c:pt>
                <c:pt idx="3734">
                  <c:v>0.56679999999999997</c:v>
                </c:pt>
                <c:pt idx="3735">
                  <c:v>0.56479999999999997</c:v>
                </c:pt>
                <c:pt idx="3736">
                  <c:v>0.56589999999999996</c:v>
                </c:pt>
                <c:pt idx="3737">
                  <c:v>0.5605</c:v>
                </c:pt>
                <c:pt idx="3738">
                  <c:v>0.55940000000000001</c:v>
                </c:pt>
                <c:pt idx="3739">
                  <c:v>0.56369999999999998</c:v>
                </c:pt>
                <c:pt idx="3740">
                  <c:v>0.56079999999999997</c:v>
                </c:pt>
                <c:pt idx="3741">
                  <c:v>0.56140000000000001</c:v>
                </c:pt>
                <c:pt idx="3742">
                  <c:v>0.56059999999999999</c:v>
                </c:pt>
                <c:pt idx="3743">
                  <c:v>0.55900000000000005</c:v>
                </c:pt>
                <c:pt idx="3744">
                  <c:v>0.55969999999999998</c:v>
                </c:pt>
                <c:pt idx="3745">
                  <c:v>0.56059999999999999</c:v>
                </c:pt>
                <c:pt idx="3746">
                  <c:v>0.56030000000000002</c:v>
                </c:pt>
                <c:pt idx="3747">
                  <c:v>0.55640000000000001</c:v>
                </c:pt>
                <c:pt idx="3748">
                  <c:v>0.56000000000000005</c:v>
                </c:pt>
                <c:pt idx="3749">
                  <c:v>0.55940000000000001</c:v>
                </c:pt>
                <c:pt idx="3750">
                  <c:v>0.5635</c:v>
                </c:pt>
                <c:pt idx="3751">
                  <c:v>0.56279999999999997</c:v>
                </c:pt>
                <c:pt idx="3752">
                  <c:v>0.56030000000000002</c:v>
                </c:pt>
                <c:pt idx="3753">
                  <c:v>0.55969999999999998</c:v>
                </c:pt>
                <c:pt idx="3754">
                  <c:v>0.56200000000000006</c:v>
                </c:pt>
                <c:pt idx="3755">
                  <c:v>0.56359999999999999</c:v>
                </c:pt>
                <c:pt idx="3756">
                  <c:v>0.56330000000000002</c:v>
                </c:pt>
                <c:pt idx="3757">
                  <c:v>0.56030000000000002</c:v>
                </c:pt>
                <c:pt idx="3758">
                  <c:v>0.56030000000000002</c:v>
                </c:pt>
                <c:pt idx="3759">
                  <c:v>0.56140000000000001</c:v>
                </c:pt>
                <c:pt idx="3760">
                  <c:v>0.56479999999999997</c:v>
                </c:pt>
                <c:pt idx="3761">
                  <c:v>0.56669999999999998</c:v>
                </c:pt>
                <c:pt idx="3762">
                  <c:v>0.56369999999999998</c:v>
                </c:pt>
                <c:pt idx="3763">
                  <c:v>0.56120000000000003</c:v>
                </c:pt>
                <c:pt idx="3764">
                  <c:v>0.56140000000000001</c:v>
                </c:pt>
                <c:pt idx="3765">
                  <c:v>0.55910000000000004</c:v>
                </c:pt>
                <c:pt idx="3766">
                  <c:v>0.55459999999999998</c:v>
                </c:pt>
                <c:pt idx="3767">
                  <c:v>0.55330000000000001</c:v>
                </c:pt>
                <c:pt idx="3768">
                  <c:v>0.55679999999999996</c:v>
                </c:pt>
                <c:pt idx="3769">
                  <c:v>0.55910000000000004</c:v>
                </c:pt>
                <c:pt idx="3770">
                  <c:v>0.55579999999999996</c:v>
                </c:pt>
                <c:pt idx="3771">
                  <c:v>0.55449999999999999</c:v>
                </c:pt>
                <c:pt idx="3772">
                  <c:v>0.55289999999999995</c:v>
                </c:pt>
                <c:pt idx="3773">
                  <c:v>0.55249999999999999</c:v>
                </c:pt>
                <c:pt idx="3774">
                  <c:v>0.55469999999999997</c:v>
                </c:pt>
                <c:pt idx="3775">
                  <c:v>0.55000000000000004</c:v>
                </c:pt>
                <c:pt idx="3776">
                  <c:v>0.55089999999999995</c:v>
                </c:pt>
                <c:pt idx="3777">
                  <c:v>0.54869999999999997</c:v>
                </c:pt>
                <c:pt idx="3778">
                  <c:v>0.54669999999999996</c:v>
                </c:pt>
                <c:pt idx="3779">
                  <c:v>0.54669999999999996</c:v>
                </c:pt>
                <c:pt idx="3780">
                  <c:v>0.54869999999999997</c:v>
                </c:pt>
                <c:pt idx="3781">
                  <c:v>0.54849999999999999</c:v>
                </c:pt>
                <c:pt idx="3782">
                  <c:v>0.54910000000000003</c:v>
                </c:pt>
                <c:pt idx="3783">
                  <c:v>0.54659999999999997</c:v>
                </c:pt>
                <c:pt idx="3784">
                  <c:v>0.54949999999999999</c:v>
                </c:pt>
                <c:pt idx="3785">
                  <c:v>0.54659999999999997</c:v>
                </c:pt>
                <c:pt idx="3786">
                  <c:v>0.54630000000000001</c:v>
                </c:pt>
                <c:pt idx="3787">
                  <c:v>0.54349999999999998</c:v>
                </c:pt>
                <c:pt idx="3788">
                  <c:v>0.54379999999999995</c:v>
                </c:pt>
                <c:pt idx="3789">
                  <c:v>0.54339999999999999</c:v>
                </c:pt>
                <c:pt idx="3790">
                  <c:v>0.54379999999999995</c:v>
                </c:pt>
                <c:pt idx="3791">
                  <c:v>0.54410000000000003</c:v>
                </c:pt>
                <c:pt idx="3792">
                  <c:v>0.54669999999999996</c:v>
                </c:pt>
                <c:pt idx="3793">
                  <c:v>0.54330000000000001</c:v>
                </c:pt>
                <c:pt idx="3794">
                  <c:v>0.54349999999999998</c:v>
                </c:pt>
                <c:pt idx="3795">
                  <c:v>0.54630000000000001</c:v>
                </c:pt>
                <c:pt idx="3796">
                  <c:v>0.55000000000000004</c:v>
                </c:pt>
                <c:pt idx="3797">
                  <c:v>0.54859999999999998</c:v>
                </c:pt>
                <c:pt idx="3798">
                  <c:v>0.54759999999999998</c:v>
                </c:pt>
                <c:pt idx="3799">
                  <c:v>0.54779999999999995</c:v>
                </c:pt>
                <c:pt idx="3800">
                  <c:v>0.55020000000000002</c:v>
                </c:pt>
                <c:pt idx="3801">
                  <c:v>0.5524</c:v>
                </c:pt>
                <c:pt idx="3802">
                  <c:v>0.54820000000000002</c:v>
                </c:pt>
                <c:pt idx="3803">
                  <c:v>0.5484</c:v>
                </c:pt>
                <c:pt idx="3804">
                  <c:v>0.54830000000000001</c:v>
                </c:pt>
                <c:pt idx="3805">
                  <c:v>0.54749999999999999</c:v>
                </c:pt>
                <c:pt idx="3806">
                  <c:v>0.54210000000000003</c:v>
                </c:pt>
                <c:pt idx="3807">
                  <c:v>0.54479999999999995</c:v>
                </c:pt>
                <c:pt idx="3808">
                  <c:v>0.54820000000000002</c:v>
                </c:pt>
                <c:pt idx="3809">
                  <c:v>0.55200000000000005</c:v>
                </c:pt>
                <c:pt idx="3810">
                  <c:v>0.55049999999999999</c:v>
                </c:pt>
                <c:pt idx="3811">
                  <c:v>0.55220000000000002</c:v>
                </c:pt>
                <c:pt idx="3812">
                  <c:v>0.55149999999999999</c:v>
                </c:pt>
                <c:pt idx="3813">
                  <c:v>0.55410000000000004</c:v>
                </c:pt>
                <c:pt idx="3814">
                  <c:v>0.54379999999999995</c:v>
                </c:pt>
                <c:pt idx="3815">
                  <c:v>0.54239999999999999</c:v>
                </c:pt>
                <c:pt idx="3816">
                  <c:v>0.54069999999999996</c:v>
                </c:pt>
                <c:pt idx="3817">
                  <c:v>0.54390000000000005</c:v>
                </c:pt>
                <c:pt idx="3818">
                  <c:v>0.54620000000000002</c:v>
                </c:pt>
                <c:pt idx="3819">
                  <c:v>0.54210000000000003</c:v>
                </c:pt>
                <c:pt idx="3820">
                  <c:v>0.54530000000000001</c:v>
                </c:pt>
                <c:pt idx="3821">
                  <c:v>0.54279999999999995</c:v>
                </c:pt>
                <c:pt idx="3822">
                  <c:v>0.53649999999999998</c:v>
                </c:pt>
                <c:pt idx="3823">
                  <c:v>0.53790000000000004</c:v>
                </c:pt>
                <c:pt idx="3824">
                  <c:v>0.53959999999999997</c:v>
                </c:pt>
                <c:pt idx="3825">
                  <c:v>0.53600000000000003</c:v>
                </c:pt>
                <c:pt idx="3826">
                  <c:v>0.53359999999999996</c:v>
                </c:pt>
                <c:pt idx="3827">
                  <c:v>0.53690000000000004</c:v>
                </c:pt>
                <c:pt idx="3828">
                  <c:v>0.53100000000000003</c:v>
                </c:pt>
                <c:pt idx="3829">
                  <c:v>0.5272</c:v>
                </c:pt>
                <c:pt idx="3830">
                  <c:v>0.53839999999999999</c:v>
                </c:pt>
                <c:pt idx="3831">
                  <c:v>0.54069999999999996</c:v>
                </c:pt>
                <c:pt idx="3832">
                  <c:v>0.54249999999999998</c:v>
                </c:pt>
                <c:pt idx="3833">
                  <c:v>0.54359999999999997</c:v>
                </c:pt>
                <c:pt idx="3834">
                  <c:v>0.54110000000000003</c:v>
                </c:pt>
                <c:pt idx="3835">
                  <c:v>0.53469999999999995</c:v>
                </c:pt>
                <c:pt idx="3836">
                  <c:v>0.54020000000000001</c:v>
                </c:pt>
                <c:pt idx="3837">
                  <c:v>0.54259999999999997</c:v>
                </c:pt>
                <c:pt idx="3838">
                  <c:v>0.53849999999999998</c:v>
                </c:pt>
                <c:pt idx="3839">
                  <c:v>0.54710000000000003</c:v>
                </c:pt>
                <c:pt idx="3840">
                  <c:v>0.55669999999999997</c:v>
                </c:pt>
                <c:pt idx="3841">
                  <c:v>0.55289999999999995</c:v>
                </c:pt>
                <c:pt idx="3842">
                  <c:v>0.55079999999999996</c:v>
                </c:pt>
                <c:pt idx="3843">
                  <c:v>0.55620000000000003</c:v>
                </c:pt>
                <c:pt idx="3844">
                  <c:v>0.55889999999999995</c:v>
                </c:pt>
                <c:pt idx="3845">
                  <c:v>0.55979999999999996</c:v>
                </c:pt>
                <c:pt idx="3846">
                  <c:v>0.55769999999999997</c:v>
                </c:pt>
                <c:pt idx="3847">
                  <c:v>0.56540000000000001</c:v>
                </c:pt>
                <c:pt idx="3848">
                  <c:v>0.56830000000000003</c:v>
                </c:pt>
                <c:pt idx="3849">
                  <c:v>0.56469999999999998</c:v>
                </c:pt>
                <c:pt idx="3850">
                  <c:v>0.55659999999999998</c:v>
                </c:pt>
                <c:pt idx="3851">
                  <c:v>0.55610000000000004</c:v>
                </c:pt>
                <c:pt idx="3852">
                  <c:v>0.56000000000000005</c:v>
                </c:pt>
                <c:pt idx="3853">
                  <c:v>0.5645</c:v>
                </c:pt>
                <c:pt idx="3854">
                  <c:v>0.56169999999999998</c:v>
                </c:pt>
                <c:pt idx="3855">
                  <c:v>0.5635</c:v>
                </c:pt>
                <c:pt idx="3856">
                  <c:v>0.56240000000000001</c:v>
                </c:pt>
                <c:pt idx="3857">
                  <c:v>0.55989999999999995</c:v>
                </c:pt>
                <c:pt idx="3858">
                  <c:v>0.5716</c:v>
                </c:pt>
                <c:pt idx="3859">
                  <c:v>0.56950000000000001</c:v>
                </c:pt>
                <c:pt idx="3860">
                  <c:v>0.57389999999999997</c:v>
                </c:pt>
                <c:pt idx="3861">
                  <c:v>0.57220000000000004</c:v>
                </c:pt>
                <c:pt idx="3862">
                  <c:v>0.56469999999999998</c:v>
                </c:pt>
                <c:pt idx="3863">
                  <c:v>0.56569999999999998</c:v>
                </c:pt>
                <c:pt idx="3864">
                  <c:v>0.5585</c:v>
                </c:pt>
                <c:pt idx="3865">
                  <c:v>0.56040000000000001</c:v>
                </c:pt>
                <c:pt idx="3866">
                  <c:v>0.56669999999999998</c:v>
                </c:pt>
                <c:pt idx="3867">
                  <c:v>0.57020000000000004</c:v>
                </c:pt>
                <c:pt idx="3868">
                  <c:v>0.56869999999999998</c:v>
                </c:pt>
                <c:pt idx="3869">
                  <c:v>0.5706</c:v>
                </c:pt>
                <c:pt idx="3870">
                  <c:v>0.57179999999999997</c:v>
                </c:pt>
                <c:pt idx="3871">
                  <c:v>0.57579999999999998</c:v>
                </c:pt>
                <c:pt idx="3872">
                  <c:v>0.57369999999999999</c:v>
                </c:pt>
                <c:pt idx="3873">
                  <c:v>0.57240000000000002</c:v>
                </c:pt>
                <c:pt idx="3874">
                  <c:v>0.57130000000000003</c:v>
                </c:pt>
                <c:pt idx="3875">
                  <c:v>0.56769999999999998</c:v>
                </c:pt>
                <c:pt idx="3876">
                  <c:v>0.56459999999999999</c:v>
                </c:pt>
                <c:pt idx="3877">
                  <c:v>0.56379999999999997</c:v>
                </c:pt>
                <c:pt idx="3878">
                  <c:v>0.56179999999999997</c:v>
                </c:pt>
                <c:pt idx="3879">
                  <c:v>0.55740000000000001</c:v>
                </c:pt>
                <c:pt idx="3880">
                  <c:v>0.55679999999999996</c:v>
                </c:pt>
                <c:pt idx="3881">
                  <c:v>0.55689999999999995</c:v>
                </c:pt>
                <c:pt idx="3882">
                  <c:v>0.56030000000000002</c:v>
                </c:pt>
                <c:pt idx="3883">
                  <c:v>0.55679999999999996</c:v>
                </c:pt>
                <c:pt idx="3884">
                  <c:v>0.55510000000000004</c:v>
                </c:pt>
                <c:pt idx="3885">
                  <c:v>0.55259999999999998</c:v>
                </c:pt>
                <c:pt idx="3886">
                  <c:v>0.54910000000000003</c:v>
                </c:pt>
                <c:pt idx="3887">
                  <c:v>0.54920000000000002</c:v>
                </c:pt>
                <c:pt idx="3888">
                  <c:v>0.54730000000000001</c:v>
                </c:pt>
                <c:pt idx="3889">
                  <c:v>0.54669999999999996</c:v>
                </c:pt>
                <c:pt idx="3890">
                  <c:v>0.54490000000000005</c:v>
                </c:pt>
                <c:pt idx="3891">
                  <c:v>0.54420000000000002</c:v>
                </c:pt>
                <c:pt idx="3892">
                  <c:v>0.5393</c:v>
                </c:pt>
                <c:pt idx="3893">
                  <c:v>0.53920000000000001</c:v>
                </c:pt>
                <c:pt idx="3894">
                  <c:v>0.53969999999999996</c:v>
                </c:pt>
                <c:pt idx="3895">
                  <c:v>0.53969999999999996</c:v>
                </c:pt>
                <c:pt idx="3896">
                  <c:v>0.53549999999999998</c:v>
                </c:pt>
                <c:pt idx="3897">
                  <c:v>0.53959999999999997</c:v>
                </c:pt>
                <c:pt idx="3898">
                  <c:v>0.53849999999999998</c:v>
                </c:pt>
                <c:pt idx="3899">
                  <c:v>0.53869999999999996</c:v>
                </c:pt>
                <c:pt idx="3900">
                  <c:v>0.54369999999999996</c:v>
                </c:pt>
                <c:pt idx="3901">
                  <c:v>0.54349999999999998</c:v>
                </c:pt>
                <c:pt idx="3902">
                  <c:v>0.54279999999999995</c:v>
                </c:pt>
                <c:pt idx="3903">
                  <c:v>0.53810000000000002</c:v>
                </c:pt>
                <c:pt idx="3904">
                  <c:v>0.54049999999999998</c:v>
                </c:pt>
                <c:pt idx="3905">
                  <c:v>0.53979999999999995</c:v>
                </c:pt>
                <c:pt idx="3906">
                  <c:v>0.53879999999999995</c:v>
                </c:pt>
                <c:pt idx="3907">
                  <c:v>0.53769999999999996</c:v>
                </c:pt>
                <c:pt idx="3908">
                  <c:v>0.53300000000000003</c:v>
                </c:pt>
                <c:pt idx="3909">
                  <c:v>0.53120000000000001</c:v>
                </c:pt>
                <c:pt idx="3910">
                  <c:v>0.53490000000000004</c:v>
                </c:pt>
                <c:pt idx="3911">
                  <c:v>0.53500000000000003</c:v>
                </c:pt>
                <c:pt idx="3912">
                  <c:v>0.53090000000000004</c:v>
                </c:pt>
                <c:pt idx="3913">
                  <c:v>0.52800000000000002</c:v>
                </c:pt>
                <c:pt idx="3914">
                  <c:v>0.52729999999999999</c:v>
                </c:pt>
                <c:pt idx="3915">
                  <c:v>0.53049999999999997</c:v>
                </c:pt>
                <c:pt idx="3916">
                  <c:v>0.53110000000000002</c:v>
                </c:pt>
                <c:pt idx="3917">
                  <c:v>0.53220000000000001</c:v>
                </c:pt>
                <c:pt idx="3918">
                  <c:v>0.53480000000000005</c:v>
                </c:pt>
                <c:pt idx="3919">
                  <c:v>0.53400000000000003</c:v>
                </c:pt>
                <c:pt idx="3920">
                  <c:v>0.53339999999999999</c:v>
                </c:pt>
                <c:pt idx="3921">
                  <c:v>0.53390000000000004</c:v>
                </c:pt>
                <c:pt idx="3922">
                  <c:v>0.52769999999999995</c:v>
                </c:pt>
                <c:pt idx="3923">
                  <c:v>0.52700000000000002</c:v>
                </c:pt>
                <c:pt idx="3924">
                  <c:v>0.5302</c:v>
                </c:pt>
                <c:pt idx="3925">
                  <c:v>0.53059999999999996</c:v>
                </c:pt>
                <c:pt idx="3926">
                  <c:v>0.53010000000000002</c:v>
                </c:pt>
                <c:pt idx="3927">
                  <c:v>0.52990000000000004</c:v>
                </c:pt>
                <c:pt idx="3928">
                  <c:v>0.52310000000000001</c:v>
                </c:pt>
                <c:pt idx="3929">
                  <c:v>0.52549999999999997</c:v>
                </c:pt>
                <c:pt idx="3930">
                  <c:v>0.52549999999999997</c:v>
                </c:pt>
                <c:pt idx="3931">
                  <c:v>0.52400000000000002</c:v>
                </c:pt>
                <c:pt idx="3932">
                  <c:v>0.51959999999999995</c:v>
                </c:pt>
                <c:pt idx="3933">
                  <c:v>0.52059999999999995</c:v>
                </c:pt>
                <c:pt idx="3934">
                  <c:v>0.52170000000000005</c:v>
                </c:pt>
                <c:pt idx="3935">
                  <c:v>0.5232</c:v>
                </c:pt>
                <c:pt idx="3936">
                  <c:v>0.52529999999999999</c:v>
                </c:pt>
                <c:pt idx="3937">
                  <c:v>0.52249999999999996</c:v>
                </c:pt>
                <c:pt idx="3938">
                  <c:v>0.52049999999999996</c:v>
                </c:pt>
                <c:pt idx="3939">
                  <c:v>0.52049999999999996</c:v>
                </c:pt>
                <c:pt idx="3940">
                  <c:v>0.51959999999999995</c:v>
                </c:pt>
                <c:pt idx="3941">
                  <c:v>0.51670000000000005</c:v>
                </c:pt>
                <c:pt idx="3942">
                  <c:v>0.51529999999999998</c:v>
                </c:pt>
                <c:pt idx="3943">
                  <c:v>0.51359999999999995</c:v>
                </c:pt>
                <c:pt idx="3944">
                  <c:v>0.51380000000000003</c:v>
                </c:pt>
                <c:pt idx="3945">
                  <c:v>0.51290000000000002</c:v>
                </c:pt>
                <c:pt idx="3946">
                  <c:v>0.5171</c:v>
                </c:pt>
                <c:pt idx="3947">
                  <c:v>0.51819999999999999</c:v>
                </c:pt>
                <c:pt idx="3948">
                  <c:v>0.51829999999999998</c:v>
                </c:pt>
                <c:pt idx="3949">
                  <c:v>0.51829999999999998</c:v>
                </c:pt>
                <c:pt idx="3950">
                  <c:v>0.5171</c:v>
                </c:pt>
                <c:pt idx="3951">
                  <c:v>0.51680000000000004</c:v>
                </c:pt>
                <c:pt idx="3952">
                  <c:v>0.50980000000000003</c:v>
                </c:pt>
                <c:pt idx="3953">
                  <c:v>0.50919999999999999</c:v>
                </c:pt>
                <c:pt idx="3954">
                  <c:v>0.51239999999999997</c:v>
                </c:pt>
                <c:pt idx="3955">
                  <c:v>0.51039999999999996</c:v>
                </c:pt>
                <c:pt idx="3956">
                  <c:v>0.50919999999999999</c:v>
                </c:pt>
                <c:pt idx="3957">
                  <c:v>0.50829999999999997</c:v>
                </c:pt>
                <c:pt idx="3958">
                  <c:v>0.50919999999999999</c:v>
                </c:pt>
                <c:pt idx="3959">
                  <c:v>0.51080000000000003</c:v>
                </c:pt>
                <c:pt idx="3960">
                  <c:v>0.50919999999999999</c:v>
                </c:pt>
                <c:pt idx="3961">
                  <c:v>0.50780000000000003</c:v>
                </c:pt>
                <c:pt idx="3962">
                  <c:v>0.50670000000000004</c:v>
                </c:pt>
                <c:pt idx="3963">
                  <c:v>0.50939999999999996</c:v>
                </c:pt>
                <c:pt idx="3964">
                  <c:v>0.51580000000000004</c:v>
                </c:pt>
                <c:pt idx="3965">
                  <c:v>0.51619999999999999</c:v>
                </c:pt>
                <c:pt idx="3966">
                  <c:v>0.51939999999999997</c:v>
                </c:pt>
                <c:pt idx="3967">
                  <c:v>0.51800000000000002</c:v>
                </c:pt>
                <c:pt idx="3968">
                  <c:v>0.51910000000000001</c:v>
                </c:pt>
                <c:pt idx="3969">
                  <c:v>0.51749999999999996</c:v>
                </c:pt>
                <c:pt idx="3970">
                  <c:v>0.51449999999999996</c:v>
                </c:pt>
                <c:pt idx="3971">
                  <c:v>0.51459999999999995</c:v>
                </c:pt>
                <c:pt idx="3972">
                  <c:v>0.51519999999999999</c:v>
                </c:pt>
                <c:pt idx="3973">
                  <c:v>0.51790000000000003</c:v>
                </c:pt>
                <c:pt idx="3974">
                  <c:v>0.51819999999999999</c:v>
                </c:pt>
                <c:pt idx="3975">
                  <c:v>0.52070000000000005</c:v>
                </c:pt>
                <c:pt idx="3976">
                  <c:v>0.52310000000000001</c:v>
                </c:pt>
                <c:pt idx="3977">
                  <c:v>0.52470000000000006</c:v>
                </c:pt>
                <c:pt idx="3978">
                  <c:v>0.5242</c:v>
                </c:pt>
                <c:pt idx="3979">
                  <c:v>0.51870000000000005</c:v>
                </c:pt>
                <c:pt idx="3980">
                  <c:v>0.52</c:v>
                </c:pt>
                <c:pt idx="3981">
                  <c:v>0.51439999999999997</c:v>
                </c:pt>
                <c:pt idx="3982">
                  <c:v>0.51490000000000002</c:v>
                </c:pt>
                <c:pt idx="3983">
                  <c:v>0.50990000000000002</c:v>
                </c:pt>
                <c:pt idx="3984">
                  <c:v>0.51060000000000005</c:v>
                </c:pt>
                <c:pt idx="3985">
                  <c:v>0.51060000000000005</c:v>
                </c:pt>
                <c:pt idx="3986">
                  <c:v>0.50770000000000004</c:v>
                </c:pt>
                <c:pt idx="3987">
                  <c:v>0.50739999999999996</c:v>
                </c:pt>
                <c:pt idx="3988">
                  <c:v>0.50800000000000001</c:v>
                </c:pt>
                <c:pt idx="3989">
                  <c:v>0.50880000000000003</c:v>
                </c:pt>
                <c:pt idx="3990">
                  <c:v>0.50839999999999996</c:v>
                </c:pt>
                <c:pt idx="3991">
                  <c:v>0.50529999999999997</c:v>
                </c:pt>
                <c:pt idx="3992">
                  <c:v>0.5111</c:v>
                </c:pt>
                <c:pt idx="3993">
                  <c:v>0.51549999999999996</c:v>
                </c:pt>
                <c:pt idx="3994">
                  <c:v>0.51719999999999999</c:v>
                </c:pt>
                <c:pt idx="3995">
                  <c:v>0.51939999999999997</c:v>
                </c:pt>
                <c:pt idx="3996">
                  <c:v>0.51880000000000004</c:v>
                </c:pt>
                <c:pt idx="3997">
                  <c:v>0.51980000000000004</c:v>
                </c:pt>
                <c:pt idx="3998">
                  <c:v>0.51590000000000003</c:v>
                </c:pt>
                <c:pt idx="3999">
                  <c:v>0.51470000000000005</c:v>
                </c:pt>
                <c:pt idx="4000">
                  <c:v>0.51470000000000005</c:v>
                </c:pt>
                <c:pt idx="4001">
                  <c:v>0.51870000000000005</c:v>
                </c:pt>
                <c:pt idx="4002">
                  <c:v>0.51759999999999995</c:v>
                </c:pt>
                <c:pt idx="4003">
                  <c:v>0.51419999999999999</c:v>
                </c:pt>
                <c:pt idx="4004">
                  <c:v>0.51700000000000002</c:v>
                </c:pt>
                <c:pt idx="4005">
                  <c:v>0.52180000000000004</c:v>
                </c:pt>
                <c:pt idx="4006">
                  <c:v>0.51780000000000004</c:v>
                </c:pt>
                <c:pt idx="4007">
                  <c:v>0.52149999999999996</c:v>
                </c:pt>
                <c:pt idx="4008">
                  <c:v>0.52270000000000005</c:v>
                </c:pt>
                <c:pt idx="4009">
                  <c:v>0.5181</c:v>
                </c:pt>
                <c:pt idx="4010">
                  <c:v>0.51790000000000003</c:v>
                </c:pt>
                <c:pt idx="4011">
                  <c:v>0.51729999999999998</c:v>
                </c:pt>
                <c:pt idx="4012">
                  <c:v>0.51659999999999995</c:v>
                </c:pt>
                <c:pt idx="4013">
                  <c:v>0.51990000000000003</c:v>
                </c:pt>
                <c:pt idx="4014">
                  <c:v>0.52229999999999999</c:v>
                </c:pt>
                <c:pt idx="4015">
                  <c:v>0.52249999999999996</c:v>
                </c:pt>
                <c:pt idx="4016">
                  <c:v>0.51839999999999997</c:v>
                </c:pt>
                <c:pt idx="4017">
                  <c:v>0.52029999999999998</c:v>
                </c:pt>
                <c:pt idx="4018">
                  <c:v>0.52080000000000004</c:v>
                </c:pt>
                <c:pt idx="4019">
                  <c:v>0.52080000000000004</c:v>
                </c:pt>
                <c:pt idx="4020">
                  <c:v>0.51429999999999998</c:v>
                </c:pt>
                <c:pt idx="4021">
                  <c:v>0.51470000000000005</c:v>
                </c:pt>
                <c:pt idx="4022">
                  <c:v>0.51539999999999997</c:v>
                </c:pt>
                <c:pt idx="4023">
                  <c:v>0.51370000000000005</c:v>
                </c:pt>
                <c:pt idx="4024">
                  <c:v>0.50880000000000003</c:v>
                </c:pt>
                <c:pt idx="4025">
                  <c:v>0.50849999999999995</c:v>
                </c:pt>
                <c:pt idx="4026">
                  <c:v>0.50880000000000003</c:v>
                </c:pt>
                <c:pt idx="4027">
                  <c:v>0.50329999999999997</c:v>
                </c:pt>
                <c:pt idx="4028">
                  <c:v>0.50439999999999996</c:v>
                </c:pt>
                <c:pt idx="4029">
                  <c:v>0.50560000000000005</c:v>
                </c:pt>
                <c:pt idx="4030">
                  <c:v>0.50270000000000004</c:v>
                </c:pt>
                <c:pt idx="4031">
                  <c:v>0.50349999999999995</c:v>
                </c:pt>
                <c:pt idx="4032">
                  <c:v>0.50780000000000003</c:v>
                </c:pt>
                <c:pt idx="4033">
                  <c:v>0.50780000000000003</c:v>
                </c:pt>
                <c:pt idx="4034">
                  <c:v>0.51080000000000003</c:v>
                </c:pt>
                <c:pt idx="4035">
                  <c:v>0.50919999999999999</c:v>
                </c:pt>
                <c:pt idx="4036">
                  <c:v>0.50649999999999995</c:v>
                </c:pt>
                <c:pt idx="4037">
                  <c:v>0.50870000000000004</c:v>
                </c:pt>
                <c:pt idx="4038">
                  <c:v>0.51119999999999999</c:v>
                </c:pt>
                <c:pt idx="4039">
                  <c:v>0.51649999999999996</c:v>
                </c:pt>
                <c:pt idx="4040">
                  <c:v>0.50580000000000003</c:v>
                </c:pt>
                <c:pt idx="4041">
                  <c:v>0.50080000000000002</c:v>
                </c:pt>
                <c:pt idx="4042">
                  <c:v>0.50180000000000002</c:v>
                </c:pt>
                <c:pt idx="4043">
                  <c:v>0.50070000000000003</c:v>
                </c:pt>
                <c:pt idx="4044">
                  <c:v>0.50819999999999999</c:v>
                </c:pt>
                <c:pt idx="4045">
                  <c:v>0.50700000000000001</c:v>
                </c:pt>
                <c:pt idx="4046">
                  <c:v>0.4985</c:v>
                </c:pt>
                <c:pt idx="4047">
                  <c:v>0.49580000000000002</c:v>
                </c:pt>
                <c:pt idx="4048">
                  <c:v>0.49530000000000002</c:v>
                </c:pt>
                <c:pt idx="4049">
                  <c:v>0.4955</c:v>
                </c:pt>
                <c:pt idx="4050">
                  <c:v>0.49130000000000001</c:v>
                </c:pt>
                <c:pt idx="4051">
                  <c:v>0.4879</c:v>
                </c:pt>
                <c:pt idx="4052">
                  <c:v>0.49130000000000001</c:v>
                </c:pt>
                <c:pt idx="4053">
                  <c:v>0.49299999999999999</c:v>
                </c:pt>
                <c:pt idx="4054">
                  <c:v>0.49159999999999998</c:v>
                </c:pt>
                <c:pt idx="4055">
                  <c:v>0.48470000000000002</c:v>
                </c:pt>
                <c:pt idx="4056">
                  <c:v>0.49259999999999998</c:v>
                </c:pt>
                <c:pt idx="4057">
                  <c:v>0.49340000000000001</c:v>
                </c:pt>
                <c:pt idx="4058">
                  <c:v>0.49709999999999999</c:v>
                </c:pt>
                <c:pt idx="4059">
                  <c:v>0.50249999999999995</c:v>
                </c:pt>
                <c:pt idx="4060">
                  <c:v>0.51500000000000001</c:v>
                </c:pt>
                <c:pt idx="4061">
                  <c:v>0.51649999999999996</c:v>
                </c:pt>
                <c:pt idx="4062">
                  <c:v>0.51670000000000005</c:v>
                </c:pt>
                <c:pt idx="4063">
                  <c:v>0.5222</c:v>
                </c:pt>
                <c:pt idx="4064">
                  <c:v>0.51329999999999998</c:v>
                </c:pt>
                <c:pt idx="4065">
                  <c:v>0.51939999999999997</c:v>
                </c:pt>
                <c:pt idx="4066">
                  <c:v>0.52229999999999999</c:v>
                </c:pt>
                <c:pt idx="4067">
                  <c:v>0.52049999999999996</c:v>
                </c:pt>
                <c:pt idx="4068">
                  <c:v>0.52090000000000003</c:v>
                </c:pt>
                <c:pt idx="4069">
                  <c:v>0.52690000000000003</c:v>
                </c:pt>
                <c:pt idx="4070">
                  <c:v>0.52949999999999997</c:v>
                </c:pt>
                <c:pt idx="4071">
                  <c:v>0.53220000000000001</c:v>
                </c:pt>
                <c:pt idx="4072">
                  <c:v>0.52939999999999998</c:v>
                </c:pt>
                <c:pt idx="4073">
                  <c:v>0.53090000000000004</c:v>
                </c:pt>
                <c:pt idx="4074">
                  <c:v>0.52859999999999996</c:v>
                </c:pt>
                <c:pt idx="4075">
                  <c:v>0.53449999999999998</c:v>
                </c:pt>
                <c:pt idx="4076">
                  <c:v>0.53400000000000003</c:v>
                </c:pt>
                <c:pt idx="4077">
                  <c:v>0.5333</c:v>
                </c:pt>
                <c:pt idx="4078">
                  <c:v>0.53420000000000001</c:v>
                </c:pt>
                <c:pt idx="4079">
                  <c:v>0.53239999999999998</c:v>
                </c:pt>
                <c:pt idx="4080">
                  <c:v>0.53539999999999999</c:v>
                </c:pt>
                <c:pt idx="4081">
                  <c:v>0.52410000000000001</c:v>
                </c:pt>
                <c:pt idx="4082">
                  <c:v>0.52890000000000004</c:v>
                </c:pt>
                <c:pt idx="4083">
                  <c:v>0.52180000000000004</c:v>
                </c:pt>
                <c:pt idx="4084">
                  <c:v>0.51719999999999999</c:v>
                </c:pt>
                <c:pt idx="4085">
                  <c:v>0.51329999999999998</c:v>
                </c:pt>
                <c:pt idx="4086">
                  <c:v>0.51170000000000004</c:v>
                </c:pt>
                <c:pt idx="4087">
                  <c:v>0.51890000000000003</c:v>
                </c:pt>
                <c:pt idx="4088">
                  <c:v>0.51500000000000001</c:v>
                </c:pt>
                <c:pt idx="4089">
                  <c:v>0.51739999999999997</c:v>
                </c:pt>
                <c:pt idx="4090">
                  <c:v>0.51659999999999995</c:v>
                </c:pt>
                <c:pt idx="4091">
                  <c:v>0.5202</c:v>
                </c:pt>
                <c:pt idx="4092">
                  <c:v>0.51780000000000004</c:v>
                </c:pt>
                <c:pt idx="4093">
                  <c:v>0.50960000000000005</c:v>
                </c:pt>
                <c:pt idx="4094">
                  <c:v>0.50560000000000005</c:v>
                </c:pt>
                <c:pt idx="4095">
                  <c:v>0.50800000000000001</c:v>
                </c:pt>
                <c:pt idx="4096">
                  <c:v>0.50939999999999996</c:v>
                </c:pt>
                <c:pt idx="4097">
                  <c:v>0.50780000000000003</c:v>
                </c:pt>
                <c:pt idx="4098">
                  <c:v>0.50939999999999996</c:v>
                </c:pt>
                <c:pt idx="4099">
                  <c:v>0.50780000000000003</c:v>
                </c:pt>
                <c:pt idx="4100">
                  <c:v>0.50560000000000005</c:v>
                </c:pt>
                <c:pt idx="4101">
                  <c:v>0.51319999999999999</c:v>
                </c:pt>
                <c:pt idx="4102">
                  <c:v>0.51480000000000004</c:v>
                </c:pt>
                <c:pt idx="4103">
                  <c:v>0.50919999999999999</c:v>
                </c:pt>
                <c:pt idx="4104">
                  <c:v>0.50760000000000005</c:v>
                </c:pt>
                <c:pt idx="4105">
                  <c:v>0.50760000000000005</c:v>
                </c:pt>
                <c:pt idx="4106">
                  <c:v>0.50509999999999999</c:v>
                </c:pt>
                <c:pt idx="4107">
                  <c:v>0.50480000000000003</c:v>
                </c:pt>
                <c:pt idx="4108">
                  <c:v>0.50929999999999997</c:v>
                </c:pt>
                <c:pt idx="4109">
                  <c:v>0.51100000000000001</c:v>
                </c:pt>
                <c:pt idx="4110">
                  <c:v>0.50800000000000001</c:v>
                </c:pt>
                <c:pt idx="4111">
                  <c:v>0.51400000000000001</c:v>
                </c:pt>
                <c:pt idx="4112">
                  <c:v>0.51790000000000003</c:v>
                </c:pt>
                <c:pt idx="4113">
                  <c:v>0.51759999999999995</c:v>
                </c:pt>
                <c:pt idx="4114">
                  <c:v>0.51100000000000001</c:v>
                </c:pt>
                <c:pt idx="4115">
                  <c:v>0.5111</c:v>
                </c:pt>
                <c:pt idx="4116">
                  <c:v>0.50639999999999996</c:v>
                </c:pt>
                <c:pt idx="4117">
                  <c:v>0.51880000000000004</c:v>
                </c:pt>
                <c:pt idx="4118">
                  <c:v>0.52129999999999999</c:v>
                </c:pt>
                <c:pt idx="4119">
                  <c:v>0.51700000000000002</c:v>
                </c:pt>
                <c:pt idx="4120">
                  <c:v>0.51639999999999997</c:v>
                </c:pt>
                <c:pt idx="4121">
                  <c:v>0.51670000000000005</c:v>
                </c:pt>
                <c:pt idx="4122">
                  <c:v>0.51910000000000001</c:v>
                </c:pt>
                <c:pt idx="4123">
                  <c:v>0.51959999999999995</c:v>
                </c:pt>
                <c:pt idx="4124">
                  <c:v>0.52259999999999995</c:v>
                </c:pt>
                <c:pt idx="4125">
                  <c:v>0.52449999999999997</c:v>
                </c:pt>
                <c:pt idx="4126">
                  <c:v>0.52749999999999997</c:v>
                </c:pt>
                <c:pt idx="4127">
                  <c:v>0.52939999999999998</c:v>
                </c:pt>
                <c:pt idx="4128">
                  <c:v>0.52449999999999997</c:v>
                </c:pt>
                <c:pt idx="4129">
                  <c:v>0.52159999999999995</c:v>
                </c:pt>
                <c:pt idx="4130">
                  <c:v>0.52480000000000004</c:v>
                </c:pt>
                <c:pt idx="4131">
                  <c:v>0.51939999999999997</c:v>
                </c:pt>
                <c:pt idx="4132">
                  <c:v>0.51590000000000003</c:v>
                </c:pt>
                <c:pt idx="4133">
                  <c:v>0.50970000000000004</c:v>
                </c:pt>
                <c:pt idx="4134">
                  <c:v>0.50780000000000003</c:v>
                </c:pt>
                <c:pt idx="4135">
                  <c:v>0.50860000000000005</c:v>
                </c:pt>
                <c:pt idx="4136">
                  <c:v>0.50639999999999996</c:v>
                </c:pt>
                <c:pt idx="4137">
                  <c:v>0.51249999999999996</c:v>
                </c:pt>
                <c:pt idx="4138">
                  <c:v>0.51729999999999998</c:v>
                </c:pt>
                <c:pt idx="4139">
                  <c:v>0.52029999999999998</c:v>
                </c:pt>
                <c:pt idx="4140">
                  <c:v>0.52029999999999998</c:v>
                </c:pt>
                <c:pt idx="4141">
                  <c:v>0.51949999999999996</c:v>
                </c:pt>
                <c:pt idx="4142">
                  <c:v>0.51749999999999996</c:v>
                </c:pt>
                <c:pt idx="4143">
                  <c:v>0.52329999999999999</c:v>
                </c:pt>
                <c:pt idx="4144">
                  <c:v>0.52639999999999998</c:v>
                </c:pt>
                <c:pt idx="4145">
                  <c:v>0.52929999999999999</c:v>
                </c:pt>
                <c:pt idx="4146">
                  <c:v>0.52729999999999999</c:v>
                </c:pt>
                <c:pt idx="4147">
                  <c:v>0.52349999999999997</c:v>
                </c:pt>
                <c:pt idx="4148">
                  <c:v>0.52110000000000001</c:v>
                </c:pt>
                <c:pt idx="4149">
                  <c:v>0.51929999999999998</c:v>
                </c:pt>
                <c:pt idx="4150">
                  <c:v>0.52129999999999999</c:v>
                </c:pt>
                <c:pt idx="4151">
                  <c:v>0.52349999999999997</c:v>
                </c:pt>
                <c:pt idx="4152">
                  <c:v>0.5242</c:v>
                </c:pt>
                <c:pt idx="4153">
                  <c:v>0.51600000000000001</c:v>
                </c:pt>
                <c:pt idx="4154">
                  <c:v>0.51759999999999995</c:v>
                </c:pt>
                <c:pt idx="4155">
                  <c:v>0.51839999999999997</c:v>
                </c:pt>
                <c:pt idx="4156">
                  <c:v>0.51839999999999997</c:v>
                </c:pt>
                <c:pt idx="4157">
                  <c:v>0.52059999999999995</c:v>
                </c:pt>
                <c:pt idx="4158">
                  <c:v>0.51719999999999999</c:v>
                </c:pt>
                <c:pt idx="4159">
                  <c:v>0.51300000000000001</c:v>
                </c:pt>
                <c:pt idx="4160">
                  <c:v>0.50939999999999996</c:v>
                </c:pt>
                <c:pt idx="4161">
                  <c:v>0.51039999999999996</c:v>
                </c:pt>
                <c:pt idx="4162">
                  <c:v>0.50600000000000001</c:v>
                </c:pt>
                <c:pt idx="4163">
                  <c:v>0.50609999999999999</c:v>
                </c:pt>
                <c:pt idx="4164">
                  <c:v>0.50670000000000004</c:v>
                </c:pt>
                <c:pt idx="4165">
                  <c:v>0.5151</c:v>
                </c:pt>
                <c:pt idx="4166">
                  <c:v>0.51549999999999996</c:v>
                </c:pt>
                <c:pt idx="4167">
                  <c:v>0.50319999999999998</c:v>
                </c:pt>
                <c:pt idx="4168">
                  <c:v>0.50319999999999998</c:v>
                </c:pt>
                <c:pt idx="4169">
                  <c:v>0.51119999999999999</c:v>
                </c:pt>
                <c:pt idx="4170">
                  <c:v>0.50870000000000004</c:v>
                </c:pt>
                <c:pt idx="4171">
                  <c:v>0.50839999999999996</c:v>
                </c:pt>
                <c:pt idx="4172">
                  <c:v>0.50270000000000004</c:v>
                </c:pt>
                <c:pt idx="4173">
                  <c:v>0.49590000000000001</c:v>
                </c:pt>
                <c:pt idx="4174">
                  <c:v>0.4914</c:v>
                </c:pt>
                <c:pt idx="4175">
                  <c:v>0.49780000000000002</c:v>
                </c:pt>
                <c:pt idx="4176">
                  <c:v>0.49</c:v>
                </c:pt>
                <c:pt idx="4177">
                  <c:v>0.48809999999999998</c:v>
                </c:pt>
                <c:pt idx="4178">
                  <c:v>0.48749999999999999</c:v>
                </c:pt>
                <c:pt idx="4179">
                  <c:v>0.47870000000000001</c:v>
                </c:pt>
                <c:pt idx="4180">
                  <c:v>0.4854</c:v>
                </c:pt>
                <c:pt idx="4181">
                  <c:v>0.49419999999999997</c:v>
                </c:pt>
                <c:pt idx="4182">
                  <c:v>0.49320000000000003</c:v>
                </c:pt>
                <c:pt idx="4183">
                  <c:v>0.49869999999999998</c:v>
                </c:pt>
                <c:pt idx="4184">
                  <c:v>0.49969999999999998</c:v>
                </c:pt>
                <c:pt idx="4185">
                  <c:v>0.49619999999999997</c:v>
                </c:pt>
                <c:pt idx="4186">
                  <c:v>0.49330000000000002</c:v>
                </c:pt>
                <c:pt idx="4187">
                  <c:v>0.49340000000000001</c:v>
                </c:pt>
                <c:pt idx="4188">
                  <c:v>0.50119999999999998</c:v>
                </c:pt>
                <c:pt idx="4189">
                  <c:v>0.49790000000000001</c:v>
                </c:pt>
                <c:pt idx="4190">
                  <c:v>0.4945</c:v>
                </c:pt>
                <c:pt idx="4191">
                  <c:v>0.49159999999999998</c:v>
                </c:pt>
                <c:pt idx="4192">
                  <c:v>0.497</c:v>
                </c:pt>
                <c:pt idx="4193">
                  <c:v>0.50280000000000002</c:v>
                </c:pt>
                <c:pt idx="4194">
                  <c:v>0.50929999999999997</c:v>
                </c:pt>
                <c:pt idx="4195">
                  <c:v>0.50870000000000004</c:v>
                </c:pt>
                <c:pt idx="4196">
                  <c:v>0.51139999999999997</c:v>
                </c:pt>
                <c:pt idx="4197">
                  <c:v>0.50980000000000003</c:v>
                </c:pt>
                <c:pt idx="4198">
                  <c:v>0.52039999999999997</c:v>
                </c:pt>
                <c:pt idx="4199">
                  <c:v>0.52210000000000001</c:v>
                </c:pt>
                <c:pt idx="4200">
                  <c:v>0.53010000000000002</c:v>
                </c:pt>
                <c:pt idx="4201">
                  <c:v>0.5272</c:v>
                </c:pt>
                <c:pt idx="4202">
                  <c:v>0.52569999999999995</c:v>
                </c:pt>
                <c:pt idx="4203">
                  <c:v>0.52539999999999998</c:v>
                </c:pt>
                <c:pt idx="4204">
                  <c:v>0.5222</c:v>
                </c:pt>
                <c:pt idx="4205">
                  <c:v>0.52600000000000002</c:v>
                </c:pt>
                <c:pt idx="4206">
                  <c:v>0.52400000000000002</c:v>
                </c:pt>
                <c:pt idx="4207">
                  <c:v>0.52439999999999998</c:v>
                </c:pt>
                <c:pt idx="4208">
                  <c:v>0.52339999999999998</c:v>
                </c:pt>
                <c:pt idx="4209">
                  <c:v>0.53029999999999999</c:v>
                </c:pt>
                <c:pt idx="4210">
                  <c:v>0.52769999999999995</c:v>
                </c:pt>
                <c:pt idx="4211">
                  <c:v>0.52329999999999999</c:v>
                </c:pt>
                <c:pt idx="4212">
                  <c:v>0.52849999999999997</c:v>
                </c:pt>
                <c:pt idx="4213">
                  <c:v>0.53369999999999995</c:v>
                </c:pt>
                <c:pt idx="4214">
                  <c:v>0.53849999999999998</c:v>
                </c:pt>
                <c:pt idx="4215">
                  <c:v>0.53620000000000001</c:v>
                </c:pt>
                <c:pt idx="4216">
                  <c:v>0.53559999999999997</c:v>
                </c:pt>
                <c:pt idx="4217">
                  <c:v>0.54590000000000005</c:v>
                </c:pt>
                <c:pt idx="4218">
                  <c:v>0.54830000000000001</c:v>
                </c:pt>
                <c:pt idx="4219">
                  <c:v>0.54990000000000006</c:v>
                </c:pt>
                <c:pt idx="4220">
                  <c:v>0.55269999999999997</c:v>
                </c:pt>
                <c:pt idx="4221">
                  <c:v>0.55269999999999997</c:v>
                </c:pt>
                <c:pt idx="4222">
                  <c:v>0.55049999999999999</c:v>
                </c:pt>
                <c:pt idx="4223">
                  <c:v>0.54779999999999995</c:v>
                </c:pt>
                <c:pt idx="4224">
                  <c:v>0.54259999999999997</c:v>
                </c:pt>
                <c:pt idx="4225">
                  <c:v>0.54400000000000004</c:v>
                </c:pt>
                <c:pt idx="4226">
                  <c:v>0.54620000000000002</c:v>
                </c:pt>
                <c:pt idx="4227">
                  <c:v>0.54249999999999998</c:v>
                </c:pt>
                <c:pt idx="4228">
                  <c:v>0.5514</c:v>
                </c:pt>
                <c:pt idx="4229">
                  <c:v>0.55720000000000003</c:v>
                </c:pt>
                <c:pt idx="4230">
                  <c:v>0.55600000000000005</c:v>
                </c:pt>
                <c:pt idx="4231">
                  <c:v>0.55800000000000005</c:v>
                </c:pt>
                <c:pt idx="4232">
                  <c:v>0.55330000000000001</c:v>
                </c:pt>
                <c:pt idx="4233">
                  <c:v>0.55489999999999995</c:v>
                </c:pt>
                <c:pt idx="4234">
                  <c:v>0.55230000000000001</c:v>
                </c:pt>
                <c:pt idx="4235">
                  <c:v>0.55659999999999998</c:v>
                </c:pt>
                <c:pt idx="4236">
                  <c:v>0.5605</c:v>
                </c:pt>
                <c:pt idx="4237">
                  <c:v>0.55500000000000005</c:v>
                </c:pt>
                <c:pt idx="4238">
                  <c:v>0.56430000000000002</c:v>
                </c:pt>
                <c:pt idx="4239">
                  <c:v>0.56740000000000002</c:v>
                </c:pt>
                <c:pt idx="4240">
                  <c:v>0.57189999999999996</c:v>
                </c:pt>
                <c:pt idx="4241">
                  <c:v>0.56640000000000001</c:v>
                </c:pt>
                <c:pt idx="4242">
                  <c:v>0.55600000000000005</c:v>
                </c:pt>
                <c:pt idx="4243">
                  <c:v>0.56000000000000005</c:v>
                </c:pt>
                <c:pt idx="4244">
                  <c:v>0.55889999999999995</c:v>
                </c:pt>
                <c:pt idx="4245">
                  <c:v>0.5585</c:v>
                </c:pt>
                <c:pt idx="4246">
                  <c:v>0.55349999999999999</c:v>
                </c:pt>
                <c:pt idx="4247">
                  <c:v>0.55840000000000001</c:v>
                </c:pt>
                <c:pt idx="4248">
                  <c:v>0.55810000000000004</c:v>
                </c:pt>
                <c:pt idx="4249">
                  <c:v>0.55669999999999997</c:v>
                </c:pt>
                <c:pt idx="4250">
                  <c:v>0.55620000000000003</c:v>
                </c:pt>
                <c:pt idx="4251">
                  <c:v>0.5544</c:v>
                </c:pt>
                <c:pt idx="4252">
                  <c:v>0.55300000000000005</c:v>
                </c:pt>
                <c:pt idx="4253">
                  <c:v>0.54490000000000005</c:v>
                </c:pt>
                <c:pt idx="4254">
                  <c:v>0.54210000000000003</c:v>
                </c:pt>
                <c:pt idx="4255">
                  <c:v>0.54520000000000002</c:v>
                </c:pt>
                <c:pt idx="4256">
                  <c:v>0.54379999999999995</c:v>
                </c:pt>
                <c:pt idx="4257">
                  <c:v>0.54</c:v>
                </c:pt>
                <c:pt idx="4258">
                  <c:v>0.54149999999999998</c:v>
                </c:pt>
                <c:pt idx="4259">
                  <c:v>0.54</c:v>
                </c:pt>
                <c:pt idx="4260">
                  <c:v>0.54569999999999996</c:v>
                </c:pt>
                <c:pt idx="4261">
                  <c:v>0.54700000000000004</c:v>
                </c:pt>
                <c:pt idx="4262">
                  <c:v>0.54820000000000002</c:v>
                </c:pt>
                <c:pt idx="4263">
                  <c:v>0.53959999999999997</c:v>
                </c:pt>
                <c:pt idx="4264">
                  <c:v>0.54300000000000004</c:v>
                </c:pt>
                <c:pt idx="4265">
                  <c:v>0.53859999999999997</c:v>
                </c:pt>
                <c:pt idx="4266">
                  <c:v>0.52839999999999998</c:v>
                </c:pt>
                <c:pt idx="4267">
                  <c:v>0.52149999999999996</c:v>
                </c:pt>
                <c:pt idx="4268">
                  <c:v>0.52210000000000001</c:v>
                </c:pt>
                <c:pt idx="4269">
                  <c:v>0.52659999999999996</c:v>
                </c:pt>
                <c:pt idx="4270">
                  <c:v>0.5232</c:v>
                </c:pt>
                <c:pt idx="4271">
                  <c:v>0.52200000000000002</c:v>
                </c:pt>
                <c:pt idx="4272">
                  <c:v>0.52539999999999998</c:v>
                </c:pt>
                <c:pt idx="4273">
                  <c:v>0.50990000000000002</c:v>
                </c:pt>
                <c:pt idx="4274">
                  <c:v>0.51439999999999997</c:v>
                </c:pt>
                <c:pt idx="4275">
                  <c:v>0.51849999999999996</c:v>
                </c:pt>
                <c:pt idx="4276">
                  <c:v>0.52049999999999996</c:v>
                </c:pt>
                <c:pt idx="4277">
                  <c:v>0.52059999999999995</c:v>
                </c:pt>
                <c:pt idx="4278">
                  <c:v>0.51900000000000002</c:v>
                </c:pt>
                <c:pt idx="4279">
                  <c:v>0.51949999999999996</c:v>
                </c:pt>
                <c:pt idx="4280">
                  <c:v>0.51919999999999999</c:v>
                </c:pt>
                <c:pt idx="4281">
                  <c:v>0.52700000000000002</c:v>
                </c:pt>
                <c:pt idx="4282">
                  <c:v>0.52610000000000001</c:v>
                </c:pt>
                <c:pt idx="4283">
                  <c:v>0.52849999999999997</c:v>
                </c:pt>
                <c:pt idx="4284">
                  <c:v>0.52749999999999997</c:v>
                </c:pt>
                <c:pt idx="4285">
                  <c:v>0.52600000000000002</c:v>
                </c:pt>
                <c:pt idx="4286">
                  <c:v>0.52049999999999996</c:v>
                </c:pt>
                <c:pt idx="4287">
                  <c:v>0.52580000000000005</c:v>
                </c:pt>
                <c:pt idx="4288">
                  <c:v>0.51910000000000001</c:v>
                </c:pt>
                <c:pt idx="4289">
                  <c:v>0.52290000000000003</c:v>
                </c:pt>
                <c:pt idx="4290">
                  <c:v>0.52300000000000002</c:v>
                </c:pt>
                <c:pt idx="4291">
                  <c:v>0.5202</c:v>
                </c:pt>
                <c:pt idx="4292">
                  <c:v>0.52010000000000001</c:v>
                </c:pt>
                <c:pt idx="4293">
                  <c:v>0.52510000000000001</c:v>
                </c:pt>
                <c:pt idx="4294">
                  <c:v>0.52629999999999999</c:v>
                </c:pt>
                <c:pt idx="4295">
                  <c:v>0.52890000000000004</c:v>
                </c:pt>
                <c:pt idx="4296">
                  <c:v>0.52159999999999995</c:v>
                </c:pt>
                <c:pt idx="4297">
                  <c:v>0.52029999999999998</c:v>
                </c:pt>
                <c:pt idx="4298">
                  <c:v>0.52010000000000001</c:v>
                </c:pt>
                <c:pt idx="4299">
                  <c:v>0.52210000000000001</c:v>
                </c:pt>
                <c:pt idx="4300">
                  <c:v>0.52849999999999997</c:v>
                </c:pt>
                <c:pt idx="4301">
                  <c:v>0.53110000000000002</c:v>
                </c:pt>
                <c:pt idx="4302">
                  <c:v>0.53400000000000003</c:v>
                </c:pt>
                <c:pt idx="4303">
                  <c:v>0.53439999999999999</c:v>
                </c:pt>
                <c:pt idx="4304">
                  <c:v>0.53639999999999999</c:v>
                </c:pt>
                <c:pt idx="4305">
                  <c:v>0.53349999999999997</c:v>
                </c:pt>
                <c:pt idx="4306">
                  <c:v>0.53420000000000001</c:v>
                </c:pt>
                <c:pt idx="4307">
                  <c:v>0.53749999999999998</c:v>
                </c:pt>
                <c:pt idx="4308">
                  <c:v>0.54</c:v>
                </c:pt>
                <c:pt idx="4309">
                  <c:v>0.54630000000000001</c:v>
                </c:pt>
                <c:pt idx="4310">
                  <c:v>0.54249999999999998</c:v>
                </c:pt>
                <c:pt idx="4311">
                  <c:v>0.54479999999999995</c:v>
                </c:pt>
                <c:pt idx="4312">
                  <c:v>0.55020000000000002</c:v>
                </c:pt>
                <c:pt idx="4313">
                  <c:v>0.54849999999999999</c:v>
                </c:pt>
                <c:pt idx="4314">
                  <c:v>0.54849999999999999</c:v>
                </c:pt>
                <c:pt idx="4315">
                  <c:v>0.54400000000000004</c:v>
                </c:pt>
                <c:pt idx="4316">
                  <c:v>0.5444</c:v>
                </c:pt>
                <c:pt idx="4317">
                  <c:v>0.53879999999999995</c:v>
                </c:pt>
                <c:pt idx="4318">
                  <c:v>0.54400000000000004</c:v>
                </c:pt>
                <c:pt idx="4319">
                  <c:v>0.54210000000000003</c:v>
                </c:pt>
                <c:pt idx="4320">
                  <c:v>0.54500000000000004</c:v>
                </c:pt>
                <c:pt idx="4321">
                  <c:v>0.54869999999999997</c:v>
                </c:pt>
                <c:pt idx="4322">
                  <c:v>0.55389999999999995</c:v>
                </c:pt>
                <c:pt idx="4323">
                  <c:v>0.5575</c:v>
                </c:pt>
                <c:pt idx="4324">
                  <c:v>0.56200000000000006</c:v>
                </c:pt>
                <c:pt idx="4325">
                  <c:v>0.55579999999999996</c:v>
                </c:pt>
                <c:pt idx="4326">
                  <c:v>0.5575</c:v>
                </c:pt>
                <c:pt idx="4327">
                  <c:v>0.5635</c:v>
                </c:pt>
                <c:pt idx="4328">
                  <c:v>0.56850000000000001</c:v>
                </c:pt>
                <c:pt idx="4329">
                  <c:v>0.57520000000000004</c:v>
                </c:pt>
                <c:pt idx="4330">
                  <c:v>0.57699999999999996</c:v>
                </c:pt>
                <c:pt idx="4331">
                  <c:v>0.57689999999999997</c:v>
                </c:pt>
                <c:pt idx="4332">
                  <c:v>0.57579999999999998</c:v>
                </c:pt>
                <c:pt idx="4333">
                  <c:v>0.56950000000000001</c:v>
                </c:pt>
                <c:pt idx="4334">
                  <c:v>0.57140000000000002</c:v>
                </c:pt>
                <c:pt idx="4335">
                  <c:v>0.57389999999999997</c:v>
                </c:pt>
                <c:pt idx="4336">
                  <c:v>0.5726</c:v>
                </c:pt>
                <c:pt idx="4337">
                  <c:v>0.57179999999999997</c:v>
                </c:pt>
                <c:pt idx="4338">
                  <c:v>0.58040000000000003</c:v>
                </c:pt>
                <c:pt idx="4339">
                  <c:v>0.58750000000000002</c:v>
                </c:pt>
                <c:pt idx="4340">
                  <c:v>0.59050000000000002</c:v>
                </c:pt>
                <c:pt idx="4341">
                  <c:v>0.59240000000000004</c:v>
                </c:pt>
                <c:pt idx="4342">
                  <c:v>0.59109999999999996</c:v>
                </c:pt>
                <c:pt idx="4343">
                  <c:v>0.58250000000000002</c:v>
                </c:pt>
                <c:pt idx="4344">
                  <c:v>0.58189999999999997</c:v>
                </c:pt>
                <c:pt idx="4345">
                  <c:v>0.57940000000000003</c:v>
                </c:pt>
                <c:pt idx="4346">
                  <c:v>0.58209999999999995</c:v>
                </c:pt>
                <c:pt idx="4347">
                  <c:v>0.57850000000000001</c:v>
                </c:pt>
                <c:pt idx="4348">
                  <c:v>0.5827</c:v>
                </c:pt>
                <c:pt idx="4349">
                  <c:v>0.58689999999999998</c:v>
                </c:pt>
                <c:pt idx="4350">
                  <c:v>0.58620000000000005</c:v>
                </c:pt>
                <c:pt idx="4351">
                  <c:v>0.58599999999999997</c:v>
                </c:pt>
                <c:pt idx="4352">
                  <c:v>0.58420000000000005</c:v>
                </c:pt>
                <c:pt idx="4353">
                  <c:v>0.57850000000000001</c:v>
                </c:pt>
                <c:pt idx="4354">
                  <c:v>0.57950000000000002</c:v>
                </c:pt>
                <c:pt idx="4355">
                  <c:v>0.58779999999999999</c:v>
                </c:pt>
                <c:pt idx="4356">
                  <c:v>0.58750000000000002</c:v>
                </c:pt>
                <c:pt idx="4357">
                  <c:v>0.59119999999999995</c:v>
                </c:pt>
                <c:pt idx="4358">
                  <c:v>0.58540000000000003</c:v>
                </c:pt>
                <c:pt idx="4359">
                  <c:v>0.58499999999999996</c:v>
                </c:pt>
                <c:pt idx="4360">
                  <c:v>0.58589999999999998</c:v>
                </c:pt>
                <c:pt idx="4361">
                  <c:v>0.58250000000000002</c:v>
                </c:pt>
                <c:pt idx="4362">
                  <c:v>0.5766</c:v>
                </c:pt>
                <c:pt idx="4363">
                  <c:v>0.58099999999999996</c:v>
                </c:pt>
                <c:pt idx="4364">
                  <c:v>0.58819999999999995</c:v>
                </c:pt>
                <c:pt idx="4365">
                  <c:v>0.58360000000000001</c:v>
                </c:pt>
                <c:pt idx="4366">
                  <c:v>0.58430000000000004</c:v>
                </c:pt>
                <c:pt idx="4367">
                  <c:v>0.58809999999999996</c:v>
                </c:pt>
                <c:pt idx="4368">
                  <c:v>0.58740000000000003</c:v>
                </c:pt>
                <c:pt idx="4369">
                  <c:v>0.59240000000000004</c:v>
                </c:pt>
                <c:pt idx="4370">
                  <c:v>0.59150000000000003</c:v>
                </c:pt>
                <c:pt idx="4371">
                  <c:v>0.58979999999999999</c:v>
                </c:pt>
                <c:pt idx="4372">
                  <c:v>0.58919999999999995</c:v>
                </c:pt>
                <c:pt idx="4373">
                  <c:v>0.59889999999999999</c:v>
                </c:pt>
                <c:pt idx="4374">
                  <c:v>0.5988</c:v>
                </c:pt>
                <c:pt idx="4375">
                  <c:v>0.59640000000000004</c:v>
                </c:pt>
                <c:pt idx="4376">
                  <c:v>0.60170000000000001</c:v>
                </c:pt>
                <c:pt idx="4377">
                  <c:v>0.60209999999999997</c:v>
                </c:pt>
                <c:pt idx="4378">
                  <c:v>0.60140000000000005</c:v>
                </c:pt>
                <c:pt idx="4379">
                  <c:v>0.59699999999999998</c:v>
                </c:pt>
                <c:pt idx="4380">
                  <c:v>0.59440000000000004</c:v>
                </c:pt>
                <c:pt idx="4381">
                  <c:v>0.5968</c:v>
                </c:pt>
                <c:pt idx="4382">
                  <c:v>0.60160000000000002</c:v>
                </c:pt>
                <c:pt idx="4383">
                  <c:v>0.60260000000000002</c:v>
                </c:pt>
                <c:pt idx="4384">
                  <c:v>0.60089999999999999</c:v>
                </c:pt>
                <c:pt idx="4385">
                  <c:v>0.60589999999999999</c:v>
                </c:pt>
                <c:pt idx="4386">
                  <c:v>0.60199999999999998</c:v>
                </c:pt>
                <c:pt idx="4387">
                  <c:v>0.59930000000000005</c:v>
                </c:pt>
                <c:pt idx="4388">
                  <c:v>0.59599999999999997</c:v>
                </c:pt>
                <c:pt idx="4389">
                  <c:v>0.59109999999999996</c:v>
                </c:pt>
                <c:pt idx="4390">
                  <c:v>0.58699999999999997</c:v>
                </c:pt>
                <c:pt idx="4391">
                  <c:v>0.58860000000000001</c:v>
                </c:pt>
                <c:pt idx="4392">
                  <c:v>0.59319999999999995</c:v>
                </c:pt>
                <c:pt idx="4393">
                  <c:v>0.58819999999999995</c:v>
                </c:pt>
                <c:pt idx="4394">
                  <c:v>0.58169999999999999</c:v>
                </c:pt>
                <c:pt idx="4395">
                  <c:v>0.57950000000000002</c:v>
                </c:pt>
                <c:pt idx="4396">
                  <c:v>0.57179999999999997</c:v>
                </c:pt>
                <c:pt idx="4397">
                  <c:v>0.57310000000000005</c:v>
                </c:pt>
                <c:pt idx="4398">
                  <c:v>0.57520000000000004</c:v>
                </c:pt>
                <c:pt idx="4399">
                  <c:v>0.57179999999999997</c:v>
                </c:pt>
                <c:pt idx="4400">
                  <c:v>0.57399999999999995</c:v>
                </c:pt>
                <c:pt idx="4401">
                  <c:v>0.56850000000000001</c:v>
                </c:pt>
                <c:pt idx="4402">
                  <c:v>0.57040000000000002</c:v>
                </c:pt>
                <c:pt idx="4403">
                  <c:v>0.57499999999999996</c:v>
                </c:pt>
                <c:pt idx="4404">
                  <c:v>0.5716</c:v>
                </c:pt>
                <c:pt idx="4405">
                  <c:v>0.57369999999999999</c:v>
                </c:pt>
                <c:pt idx="4406">
                  <c:v>0.57250000000000001</c:v>
                </c:pt>
                <c:pt idx="4407">
                  <c:v>0.56779999999999997</c:v>
                </c:pt>
                <c:pt idx="4408">
                  <c:v>0.57709999999999995</c:v>
                </c:pt>
                <c:pt idx="4409">
                  <c:v>0.57310000000000005</c:v>
                </c:pt>
                <c:pt idx="4410">
                  <c:v>0.5796</c:v>
                </c:pt>
                <c:pt idx="4411">
                  <c:v>0.58120000000000005</c:v>
                </c:pt>
                <c:pt idx="4412">
                  <c:v>0.58179999999999998</c:v>
                </c:pt>
                <c:pt idx="4413">
                  <c:v>0.58350000000000002</c:v>
                </c:pt>
                <c:pt idx="4414">
                  <c:v>0.58150000000000002</c:v>
                </c:pt>
                <c:pt idx="4415">
                  <c:v>0.59609999999999996</c:v>
                </c:pt>
                <c:pt idx="4416">
                  <c:v>0.59099999999999997</c:v>
                </c:pt>
                <c:pt idx="4417">
                  <c:v>0.59219999999999995</c:v>
                </c:pt>
                <c:pt idx="4418">
                  <c:v>0.5847</c:v>
                </c:pt>
                <c:pt idx="4419">
                  <c:v>0.58309999999999995</c:v>
                </c:pt>
                <c:pt idx="4420">
                  <c:v>0.58340000000000003</c:v>
                </c:pt>
                <c:pt idx="4421">
                  <c:v>0.58720000000000006</c:v>
                </c:pt>
                <c:pt idx="4422">
                  <c:v>0.58789999999999998</c:v>
                </c:pt>
                <c:pt idx="4423">
                  <c:v>0.59279999999999999</c:v>
                </c:pt>
                <c:pt idx="4424">
                  <c:v>0.59489999999999998</c:v>
                </c:pt>
                <c:pt idx="4425">
                  <c:v>0.59279999999999999</c:v>
                </c:pt>
                <c:pt idx="4426">
                  <c:v>0.59260000000000002</c:v>
                </c:pt>
                <c:pt idx="4427">
                  <c:v>0.59550000000000003</c:v>
                </c:pt>
                <c:pt idx="4428">
                  <c:v>0.59440000000000004</c:v>
                </c:pt>
                <c:pt idx="4429">
                  <c:v>0.59109999999999996</c:v>
                </c:pt>
                <c:pt idx="4430">
                  <c:v>0.5978</c:v>
                </c:pt>
                <c:pt idx="4431">
                  <c:v>0.59609999999999996</c:v>
                </c:pt>
                <c:pt idx="4432">
                  <c:v>0.59799999999999998</c:v>
                </c:pt>
                <c:pt idx="4433">
                  <c:v>0.59570000000000001</c:v>
                </c:pt>
                <c:pt idx="4434">
                  <c:v>0.59719999999999995</c:v>
                </c:pt>
                <c:pt idx="4435">
                  <c:v>0.59850000000000003</c:v>
                </c:pt>
                <c:pt idx="4436">
                  <c:v>0.60229999999999995</c:v>
                </c:pt>
                <c:pt idx="4437">
                  <c:v>0.60589999999999999</c:v>
                </c:pt>
                <c:pt idx="4438">
                  <c:v>0.60460000000000003</c:v>
                </c:pt>
                <c:pt idx="4439">
                  <c:v>0.60840000000000005</c:v>
                </c:pt>
                <c:pt idx="4440">
                  <c:v>0.60750000000000004</c:v>
                </c:pt>
                <c:pt idx="4441">
                  <c:v>0.6129</c:v>
                </c:pt>
                <c:pt idx="4442">
                  <c:v>0.61019999999999996</c:v>
                </c:pt>
                <c:pt idx="4443">
                  <c:v>0.61570000000000003</c:v>
                </c:pt>
                <c:pt idx="4444">
                  <c:v>0.61309999999999998</c:v>
                </c:pt>
                <c:pt idx="4445">
                  <c:v>0.60760000000000003</c:v>
                </c:pt>
                <c:pt idx="4446">
                  <c:v>0.60580000000000001</c:v>
                </c:pt>
                <c:pt idx="4447">
                  <c:v>0.6038</c:v>
                </c:pt>
                <c:pt idx="4448">
                  <c:v>0.60960000000000003</c:v>
                </c:pt>
                <c:pt idx="4449">
                  <c:v>0.60799999999999998</c:v>
                </c:pt>
                <c:pt idx="4450">
                  <c:v>0.60609999999999997</c:v>
                </c:pt>
                <c:pt idx="4451">
                  <c:v>0.61050000000000004</c:v>
                </c:pt>
                <c:pt idx="4452">
                  <c:v>0.61329999999999996</c:v>
                </c:pt>
                <c:pt idx="4453">
                  <c:v>0.61439999999999995</c:v>
                </c:pt>
                <c:pt idx="4454">
                  <c:v>0.61650000000000005</c:v>
                </c:pt>
                <c:pt idx="4455">
                  <c:v>0.61439999999999995</c:v>
                </c:pt>
                <c:pt idx="4456">
                  <c:v>0.6149</c:v>
                </c:pt>
                <c:pt idx="4457">
                  <c:v>0.60919999999999996</c:v>
                </c:pt>
                <c:pt idx="4458">
                  <c:v>0.60450000000000004</c:v>
                </c:pt>
                <c:pt idx="4459">
                  <c:v>0.60199999999999998</c:v>
                </c:pt>
                <c:pt idx="4460">
                  <c:v>0.60819999999999996</c:v>
                </c:pt>
                <c:pt idx="4461">
                  <c:v>0.60680000000000001</c:v>
                </c:pt>
                <c:pt idx="4462">
                  <c:v>0.60499999999999998</c:v>
                </c:pt>
                <c:pt idx="4463">
                  <c:v>0.61750000000000005</c:v>
                </c:pt>
                <c:pt idx="4464">
                  <c:v>0.61460000000000004</c:v>
                </c:pt>
                <c:pt idx="4465">
                  <c:v>0.61480000000000001</c:v>
                </c:pt>
                <c:pt idx="4466">
                  <c:v>0.61450000000000005</c:v>
                </c:pt>
                <c:pt idx="4467">
                  <c:v>0.621</c:v>
                </c:pt>
                <c:pt idx="4468">
                  <c:v>0.62360000000000004</c:v>
                </c:pt>
                <c:pt idx="4469">
                  <c:v>0.62519999999999998</c:v>
                </c:pt>
                <c:pt idx="4470">
                  <c:v>0.62860000000000005</c:v>
                </c:pt>
                <c:pt idx="4471">
                  <c:v>0.63190000000000002</c:v>
                </c:pt>
                <c:pt idx="4472">
                  <c:v>0.63139999999999996</c:v>
                </c:pt>
                <c:pt idx="4473">
                  <c:v>0.62829999999999997</c:v>
                </c:pt>
                <c:pt idx="4474">
                  <c:v>0.62680000000000002</c:v>
                </c:pt>
                <c:pt idx="4475">
                  <c:v>0.63039999999999996</c:v>
                </c:pt>
                <c:pt idx="4476">
                  <c:v>0.63139999999999996</c:v>
                </c:pt>
                <c:pt idx="4477">
                  <c:v>0.63549999999999995</c:v>
                </c:pt>
                <c:pt idx="4478">
                  <c:v>0.6321</c:v>
                </c:pt>
                <c:pt idx="4479">
                  <c:v>0.63349999999999995</c:v>
                </c:pt>
                <c:pt idx="4480">
                  <c:v>0.63600000000000001</c:v>
                </c:pt>
                <c:pt idx="4481">
                  <c:v>0.6361</c:v>
                </c:pt>
                <c:pt idx="4482">
                  <c:v>0.63770000000000004</c:v>
                </c:pt>
                <c:pt idx="4483">
                  <c:v>0.63160000000000005</c:v>
                </c:pt>
                <c:pt idx="4484">
                  <c:v>0.63560000000000005</c:v>
                </c:pt>
                <c:pt idx="4485">
                  <c:v>0.63160000000000005</c:v>
                </c:pt>
                <c:pt idx="4486">
                  <c:v>0.65400000000000003</c:v>
                </c:pt>
                <c:pt idx="4487">
                  <c:v>0.65149999999999997</c:v>
                </c:pt>
                <c:pt idx="4488">
                  <c:v>0.65549999999999997</c:v>
                </c:pt>
                <c:pt idx="4489">
                  <c:v>0.65410000000000001</c:v>
                </c:pt>
                <c:pt idx="4490">
                  <c:v>0.66249999999999998</c:v>
                </c:pt>
                <c:pt idx="4491">
                  <c:v>0.66539999999999999</c:v>
                </c:pt>
                <c:pt idx="4492">
                  <c:v>0.66310000000000002</c:v>
                </c:pt>
                <c:pt idx="4493">
                  <c:v>0.66579999999999995</c:v>
                </c:pt>
                <c:pt idx="4494">
                  <c:v>0.66500000000000004</c:v>
                </c:pt>
                <c:pt idx="4495">
                  <c:v>0.66579999999999995</c:v>
                </c:pt>
                <c:pt idx="4496">
                  <c:v>0.66679999999999995</c:v>
                </c:pt>
                <c:pt idx="4497">
                  <c:v>0.65820000000000001</c:v>
                </c:pt>
                <c:pt idx="4498">
                  <c:v>0.65800000000000003</c:v>
                </c:pt>
                <c:pt idx="4499">
                  <c:v>0.65610000000000002</c:v>
                </c:pt>
                <c:pt idx="4500">
                  <c:v>0.65529999999999999</c:v>
                </c:pt>
                <c:pt idx="4501">
                  <c:v>0.65400000000000003</c:v>
                </c:pt>
                <c:pt idx="4502">
                  <c:v>0.6583</c:v>
                </c:pt>
                <c:pt idx="4503">
                  <c:v>0.65480000000000005</c:v>
                </c:pt>
                <c:pt idx="4504">
                  <c:v>0.65820000000000001</c:v>
                </c:pt>
                <c:pt idx="4505">
                  <c:v>0.65680000000000005</c:v>
                </c:pt>
                <c:pt idx="4506">
                  <c:v>0.65339999999999998</c:v>
                </c:pt>
                <c:pt idx="4507">
                  <c:v>0.65069999999999995</c:v>
                </c:pt>
                <c:pt idx="4508">
                  <c:v>0.64629999999999999</c:v>
                </c:pt>
                <c:pt idx="4509">
                  <c:v>0.6452</c:v>
                </c:pt>
                <c:pt idx="4510">
                  <c:v>0.64280000000000004</c:v>
                </c:pt>
                <c:pt idx="4511">
                  <c:v>0.64529999999999998</c:v>
                </c:pt>
                <c:pt idx="4512">
                  <c:v>0.64410000000000001</c:v>
                </c:pt>
                <c:pt idx="4513">
                  <c:v>0.64449999999999996</c:v>
                </c:pt>
                <c:pt idx="4514">
                  <c:v>0.64229999999999998</c:v>
                </c:pt>
                <c:pt idx="4515">
                  <c:v>0.64249999999999996</c:v>
                </c:pt>
                <c:pt idx="4516">
                  <c:v>0.64239999999999997</c:v>
                </c:pt>
                <c:pt idx="4517">
                  <c:v>0.63580000000000003</c:v>
                </c:pt>
                <c:pt idx="4518">
                  <c:v>0.63590000000000002</c:v>
                </c:pt>
                <c:pt idx="4519">
                  <c:v>0.63439999999999996</c:v>
                </c:pt>
                <c:pt idx="4520">
                  <c:v>0.63619999999999999</c:v>
                </c:pt>
                <c:pt idx="4521">
                  <c:v>0.63919999999999999</c:v>
                </c:pt>
                <c:pt idx="4522">
                  <c:v>0.63759999999999994</c:v>
                </c:pt>
                <c:pt idx="4523">
                  <c:v>0.63700000000000001</c:v>
                </c:pt>
                <c:pt idx="4524">
                  <c:v>0.63500000000000001</c:v>
                </c:pt>
                <c:pt idx="4525">
                  <c:v>0.63200000000000001</c:v>
                </c:pt>
                <c:pt idx="4526">
                  <c:v>0.63239999999999996</c:v>
                </c:pt>
                <c:pt idx="4527">
                  <c:v>0.63690000000000002</c:v>
                </c:pt>
                <c:pt idx="4528">
                  <c:v>0.63490000000000002</c:v>
                </c:pt>
                <c:pt idx="4529">
                  <c:v>0.6371</c:v>
                </c:pt>
                <c:pt idx="4530">
                  <c:v>0.63449999999999995</c:v>
                </c:pt>
                <c:pt idx="4531">
                  <c:v>0.63580000000000003</c:v>
                </c:pt>
                <c:pt idx="4532">
                  <c:v>0.63249999999999995</c:v>
                </c:pt>
                <c:pt idx="4533">
                  <c:v>0.63600000000000001</c:v>
                </c:pt>
                <c:pt idx="4534">
                  <c:v>0.6371</c:v>
                </c:pt>
                <c:pt idx="4535">
                  <c:v>0.63829999999999998</c:v>
                </c:pt>
                <c:pt idx="4536">
                  <c:v>0.63849999999999996</c:v>
                </c:pt>
                <c:pt idx="4537">
                  <c:v>0.63929999999999998</c:v>
                </c:pt>
                <c:pt idx="4538">
                  <c:v>0.64259999999999995</c:v>
                </c:pt>
                <c:pt idx="4539">
                  <c:v>0.64639999999999997</c:v>
                </c:pt>
                <c:pt idx="4540">
                  <c:v>0.64439999999999997</c:v>
                </c:pt>
                <c:pt idx="4541">
                  <c:v>0.6421</c:v>
                </c:pt>
                <c:pt idx="4542">
                  <c:v>0.64200000000000002</c:v>
                </c:pt>
                <c:pt idx="4543">
                  <c:v>0.63880000000000003</c:v>
                </c:pt>
                <c:pt idx="4544">
                  <c:v>0.63739999999999997</c:v>
                </c:pt>
                <c:pt idx="4545">
                  <c:v>0.63849999999999996</c:v>
                </c:pt>
                <c:pt idx="4546">
                  <c:v>0.63700000000000001</c:v>
                </c:pt>
                <c:pt idx="4547">
                  <c:v>0.64290000000000003</c:v>
                </c:pt>
                <c:pt idx="4548">
                  <c:v>0.64029999999999998</c:v>
                </c:pt>
                <c:pt idx="4549">
                  <c:v>0.63829999999999998</c:v>
                </c:pt>
                <c:pt idx="4550">
                  <c:v>0.6371</c:v>
                </c:pt>
                <c:pt idx="4551">
                  <c:v>0.64529999999999998</c:v>
                </c:pt>
                <c:pt idx="4552">
                  <c:v>0.64400000000000002</c:v>
                </c:pt>
                <c:pt idx="4553">
                  <c:v>0.64959999999999996</c:v>
                </c:pt>
                <c:pt idx="4554">
                  <c:v>0.65210000000000001</c:v>
                </c:pt>
                <c:pt idx="4555">
                  <c:v>0.64900000000000002</c:v>
                </c:pt>
                <c:pt idx="4556">
                  <c:v>0.64829999999999999</c:v>
                </c:pt>
                <c:pt idx="4557">
                  <c:v>0.64639999999999997</c:v>
                </c:pt>
                <c:pt idx="4558">
                  <c:v>0.64800000000000002</c:v>
                </c:pt>
                <c:pt idx="4559">
                  <c:v>0.64349999999999996</c:v>
                </c:pt>
                <c:pt idx="4560">
                  <c:v>0.64649999999999996</c:v>
                </c:pt>
                <c:pt idx="4561">
                  <c:v>0.64829999999999999</c:v>
                </c:pt>
                <c:pt idx="4562">
                  <c:v>0.64749999999999996</c:v>
                </c:pt>
                <c:pt idx="4563">
                  <c:v>0.65569999999999995</c:v>
                </c:pt>
                <c:pt idx="4564">
                  <c:v>0.65429999999999999</c:v>
                </c:pt>
                <c:pt idx="4565">
                  <c:v>0.65500000000000003</c:v>
                </c:pt>
                <c:pt idx="4566">
                  <c:v>0.65849999999999997</c:v>
                </c:pt>
                <c:pt idx="4567">
                  <c:v>0.66090000000000004</c:v>
                </c:pt>
                <c:pt idx="4568">
                  <c:v>0.66290000000000004</c:v>
                </c:pt>
                <c:pt idx="4569">
                  <c:v>0.66249999999999998</c:v>
                </c:pt>
                <c:pt idx="4570">
                  <c:v>0.65600000000000003</c:v>
                </c:pt>
                <c:pt idx="4571">
                  <c:v>0.65249999999999997</c:v>
                </c:pt>
                <c:pt idx="4572">
                  <c:v>0.65239999999999998</c:v>
                </c:pt>
                <c:pt idx="4573">
                  <c:v>0.6573</c:v>
                </c:pt>
                <c:pt idx="4574">
                  <c:v>0.65300000000000002</c:v>
                </c:pt>
                <c:pt idx="4575">
                  <c:v>0.65110000000000001</c:v>
                </c:pt>
                <c:pt idx="4576">
                  <c:v>0.64910000000000001</c:v>
                </c:pt>
                <c:pt idx="4577">
                  <c:v>0.65069999999999995</c:v>
                </c:pt>
                <c:pt idx="4578">
                  <c:v>0.64770000000000005</c:v>
                </c:pt>
                <c:pt idx="4579">
                  <c:v>0.64119999999999999</c:v>
                </c:pt>
                <c:pt idx="4580">
                  <c:v>0.64749999999999996</c:v>
                </c:pt>
                <c:pt idx="4581">
                  <c:v>0.64600000000000002</c:v>
                </c:pt>
                <c:pt idx="4582">
                  <c:v>0.64849999999999997</c:v>
                </c:pt>
                <c:pt idx="4583">
                  <c:v>0.65169999999999995</c:v>
                </c:pt>
                <c:pt idx="4584">
                  <c:v>0.65629999999999999</c:v>
                </c:pt>
                <c:pt idx="4585">
                  <c:v>0.65139999999999998</c:v>
                </c:pt>
                <c:pt idx="4586">
                  <c:v>0.65290000000000004</c:v>
                </c:pt>
                <c:pt idx="4587">
                  <c:v>0.64759999999999995</c:v>
                </c:pt>
                <c:pt idx="4588">
                  <c:v>0.64900000000000002</c:v>
                </c:pt>
                <c:pt idx="4589">
                  <c:v>0.64480000000000004</c:v>
                </c:pt>
                <c:pt idx="4590">
                  <c:v>0.64670000000000005</c:v>
                </c:pt>
                <c:pt idx="4591">
                  <c:v>0.64459999999999995</c:v>
                </c:pt>
                <c:pt idx="4592">
                  <c:v>0.63839999999999997</c:v>
                </c:pt>
                <c:pt idx="4593">
                  <c:v>0.63949999999999996</c:v>
                </c:pt>
                <c:pt idx="4594">
                  <c:v>0.63380000000000003</c:v>
                </c:pt>
                <c:pt idx="4595">
                  <c:v>0.63200000000000001</c:v>
                </c:pt>
                <c:pt idx="4596">
                  <c:v>0.63049999999999995</c:v>
                </c:pt>
                <c:pt idx="4597">
                  <c:v>0.6321</c:v>
                </c:pt>
                <c:pt idx="4598">
                  <c:v>0.63600000000000001</c:v>
                </c:pt>
                <c:pt idx="4599">
                  <c:v>0.63500000000000001</c:v>
                </c:pt>
                <c:pt idx="4600">
                  <c:v>0.63649999999999995</c:v>
                </c:pt>
                <c:pt idx="4601">
                  <c:v>0.63429999999999997</c:v>
                </c:pt>
                <c:pt idx="4602">
                  <c:v>0.64680000000000004</c:v>
                </c:pt>
                <c:pt idx="4603">
                  <c:v>0.64959999999999996</c:v>
                </c:pt>
                <c:pt idx="4604">
                  <c:v>0.64949999999999997</c:v>
                </c:pt>
                <c:pt idx="4605">
                  <c:v>0.6522</c:v>
                </c:pt>
                <c:pt idx="4606">
                  <c:v>0.64939999999999998</c:v>
                </c:pt>
                <c:pt idx="4607">
                  <c:v>0.64910000000000001</c:v>
                </c:pt>
                <c:pt idx="4608">
                  <c:v>0.65069999999999995</c:v>
                </c:pt>
                <c:pt idx="4609">
                  <c:v>0.65349999999999997</c:v>
                </c:pt>
                <c:pt idx="4610">
                  <c:v>0.65249999999999997</c:v>
                </c:pt>
                <c:pt idx="4611">
                  <c:v>0.65429999999999999</c:v>
                </c:pt>
                <c:pt idx="4612">
                  <c:v>0.65869999999999995</c:v>
                </c:pt>
                <c:pt idx="4613">
                  <c:v>0.65369999999999995</c:v>
                </c:pt>
                <c:pt idx="4614">
                  <c:v>0.65</c:v>
                </c:pt>
                <c:pt idx="4615">
                  <c:v>0.65100000000000002</c:v>
                </c:pt>
                <c:pt idx="4616">
                  <c:v>0.65</c:v>
                </c:pt>
                <c:pt idx="4617">
                  <c:v>0.64600000000000002</c:v>
                </c:pt>
                <c:pt idx="4618">
                  <c:v>0.64449999999999996</c:v>
                </c:pt>
                <c:pt idx="4619">
                  <c:v>0.64710000000000001</c:v>
                </c:pt>
                <c:pt idx="4620">
                  <c:v>0.64800000000000002</c:v>
                </c:pt>
                <c:pt idx="4621">
                  <c:v>0.6472</c:v>
                </c:pt>
                <c:pt idx="4622">
                  <c:v>0.64549999999999996</c:v>
                </c:pt>
                <c:pt idx="4623">
                  <c:v>0.64390000000000003</c:v>
                </c:pt>
                <c:pt idx="4624">
                  <c:v>0.64929999999999999</c:v>
                </c:pt>
                <c:pt idx="4625">
                  <c:v>0.66049999999999998</c:v>
                </c:pt>
                <c:pt idx="4626">
                  <c:v>0.66049999999999998</c:v>
                </c:pt>
                <c:pt idx="4627">
                  <c:v>0.65749999999999997</c:v>
                </c:pt>
                <c:pt idx="4628">
                  <c:v>0.65849999999999997</c:v>
                </c:pt>
                <c:pt idx="4629">
                  <c:v>0.66159999999999997</c:v>
                </c:pt>
                <c:pt idx="4630">
                  <c:v>0.66520000000000001</c:v>
                </c:pt>
                <c:pt idx="4631">
                  <c:v>0.66639999999999999</c:v>
                </c:pt>
                <c:pt idx="4632">
                  <c:v>0.66739999999999999</c:v>
                </c:pt>
                <c:pt idx="4633">
                  <c:v>0.66149999999999998</c:v>
                </c:pt>
                <c:pt idx="4634">
                  <c:v>0.66549999999999998</c:v>
                </c:pt>
                <c:pt idx="4635">
                  <c:v>0.66879999999999995</c:v>
                </c:pt>
                <c:pt idx="4636">
                  <c:v>0.66610000000000003</c:v>
                </c:pt>
                <c:pt idx="4637">
                  <c:v>0.66679999999999995</c:v>
                </c:pt>
                <c:pt idx="4638">
                  <c:v>0.65629999999999999</c:v>
                </c:pt>
                <c:pt idx="4639">
                  <c:v>0.65780000000000005</c:v>
                </c:pt>
                <c:pt idx="4640">
                  <c:v>0.66120000000000001</c:v>
                </c:pt>
                <c:pt idx="4641">
                  <c:v>0.65890000000000004</c:v>
                </c:pt>
                <c:pt idx="4642">
                  <c:v>0.65800000000000003</c:v>
                </c:pt>
                <c:pt idx="4643">
                  <c:v>0.65349999999999997</c:v>
                </c:pt>
                <c:pt idx="4644">
                  <c:v>0.64949999999999997</c:v>
                </c:pt>
                <c:pt idx="4645">
                  <c:v>0.65180000000000005</c:v>
                </c:pt>
                <c:pt idx="4646">
                  <c:v>0.6573</c:v>
                </c:pt>
                <c:pt idx="4647">
                  <c:v>0.65700000000000003</c:v>
                </c:pt>
                <c:pt idx="4648">
                  <c:v>0.65749999999999997</c:v>
                </c:pt>
                <c:pt idx="4649">
                  <c:v>0.66379999999999995</c:v>
                </c:pt>
                <c:pt idx="4650">
                  <c:v>0.66459999999999997</c:v>
                </c:pt>
                <c:pt idx="4651">
                  <c:v>0.66049999999999998</c:v>
                </c:pt>
                <c:pt idx="4652">
                  <c:v>0.65839999999999999</c:v>
                </c:pt>
                <c:pt idx="4653">
                  <c:v>0.65649999999999997</c:v>
                </c:pt>
                <c:pt idx="4654">
                  <c:v>0.65949999999999998</c:v>
                </c:pt>
                <c:pt idx="4655">
                  <c:v>0.65800000000000003</c:v>
                </c:pt>
                <c:pt idx="4656">
                  <c:v>0.64859999999999995</c:v>
                </c:pt>
                <c:pt idx="4657">
                  <c:v>0.64400000000000002</c:v>
                </c:pt>
                <c:pt idx="4658">
                  <c:v>0.64290000000000003</c:v>
                </c:pt>
                <c:pt idx="4659">
                  <c:v>0.64870000000000005</c:v>
                </c:pt>
                <c:pt idx="4660">
                  <c:v>0.65200000000000002</c:v>
                </c:pt>
                <c:pt idx="4661">
                  <c:v>0.64990000000000003</c:v>
                </c:pt>
                <c:pt idx="4662">
                  <c:v>0.64900000000000002</c:v>
                </c:pt>
                <c:pt idx="4663">
                  <c:v>0.64870000000000005</c:v>
                </c:pt>
                <c:pt idx="4664">
                  <c:v>0.6593</c:v>
                </c:pt>
                <c:pt idx="4665">
                  <c:v>0.65739999999999998</c:v>
                </c:pt>
                <c:pt idx="4666">
                  <c:v>0.66</c:v>
                </c:pt>
                <c:pt idx="4667">
                  <c:v>0.6593</c:v>
                </c:pt>
                <c:pt idx="4668">
                  <c:v>0.66700000000000004</c:v>
                </c:pt>
                <c:pt idx="4669">
                  <c:v>0.66510000000000002</c:v>
                </c:pt>
                <c:pt idx="4670">
                  <c:v>0.66420000000000001</c:v>
                </c:pt>
                <c:pt idx="4671">
                  <c:v>0.66700000000000004</c:v>
                </c:pt>
                <c:pt idx="4672">
                  <c:v>0.6663</c:v>
                </c:pt>
                <c:pt idx="4673">
                  <c:v>0.66820000000000002</c:v>
                </c:pt>
                <c:pt idx="4674">
                  <c:v>0.66639999999999999</c:v>
                </c:pt>
                <c:pt idx="4675">
                  <c:v>0.67149999999999999</c:v>
                </c:pt>
                <c:pt idx="4676">
                  <c:v>0.67020000000000002</c:v>
                </c:pt>
                <c:pt idx="4677">
                  <c:v>0.66400000000000003</c:v>
                </c:pt>
                <c:pt idx="4678">
                  <c:v>0.65949999999999998</c:v>
                </c:pt>
                <c:pt idx="4679">
                  <c:v>0.6643</c:v>
                </c:pt>
                <c:pt idx="4680">
                  <c:v>0.66120000000000001</c:v>
                </c:pt>
                <c:pt idx="4681">
                  <c:v>0.65949999999999998</c:v>
                </c:pt>
                <c:pt idx="4682">
                  <c:v>0.65390000000000004</c:v>
                </c:pt>
                <c:pt idx="4683">
                  <c:v>0.64929999999999999</c:v>
                </c:pt>
                <c:pt idx="4684">
                  <c:v>0.6492</c:v>
                </c:pt>
                <c:pt idx="4685">
                  <c:v>0.65180000000000005</c:v>
                </c:pt>
                <c:pt idx="4686">
                  <c:v>0.65110000000000001</c:v>
                </c:pt>
                <c:pt idx="4687">
                  <c:v>0.64649999999999996</c:v>
                </c:pt>
                <c:pt idx="4688">
                  <c:v>0.64570000000000005</c:v>
                </c:pt>
                <c:pt idx="4689">
                  <c:v>0.6512</c:v>
                </c:pt>
                <c:pt idx="4690">
                  <c:v>0.64690000000000003</c:v>
                </c:pt>
                <c:pt idx="4691">
                  <c:v>0.64329999999999998</c:v>
                </c:pt>
                <c:pt idx="4692">
                  <c:v>0.63329999999999997</c:v>
                </c:pt>
                <c:pt idx="4693">
                  <c:v>0.63600000000000001</c:v>
                </c:pt>
                <c:pt idx="4694">
                  <c:v>0.63549999999999995</c:v>
                </c:pt>
                <c:pt idx="4695">
                  <c:v>0.63060000000000005</c:v>
                </c:pt>
                <c:pt idx="4696">
                  <c:v>0.62560000000000004</c:v>
                </c:pt>
                <c:pt idx="4697">
                  <c:v>0.62780000000000002</c:v>
                </c:pt>
                <c:pt idx="4698">
                  <c:v>0.62960000000000005</c:v>
                </c:pt>
                <c:pt idx="4699">
                  <c:v>0.63090000000000002</c:v>
                </c:pt>
                <c:pt idx="4700">
                  <c:v>0.6341</c:v>
                </c:pt>
                <c:pt idx="4701">
                  <c:v>0.63490000000000002</c:v>
                </c:pt>
                <c:pt idx="4702">
                  <c:v>0.63419999999999999</c:v>
                </c:pt>
                <c:pt idx="4703">
                  <c:v>0.62639999999999996</c:v>
                </c:pt>
                <c:pt idx="4704">
                  <c:v>0.63129999999999997</c:v>
                </c:pt>
                <c:pt idx="4705">
                  <c:v>0.63470000000000004</c:v>
                </c:pt>
                <c:pt idx="4706">
                  <c:v>0.63739999999999997</c:v>
                </c:pt>
                <c:pt idx="4707">
                  <c:v>0.63719999999999999</c:v>
                </c:pt>
                <c:pt idx="4708">
                  <c:v>0.63990000000000002</c:v>
                </c:pt>
                <c:pt idx="4709">
                  <c:v>0.63649999999999995</c:v>
                </c:pt>
                <c:pt idx="4710">
                  <c:v>0.62970000000000004</c:v>
                </c:pt>
                <c:pt idx="4711">
                  <c:v>0.62829999999999997</c:v>
                </c:pt>
                <c:pt idx="4712">
                  <c:v>0.62670000000000003</c:v>
                </c:pt>
                <c:pt idx="4713">
                  <c:v>0.62629999999999997</c:v>
                </c:pt>
                <c:pt idx="4714">
                  <c:v>0.62849999999999995</c:v>
                </c:pt>
                <c:pt idx="4715">
                  <c:v>0.63649999999999995</c:v>
                </c:pt>
                <c:pt idx="4716">
                  <c:v>0.63739999999999997</c:v>
                </c:pt>
                <c:pt idx="4717">
                  <c:v>0.63690000000000002</c:v>
                </c:pt>
                <c:pt idx="4718">
                  <c:v>0.63519999999999999</c:v>
                </c:pt>
                <c:pt idx="4719">
                  <c:v>0.63160000000000005</c:v>
                </c:pt>
                <c:pt idx="4720">
                  <c:v>0.62819999999999998</c:v>
                </c:pt>
                <c:pt idx="4721">
                  <c:v>0.62549999999999994</c:v>
                </c:pt>
                <c:pt idx="4722">
                  <c:v>0.62160000000000004</c:v>
                </c:pt>
                <c:pt idx="4723">
                  <c:v>0.62060000000000004</c:v>
                </c:pt>
                <c:pt idx="4724">
                  <c:v>0.61899999999999999</c:v>
                </c:pt>
                <c:pt idx="4725">
                  <c:v>0.61850000000000005</c:v>
                </c:pt>
                <c:pt idx="4726">
                  <c:v>0.626</c:v>
                </c:pt>
                <c:pt idx="4727">
                  <c:v>0.63200000000000001</c:v>
                </c:pt>
                <c:pt idx="4728">
                  <c:v>0.64049999999999996</c:v>
                </c:pt>
                <c:pt idx="4729">
                  <c:v>0.64019999999999999</c:v>
                </c:pt>
                <c:pt idx="4730">
                  <c:v>0.63949999999999996</c:v>
                </c:pt>
                <c:pt idx="4731">
                  <c:v>0.63519999999999999</c:v>
                </c:pt>
                <c:pt idx="4732">
                  <c:v>0.63480000000000003</c:v>
                </c:pt>
                <c:pt idx="4733">
                  <c:v>0.63549999999999995</c:v>
                </c:pt>
                <c:pt idx="4734">
                  <c:v>0.64600000000000002</c:v>
                </c:pt>
                <c:pt idx="4735">
                  <c:v>0.64559999999999995</c:v>
                </c:pt>
                <c:pt idx="4736">
                  <c:v>0.64749999999999996</c:v>
                </c:pt>
                <c:pt idx="4737">
                  <c:v>0.64639999999999997</c:v>
                </c:pt>
                <c:pt idx="4738">
                  <c:v>0.64590000000000003</c:v>
                </c:pt>
                <c:pt idx="4739">
                  <c:v>0.65</c:v>
                </c:pt>
                <c:pt idx="4740">
                  <c:v>0.65080000000000005</c:v>
                </c:pt>
                <c:pt idx="4741">
                  <c:v>0.64800000000000002</c:v>
                </c:pt>
                <c:pt idx="4742">
                  <c:v>0.6411</c:v>
                </c:pt>
                <c:pt idx="4743">
                  <c:v>0.63829999999999998</c:v>
                </c:pt>
                <c:pt idx="4744">
                  <c:v>0.63560000000000005</c:v>
                </c:pt>
                <c:pt idx="4745">
                  <c:v>0.63009999999999999</c:v>
                </c:pt>
                <c:pt idx="4746">
                  <c:v>0.62780000000000002</c:v>
                </c:pt>
                <c:pt idx="4747">
                  <c:v>0.62770000000000004</c:v>
                </c:pt>
                <c:pt idx="4748">
                  <c:v>0.629</c:v>
                </c:pt>
                <c:pt idx="4749">
                  <c:v>0.63090000000000002</c:v>
                </c:pt>
                <c:pt idx="4750">
                  <c:v>0.63249999999999995</c:v>
                </c:pt>
                <c:pt idx="4751">
                  <c:v>0.6431</c:v>
                </c:pt>
                <c:pt idx="4752">
                  <c:v>0.63980000000000004</c:v>
                </c:pt>
                <c:pt idx="4753">
                  <c:v>0.6381</c:v>
                </c:pt>
                <c:pt idx="4754">
                  <c:v>0.63339999999999996</c:v>
                </c:pt>
                <c:pt idx="4755">
                  <c:v>0.63300000000000001</c:v>
                </c:pt>
                <c:pt idx="4756">
                  <c:v>0.63</c:v>
                </c:pt>
                <c:pt idx="4757">
                  <c:v>0.63170000000000004</c:v>
                </c:pt>
                <c:pt idx="4758">
                  <c:v>0.63739999999999997</c:v>
                </c:pt>
                <c:pt idx="4759">
                  <c:v>0.6401</c:v>
                </c:pt>
                <c:pt idx="4760">
                  <c:v>0.63449999999999995</c:v>
                </c:pt>
                <c:pt idx="4761">
                  <c:v>0.63539999999999996</c:v>
                </c:pt>
                <c:pt idx="4762">
                  <c:v>0.62870000000000004</c:v>
                </c:pt>
                <c:pt idx="4763">
                  <c:v>0.62229999999999996</c:v>
                </c:pt>
                <c:pt idx="4764">
                  <c:v>0.62119999999999997</c:v>
                </c:pt>
                <c:pt idx="4765">
                  <c:v>0.61229999999999996</c:v>
                </c:pt>
                <c:pt idx="4766">
                  <c:v>0.61009999999999998</c:v>
                </c:pt>
                <c:pt idx="4767">
                  <c:v>0.61119999999999997</c:v>
                </c:pt>
                <c:pt idx="4768">
                  <c:v>0.61160000000000003</c:v>
                </c:pt>
                <c:pt idx="4769">
                  <c:v>0.60650000000000004</c:v>
                </c:pt>
                <c:pt idx="4770">
                  <c:v>0.60880000000000001</c:v>
                </c:pt>
                <c:pt idx="4771">
                  <c:v>0.60980000000000001</c:v>
                </c:pt>
                <c:pt idx="4772">
                  <c:v>0.61</c:v>
                </c:pt>
                <c:pt idx="4773">
                  <c:v>0.61250000000000004</c:v>
                </c:pt>
                <c:pt idx="4774">
                  <c:v>0.61619999999999997</c:v>
                </c:pt>
                <c:pt idx="4775">
                  <c:v>0.62</c:v>
                </c:pt>
                <c:pt idx="4776">
                  <c:v>0.62090000000000001</c:v>
                </c:pt>
                <c:pt idx="4777">
                  <c:v>0.62219999999999998</c:v>
                </c:pt>
                <c:pt idx="4778">
                  <c:v>0.62350000000000005</c:v>
                </c:pt>
                <c:pt idx="4779">
                  <c:v>0.61899999999999999</c:v>
                </c:pt>
                <c:pt idx="4780">
                  <c:v>0.62039999999999995</c:v>
                </c:pt>
                <c:pt idx="4781">
                  <c:v>0.61899999999999999</c:v>
                </c:pt>
                <c:pt idx="4782">
                  <c:v>0.61509999999999998</c:v>
                </c:pt>
                <c:pt idx="4783">
                  <c:v>0.61499999999999999</c:v>
                </c:pt>
                <c:pt idx="4784">
                  <c:v>0.61970000000000003</c:v>
                </c:pt>
                <c:pt idx="4785">
                  <c:v>0.61680000000000001</c:v>
                </c:pt>
                <c:pt idx="4786">
                  <c:v>0.62360000000000004</c:v>
                </c:pt>
                <c:pt idx="4787">
                  <c:v>0.629</c:v>
                </c:pt>
                <c:pt idx="4788">
                  <c:v>0.63249999999999995</c:v>
                </c:pt>
                <c:pt idx="4789">
                  <c:v>0.62770000000000004</c:v>
                </c:pt>
                <c:pt idx="4790">
                  <c:v>0.63300000000000001</c:v>
                </c:pt>
                <c:pt idx="4791">
                  <c:v>0.63519999999999999</c:v>
                </c:pt>
                <c:pt idx="4792">
                  <c:v>0.63929999999999998</c:v>
                </c:pt>
                <c:pt idx="4793">
                  <c:v>0.64149999999999996</c:v>
                </c:pt>
                <c:pt idx="4794">
                  <c:v>0.63900000000000001</c:v>
                </c:pt>
                <c:pt idx="4795">
                  <c:v>0.64300000000000002</c:v>
                </c:pt>
                <c:pt idx="4796">
                  <c:v>0.64239999999999997</c:v>
                </c:pt>
                <c:pt idx="4797">
                  <c:v>0.64410000000000001</c:v>
                </c:pt>
                <c:pt idx="4798">
                  <c:v>0.63270000000000004</c:v>
                </c:pt>
                <c:pt idx="4799">
                  <c:v>0.6371</c:v>
                </c:pt>
                <c:pt idx="4800">
                  <c:v>0.63619999999999999</c:v>
                </c:pt>
                <c:pt idx="4801">
                  <c:v>0.63800000000000001</c:v>
                </c:pt>
                <c:pt idx="4802">
                  <c:v>0.63119999999999998</c:v>
                </c:pt>
                <c:pt idx="4803">
                  <c:v>0.62660000000000005</c:v>
                </c:pt>
                <c:pt idx="4804">
                  <c:v>0.63649999999999995</c:v>
                </c:pt>
                <c:pt idx="4805">
                  <c:v>0.63529999999999998</c:v>
                </c:pt>
                <c:pt idx="4806">
                  <c:v>0.63170000000000004</c:v>
                </c:pt>
                <c:pt idx="4807">
                  <c:v>0.62990000000000002</c:v>
                </c:pt>
                <c:pt idx="4808">
                  <c:v>0.62350000000000005</c:v>
                </c:pt>
                <c:pt idx="4809">
                  <c:v>0.62460000000000004</c:v>
                </c:pt>
                <c:pt idx="4810">
                  <c:v>0.62409999999999999</c:v>
                </c:pt>
                <c:pt idx="4811">
                  <c:v>0.62339999999999995</c:v>
                </c:pt>
                <c:pt idx="4812">
                  <c:v>0.61699999999999999</c:v>
                </c:pt>
                <c:pt idx="4813">
                  <c:v>0.61729999999999996</c:v>
                </c:pt>
                <c:pt idx="4814">
                  <c:v>0.61599999999999999</c:v>
                </c:pt>
                <c:pt idx="4815">
                  <c:v>0.61829999999999996</c:v>
                </c:pt>
                <c:pt idx="4816">
                  <c:v>0.62490000000000001</c:v>
                </c:pt>
                <c:pt idx="4817">
                  <c:v>0.62560000000000004</c:v>
                </c:pt>
                <c:pt idx="4818">
                  <c:v>0.63139999999999996</c:v>
                </c:pt>
                <c:pt idx="4819">
                  <c:v>0.63239999999999996</c:v>
                </c:pt>
                <c:pt idx="4820">
                  <c:v>0.63400000000000001</c:v>
                </c:pt>
                <c:pt idx="4821">
                  <c:v>0.63729999999999998</c:v>
                </c:pt>
                <c:pt idx="4822">
                  <c:v>0.63349999999999995</c:v>
                </c:pt>
                <c:pt idx="4823">
                  <c:v>0.62490000000000001</c:v>
                </c:pt>
                <c:pt idx="4824">
                  <c:v>0.62319999999999998</c:v>
                </c:pt>
                <c:pt idx="4825">
                  <c:v>0.61380000000000001</c:v>
                </c:pt>
                <c:pt idx="4826">
                  <c:v>0.61599999999999999</c:v>
                </c:pt>
                <c:pt idx="4827">
                  <c:v>0.622</c:v>
                </c:pt>
                <c:pt idx="4828">
                  <c:v>0.59219999999999995</c:v>
                </c:pt>
                <c:pt idx="4829">
                  <c:v>0.59379999999999999</c:v>
                </c:pt>
                <c:pt idx="4830">
                  <c:v>0.59489999999999998</c:v>
                </c:pt>
                <c:pt idx="4831">
                  <c:v>0.59799999999999998</c:v>
                </c:pt>
                <c:pt idx="4832">
                  <c:v>0.59399999999999997</c:v>
                </c:pt>
                <c:pt idx="4833">
                  <c:v>0.5968</c:v>
                </c:pt>
                <c:pt idx="4834">
                  <c:v>0.59</c:v>
                </c:pt>
                <c:pt idx="4835">
                  <c:v>0.58699999999999997</c:v>
                </c:pt>
                <c:pt idx="4836">
                  <c:v>0.58450000000000002</c:v>
                </c:pt>
                <c:pt idx="4837">
                  <c:v>0.57969999999999999</c:v>
                </c:pt>
                <c:pt idx="4838">
                  <c:v>0.58120000000000005</c:v>
                </c:pt>
                <c:pt idx="4839">
                  <c:v>0.58320000000000005</c:v>
                </c:pt>
                <c:pt idx="4840">
                  <c:v>0.58919999999999995</c:v>
                </c:pt>
                <c:pt idx="4841">
                  <c:v>0.59330000000000005</c:v>
                </c:pt>
                <c:pt idx="4842">
                  <c:v>0.5897</c:v>
                </c:pt>
                <c:pt idx="4843">
                  <c:v>0.59499999999999997</c:v>
                </c:pt>
                <c:pt idx="4844">
                  <c:v>0.59450000000000003</c:v>
                </c:pt>
                <c:pt idx="4845">
                  <c:v>0.59919999999999995</c:v>
                </c:pt>
                <c:pt idx="4846">
                  <c:v>0.59760000000000002</c:v>
                </c:pt>
                <c:pt idx="4847">
                  <c:v>0.58540000000000003</c:v>
                </c:pt>
                <c:pt idx="4848">
                  <c:v>0.59179999999999999</c:v>
                </c:pt>
                <c:pt idx="4849">
                  <c:v>0.59019999999999995</c:v>
                </c:pt>
                <c:pt idx="4850">
                  <c:v>0.58650000000000002</c:v>
                </c:pt>
                <c:pt idx="4851">
                  <c:v>0.58450000000000002</c:v>
                </c:pt>
                <c:pt idx="4852">
                  <c:v>0.58540000000000003</c:v>
                </c:pt>
                <c:pt idx="4853">
                  <c:v>0.58289999999999997</c:v>
                </c:pt>
                <c:pt idx="4854">
                  <c:v>0.56899999999999995</c:v>
                </c:pt>
                <c:pt idx="4855">
                  <c:v>0.56699999999999995</c:v>
                </c:pt>
                <c:pt idx="4856">
                  <c:v>0.55689999999999995</c:v>
                </c:pt>
                <c:pt idx="4857">
                  <c:v>0.56459999999999999</c:v>
                </c:pt>
                <c:pt idx="4858">
                  <c:v>0.57620000000000005</c:v>
                </c:pt>
                <c:pt idx="4859">
                  <c:v>0.58040000000000003</c:v>
                </c:pt>
                <c:pt idx="4860">
                  <c:v>0.58109999999999995</c:v>
                </c:pt>
                <c:pt idx="4861">
                  <c:v>0.58630000000000004</c:v>
                </c:pt>
                <c:pt idx="4862">
                  <c:v>0.59130000000000005</c:v>
                </c:pt>
                <c:pt idx="4863">
                  <c:v>0.59509999999999996</c:v>
                </c:pt>
                <c:pt idx="4864">
                  <c:v>0.59179999999999999</c:v>
                </c:pt>
                <c:pt idx="4865">
                  <c:v>0.59330000000000005</c:v>
                </c:pt>
                <c:pt idx="4866">
                  <c:v>0.59640000000000004</c:v>
                </c:pt>
                <c:pt idx="4867">
                  <c:v>0.59370000000000001</c:v>
                </c:pt>
                <c:pt idx="4868">
                  <c:v>0.59279999999999999</c:v>
                </c:pt>
                <c:pt idx="4869">
                  <c:v>0.60050000000000003</c:v>
                </c:pt>
                <c:pt idx="4870">
                  <c:v>0.59970000000000001</c:v>
                </c:pt>
                <c:pt idx="4871">
                  <c:v>0.60509999999999997</c:v>
                </c:pt>
                <c:pt idx="4872">
                  <c:v>0.60860000000000003</c:v>
                </c:pt>
                <c:pt idx="4873">
                  <c:v>0.60429999999999995</c:v>
                </c:pt>
                <c:pt idx="4874">
                  <c:v>0.60189999999999999</c:v>
                </c:pt>
                <c:pt idx="4875">
                  <c:v>0.60599999999999998</c:v>
                </c:pt>
                <c:pt idx="4876">
                  <c:v>0.60950000000000004</c:v>
                </c:pt>
                <c:pt idx="4877">
                  <c:v>0.61150000000000004</c:v>
                </c:pt>
                <c:pt idx="4878">
                  <c:v>0.61329999999999996</c:v>
                </c:pt>
                <c:pt idx="4879">
                  <c:v>0.60880000000000001</c:v>
                </c:pt>
                <c:pt idx="4880">
                  <c:v>0.61660000000000004</c:v>
                </c:pt>
                <c:pt idx="4881">
                  <c:v>0.62029999999999996</c:v>
                </c:pt>
                <c:pt idx="4882">
                  <c:v>0.62250000000000005</c:v>
                </c:pt>
                <c:pt idx="4883">
                  <c:v>0.62619999999999998</c:v>
                </c:pt>
                <c:pt idx="4884">
                  <c:v>0.63149999999999995</c:v>
                </c:pt>
                <c:pt idx="4885">
                  <c:v>0.62849999999999995</c:v>
                </c:pt>
                <c:pt idx="4886">
                  <c:v>0.63170000000000004</c:v>
                </c:pt>
                <c:pt idx="4887">
                  <c:v>0.623</c:v>
                </c:pt>
                <c:pt idx="4888">
                  <c:v>0.62260000000000004</c:v>
                </c:pt>
                <c:pt idx="4889">
                  <c:v>0.61729999999999996</c:v>
                </c:pt>
                <c:pt idx="4890">
                  <c:v>0.61599999999999999</c:v>
                </c:pt>
                <c:pt idx="4891">
                  <c:v>0.61319999999999997</c:v>
                </c:pt>
                <c:pt idx="4892">
                  <c:v>0.61750000000000005</c:v>
                </c:pt>
                <c:pt idx="4893">
                  <c:v>0.61980000000000002</c:v>
                </c:pt>
                <c:pt idx="4894">
                  <c:v>0.61550000000000005</c:v>
                </c:pt>
                <c:pt idx="4895">
                  <c:v>0.61780000000000002</c:v>
                </c:pt>
                <c:pt idx="4896">
                  <c:v>0.61399999999999999</c:v>
                </c:pt>
                <c:pt idx="4897">
                  <c:v>0.62</c:v>
                </c:pt>
                <c:pt idx="4898">
                  <c:v>0.61839999999999995</c:v>
                </c:pt>
                <c:pt idx="4899">
                  <c:v>0.60770000000000002</c:v>
                </c:pt>
                <c:pt idx="4900">
                  <c:v>0.60150000000000003</c:v>
                </c:pt>
                <c:pt idx="4901">
                  <c:v>0.60519999999999996</c:v>
                </c:pt>
                <c:pt idx="4902">
                  <c:v>0.60450000000000004</c:v>
                </c:pt>
                <c:pt idx="4903">
                  <c:v>0.60819999999999996</c:v>
                </c:pt>
                <c:pt idx="4904">
                  <c:v>0.60850000000000004</c:v>
                </c:pt>
                <c:pt idx="4905">
                  <c:v>0.61609999999999998</c:v>
                </c:pt>
                <c:pt idx="4906">
                  <c:v>0.60840000000000005</c:v>
                </c:pt>
                <c:pt idx="4907">
                  <c:v>0.61299999999999999</c:v>
                </c:pt>
                <c:pt idx="4908">
                  <c:v>0.59199999999999997</c:v>
                </c:pt>
                <c:pt idx="4909">
                  <c:v>0.58899999999999997</c:v>
                </c:pt>
                <c:pt idx="4910">
                  <c:v>0.58699999999999997</c:v>
                </c:pt>
                <c:pt idx="4911">
                  <c:v>0.58599999999999997</c:v>
                </c:pt>
                <c:pt idx="4912">
                  <c:v>0.58799999999999997</c:v>
                </c:pt>
                <c:pt idx="4913">
                  <c:v>0.59399999999999997</c:v>
                </c:pt>
                <c:pt idx="4914">
                  <c:v>0.6</c:v>
                </c:pt>
                <c:pt idx="4915">
                  <c:v>0.6</c:v>
                </c:pt>
                <c:pt idx="4916">
                  <c:v>0.61</c:v>
                </c:pt>
                <c:pt idx="4917">
                  <c:v>0.60899999999999999</c:v>
                </c:pt>
                <c:pt idx="4918">
                  <c:v>0.61499999999999999</c:v>
                </c:pt>
                <c:pt idx="4919">
                  <c:v>0.61499999999999999</c:v>
                </c:pt>
                <c:pt idx="4920">
                  <c:v>0.623</c:v>
                </c:pt>
                <c:pt idx="4921">
                  <c:v>0.62190000000000001</c:v>
                </c:pt>
                <c:pt idx="4922">
                  <c:v>0.62029999999999996</c:v>
                </c:pt>
                <c:pt idx="4923">
                  <c:v>0.62119999999999997</c:v>
                </c:pt>
                <c:pt idx="4924">
                  <c:v>0.62560000000000004</c:v>
                </c:pt>
                <c:pt idx="4925">
                  <c:v>0.62680000000000002</c:v>
                </c:pt>
                <c:pt idx="4926">
                  <c:v>0.63349999999999995</c:v>
                </c:pt>
                <c:pt idx="4927">
                  <c:v>0.62539999999999996</c:v>
                </c:pt>
                <c:pt idx="4928">
                  <c:v>0.62239999999999995</c:v>
                </c:pt>
                <c:pt idx="4929">
                  <c:v>0.61850000000000005</c:v>
                </c:pt>
                <c:pt idx="4930">
                  <c:v>0.62709999999999999</c:v>
                </c:pt>
                <c:pt idx="4931">
                  <c:v>0.62870000000000004</c:v>
                </c:pt>
                <c:pt idx="4932">
                  <c:v>0.628</c:v>
                </c:pt>
                <c:pt idx="4933">
                  <c:v>0.63109999999999999</c:v>
                </c:pt>
                <c:pt idx="4934">
                  <c:v>0.63570000000000004</c:v>
                </c:pt>
                <c:pt idx="4935">
                  <c:v>0.63480000000000003</c:v>
                </c:pt>
                <c:pt idx="4936">
                  <c:v>0.63749999999999996</c:v>
                </c:pt>
                <c:pt idx="4937">
                  <c:v>0.63700000000000001</c:v>
                </c:pt>
                <c:pt idx="4938">
                  <c:v>0.6401</c:v>
                </c:pt>
                <c:pt idx="4939">
                  <c:v>0.64649999999999996</c:v>
                </c:pt>
                <c:pt idx="4940">
                  <c:v>0.64839999999999998</c:v>
                </c:pt>
                <c:pt idx="4941">
                  <c:v>0.64970000000000006</c:v>
                </c:pt>
                <c:pt idx="4942">
                  <c:v>0.64910000000000001</c:v>
                </c:pt>
                <c:pt idx="4943">
                  <c:v>0.64449999999999996</c:v>
                </c:pt>
                <c:pt idx="4944">
                  <c:v>0.64639999999999997</c:v>
                </c:pt>
                <c:pt idx="4945">
                  <c:v>0.65039999999999998</c:v>
                </c:pt>
                <c:pt idx="4946">
                  <c:v>0.6532</c:v>
                </c:pt>
                <c:pt idx="4947">
                  <c:v>0.65169999999999995</c:v>
                </c:pt>
                <c:pt idx="4948">
                  <c:v>0.65149999999999997</c:v>
                </c:pt>
                <c:pt idx="4949">
                  <c:v>0.64639999999999997</c:v>
                </c:pt>
                <c:pt idx="4950">
                  <c:v>0.64970000000000006</c:v>
                </c:pt>
                <c:pt idx="4951">
                  <c:v>0.65100000000000002</c:v>
                </c:pt>
                <c:pt idx="4952">
                  <c:v>0.64939999999999998</c:v>
                </c:pt>
                <c:pt idx="4953">
                  <c:v>0.64690000000000003</c:v>
                </c:pt>
                <c:pt idx="4954">
                  <c:v>0.6552</c:v>
                </c:pt>
                <c:pt idx="4955">
                  <c:v>0.65620000000000001</c:v>
                </c:pt>
                <c:pt idx="4956">
                  <c:v>0.65300000000000002</c:v>
                </c:pt>
                <c:pt idx="4957">
                  <c:v>0.66059999999999997</c:v>
                </c:pt>
                <c:pt idx="4958">
                  <c:v>0.65780000000000005</c:v>
                </c:pt>
                <c:pt idx="4959">
                  <c:v>0.65849999999999997</c:v>
                </c:pt>
                <c:pt idx="4960">
                  <c:v>0.65600000000000003</c:v>
                </c:pt>
                <c:pt idx="4961">
                  <c:v>0.65500000000000003</c:v>
                </c:pt>
                <c:pt idx="4962">
                  <c:v>0.65680000000000005</c:v>
                </c:pt>
                <c:pt idx="4963">
                  <c:v>0.66190000000000004</c:v>
                </c:pt>
                <c:pt idx="4964">
                  <c:v>0.6633</c:v>
                </c:pt>
                <c:pt idx="4965">
                  <c:v>0.6724</c:v>
                </c:pt>
                <c:pt idx="4966">
                  <c:v>0.67620000000000002</c:v>
                </c:pt>
                <c:pt idx="4967">
                  <c:v>0.66849999999999998</c:v>
                </c:pt>
                <c:pt idx="4968">
                  <c:v>0.67130000000000001</c:v>
                </c:pt>
                <c:pt idx="4969">
                  <c:v>0.67010000000000003</c:v>
                </c:pt>
                <c:pt idx="4970">
                  <c:v>0.66449999999999998</c:v>
                </c:pt>
                <c:pt idx="4971">
                  <c:v>0.66090000000000004</c:v>
                </c:pt>
                <c:pt idx="4972">
                  <c:v>0.66159999999999997</c:v>
                </c:pt>
                <c:pt idx="4973">
                  <c:v>0.67100000000000004</c:v>
                </c:pt>
                <c:pt idx="4974">
                  <c:v>0.66869999999999996</c:v>
                </c:pt>
                <c:pt idx="4975">
                  <c:v>0.67530000000000001</c:v>
                </c:pt>
                <c:pt idx="4976">
                  <c:v>0.67149999999999999</c:v>
                </c:pt>
                <c:pt idx="4977">
                  <c:v>0.66600000000000004</c:v>
                </c:pt>
                <c:pt idx="4978">
                  <c:v>0.66900000000000004</c:v>
                </c:pt>
                <c:pt idx="4979">
                  <c:v>0.66700000000000004</c:v>
                </c:pt>
                <c:pt idx="4980">
                  <c:v>0.66800000000000004</c:v>
                </c:pt>
                <c:pt idx="4981">
                  <c:v>0.66700000000000004</c:v>
                </c:pt>
                <c:pt idx="4982">
                  <c:v>0.67400000000000004</c:v>
                </c:pt>
                <c:pt idx="4983">
                  <c:v>0.67900000000000005</c:v>
                </c:pt>
                <c:pt idx="4984">
                  <c:v>0.68300000000000005</c:v>
                </c:pt>
                <c:pt idx="4985">
                  <c:v>0.67900000000000005</c:v>
                </c:pt>
                <c:pt idx="4986">
                  <c:v>0.67200000000000004</c:v>
                </c:pt>
                <c:pt idx="4987">
                  <c:v>0.66500000000000004</c:v>
                </c:pt>
                <c:pt idx="4988">
                  <c:v>0.66600000000000004</c:v>
                </c:pt>
                <c:pt idx="4989">
                  <c:v>0.66600000000000004</c:v>
                </c:pt>
                <c:pt idx="4990">
                  <c:v>0.66900000000000004</c:v>
                </c:pt>
                <c:pt idx="4991">
                  <c:v>0.67500000000000004</c:v>
                </c:pt>
                <c:pt idx="4992">
                  <c:v>0.66800000000000004</c:v>
                </c:pt>
                <c:pt idx="4993">
                  <c:v>0.66900000000000004</c:v>
                </c:pt>
                <c:pt idx="4994">
                  <c:v>0.66400000000000003</c:v>
                </c:pt>
                <c:pt idx="4995">
                  <c:v>0.67300000000000004</c:v>
                </c:pt>
                <c:pt idx="4996">
                  <c:v>0.67300000000000004</c:v>
                </c:pt>
                <c:pt idx="4997">
                  <c:v>0.67800000000000005</c:v>
                </c:pt>
                <c:pt idx="4998">
                  <c:v>0.67800000000000005</c:v>
                </c:pt>
                <c:pt idx="4999">
                  <c:v>0.67400000000000004</c:v>
                </c:pt>
                <c:pt idx="5000">
                  <c:v>0.67200000000000004</c:v>
                </c:pt>
                <c:pt idx="5001">
                  <c:v>0.67700000000000005</c:v>
                </c:pt>
                <c:pt idx="5002">
                  <c:v>0.68100000000000005</c:v>
                </c:pt>
                <c:pt idx="5003">
                  <c:v>0.68</c:v>
                </c:pt>
                <c:pt idx="5004">
                  <c:v>0.68400000000000005</c:v>
                </c:pt>
                <c:pt idx="5005">
                  <c:v>0.68600000000000005</c:v>
                </c:pt>
                <c:pt idx="5006">
                  <c:v>0.67400000000000004</c:v>
                </c:pt>
                <c:pt idx="5007">
                  <c:v>0.68100000000000005</c:v>
                </c:pt>
                <c:pt idx="5008">
                  <c:v>0.67700000000000005</c:v>
                </c:pt>
                <c:pt idx="5009">
                  <c:v>0.66800000000000004</c:v>
                </c:pt>
                <c:pt idx="5010">
                  <c:v>0.66500000000000004</c:v>
                </c:pt>
                <c:pt idx="5011">
                  <c:v>0.65900000000000003</c:v>
                </c:pt>
                <c:pt idx="5012">
                  <c:v>0.66300000000000003</c:v>
                </c:pt>
                <c:pt idx="5013">
                  <c:v>0.66800000000000004</c:v>
                </c:pt>
                <c:pt idx="5014">
                  <c:v>0.66600000000000004</c:v>
                </c:pt>
                <c:pt idx="5015">
                  <c:v>0.66500000000000004</c:v>
                </c:pt>
                <c:pt idx="5016">
                  <c:v>0.65200000000000002</c:v>
                </c:pt>
                <c:pt idx="5017">
                  <c:v>0.64800000000000002</c:v>
                </c:pt>
                <c:pt idx="5018">
                  <c:v>0.64900000000000002</c:v>
                </c:pt>
                <c:pt idx="5019">
                  <c:v>0.64300000000000002</c:v>
                </c:pt>
                <c:pt idx="5020">
                  <c:v>0.64400000000000002</c:v>
                </c:pt>
                <c:pt idx="5021">
                  <c:v>0.63400000000000001</c:v>
                </c:pt>
                <c:pt idx="5022">
                  <c:v>0.64300000000000002</c:v>
                </c:pt>
                <c:pt idx="5023">
                  <c:v>0.63600000000000001</c:v>
                </c:pt>
                <c:pt idx="5024">
                  <c:v>0.64</c:v>
                </c:pt>
                <c:pt idx="5025">
                  <c:v>0.65</c:v>
                </c:pt>
                <c:pt idx="5026">
                  <c:v>0.65100000000000002</c:v>
                </c:pt>
                <c:pt idx="5027">
                  <c:v>0.65100000000000002</c:v>
                </c:pt>
                <c:pt idx="5028">
                  <c:v>0.65200000000000002</c:v>
                </c:pt>
                <c:pt idx="5029">
                  <c:v>0.65500000000000003</c:v>
                </c:pt>
                <c:pt idx="5030">
                  <c:v>0.65600000000000003</c:v>
                </c:pt>
                <c:pt idx="5031">
                  <c:v>0.65500000000000003</c:v>
                </c:pt>
                <c:pt idx="5032">
                  <c:v>0.65600000000000003</c:v>
                </c:pt>
                <c:pt idx="5033">
                  <c:v>0.65500000000000003</c:v>
                </c:pt>
                <c:pt idx="5034">
                  <c:v>0.65200000000000002</c:v>
                </c:pt>
                <c:pt idx="5035">
                  <c:v>0.65200000000000002</c:v>
                </c:pt>
                <c:pt idx="5036">
                  <c:v>0.65100000000000002</c:v>
                </c:pt>
                <c:pt idx="5037">
                  <c:v>0.66100000000000003</c:v>
                </c:pt>
                <c:pt idx="5038">
                  <c:v>0.64800000000000002</c:v>
                </c:pt>
                <c:pt idx="5039">
                  <c:v>0.65500000000000003</c:v>
                </c:pt>
                <c:pt idx="5040">
                  <c:v>0.66100000000000003</c:v>
                </c:pt>
                <c:pt idx="5041">
                  <c:v>0.66400000000000003</c:v>
                </c:pt>
                <c:pt idx="5042">
                  <c:v>0.66800000000000004</c:v>
                </c:pt>
                <c:pt idx="5043">
                  <c:v>0.66900000000000004</c:v>
                </c:pt>
                <c:pt idx="5044">
                  <c:v>0.67100000000000004</c:v>
                </c:pt>
                <c:pt idx="5045">
                  <c:v>0.67200000000000004</c:v>
                </c:pt>
                <c:pt idx="5046">
                  <c:v>0.67100000000000004</c:v>
                </c:pt>
                <c:pt idx="5047">
                  <c:v>0.67700000000000005</c:v>
                </c:pt>
                <c:pt idx="5048">
                  <c:v>0.67700000000000005</c:v>
                </c:pt>
                <c:pt idx="5049">
                  <c:v>0.67500000000000004</c:v>
                </c:pt>
                <c:pt idx="5050">
                  <c:v>0.68100000000000005</c:v>
                </c:pt>
                <c:pt idx="5051">
                  <c:v>0.67900000000000005</c:v>
                </c:pt>
                <c:pt idx="5052">
                  <c:v>0.68600000000000005</c:v>
                </c:pt>
                <c:pt idx="5053">
                  <c:v>0.68600000000000005</c:v>
                </c:pt>
                <c:pt idx="5054">
                  <c:v>0.69299999999999995</c:v>
                </c:pt>
                <c:pt idx="5055">
                  <c:v>0.69299999999999995</c:v>
                </c:pt>
                <c:pt idx="5056">
                  <c:v>0.69</c:v>
                </c:pt>
                <c:pt idx="5057">
                  <c:v>0.69</c:v>
                </c:pt>
                <c:pt idx="5058">
                  <c:v>0.69799999999999995</c:v>
                </c:pt>
                <c:pt idx="5059">
                  <c:v>0.69899999999999995</c:v>
                </c:pt>
                <c:pt idx="5060">
                  <c:v>0.69699999999999995</c:v>
                </c:pt>
                <c:pt idx="5061">
                  <c:v>0.69699999999999995</c:v>
                </c:pt>
                <c:pt idx="5062">
                  <c:v>0.69099999999999995</c:v>
                </c:pt>
                <c:pt idx="5063">
                  <c:v>0.69699999999999995</c:v>
                </c:pt>
                <c:pt idx="5064">
                  <c:v>0.69599999999999995</c:v>
                </c:pt>
                <c:pt idx="5065">
                  <c:v>0.69299999999999995</c:v>
                </c:pt>
                <c:pt idx="5066">
                  <c:v>0.69699999999999995</c:v>
                </c:pt>
                <c:pt idx="5067">
                  <c:v>0.70299999999999996</c:v>
                </c:pt>
                <c:pt idx="5068">
                  <c:v>0.70299999999999996</c:v>
                </c:pt>
                <c:pt idx="5069">
                  <c:v>0.71199999999999997</c:v>
                </c:pt>
                <c:pt idx="5070">
                  <c:v>0.70099999999999996</c:v>
                </c:pt>
                <c:pt idx="5071">
                  <c:v>0.70199999999999996</c:v>
                </c:pt>
                <c:pt idx="5072">
                  <c:v>0.69799999999999995</c:v>
                </c:pt>
                <c:pt idx="5073">
                  <c:v>0.70599999999999996</c:v>
                </c:pt>
                <c:pt idx="5074">
                  <c:v>0.68799999999999994</c:v>
                </c:pt>
                <c:pt idx="5075">
                  <c:v>0.68799999999999994</c:v>
                </c:pt>
                <c:pt idx="5076">
                  <c:v>0.70399999999999996</c:v>
                </c:pt>
                <c:pt idx="5077">
                  <c:v>0.70499999999999996</c:v>
                </c:pt>
                <c:pt idx="5078">
                  <c:v>0.71899999999999997</c:v>
                </c:pt>
                <c:pt idx="5079">
                  <c:v>0.72899999999999998</c:v>
                </c:pt>
                <c:pt idx="5080">
                  <c:v>0.73199999999999998</c:v>
                </c:pt>
                <c:pt idx="5081">
                  <c:v>0.73899999999999999</c:v>
                </c:pt>
                <c:pt idx="5082">
                  <c:v>0.73399999999999999</c:v>
                </c:pt>
                <c:pt idx="5083">
                  <c:v>0.73599999999999999</c:v>
                </c:pt>
                <c:pt idx="5084">
                  <c:v>0.74</c:v>
                </c:pt>
                <c:pt idx="5085">
                  <c:v>0.73799999999999999</c:v>
                </c:pt>
                <c:pt idx="5086">
                  <c:v>0.73399999999999999</c:v>
                </c:pt>
                <c:pt idx="5087">
                  <c:v>0.72799999999999998</c:v>
                </c:pt>
                <c:pt idx="5088">
                  <c:v>0.72399999999999998</c:v>
                </c:pt>
                <c:pt idx="5089">
                  <c:v>0.72399999999999998</c:v>
                </c:pt>
                <c:pt idx="5090">
                  <c:v>0.72899999999999998</c:v>
                </c:pt>
                <c:pt idx="5091">
                  <c:v>0.72799999999999998</c:v>
                </c:pt>
                <c:pt idx="5092">
                  <c:v>0.72699999999999998</c:v>
                </c:pt>
                <c:pt idx="5093">
                  <c:v>0.72599999999999998</c:v>
                </c:pt>
                <c:pt idx="5094">
                  <c:v>0.71899999999999997</c:v>
                </c:pt>
                <c:pt idx="5095">
                  <c:v>0.72099999999999997</c:v>
                </c:pt>
                <c:pt idx="5096">
                  <c:v>0.72499999999999998</c:v>
                </c:pt>
                <c:pt idx="5097">
                  <c:v>0.72399999999999998</c:v>
                </c:pt>
                <c:pt idx="5098">
                  <c:v>0.72</c:v>
                </c:pt>
                <c:pt idx="5099">
                  <c:v>0.72</c:v>
                </c:pt>
                <c:pt idx="5100">
                  <c:v>0.71699999999999997</c:v>
                </c:pt>
                <c:pt idx="5101">
                  <c:v>0.71599999999999997</c:v>
                </c:pt>
                <c:pt idx="5102">
                  <c:v>0.71599999999999997</c:v>
                </c:pt>
                <c:pt idx="5103">
                  <c:v>0.71499999999999997</c:v>
                </c:pt>
                <c:pt idx="5104">
                  <c:v>0.72</c:v>
                </c:pt>
                <c:pt idx="5105">
                  <c:v>0.72199999999999998</c:v>
                </c:pt>
                <c:pt idx="5106">
                  <c:v>0.72</c:v>
                </c:pt>
                <c:pt idx="5107">
                  <c:v>0.72899999999999998</c:v>
                </c:pt>
                <c:pt idx="5108">
                  <c:v>0.72799999999999998</c:v>
                </c:pt>
                <c:pt idx="5109">
                  <c:v>0.72899999999999998</c:v>
                </c:pt>
                <c:pt idx="5110">
                  <c:v>0.73099999999999998</c:v>
                </c:pt>
                <c:pt idx="5111">
                  <c:v>0.73199999999999998</c:v>
                </c:pt>
                <c:pt idx="5112">
                  <c:v>0.72799999999999998</c:v>
                </c:pt>
                <c:pt idx="5113">
                  <c:v>0.72499999999999998</c:v>
                </c:pt>
                <c:pt idx="5114">
                  <c:v>0.73</c:v>
                </c:pt>
                <c:pt idx="5115">
                  <c:v>0.73099999999999998</c:v>
                </c:pt>
                <c:pt idx="5116">
                  <c:v>0.73699999999999999</c:v>
                </c:pt>
                <c:pt idx="5117">
                  <c:v>0.74199999999999999</c:v>
                </c:pt>
                <c:pt idx="5118">
                  <c:v>0.748</c:v>
                </c:pt>
                <c:pt idx="5119">
                  <c:v>0.746</c:v>
                </c:pt>
                <c:pt idx="5120">
                  <c:v>0.747</c:v>
                </c:pt>
                <c:pt idx="5121">
                  <c:v>0.751</c:v>
                </c:pt>
                <c:pt idx="5122">
                  <c:v>0.746</c:v>
                </c:pt>
                <c:pt idx="5123">
                  <c:v>0.74199999999999999</c:v>
                </c:pt>
                <c:pt idx="5124">
                  <c:v>0.73799999999999999</c:v>
                </c:pt>
                <c:pt idx="5125">
                  <c:v>0.74199999999999999</c:v>
                </c:pt>
                <c:pt idx="5126">
                  <c:v>0.74199999999999999</c:v>
                </c:pt>
                <c:pt idx="5127">
                  <c:v>0.74399999999999999</c:v>
                </c:pt>
                <c:pt idx="5128">
                  <c:v>0.73899999999999999</c:v>
                </c:pt>
                <c:pt idx="5129">
                  <c:v>0.73799999999999999</c:v>
                </c:pt>
                <c:pt idx="5130">
                  <c:v>0.73399999999999999</c:v>
                </c:pt>
                <c:pt idx="5131">
                  <c:v>0.72899999999999998</c:v>
                </c:pt>
                <c:pt idx="5132">
                  <c:v>0.73599999999999999</c:v>
                </c:pt>
                <c:pt idx="5133">
                  <c:v>0.73799999999999999</c:v>
                </c:pt>
                <c:pt idx="5134">
                  <c:v>0.74099999999999999</c:v>
                </c:pt>
                <c:pt idx="5135">
                  <c:v>0.73899999999999999</c:v>
                </c:pt>
                <c:pt idx="5136">
                  <c:v>0.748</c:v>
                </c:pt>
                <c:pt idx="5137">
                  <c:v>0.74399999999999999</c:v>
                </c:pt>
                <c:pt idx="5138">
                  <c:v>0.746</c:v>
                </c:pt>
                <c:pt idx="5139">
                  <c:v>0.73799999999999999</c:v>
                </c:pt>
                <c:pt idx="5140">
                  <c:v>0.73699999999999999</c:v>
                </c:pt>
                <c:pt idx="5141">
                  <c:v>0.73599999999999999</c:v>
                </c:pt>
                <c:pt idx="5142">
                  <c:v>0.73699999999999999</c:v>
                </c:pt>
                <c:pt idx="5143">
                  <c:v>0.74</c:v>
                </c:pt>
                <c:pt idx="5144">
                  <c:v>0.74099999999999999</c:v>
                </c:pt>
                <c:pt idx="5145">
                  <c:v>0.74099999999999999</c:v>
                </c:pt>
                <c:pt idx="5146">
                  <c:v>0.73699999999999999</c:v>
                </c:pt>
                <c:pt idx="5147">
                  <c:v>0.73699999999999999</c:v>
                </c:pt>
                <c:pt idx="5148">
                  <c:v>0.73399999999999999</c:v>
                </c:pt>
                <c:pt idx="5149">
                  <c:v>0.73699999999999999</c:v>
                </c:pt>
                <c:pt idx="5150">
                  <c:v>0.74</c:v>
                </c:pt>
                <c:pt idx="5151">
                  <c:v>0.74199999999999999</c:v>
                </c:pt>
                <c:pt idx="5152">
                  <c:v>0.74399999999999999</c:v>
                </c:pt>
                <c:pt idx="5153">
                  <c:v>0.746</c:v>
                </c:pt>
                <c:pt idx="5154">
                  <c:v>0.74399999999999999</c:v>
                </c:pt>
                <c:pt idx="5155">
                  <c:v>0.748</c:v>
                </c:pt>
                <c:pt idx="5156">
                  <c:v>0.752</c:v>
                </c:pt>
                <c:pt idx="5157">
                  <c:v>0.752</c:v>
                </c:pt>
                <c:pt idx="5158">
                  <c:v>0.751</c:v>
                </c:pt>
                <c:pt idx="5159">
                  <c:v>0.754</c:v>
                </c:pt>
                <c:pt idx="5160">
                  <c:v>0.746</c:v>
                </c:pt>
                <c:pt idx="5161">
                  <c:v>0.75</c:v>
                </c:pt>
                <c:pt idx="5162">
                  <c:v>0.751</c:v>
                </c:pt>
                <c:pt idx="5163">
                  <c:v>0.751</c:v>
                </c:pt>
                <c:pt idx="5164">
                  <c:v>0.752</c:v>
                </c:pt>
                <c:pt idx="5165">
                  <c:v>0.751</c:v>
                </c:pt>
                <c:pt idx="5166">
                  <c:v>0.75</c:v>
                </c:pt>
                <c:pt idx="5167">
                  <c:v>0.749</c:v>
                </c:pt>
                <c:pt idx="5168">
                  <c:v>0.751</c:v>
                </c:pt>
                <c:pt idx="5169">
                  <c:v>0.748</c:v>
                </c:pt>
                <c:pt idx="5170">
                  <c:v>0.75</c:v>
                </c:pt>
                <c:pt idx="5171">
                  <c:v>0.752</c:v>
                </c:pt>
                <c:pt idx="5172">
                  <c:v>0.75600000000000001</c:v>
                </c:pt>
                <c:pt idx="5173">
                  <c:v>0.76200000000000001</c:v>
                </c:pt>
                <c:pt idx="5174">
                  <c:v>0.76100000000000001</c:v>
                </c:pt>
                <c:pt idx="5175">
                  <c:v>0.76200000000000001</c:v>
                </c:pt>
                <c:pt idx="5176">
                  <c:v>0.75900000000000001</c:v>
                </c:pt>
                <c:pt idx="5177">
                  <c:v>0.75700000000000001</c:v>
                </c:pt>
                <c:pt idx="5178">
                  <c:v>0.76200000000000001</c:v>
                </c:pt>
                <c:pt idx="5179">
                  <c:v>0.75700000000000001</c:v>
                </c:pt>
                <c:pt idx="5180">
                  <c:v>0.76</c:v>
                </c:pt>
                <c:pt idx="5181">
                  <c:v>0.76600000000000001</c:v>
                </c:pt>
                <c:pt idx="5182">
                  <c:v>0.76500000000000001</c:v>
                </c:pt>
                <c:pt idx="5183">
                  <c:v>0.76400000000000001</c:v>
                </c:pt>
                <c:pt idx="5184">
                  <c:v>0.76600000000000001</c:v>
                </c:pt>
                <c:pt idx="5185">
                  <c:v>0.76600000000000001</c:v>
                </c:pt>
                <c:pt idx="5186">
                  <c:v>0.77700000000000002</c:v>
                </c:pt>
                <c:pt idx="5187">
                  <c:v>0.78700000000000003</c:v>
                </c:pt>
                <c:pt idx="5188">
                  <c:v>0.77500000000000002</c:v>
                </c:pt>
                <c:pt idx="5189">
                  <c:v>0.77500000000000002</c:v>
                </c:pt>
                <c:pt idx="5190">
                  <c:v>0.77600000000000002</c:v>
                </c:pt>
                <c:pt idx="5191">
                  <c:v>0.77700000000000002</c:v>
                </c:pt>
                <c:pt idx="5192">
                  <c:v>0.77600000000000002</c:v>
                </c:pt>
                <c:pt idx="5193">
                  <c:v>0.77700000000000002</c:v>
                </c:pt>
                <c:pt idx="5194">
                  <c:v>0.77900000000000003</c:v>
                </c:pt>
                <c:pt idx="5195">
                  <c:v>0.77700000000000002</c:v>
                </c:pt>
                <c:pt idx="5196">
                  <c:v>0.77900000000000003</c:v>
                </c:pt>
                <c:pt idx="5197">
                  <c:v>0.77600000000000002</c:v>
                </c:pt>
                <c:pt idx="5198">
                  <c:v>0.77700000000000002</c:v>
                </c:pt>
                <c:pt idx="5199">
                  <c:v>0.78</c:v>
                </c:pt>
                <c:pt idx="5200">
                  <c:v>0.78300000000000003</c:v>
                </c:pt>
                <c:pt idx="5201">
                  <c:v>0.78300000000000003</c:v>
                </c:pt>
                <c:pt idx="5202">
                  <c:v>0.78200000000000003</c:v>
                </c:pt>
                <c:pt idx="5203">
                  <c:v>0.78200000000000003</c:v>
                </c:pt>
                <c:pt idx="5204">
                  <c:v>0.78</c:v>
                </c:pt>
                <c:pt idx="5205">
                  <c:v>0.77600000000000002</c:v>
                </c:pt>
                <c:pt idx="5206">
                  <c:v>0.77600000000000002</c:v>
                </c:pt>
                <c:pt idx="5207">
                  <c:v>0.77600000000000002</c:v>
                </c:pt>
                <c:pt idx="5208">
                  <c:v>0.77700000000000002</c:v>
                </c:pt>
                <c:pt idx="5209">
                  <c:v>0.77800000000000002</c:v>
                </c:pt>
                <c:pt idx="5210">
                  <c:v>0.77300000000000002</c:v>
                </c:pt>
                <c:pt idx="5211">
                  <c:v>0.77700000000000002</c:v>
                </c:pt>
                <c:pt idx="5212">
                  <c:v>0.77300000000000002</c:v>
                </c:pt>
                <c:pt idx="5213">
                  <c:v>0.77400000000000002</c:v>
                </c:pt>
                <c:pt idx="5214">
                  <c:v>0.77900000000000003</c:v>
                </c:pt>
                <c:pt idx="5215">
                  <c:v>0.78800000000000003</c:v>
                </c:pt>
                <c:pt idx="5216">
                  <c:v>0.78500000000000003</c:v>
                </c:pt>
                <c:pt idx="5217">
                  <c:v>0.78500000000000003</c:v>
                </c:pt>
                <c:pt idx="5218">
                  <c:v>0.78</c:v>
                </c:pt>
                <c:pt idx="5219">
                  <c:v>0.77600000000000002</c:v>
                </c:pt>
                <c:pt idx="5220">
                  <c:v>0.77600000000000002</c:v>
                </c:pt>
                <c:pt idx="5221">
                  <c:v>0.77700000000000002</c:v>
                </c:pt>
                <c:pt idx="5222">
                  <c:v>0.78300000000000003</c:v>
                </c:pt>
                <c:pt idx="5223">
                  <c:v>0.78600000000000003</c:v>
                </c:pt>
                <c:pt idx="5224">
                  <c:v>0.78600000000000003</c:v>
                </c:pt>
                <c:pt idx="5225">
                  <c:v>0.78400000000000003</c:v>
                </c:pt>
                <c:pt idx="5226">
                  <c:v>0.78500000000000003</c:v>
                </c:pt>
                <c:pt idx="5227">
                  <c:v>0.78500000000000003</c:v>
                </c:pt>
                <c:pt idx="5228">
                  <c:v>0.78300000000000003</c:v>
                </c:pt>
                <c:pt idx="5229">
                  <c:v>0.78900000000000003</c:v>
                </c:pt>
                <c:pt idx="5230">
                  <c:v>0.78600000000000003</c:v>
                </c:pt>
                <c:pt idx="5231">
                  <c:v>0.78700000000000003</c:v>
                </c:pt>
                <c:pt idx="5232">
                  <c:v>0.78700000000000003</c:v>
                </c:pt>
                <c:pt idx="5233">
                  <c:v>0.78800000000000003</c:v>
                </c:pt>
                <c:pt idx="5234">
                  <c:v>0.79300000000000004</c:v>
                </c:pt>
                <c:pt idx="5235">
                  <c:v>0.8</c:v>
                </c:pt>
                <c:pt idx="5236">
                  <c:v>0.79400000000000004</c:v>
                </c:pt>
                <c:pt idx="5237">
                  <c:v>0.79500000000000004</c:v>
                </c:pt>
                <c:pt idx="5238">
                  <c:v>0.79300000000000004</c:v>
                </c:pt>
                <c:pt idx="5239">
                  <c:v>0.78900000000000003</c:v>
                </c:pt>
                <c:pt idx="5240">
                  <c:v>0.78700000000000003</c:v>
                </c:pt>
                <c:pt idx="5241">
                  <c:v>0.78600000000000003</c:v>
                </c:pt>
                <c:pt idx="5242">
                  <c:v>0.78400000000000003</c:v>
                </c:pt>
                <c:pt idx="5243">
                  <c:v>0.78900000000000003</c:v>
                </c:pt>
                <c:pt idx="5244">
                  <c:v>0.78800000000000003</c:v>
                </c:pt>
                <c:pt idx="5245">
                  <c:v>0.77900000000000003</c:v>
                </c:pt>
                <c:pt idx="5246">
                  <c:v>0.77500000000000002</c:v>
                </c:pt>
                <c:pt idx="5247">
                  <c:v>0.77600000000000002</c:v>
                </c:pt>
                <c:pt idx="5248">
                  <c:v>0.77600000000000002</c:v>
                </c:pt>
                <c:pt idx="5249">
                  <c:v>0.77700000000000002</c:v>
                </c:pt>
                <c:pt idx="5250">
                  <c:v>0.77700000000000002</c:v>
                </c:pt>
                <c:pt idx="5251">
                  <c:v>0.77200000000000002</c:v>
                </c:pt>
                <c:pt idx="5252">
                  <c:v>0.76700000000000002</c:v>
                </c:pt>
                <c:pt idx="5253">
                  <c:v>0.76500000000000001</c:v>
                </c:pt>
                <c:pt idx="5254">
                  <c:v>0.76600000000000001</c:v>
                </c:pt>
                <c:pt idx="5255">
                  <c:v>0.76500000000000001</c:v>
                </c:pt>
                <c:pt idx="5256">
                  <c:v>0.76600000000000001</c:v>
                </c:pt>
                <c:pt idx="5257">
                  <c:v>0.75900000000000001</c:v>
                </c:pt>
                <c:pt idx="5258">
                  <c:v>0.75800000000000001</c:v>
                </c:pt>
                <c:pt idx="5259">
                  <c:v>0.75800000000000001</c:v>
                </c:pt>
                <c:pt idx="5260">
                  <c:v>0.76100000000000001</c:v>
                </c:pt>
                <c:pt idx="5261">
                  <c:v>0.76500000000000001</c:v>
                </c:pt>
                <c:pt idx="5262">
                  <c:v>0.76300000000000001</c:v>
                </c:pt>
                <c:pt idx="5263">
                  <c:v>0.76400000000000001</c:v>
                </c:pt>
                <c:pt idx="5264">
                  <c:v>0.76500000000000001</c:v>
                </c:pt>
                <c:pt idx="5265">
                  <c:v>0.76200000000000001</c:v>
                </c:pt>
                <c:pt idx="5266">
                  <c:v>0.76500000000000001</c:v>
                </c:pt>
                <c:pt idx="5267">
                  <c:v>0.77100000000000002</c:v>
                </c:pt>
                <c:pt idx="5268">
                  <c:v>0.76800000000000002</c:v>
                </c:pt>
                <c:pt idx="5269">
                  <c:v>0.77200000000000002</c:v>
                </c:pt>
                <c:pt idx="5270">
                  <c:v>0.77100000000000002</c:v>
                </c:pt>
                <c:pt idx="5271">
                  <c:v>0.77100000000000002</c:v>
                </c:pt>
                <c:pt idx="5272">
                  <c:v>0.77600000000000002</c:v>
                </c:pt>
                <c:pt idx="5273">
                  <c:v>0.77700000000000002</c:v>
                </c:pt>
                <c:pt idx="5274">
                  <c:v>0.77600000000000002</c:v>
                </c:pt>
                <c:pt idx="5275">
                  <c:v>0.78</c:v>
                </c:pt>
                <c:pt idx="5276">
                  <c:v>0.77900000000000003</c:v>
                </c:pt>
                <c:pt idx="5277">
                  <c:v>0.77500000000000002</c:v>
                </c:pt>
                <c:pt idx="5278">
                  <c:v>0.78</c:v>
                </c:pt>
                <c:pt idx="5279">
                  <c:v>0.77800000000000002</c:v>
                </c:pt>
                <c:pt idx="5280">
                  <c:v>0.78100000000000003</c:v>
                </c:pt>
                <c:pt idx="5281">
                  <c:v>0.78100000000000003</c:v>
                </c:pt>
                <c:pt idx="5282">
                  <c:v>0.78100000000000003</c:v>
                </c:pt>
                <c:pt idx="5283">
                  <c:v>0.79</c:v>
                </c:pt>
                <c:pt idx="5284">
                  <c:v>0.78900000000000003</c:v>
                </c:pt>
                <c:pt idx="5285">
                  <c:v>0.79100000000000004</c:v>
                </c:pt>
                <c:pt idx="5286">
                  <c:v>0.79100000000000004</c:v>
                </c:pt>
                <c:pt idx="5287">
                  <c:v>0.79400000000000004</c:v>
                </c:pt>
                <c:pt idx="5288">
                  <c:v>0.79400000000000004</c:v>
                </c:pt>
                <c:pt idx="5289">
                  <c:v>0.79600000000000004</c:v>
                </c:pt>
                <c:pt idx="5290">
                  <c:v>0.79400000000000004</c:v>
                </c:pt>
                <c:pt idx="5291">
                  <c:v>0.79500000000000004</c:v>
                </c:pt>
                <c:pt idx="5292">
                  <c:v>0.79500000000000004</c:v>
                </c:pt>
                <c:pt idx="5293">
                  <c:v>0.79500000000000004</c:v>
                </c:pt>
                <c:pt idx="5294">
                  <c:v>0.79800000000000004</c:v>
                </c:pt>
                <c:pt idx="5295">
                  <c:v>0.79600000000000004</c:v>
                </c:pt>
                <c:pt idx="5296">
                  <c:v>0.79400000000000004</c:v>
                </c:pt>
                <c:pt idx="5297">
                  <c:v>0.79100000000000004</c:v>
                </c:pt>
                <c:pt idx="5298">
                  <c:v>0.79600000000000004</c:v>
                </c:pt>
                <c:pt idx="5299">
                  <c:v>0.79200000000000004</c:v>
                </c:pt>
                <c:pt idx="5300">
                  <c:v>0.79100000000000004</c:v>
                </c:pt>
                <c:pt idx="5301">
                  <c:v>0.79300000000000004</c:v>
                </c:pt>
                <c:pt idx="5302">
                  <c:v>0.79</c:v>
                </c:pt>
                <c:pt idx="5303">
                  <c:v>0.80200000000000005</c:v>
                </c:pt>
                <c:pt idx="5304">
                  <c:v>0.80300000000000005</c:v>
                </c:pt>
                <c:pt idx="5305">
                  <c:v>0.79800000000000004</c:v>
                </c:pt>
                <c:pt idx="5306">
                  <c:v>0.79900000000000004</c:v>
                </c:pt>
                <c:pt idx="5307">
                  <c:v>0.79900000000000004</c:v>
                </c:pt>
                <c:pt idx="5308">
                  <c:v>0.79500000000000004</c:v>
                </c:pt>
                <c:pt idx="5309">
                  <c:v>0.81699999999999995</c:v>
                </c:pt>
                <c:pt idx="5310">
                  <c:v>0.81599999999999995</c:v>
                </c:pt>
                <c:pt idx="5311">
                  <c:v>0.81</c:v>
                </c:pt>
                <c:pt idx="5312">
                  <c:v>0.81</c:v>
                </c:pt>
                <c:pt idx="5313">
                  <c:v>0.81</c:v>
                </c:pt>
                <c:pt idx="5314">
                  <c:v>0.81</c:v>
                </c:pt>
                <c:pt idx="5315">
                  <c:v>0.81399999999999995</c:v>
                </c:pt>
                <c:pt idx="5316">
                  <c:v>0.81100000000000005</c:v>
                </c:pt>
                <c:pt idx="5317">
                  <c:v>0.8</c:v>
                </c:pt>
                <c:pt idx="5318">
                  <c:v>0.79400000000000004</c:v>
                </c:pt>
                <c:pt idx="5319">
                  <c:v>0.79300000000000004</c:v>
                </c:pt>
                <c:pt idx="5320">
                  <c:v>0.79</c:v>
                </c:pt>
                <c:pt idx="5321">
                  <c:v>0.79</c:v>
                </c:pt>
                <c:pt idx="5322">
                  <c:v>0.78800000000000003</c:v>
                </c:pt>
                <c:pt idx="5323">
                  <c:v>0.78800000000000003</c:v>
                </c:pt>
                <c:pt idx="5324">
                  <c:v>0.78700000000000003</c:v>
                </c:pt>
                <c:pt idx="5325">
                  <c:v>0.78700000000000003</c:v>
                </c:pt>
                <c:pt idx="5326">
                  <c:v>0.78300000000000003</c:v>
                </c:pt>
                <c:pt idx="5327">
                  <c:v>0.79100000000000004</c:v>
                </c:pt>
                <c:pt idx="5328">
                  <c:v>0.78600000000000003</c:v>
                </c:pt>
                <c:pt idx="5329">
                  <c:v>0.78800000000000003</c:v>
                </c:pt>
                <c:pt idx="5330">
                  <c:v>0.78900000000000003</c:v>
                </c:pt>
                <c:pt idx="5331">
                  <c:v>0.79100000000000004</c:v>
                </c:pt>
                <c:pt idx="5332">
                  <c:v>0.79200000000000004</c:v>
                </c:pt>
                <c:pt idx="5333">
                  <c:v>0.79100000000000004</c:v>
                </c:pt>
                <c:pt idx="5334">
                  <c:v>0.79100000000000004</c:v>
                </c:pt>
                <c:pt idx="5335">
                  <c:v>0.79</c:v>
                </c:pt>
                <c:pt idx="5336">
                  <c:v>0.79200000000000004</c:v>
                </c:pt>
                <c:pt idx="5337">
                  <c:v>0.79400000000000004</c:v>
                </c:pt>
                <c:pt idx="5338">
                  <c:v>0.79400000000000004</c:v>
                </c:pt>
                <c:pt idx="5339">
                  <c:v>0.79700000000000004</c:v>
                </c:pt>
                <c:pt idx="5340">
                  <c:v>0.79500000000000004</c:v>
                </c:pt>
                <c:pt idx="5341">
                  <c:v>0.79300000000000004</c:v>
                </c:pt>
                <c:pt idx="5342">
                  <c:v>0.79100000000000004</c:v>
                </c:pt>
                <c:pt idx="5343">
                  <c:v>0.79</c:v>
                </c:pt>
                <c:pt idx="5344">
                  <c:v>0.79100000000000004</c:v>
                </c:pt>
                <c:pt idx="5345">
                  <c:v>0.79</c:v>
                </c:pt>
                <c:pt idx="5346">
                  <c:v>0.79</c:v>
                </c:pt>
                <c:pt idx="5347">
                  <c:v>0.79</c:v>
                </c:pt>
                <c:pt idx="5348">
                  <c:v>0.79100000000000004</c:v>
                </c:pt>
                <c:pt idx="5349">
                  <c:v>0.78800000000000003</c:v>
                </c:pt>
                <c:pt idx="5350">
                  <c:v>0.78900000000000003</c:v>
                </c:pt>
                <c:pt idx="5351">
                  <c:v>0.79100000000000004</c:v>
                </c:pt>
                <c:pt idx="5352">
                  <c:v>0.79400000000000004</c:v>
                </c:pt>
                <c:pt idx="5353">
                  <c:v>0.79100000000000004</c:v>
                </c:pt>
                <c:pt idx="5354">
                  <c:v>0.79100000000000004</c:v>
                </c:pt>
                <c:pt idx="5355">
                  <c:v>0.79100000000000004</c:v>
                </c:pt>
                <c:pt idx="5356">
                  <c:v>0.79300000000000004</c:v>
                </c:pt>
                <c:pt idx="5357">
                  <c:v>0.79100000000000004</c:v>
                </c:pt>
                <c:pt idx="5358">
                  <c:v>0.78600000000000003</c:v>
                </c:pt>
                <c:pt idx="5359">
                  <c:v>0.79200000000000004</c:v>
                </c:pt>
                <c:pt idx="5360">
                  <c:v>0.79300000000000004</c:v>
                </c:pt>
                <c:pt idx="5361">
                  <c:v>0.79100000000000004</c:v>
                </c:pt>
                <c:pt idx="5362">
                  <c:v>0.78800000000000003</c:v>
                </c:pt>
                <c:pt idx="5363">
                  <c:v>0.79</c:v>
                </c:pt>
                <c:pt idx="5364">
                  <c:v>0.78900000000000003</c:v>
                </c:pt>
                <c:pt idx="5365">
                  <c:v>0.79</c:v>
                </c:pt>
                <c:pt idx="5366">
                  <c:v>0.79700000000000004</c:v>
                </c:pt>
                <c:pt idx="5367">
                  <c:v>0.79900000000000004</c:v>
                </c:pt>
                <c:pt idx="5368">
                  <c:v>0.79900000000000004</c:v>
                </c:pt>
                <c:pt idx="5369">
                  <c:v>0.80100000000000005</c:v>
                </c:pt>
                <c:pt idx="5370">
                  <c:v>0.79900000000000004</c:v>
                </c:pt>
                <c:pt idx="5371">
                  <c:v>0.79400000000000004</c:v>
                </c:pt>
                <c:pt idx="5372">
                  <c:v>0.79100000000000004</c:v>
                </c:pt>
                <c:pt idx="5373">
                  <c:v>0.79100000000000004</c:v>
                </c:pt>
                <c:pt idx="5374">
                  <c:v>0.78900000000000003</c:v>
                </c:pt>
                <c:pt idx="5375">
                  <c:v>0.79</c:v>
                </c:pt>
                <c:pt idx="5376">
                  <c:v>0.79100000000000004</c:v>
                </c:pt>
                <c:pt idx="5377">
                  <c:v>0.79100000000000004</c:v>
                </c:pt>
                <c:pt idx="5378">
                  <c:v>0.78800000000000003</c:v>
                </c:pt>
                <c:pt idx="5379">
                  <c:v>0.79100000000000004</c:v>
                </c:pt>
                <c:pt idx="5380">
                  <c:v>0.79100000000000004</c:v>
                </c:pt>
                <c:pt idx="5381">
                  <c:v>0.79100000000000004</c:v>
                </c:pt>
                <c:pt idx="5382">
                  <c:v>0.79100000000000004</c:v>
                </c:pt>
                <c:pt idx="5383">
                  <c:v>0.78600000000000003</c:v>
                </c:pt>
                <c:pt idx="5384">
                  <c:v>0.79100000000000004</c:v>
                </c:pt>
                <c:pt idx="5385">
                  <c:v>0.78300000000000003</c:v>
                </c:pt>
                <c:pt idx="5386">
                  <c:v>0.78300000000000003</c:v>
                </c:pt>
                <c:pt idx="5387">
                  <c:v>0.78</c:v>
                </c:pt>
                <c:pt idx="5388">
                  <c:v>0.77900000000000003</c:v>
                </c:pt>
                <c:pt idx="5389">
                  <c:v>0.77800000000000002</c:v>
                </c:pt>
                <c:pt idx="5390">
                  <c:v>0.77900000000000003</c:v>
                </c:pt>
                <c:pt idx="5391">
                  <c:v>0.77900000000000003</c:v>
                </c:pt>
                <c:pt idx="5392">
                  <c:v>0.77700000000000002</c:v>
                </c:pt>
                <c:pt idx="5393">
                  <c:v>0.77500000000000002</c:v>
                </c:pt>
                <c:pt idx="5394">
                  <c:v>0.77200000000000002</c:v>
                </c:pt>
                <c:pt idx="5395">
                  <c:v>0.77400000000000002</c:v>
                </c:pt>
                <c:pt idx="5396">
                  <c:v>0.77300000000000002</c:v>
                </c:pt>
                <c:pt idx="5397">
                  <c:v>0.77400000000000002</c:v>
                </c:pt>
                <c:pt idx="5398">
                  <c:v>0.77900000000000003</c:v>
                </c:pt>
                <c:pt idx="5399">
                  <c:v>0.78700000000000003</c:v>
                </c:pt>
                <c:pt idx="5400">
                  <c:v>0.78700000000000003</c:v>
                </c:pt>
                <c:pt idx="5401">
                  <c:v>0.78800000000000003</c:v>
                </c:pt>
                <c:pt idx="5402">
                  <c:v>0.79</c:v>
                </c:pt>
                <c:pt idx="5403">
                  <c:v>0.79</c:v>
                </c:pt>
                <c:pt idx="5404">
                  <c:v>0.79</c:v>
                </c:pt>
                <c:pt idx="5405">
                  <c:v>0.79200000000000004</c:v>
                </c:pt>
                <c:pt idx="5406">
                  <c:v>0.79100000000000004</c:v>
                </c:pt>
                <c:pt idx="5407">
                  <c:v>0.78700000000000003</c:v>
                </c:pt>
                <c:pt idx="5408">
                  <c:v>0.79</c:v>
                </c:pt>
                <c:pt idx="5409">
                  <c:v>0.79500000000000004</c:v>
                </c:pt>
                <c:pt idx="5410">
                  <c:v>0.79700000000000004</c:v>
                </c:pt>
                <c:pt idx="5411">
                  <c:v>0.79700000000000004</c:v>
                </c:pt>
                <c:pt idx="5412">
                  <c:v>0.79800000000000004</c:v>
                </c:pt>
                <c:pt idx="5413">
                  <c:v>0.79300000000000004</c:v>
                </c:pt>
                <c:pt idx="5414">
                  <c:v>0.79300000000000004</c:v>
                </c:pt>
                <c:pt idx="5415">
                  <c:v>0.79500000000000004</c:v>
                </c:pt>
                <c:pt idx="5416">
                  <c:v>0.78400000000000003</c:v>
                </c:pt>
                <c:pt idx="5417">
                  <c:v>0.78300000000000003</c:v>
                </c:pt>
                <c:pt idx="5418">
                  <c:v>0.78200000000000003</c:v>
                </c:pt>
                <c:pt idx="5419">
                  <c:v>0.78700000000000003</c:v>
                </c:pt>
                <c:pt idx="5420">
                  <c:v>0.78700000000000003</c:v>
                </c:pt>
                <c:pt idx="5421">
                  <c:v>0.78800000000000003</c:v>
                </c:pt>
                <c:pt idx="5422">
                  <c:v>0.79</c:v>
                </c:pt>
                <c:pt idx="5423">
                  <c:v>0.79</c:v>
                </c:pt>
                <c:pt idx="5424">
                  <c:v>0.79</c:v>
                </c:pt>
                <c:pt idx="5425">
                  <c:v>0.78900000000000003</c:v>
                </c:pt>
                <c:pt idx="5426">
                  <c:v>0.78900000000000003</c:v>
                </c:pt>
                <c:pt idx="5427">
                  <c:v>0.78800000000000003</c:v>
                </c:pt>
                <c:pt idx="5428">
                  <c:v>0.78900000000000003</c:v>
                </c:pt>
                <c:pt idx="5429">
                  <c:v>0.79100000000000004</c:v>
                </c:pt>
                <c:pt idx="5430">
                  <c:v>0.79300000000000004</c:v>
                </c:pt>
                <c:pt idx="5431">
                  <c:v>0.79100000000000004</c:v>
                </c:pt>
                <c:pt idx="5432">
                  <c:v>0.79100000000000004</c:v>
                </c:pt>
                <c:pt idx="5433">
                  <c:v>0.79100000000000004</c:v>
                </c:pt>
                <c:pt idx="5434">
                  <c:v>0.79400000000000004</c:v>
                </c:pt>
                <c:pt idx="5435">
                  <c:v>0.79200000000000004</c:v>
                </c:pt>
                <c:pt idx="5436">
                  <c:v>0.78600000000000003</c:v>
                </c:pt>
                <c:pt idx="5437">
                  <c:v>0.79200000000000004</c:v>
                </c:pt>
                <c:pt idx="5438">
                  <c:v>0.79700000000000004</c:v>
                </c:pt>
                <c:pt idx="5439">
                  <c:v>0.80200000000000005</c:v>
                </c:pt>
                <c:pt idx="5440">
                  <c:v>0.79800000000000004</c:v>
                </c:pt>
                <c:pt idx="5441">
                  <c:v>0.79700000000000004</c:v>
                </c:pt>
                <c:pt idx="5442">
                  <c:v>0.79800000000000004</c:v>
                </c:pt>
                <c:pt idx="5443">
                  <c:v>0.79400000000000004</c:v>
                </c:pt>
                <c:pt idx="5444">
                  <c:v>0.79200000000000004</c:v>
                </c:pt>
                <c:pt idx="5445">
                  <c:v>0.79100000000000004</c:v>
                </c:pt>
                <c:pt idx="5446">
                  <c:v>0.79400000000000004</c:v>
                </c:pt>
                <c:pt idx="5447">
                  <c:v>0.79500000000000004</c:v>
                </c:pt>
                <c:pt idx="5448">
                  <c:v>0.79300000000000004</c:v>
                </c:pt>
                <c:pt idx="5449">
                  <c:v>0.79400000000000004</c:v>
                </c:pt>
                <c:pt idx="5450">
                  <c:v>0.79900000000000004</c:v>
                </c:pt>
                <c:pt idx="5451">
                  <c:v>0.80100000000000005</c:v>
                </c:pt>
                <c:pt idx="5452">
                  <c:v>0.8</c:v>
                </c:pt>
                <c:pt idx="5453">
                  <c:v>0.80200000000000005</c:v>
                </c:pt>
                <c:pt idx="5454">
                  <c:v>0.80200000000000005</c:v>
                </c:pt>
                <c:pt idx="5455">
                  <c:v>0.80200000000000005</c:v>
                </c:pt>
                <c:pt idx="5456">
                  <c:v>0.79800000000000004</c:v>
                </c:pt>
                <c:pt idx="5457">
                  <c:v>0.80100000000000005</c:v>
                </c:pt>
                <c:pt idx="5458">
                  <c:v>0.79900000000000004</c:v>
                </c:pt>
                <c:pt idx="5459">
                  <c:v>0.79700000000000004</c:v>
                </c:pt>
                <c:pt idx="5460">
                  <c:v>0.79600000000000004</c:v>
                </c:pt>
                <c:pt idx="5461">
                  <c:v>0.79800000000000004</c:v>
                </c:pt>
                <c:pt idx="5462">
                  <c:v>0.79</c:v>
                </c:pt>
                <c:pt idx="5463">
                  <c:v>0.78700000000000003</c:v>
                </c:pt>
                <c:pt idx="5464">
                  <c:v>0.78700000000000003</c:v>
                </c:pt>
                <c:pt idx="5465">
                  <c:v>0.79</c:v>
                </c:pt>
                <c:pt idx="5466">
                  <c:v>0.78900000000000003</c:v>
                </c:pt>
                <c:pt idx="5467">
                  <c:v>0.78500000000000003</c:v>
                </c:pt>
                <c:pt idx="5468">
                  <c:v>0.79</c:v>
                </c:pt>
                <c:pt idx="5469">
                  <c:v>0.78600000000000003</c:v>
                </c:pt>
                <c:pt idx="5470">
                  <c:v>0.78300000000000003</c:v>
                </c:pt>
                <c:pt idx="5471">
                  <c:v>0.78300000000000003</c:v>
                </c:pt>
                <c:pt idx="5472">
                  <c:v>0.78700000000000003</c:v>
                </c:pt>
                <c:pt idx="5473">
                  <c:v>0.78600000000000003</c:v>
                </c:pt>
                <c:pt idx="5474">
                  <c:v>0.78900000000000003</c:v>
                </c:pt>
                <c:pt idx="5475">
                  <c:v>0.79100000000000004</c:v>
                </c:pt>
                <c:pt idx="5476">
                  <c:v>0.79</c:v>
                </c:pt>
                <c:pt idx="5477">
                  <c:v>0.78800000000000003</c:v>
                </c:pt>
                <c:pt idx="5478">
                  <c:v>0.78600000000000003</c:v>
                </c:pt>
                <c:pt idx="5479">
                  <c:v>0.78400000000000003</c:v>
                </c:pt>
                <c:pt idx="5480">
                  <c:v>0.78300000000000003</c:v>
                </c:pt>
                <c:pt idx="5481">
                  <c:v>0.78100000000000003</c:v>
                </c:pt>
                <c:pt idx="5482">
                  <c:v>0.78100000000000003</c:v>
                </c:pt>
                <c:pt idx="5483">
                  <c:v>0.78200000000000003</c:v>
                </c:pt>
                <c:pt idx="5484">
                  <c:v>0.78500000000000003</c:v>
                </c:pt>
                <c:pt idx="5485">
                  <c:v>0.78100000000000003</c:v>
                </c:pt>
                <c:pt idx="5486">
                  <c:v>0.78100000000000003</c:v>
                </c:pt>
                <c:pt idx="5487">
                  <c:v>0.78</c:v>
                </c:pt>
                <c:pt idx="5488">
                  <c:v>0.77300000000000002</c:v>
                </c:pt>
                <c:pt idx="5489">
                  <c:v>0.77300000000000002</c:v>
                </c:pt>
                <c:pt idx="5490">
                  <c:v>0.77600000000000002</c:v>
                </c:pt>
                <c:pt idx="5491">
                  <c:v>0.77800000000000002</c:v>
                </c:pt>
                <c:pt idx="5492">
                  <c:v>0.77600000000000002</c:v>
                </c:pt>
                <c:pt idx="5493">
                  <c:v>0.77300000000000002</c:v>
                </c:pt>
                <c:pt idx="5494">
                  <c:v>0.77400000000000002</c:v>
                </c:pt>
                <c:pt idx="5495">
                  <c:v>0.77400000000000002</c:v>
                </c:pt>
                <c:pt idx="5496">
                  <c:v>0.77400000000000002</c:v>
                </c:pt>
                <c:pt idx="5497">
                  <c:v>0.77400000000000002</c:v>
                </c:pt>
                <c:pt idx="5498">
                  <c:v>0.77</c:v>
                </c:pt>
                <c:pt idx="5499">
                  <c:v>0.76700000000000002</c:v>
                </c:pt>
                <c:pt idx="5500">
                  <c:v>0.76700000000000002</c:v>
                </c:pt>
                <c:pt idx="5501">
                  <c:v>0.76300000000000001</c:v>
                </c:pt>
                <c:pt idx="5502">
                  <c:v>0.76400000000000001</c:v>
                </c:pt>
                <c:pt idx="5503">
                  <c:v>0.76</c:v>
                </c:pt>
                <c:pt idx="5504">
                  <c:v>0.76</c:v>
                </c:pt>
                <c:pt idx="5505">
                  <c:v>0.76100000000000001</c:v>
                </c:pt>
                <c:pt idx="5506">
                  <c:v>0.76500000000000001</c:v>
                </c:pt>
                <c:pt idx="5507">
                  <c:v>0.76300000000000001</c:v>
                </c:pt>
                <c:pt idx="5508">
                  <c:v>0.75900000000000001</c:v>
                </c:pt>
                <c:pt idx="5509">
                  <c:v>0.75700000000000001</c:v>
                </c:pt>
                <c:pt idx="5510">
                  <c:v>0.75700000000000001</c:v>
                </c:pt>
                <c:pt idx="5511">
                  <c:v>0.75600000000000001</c:v>
                </c:pt>
                <c:pt idx="5512">
                  <c:v>0.751</c:v>
                </c:pt>
                <c:pt idx="5513">
                  <c:v>0.753</c:v>
                </c:pt>
                <c:pt idx="5514">
                  <c:v>0.753</c:v>
                </c:pt>
                <c:pt idx="5515">
                  <c:v>0.755</c:v>
                </c:pt>
                <c:pt idx="5516">
                  <c:v>0.755</c:v>
                </c:pt>
                <c:pt idx="5517">
                  <c:v>0.754</c:v>
                </c:pt>
                <c:pt idx="5518">
                  <c:v>0.754</c:v>
                </c:pt>
                <c:pt idx="5519">
                  <c:v>0.755</c:v>
                </c:pt>
                <c:pt idx="5520">
                  <c:v>0.755</c:v>
                </c:pt>
                <c:pt idx="5521">
                  <c:v>0.75800000000000001</c:v>
                </c:pt>
                <c:pt idx="5522">
                  <c:v>0.752</c:v>
                </c:pt>
                <c:pt idx="5523">
                  <c:v>0.754</c:v>
                </c:pt>
                <c:pt idx="5524">
                  <c:v>0.755</c:v>
                </c:pt>
                <c:pt idx="5525">
                  <c:v>0.75800000000000001</c:v>
                </c:pt>
                <c:pt idx="5526">
                  <c:v>0.748</c:v>
                </c:pt>
                <c:pt idx="5527">
                  <c:v>0.745</c:v>
                </c:pt>
                <c:pt idx="5528">
                  <c:v>0.74199999999999999</c:v>
                </c:pt>
                <c:pt idx="5529">
                  <c:v>0.74099999999999999</c:v>
                </c:pt>
                <c:pt idx="5530">
                  <c:v>0.73799999999999999</c:v>
                </c:pt>
                <c:pt idx="5531">
                  <c:v>0.73799999999999999</c:v>
                </c:pt>
                <c:pt idx="5532">
                  <c:v>0.73799999999999999</c:v>
                </c:pt>
                <c:pt idx="5533">
                  <c:v>0.73399999999999999</c:v>
                </c:pt>
                <c:pt idx="5534">
                  <c:v>0.73399999999999999</c:v>
                </c:pt>
                <c:pt idx="5535">
                  <c:v>0.73399999999999999</c:v>
                </c:pt>
                <c:pt idx="5536">
                  <c:v>0.73899999999999999</c:v>
                </c:pt>
                <c:pt idx="5537">
                  <c:v>0.74099999999999999</c:v>
                </c:pt>
                <c:pt idx="5538">
                  <c:v>0.74399999999999999</c:v>
                </c:pt>
                <c:pt idx="5539">
                  <c:v>0.74099999999999999</c:v>
                </c:pt>
                <c:pt idx="5540">
                  <c:v>0.74299999999999999</c:v>
                </c:pt>
                <c:pt idx="5541">
                  <c:v>0.74399999999999999</c:v>
                </c:pt>
                <c:pt idx="5542">
                  <c:v>0.746</c:v>
                </c:pt>
                <c:pt idx="5543">
                  <c:v>0.74399999999999999</c:v>
                </c:pt>
                <c:pt idx="5544">
                  <c:v>0.747</c:v>
                </c:pt>
                <c:pt idx="5545">
                  <c:v>0.747</c:v>
                </c:pt>
                <c:pt idx="5546">
                  <c:v>0.73899999999999999</c:v>
                </c:pt>
                <c:pt idx="5547">
                  <c:v>0.748</c:v>
                </c:pt>
                <c:pt idx="5548">
                  <c:v>0.74399999999999999</c:v>
                </c:pt>
                <c:pt idx="5549">
                  <c:v>0.74399999999999999</c:v>
                </c:pt>
                <c:pt idx="5550">
                  <c:v>0.74399999999999999</c:v>
                </c:pt>
                <c:pt idx="5551">
                  <c:v>0.74399999999999999</c:v>
                </c:pt>
                <c:pt idx="5552">
                  <c:v>0.748</c:v>
                </c:pt>
                <c:pt idx="5553">
                  <c:v>0.74099999999999999</c:v>
                </c:pt>
                <c:pt idx="5554">
                  <c:v>0.73899999999999999</c:v>
                </c:pt>
                <c:pt idx="5555">
                  <c:v>0.74</c:v>
                </c:pt>
                <c:pt idx="5556">
                  <c:v>0.74</c:v>
                </c:pt>
                <c:pt idx="5557">
                  <c:v>0.74099999999999999</c:v>
                </c:pt>
                <c:pt idx="5558">
                  <c:v>0.74099999999999999</c:v>
                </c:pt>
                <c:pt idx="5559">
                  <c:v>0.74</c:v>
                </c:pt>
                <c:pt idx="5560">
                  <c:v>0.74299999999999999</c:v>
                </c:pt>
                <c:pt idx="5561">
                  <c:v>0.73899999999999999</c:v>
                </c:pt>
                <c:pt idx="5562">
                  <c:v>0.74399999999999999</c:v>
                </c:pt>
                <c:pt idx="5563">
                  <c:v>0.74</c:v>
                </c:pt>
                <c:pt idx="5564">
                  <c:v>0.73599999999999999</c:v>
                </c:pt>
                <c:pt idx="5565">
                  <c:v>0.73699999999999999</c:v>
                </c:pt>
                <c:pt idx="5566">
                  <c:v>0.73899999999999999</c:v>
                </c:pt>
                <c:pt idx="5567">
                  <c:v>0.73899999999999999</c:v>
                </c:pt>
                <c:pt idx="5568">
                  <c:v>0.73899999999999999</c:v>
                </c:pt>
                <c:pt idx="5569">
                  <c:v>0.73799999999999999</c:v>
                </c:pt>
                <c:pt idx="5570">
                  <c:v>0.73899999999999999</c:v>
                </c:pt>
                <c:pt idx="5571">
                  <c:v>0.74299999999999999</c:v>
                </c:pt>
                <c:pt idx="5572">
                  <c:v>0.748</c:v>
                </c:pt>
                <c:pt idx="5573">
                  <c:v>0.748</c:v>
                </c:pt>
                <c:pt idx="5574">
                  <c:v>0.74299999999999999</c:v>
                </c:pt>
                <c:pt idx="5575">
                  <c:v>0.73899999999999999</c:v>
                </c:pt>
                <c:pt idx="5576">
                  <c:v>0.74</c:v>
                </c:pt>
                <c:pt idx="5577">
                  <c:v>0.74</c:v>
                </c:pt>
                <c:pt idx="5578">
                  <c:v>0.74399999999999999</c:v>
                </c:pt>
                <c:pt idx="5579">
                  <c:v>0.74399999999999999</c:v>
                </c:pt>
                <c:pt idx="5580">
                  <c:v>0.74</c:v>
                </c:pt>
                <c:pt idx="5581">
                  <c:v>0.74</c:v>
                </c:pt>
                <c:pt idx="5582">
                  <c:v>0.73499999999999999</c:v>
                </c:pt>
                <c:pt idx="5583">
                  <c:v>0.74</c:v>
                </c:pt>
                <c:pt idx="5584">
                  <c:v>0.73799999999999999</c:v>
                </c:pt>
                <c:pt idx="5585">
                  <c:v>0.73799999999999999</c:v>
                </c:pt>
                <c:pt idx="5586">
                  <c:v>0.73599999999999999</c:v>
                </c:pt>
                <c:pt idx="5587">
                  <c:v>0.752</c:v>
                </c:pt>
                <c:pt idx="5588">
                  <c:v>0.752</c:v>
                </c:pt>
                <c:pt idx="5589">
                  <c:v>0.754</c:v>
                </c:pt>
                <c:pt idx="5590">
                  <c:v>0.75800000000000001</c:v>
                </c:pt>
                <c:pt idx="5591">
                  <c:v>0.75700000000000001</c:v>
                </c:pt>
                <c:pt idx="5592">
                  <c:v>0.76</c:v>
                </c:pt>
                <c:pt idx="5593">
                  <c:v>0.76</c:v>
                </c:pt>
                <c:pt idx="5594">
                  <c:v>0.76</c:v>
                </c:pt>
                <c:pt idx="5595">
                  <c:v>0.754</c:v>
                </c:pt>
                <c:pt idx="5596">
                  <c:v>0.755</c:v>
                </c:pt>
                <c:pt idx="5597">
                  <c:v>0.748</c:v>
                </c:pt>
                <c:pt idx="5598">
                  <c:v>0.747</c:v>
                </c:pt>
                <c:pt idx="5599">
                  <c:v>0.747</c:v>
                </c:pt>
                <c:pt idx="5600">
                  <c:v>0.749</c:v>
                </c:pt>
                <c:pt idx="5601">
                  <c:v>0.751</c:v>
                </c:pt>
                <c:pt idx="5602">
                  <c:v>0.754</c:v>
                </c:pt>
                <c:pt idx="5603">
                  <c:v>0.753</c:v>
                </c:pt>
                <c:pt idx="5604">
                  <c:v>0.75900000000000001</c:v>
                </c:pt>
                <c:pt idx="5605">
                  <c:v>0.75900000000000001</c:v>
                </c:pt>
                <c:pt idx="5606">
                  <c:v>0.75900000000000001</c:v>
                </c:pt>
                <c:pt idx="5607">
                  <c:v>0.76200000000000001</c:v>
                </c:pt>
                <c:pt idx="5608">
                  <c:v>0.76</c:v>
                </c:pt>
                <c:pt idx="5609">
                  <c:v>0.76400000000000001</c:v>
                </c:pt>
                <c:pt idx="5610">
                  <c:v>0.76200000000000001</c:v>
                </c:pt>
                <c:pt idx="5611">
                  <c:v>0.75800000000000001</c:v>
                </c:pt>
                <c:pt idx="5612">
                  <c:v>0.76400000000000001</c:v>
                </c:pt>
                <c:pt idx="5613">
                  <c:v>0.76900000000000002</c:v>
                </c:pt>
                <c:pt idx="5614">
                  <c:v>0.76100000000000001</c:v>
                </c:pt>
                <c:pt idx="5615">
                  <c:v>0.755</c:v>
                </c:pt>
                <c:pt idx="5616">
                  <c:v>0.752</c:v>
                </c:pt>
                <c:pt idx="5617">
                  <c:v>0.749</c:v>
                </c:pt>
                <c:pt idx="5618">
                  <c:v>0.748</c:v>
                </c:pt>
                <c:pt idx="5619">
                  <c:v>0.75</c:v>
                </c:pt>
                <c:pt idx="5620">
                  <c:v>0.746</c:v>
                </c:pt>
                <c:pt idx="5621">
                  <c:v>0.748</c:v>
                </c:pt>
                <c:pt idx="5622">
                  <c:v>0.755</c:v>
                </c:pt>
                <c:pt idx="5623">
                  <c:v>0.76100000000000001</c:v>
                </c:pt>
                <c:pt idx="5624">
                  <c:v>0.755</c:v>
                </c:pt>
                <c:pt idx="5625">
                  <c:v>0.76</c:v>
                </c:pt>
                <c:pt idx="5626">
                  <c:v>0.76100000000000001</c:v>
                </c:pt>
                <c:pt idx="5627">
                  <c:v>0.76600000000000001</c:v>
                </c:pt>
                <c:pt idx="5628">
                  <c:v>0.75900000000000001</c:v>
                </c:pt>
                <c:pt idx="5629">
                  <c:v>0.753</c:v>
                </c:pt>
                <c:pt idx="5630">
                  <c:v>0.752</c:v>
                </c:pt>
                <c:pt idx="5631">
                  <c:v>0.752</c:v>
                </c:pt>
                <c:pt idx="5632">
                  <c:v>0.752</c:v>
                </c:pt>
                <c:pt idx="5633">
                  <c:v>0.751</c:v>
                </c:pt>
                <c:pt idx="5634">
                  <c:v>0.748</c:v>
                </c:pt>
                <c:pt idx="5635">
                  <c:v>0.751</c:v>
                </c:pt>
                <c:pt idx="5636">
                  <c:v>0.751</c:v>
                </c:pt>
                <c:pt idx="5637">
                  <c:v>0.753</c:v>
                </c:pt>
                <c:pt idx="5638">
                  <c:v>0.752</c:v>
                </c:pt>
                <c:pt idx="5639">
                  <c:v>0.74299999999999999</c:v>
                </c:pt>
                <c:pt idx="5640">
                  <c:v>0.74299999999999999</c:v>
                </c:pt>
                <c:pt idx="5641">
                  <c:v>0.74</c:v>
                </c:pt>
                <c:pt idx="5642">
                  <c:v>0.74099999999999999</c:v>
                </c:pt>
                <c:pt idx="5643">
                  <c:v>0.74</c:v>
                </c:pt>
                <c:pt idx="5644">
                  <c:v>0.73699999999999999</c:v>
                </c:pt>
                <c:pt idx="5645">
                  <c:v>0.73499999999999999</c:v>
                </c:pt>
                <c:pt idx="5646">
                  <c:v>0.73199999999999998</c:v>
                </c:pt>
                <c:pt idx="5647">
                  <c:v>0.73299999999999998</c:v>
                </c:pt>
                <c:pt idx="5648">
                  <c:v>0.73599999999999999</c:v>
                </c:pt>
                <c:pt idx="5649">
                  <c:v>0.74199999999999999</c:v>
                </c:pt>
                <c:pt idx="5650">
                  <c:v>0.74299999999999999</c:v>
                </c:pt>
                <c:pt idx="5651">
                  <c:v>0.74099999999999999</c:v>
                </c:pt>
                <c:pt idx="5652">
                  <c:v>0.74099999999999999</c:v>
                </c:pt>
                <c:pt idx="5653">
                  <c:v>0.74299999999999999</c:v>
                </c:pt>
                <c:pt idx="5654">
                  <c:v>0.74099999999999999</c:v>
                </c:pt>
                <c:pt idx="5655">
                  <c:v>0.74299999999999999</c:v>
                </c:pt>
                <c:pt idx="5656">
                  <c:v>0.73799999999999999</c:v>
                </c:pt>
                <c:pt idx="5657">
                  <c:v>0.74199999999999999</c:v>
                </c:pt>
                <c:pt idx="5658">
                  <c:v>0.74</c:v>
                </c:pt>
                <c:pt idx="5659">
                  <c:v>0.73899999999999999</c:v>
                </c:pt>
                <c:pt idx="5660">
                  <c:v>0.73799999999999999</c:v>
                </c:pt>
                <c:pt idx="5661">
                  <c:v>0.73399999999999999</c:v>
                </c:pt>
                <c:pt idx="5662">
                  <c:v>0.73799999999999999</c:v>
                </c:pt>
                <c:pt idx="5663">
                  <c:v>0.73799999999999999</c:v>
                </c:pt>
                <c:pt idx="5664">
                  <c:v>0.73899999999999999</c:v>
                </c:pt>
              </c:numCache>
            </c:numRef>
          </c:val>
          <c:smooth val="0"/>
          <c:extLst>
            <c:ext xmlns:c16="http://schemas.microsoft.com/office/drawing/2014/chart" uri="{C3380CC4-5D6E-409C-BE32-E72D297353CC}">
              <c16:uniqueId val="{00000001-37CE-4AE4-AB9B-6456CDAB3BE5}"/>
            </c:ext>
          </c:extLst>
        </c:ser>
        <c:dLbls>
          <c:showLegendKey val="0"/>
          <c:showVal val="0"/>
          <c:showCatName val="0"/>
          <c:showSerName val="0"/>
          <c:showPercent val="0"/>
          <c:showBubbleSize val="0"/>
        </c:dLbls>
        <c:marker val="1"/>
        <c:smooth val="0"/>
        <c:axId val="3"/>
        <c:axId val="4"/>
      </c:lineChart>
      <c:dateAx>
        <c:axId val="657861599"/>
        <c:scaling>
          <c:orientation val="minMax"/>
          <c:min val="40179"/>
        </c:scaling>
        <c:delete val="0"/>
        <c:axPos val="b"/>
        <c:numFmt formatCode="dd/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n-US"/>
          </a:p>
        </c:txPr>
        <c:crossAx val="1"/>
        <c:crosses val="autoZero"/>
        <c:auto val="1"/>
        <c:lblOffset val="100"/>
        <c:baseTimeUnit val="days"/>
      </c:dateAx>
      <c:valAx>
        <c:axId val="1"/>
        <c:scaling>
          <c:orientation val="minMax"/>
          <c:min val="25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57861599"/>
        <c:crosses val="autoZero"/>
        <c:crossBetween val="between"/>
        <c:majorUnit val="200"/>
      </c:valAx>
      <c:dateAx>
        <c:axId val="3"/>
        <c:scaling>
          <c:orientation val="minMax"/>
        </c:scaling>
        <c:delete val="1"/>
        <c:axPos val="b"/>
        <c:numFmt formatCode="d\-mmm\-yy" sourceLinked="1"/>
        <c:majorTickMark val="out"/>
        <c:minorTickMark val="none"/>
        <c:tickLblPos val="nextTo"/>
        <c:crossAx val="4"/>
        <c:crosses val="autoZero"/>
        <c:auto val="1"/>
        <c:lblOffset val="100"/>
        <c:baseTimeUnit val="days"/>
      </c:dateAx>
      <c:valAx>
        <c:axId val="4"/>
        <c:scaling>
          <c:orientation val="minMax"/>
          <c:max val="1.2"/>
          <c:min val="0.4"/>
        </c:scaling>
        <c:delete val="0"/>
        <c:axPos val="r"/>
        <c:numFmt formatCode="#,##0.00" sourceLinked="0"/>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3"/>
        <c:crosses val="max"/>
        <c:crossBetween val="between"/>
        <c:majorUnit val="5.000000000000001E-2"/>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8</xdr:col>
      <xdr:colOff>628650</xdr:colOff>
      <xdr:row>2</xdr:row>
      <xdr:rowOff>28574</xdr:rowOff>
    </xdr:from>
    <xdr:to>
      <xdr:col>21</xdr:col>
      <xdr:colOff>628650</xdr:colOff>
      <xdr:row>28</xdr:row>
      <xdr:rowOff>38099</xdr:rowOff>
    </xdr:to>
    <xdr:graphicFrame macro="">
      <xdr:nvGraphicFramePr>
        <xdr:cNvPr id="88202" name="Chart 1">
          <a:extLst>
            <a:ext uri="{FF2B5EF4-FFF2-40B4-BE49-F238E27FC236}">
              <a16:creationId xmlns:a16="http://schemas.microsoft.com/office/drawing/2014/main" id="{2E27CD5C-1144-5873-B669-40F121F64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328613</xdr:colOff>
      <xdr:row>21</xdr:row>
      <xdr:rowOff>57150</xdr:rowOff>
    </xdr:from>
    <xdr:to>
      <xdr:col>15</xdr:col>
      <xdr:colOff>0</xdr:colOff>
      <xdr:row>46</xdr:row>
      <xdr:rowOff>42863</xdr:rowOff>
    </xdr:to>
    <xdr:graphicFrame macro="">
      <xdr:nvGraphicFramePr>
        <xdr:cNvPr id="87280" name="Chart 1">
          <a:extLst>
            <a:ext uri="{FF2B5EF4-FFF2-40B4-BE49-F238E27FC236}">
              <a16:creationId xmlns:a16="http://schemas.microsoft.com/office/drawing/2014/main" id="{10246583-8355-20E3-76E6-885F24C55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176213</xdr:colOff>
      <xdr:row>21</xdr:row>
      <xdr:rowOff>47625</xdr:rowOff>
    </xdr:from>
    <xdr:to>
      <xdr:col>22</xdr:col>
      <xdr:colOff>180975</xdr:colOff>
      <xdr:row>46</xdr:row>
      <xdr:rowOff>4763</xdr:rowOff>
    </xdr:to>
    <xdr:graphicFrame macro="">
      <xdr:nvGraphicFramePr>
        <xdr:cNvPr id="87281" name="Chart 2">
          <a:extLst>
            <a:ext uri="{FF2B5EF4-FFF2-40B4-BE49-F238E27FC236}">
              <a16:creationId xmlns:a16="http://schemas.microsoft.com/office/drawing/2014/main" id="{42CC0DF9-D6D9-3086-DA2D-7E78E9C21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395288</xdr:colOff>
      <xdr:row>0</xdr:row>
      <xdr:rowOff>38100</xdr:rowOff>
    </xdr:from>
    <xdr:to>
      <xdr:col>18</xdr:col>
      <xdr:colOff>109538</xdr:colOff>
      <xdr:row>36</xdr:row>
      <xdr:rowOff>19050</xdr:rowOff>
    </xdr:to>
    <xdr:graphicFrame macro="">
      <xdr:nvGraphicFramePr>
        <xdr:cNvPr id="295155" name="Chart 4">
          <a:extLst>
            <a:ext uri="{FF2B5EF4-FFF2-40B4-BE49-F238E27FC236}">
              <a16:creationId xmlns:a16="http://schemas.microsoft.com/office/drawing/2014/main" id="{EA6FAF97-E2CF-D9A7-F692-BEE4E33DF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400050</xdr:colOff>
      <xdr:row>37</xdr:row>
      <xdr:rowOff>19050</xdr:rowOff>
    </xdr:from>
    <xdr:to>
      <xdr:col>18</xdr:col>
      <xdr:colOff>123825</xdr:colOff>
      <xdr:row>73</xdr:row>
      <xdr:rowOff>23813</xdr:rowOff>
    </xdr:to>
    <xdr:graphicFrame macro="">
      <xdr:nvGraphicFramePr>
        <xdr:cNvPr id="295156" name="Chart 7">
          <a:extLst>
            <a:ext uri="{FF2B5EF4-FFF2-40B4-BE49-F238E27FC236}">
              <a16:creationId xmlns:a16="http://schemas.microsoft.com/office/drawing/2014/main" id="{5220A851-658C-DD14-51FB-0DF3F6A7B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66675</xdr:colOff>
      <xdr:row>0</xdr:row>
      <xdr:rowOff>76200</xdr:rowOff>
    </xdr:from>
    <xdr:to>
      <xdr:col>16</xdr:col>
      <xdr:colOff>80963</xdr:colOff>
      <xdr:row>37</xdr:row>
      <xdr:rowOff>57150</xdr:rowOff>
    </xdr:to>
    <xdr:graphicFrame macro="">
      <xdr:nvGraphicFramePr>
        <xdr:cNvPr id="331971" name="Chart 7">
          <a:extLst>
            <a:ext uri="{FF2B5EF4-FFF2-40B4-BE49-F238E27FC236}">
              <a16:creationId xmlns:a16="http://schemas.microsoft.com/office/drawing/2014/main" id="{79E64BFE-4138-44FA-01BA-A51DF0C4E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362902</xdr:colOff>
      <xdr:row>15</xdr:row>
      <xdr:rowOff>55245</xdr:rowOff>
    </xdr:from>
    <xdr:to>
      <xdr:col>15</xdr:col>
      <xdr:colOff>336239</xdr:colOff>
      <xdr:row>15</xdr:row>
      <xdr:rowOff>55245</xdr:rowOff>
    </xdr:to>
    <xdr:cxnSp macro="">
      <xdr:nvCxnSpPr>
        <xdr:cNvPr id="10" name="Straight Connector 9">
          <a:extLst>
            <a:ext uri="{FF2B5EF4-FFF2-40B4-BE49-F238E27FC236}">
              <a16:creationId xmlns:a16="http://schemas.microsoft.com/office/drawing/2014/main" id="{2456ECE6-74FF-4D92-860A-89CC5773853D}"/>
            </a:ext>
          </a:extLst>
        </xdr:cNvPr>
        <xdr:cNvCxnSpPr/>
      </xdr:nvCxnSpPr>
      <xdr:spPr>
        <a:xfrm>
          <a:off x="8315325" y="2562225"/>
          <a:ext cx="7620000" cy="9525"/>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409575</xdr:colOff>
      <xdr:row>1</xdr:row>
      <xdr:rowOff>14288</xdr:rowOff>
    </xdr:from>
    <xdr:to>
      <xdr:col>18</xdr:col>
      <xdr:colOff>176213</xdr:colOff>
      <xdr:row>31</xdr:row>
      <xdr:rowOff>42863</xdr:rowOff>
    </xdr:to>
    <xdr:graphicFrame macro="">
      <xdr:nvGraphicFramePr>
        <xdr:cNvPr id="78992" name="Chart 7">
          <a:extLst>
            <a:ext uri="{FF2B5EF4-FFF2-40B4-BE49-F238E27FC236}">
              <a16:creationId xmlns:a16="http://schemas.microsoft.com/office/drawing/2014/main" id="{01736B40-D70A-6C6E-85C7-A208C48ED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309563</xdr:colOff>
      <xdr:row>22</xdr:row>
      <xdr:rowOff>76200</xdr:rowOff>
    </xdr:from>
    <xdr:to>
      <xdr:col>11</xdr:col>
      <xdr:colOff>352425</xdr:colOff>
      <xdr:row>47</xdr:row>
      <xdr:rowOff>4763</xdr:rowOff>
    </xdr:to>
    <xdr:graphicFrame macro="">
      <xdr:nvGraphicFramePr>
        <xdr:cNvPr id="631909" name="Chart 2">
          <a:extLst>
            <a:ext uri="{FF2B5EF4-FFF2-40B4-BE49-F238E27FC236}">
              <a16:creationId xmlns:a16="http://schemas.microsoft.com/office/drawing/2014/main" id="{26083B62-C4DF-962F-031C-256E12FB2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90488</xdr:colOff>
      <xdr:row>0</xdr:row>
      <xdr:rowOff>85725</xdr:rowOff>
    </xdr:from>
    <xdr:to>
      <xdr:col>18</xdr:col>
      <xdr:colOff>104775</xdr:colOff>
      <xdr:row>33</xdr:row>
      <xdr:rowOff>85725</xdr:rowOff>
    </xdr:to>
    <xdr:graphicFrame macro="">
      <xdr:nvGraphicFramePr>
        <xdr:cNvPr id="86160" name="Chart 5">
          <a:extLst>
            <a:ext uri="{FF2B5EF4-FFF2-40B4-BE49-F238E27FC236}">
              <a16:creationId xmlns:a16="http://schemas.microsoft.com/office/drawing/2014/main" id="{89A90AA0-67C5-4C82-C871-4C8756ACC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280988</xdr:colOff>
      <xdr:row>0</xdr:row>
      <xdr:rowOff>85725</xdr:rowOff>
    </xdr:from>
    <xdr:to>
      <xdr:col>18</xdr:col>
      <xdr:colOff>295275</xdr:colOff>
      <xdr:row>33</xdr:row>
      <xdr:rowOff>85725</xdr:rowOff>
    </xdr:to>
    <xdr:graphicFrame macro="">
      <xdr:nvGraphicFramePr>
        <xdr:cNvPr id="99470" name="Chart 1">
          <a:extLst>
            <a:ext uri="{FF2B5EF4-FFF2-40B4-BE49-F238E27FC236}">
              <a16:creationId xmlns:a16="http://schemas.microsoft.com/office/drawing/2014/main" id="{0588A97C-0A74-759E-A70F-9827E1F3D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166688</xdr:colOff>
      <xdr:row>1</xdr:row>
      <xdr:rowOff>42863</xdr:rowOff>
    </xdr:from>
    <xdr:to>
      <xdr:col>17</xdr:col>
      <xdr:colOff>71438</xdr:colOff>
      <xdr:row>29</xdr:row>
      <xdr:rowOff>19050</xdr:rowOff>
    </xdr:to>
    <xdr:graphicFrame macro="">
      <xdr:nvGraphicFramePr>
        <xdr:cNvPr id="1746" name="Chart 1">
          <a:extLst>
            <a:ext uri="{FF2B5EF4-FFF2-40B4-BE49-F238E27FC236}">
              <a16:creationId xmlns:a16="http://schemas.microsoft.com/office/drawing/2014/main" id="{EFD4809E-3FDD-A698-D8A7-F69796094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176213</xdr:colOff>
      <xdr:row>1</xdr:row>
      <xdr:rowOff>38100</xdr:rowOff>
    </xdr:from>
    <xdr:to>
      <xdr:col>28</xdr:col>
      <xdr:colOff>176213</xdr:colOff>
      <xdr:row>29</xdr:row>
      <xdr:rowOff>19050</xdr:rowOff>
    </xdr:to>
    <xdr:graphicFrame macro="">
      <xdr:nvGraphicFramePr>
        <xdr:cNvPr id="1747" name="Chart 3">
          <a:extLst>
            <a:ext uri="{FF2B5EF4-FFF2-40B4-BE49-F238E27FC236}">
              <a16:creationId xmlns:a16="http://schemas.microsoft.com/office/drawing/2014/main" id="{1840E817-710A-1179-678B-6D5097847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161925</xdr:colOff>
      <xdr:row>30</xdr:row>
      <xdr:rowOff>42863</xdr:rowOff>
    </xdr:from>
    <xdr:to>
      <xdr:col>17</xdr:col>
      <xdr:colOff>66675</xdr:colOff>
      <xdr:row>58</xdr:row>
      <xdr:rowOff>19050</xdr:rowOff>
    </xdr:to>
    <xdr:graphicFrame macro="">
      <xdr:nvGraphicFramePr>
        <xdr:cNvPr id="1748" name="Chart 4">
          <a:extLst>
            <a:ext uri="{FF2B5EF4-FFF2-40B4-BE49-F238E27FC236}">
              <a16:creationId xmlns:a16="http://schemas.microsoft.com/office/drawing/2014/main" id="{A573D0E6-9C52-B413-BE6C-71B7D1ABC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176213</xdr:colOff>
      <xdr:row>58</xdr:row>
      <xdr:rowOff>85725</xdr:rowOff>
    </xdr:from>
    <xdr:to>
      <xdr:col>17</xdr:col>
      <xdr:colOff>76200</xdr:colOff>
      <xdr:row>86</xdr:row>
      <xdr:rowOff>61913</xdr:rowOff>
    </xdr:to>
    <xdr:graphicFrame macro="">
      <xdr:nvGraphicFramePr>
        <xdr:cNvPr id="1749" name="Chart 5">
          <a:extLst>
            <a:ext uri="{FF2B5EF4-FFF2-40B4-BE49-F238E27FC236}">
              <a16:creationId xmlns:a16="http://schemas.microsoft.com/office/drawing/2014/main" id="{CDDB2C4E-CAB9-EB90-3B2B-1DC50E55D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0</xdr:colOff>
      <xdr:row>0</xdr:row>
      <xdr:rowOff>90488</xdr:rowOff>
    </xdr:from>
    <xdr:to>
      <xdr:col>16</xdr:col>
      <xdr:colOff>238125</xdr:colOff>
      <xdr:row>27</xdr:row>
      <xdr:rowOff>4763</xdr:rowOff>
    </xdr:to>
    <xdr:graphicFrame macro="">
      <xdr:nvGraphicFramePr>
        <xdr:cNvPr id="91287" name="Chart 1">
          <a:extLst>
            <a:ext uri="{FF2B5EF4-FFF2-40B4-BE49-F238E27FC236}">
              <a16:creationId xmlns:a16="http://schemas.microsoft.com/office/drawing/2014/main" id="{EEA5631F-9EB8-3DA9-096C-E7F2C75CE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0</xdr:row>
      <xdr:rowOff>90488</xdr:rowOff>
    </xdr:from>
    <xdr:to>
      <xdr:col>28</xdr:col>
      <xdr:colOff>238125</xdr:colOff>
      <xdr:row>26</xdr:row>
      <xdr:rowOff>76200</xdr:rowOff>
    </xdr:to>
    <xdr:graphicFrame macro="">
      <xdr:nvGraphicFramePr>
        <xdr:cNvPr id="91288" name="Chart 3">
          <a:extLst>
            <a:ext uri="{FF2B5EF4-FFF2-40B4-BE49-F238E27FC236}">
              <a16:creationId xmlns:a16="http://schemas.microsoft.com/office/drawing/2014/main" id="{9E508A35-411C-F09D-FB2F-75E6241E2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5827F5-0547-4E58-B506-F07274C2DBAE}">
  <we:reference id="WA200009404" version="1.0.0.8" store="Omex" storeType="OMEX"/>
  <we:alternateReferences>
    <we:reference id="WA200009404" version="1.0.0.8" store="WA200009404" storeType="OMEX"/>
  </we:alternateReferences>
  <we:properties>
    <we:property name="claude.fileId" value="&quot;79397223-607d-4069-80ae-cebff953ee8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databank.worldbank.org/data/views/variableselection/selectvariables.aspx?source=World-Development-Indicators" TargetMode="External"/><Relationship Id="rId3" Type="http://schemas.openxmlformats.org/officeDocument/2006/relationships/hyperlink" Target="https://www.bea.gov/international/xls/table1.xls" TargetMode="External"/><Relationship Id="rId7" Type="http://schemas.openxmlformats.org/officeDocument/2006/relationships/hyperlink" Target="http://www.eoddata.com/stockquote/FOREX/AUDUSD.htm" TargetMode="External"/><Relationship Id="rId2" Type="http://schemas.openxmlformats.org/officeDocument/2006/relationships/hyperlink" Target="http://www.imf.org/external/country/USA/index.htm" TargetMode="External"/><Relationship Id="rId1" Type="http://schemas.openxmlformats.org/officeDocument/2006/relationships/hyperlink" Target="http://www.imf.org/external/country/AUS/index.htm" TargetMode="External"/><Relationship Id="rId6" Type="http://schemas.openxmlformats.org/officeDocument/2006/relationships/hyperlink" Target="https://sg.finance.yahoo.com/q/hp?s=%5EAXJO&amp;a=10&amp;b=23&amp;c=1992&amp;d=03&amp;e=2&amp;f=2015&amp;g=d" TargetMode="External"/><Relationship Id="rId5" Type="http://schemas.openxmlformats.org/officeDocument/2006/relationships/hyperlink" Target="http://research.stlouisfed.org/fred2/categories/22/downloaddata" TargetMode="External"/><Relationship Id="rId4" Type="http://schemas.openxmlformats.org/officeDocument/2006/relationships/hyperlink" Target="http://www.abs.gov.au/Ausstats/abs@.nsf/mf/5302.0"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databank.worldbank.org/data/views/variableselection/selectvariables.aspx?source=World-Development-Indicators" TargetMode="External"/><Relationship Id="rId3" Type="http://schemas.openxmlformats.org/officeDocument/2006/relationships/hyperlink" Target="https://www.bea.gov/international/xls/table1.xls" TargetMode="External"/><Relationship Id="rId7" Type="http://schemas.openxmlformats.org/officeDocument/2006/relationships/hyperlink" Target="http://www.eoddata.com/stockquote/FOREX/AUDUSD.htm" TargetMode="External"/><Relationship Id="rId2" Type="http://schemas.openxmlformats.org/officeDocument/2006/relationships/hyperlink" Target="http://www.imf.org/external/country/USA/index.htm" TargetMode="External"/><Relationship Id="rId1" Type="http://schemas.openxmlformats.org/officeDocument/2006/relationships/hyperlink" Target="http://www.imf.org/external/country/AUS/index.htm" TargetMode="External"/><Relationship Id="rId6" Type="http://schemas.openxmlformats.org/officeDocument/2006/relationships/hyperlink" Target="https://sg.finance.yahoo.com/q/hp?s=%5EAXJO&amp;a=10&amp;b=23&amp;c=1992&amp;d=03&amp;e=2&amp;f=2015&amp;g=d" TargetMode="External"/><Relationship Id="rId5" Type="http://schemas.openxmlformats.org/officeDocument/2006/relationships/hyperlink" Target="https://research.stlouisfed.org/fred2/series/FEDFUNDS/downloaddata" TargetMode="External"/><Relationship Id="rId4" Type="http://schemas.openxmlformats.org/officeDocument/2006/relationships/hyperlink" Target="http://www.abs.gov.au/Ausstats/abs@.nsf/mf/5302.0" TargetMode="External"/><Relationship Id="rId9" Type="http://schemas.openxmlformats.org/officeDocument/2006/relationships/hyperlink" Target="http://www.rba.gov.au/statistics/tables/index.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imf.org/external/country/USA/index.htm" TargetMode="External"/><Relationship Id="rId1" Type="http://schemas.openxmlformats.org/officeDocument/2006/relationships/hyperlink" Target="http://www.imf.org/external/country/AUS/index.htm"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bea.gov/international/xls/table1.xl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abs.gov.au/Ausstats/abs@.nsf/mf/5302.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hyperlink" Target="http://ycharts.com/indicators/australia_coal_price_imf" TargetMode="External"/><Relationship Id="rId2" Type="http://schemas.openxmlformats.org/officeDocument/2006/relationships/hyperlink" Target="http://ycharts.com/indicators/iron_ore_spot_price_any_origin" TargetMode="External"/><Relationship Id="rId1" Type="http://schemas.openxmlformats.org/officeDocument/2006/relationships/hyperlink" Target="http://ycharts.com/indicators/china_coal_consumption" TargetMode="External"/><Relationship Id="rId5" Type="http://schemas.openxmlformats.org/officeDocument/2006/relationships/hyperlink" Target="http://www.barchart.com/futures/commodities/ITI" TargetMode="External"/><Relationship Id="rId4" Type="http://schemas.openxmlformats.org/officeDocument/2006/relationships/hyperlink" Target="http://ycharts.com/indicators/japan_coal_consumption"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hyperlink" Target="http://www.barchart.com/commodityfutures/Dce_Iron_Ore/YYJ15"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www.eoddata.com/stockquote/FOREX/AUDUSD.htm" TargetMode="External"/><Relationship Id="rId1" Type="http://schemas.openxmlformats.org/officeDocument/2006/relationships/hyperlink" Target="https://sg.finance.yahoo.com/q/hp?s=%5EAXJO&amp;a=10&amp;b=23&amp;c=1992&amp;d=03&amp;e=2&amp;f=2015&amp;g=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987FE-75C2-4FF4-A09B-83E398C5C043}">
  <dimension ref="A1:DO518"/>
  <sheetViews>
    <sheetView tabSelected="1" topLeftCell="A9" workbookViewId="0">
      <selection activeCell="E26" sqref="E26"/>
    </sheetView>
  </sheetViews>
  <sheetFormatPr defaultColWidth="9.1328125" defaultRowHeight="13.15"/>
  <cols>
    <col min="1" max="1" width="4.86328125" style="86" customWidth="1"/>
    <col min="2" max="2" width="44.46484375" style="86" customWidth="1"/>
    <col min="3" max="3" width="35.53125" style="86" customWidth="1"/>
    <col min="4" max="4" width="8.6640625" style="86" customWidth="1"/>
    <col min="5" max="5" width="46.19921875" style="85" customWidth="1"/>
    <col min="6" max="6" width="10.46484375" style="85" customWidth="1"/>
    <col min="7" max="7" width="6.86328125" style="85" customWidth="1"/>
    <col min="8" max="8" width="53.33203125" style="85" customWidth="1"/>
    <col min="9" max="9" width="21.6640625" style="86" customWidth="1"/>
    <col min="10" max="10" width="46.19921875" style="138" customWidth="1"/>
    <col min="11" max="11" width="49.796875" style="138" customWidth="1"/>
    <col min="12" max="12" width="9.1328125" style="127"/>
    <col min="13" max="13" width="64" style="127" customWidth="1"/>
    <col min="14" max="119" width="9.1328125" style="127"/>
    <col min="120" max="16384" width="9.1328125" style="86"/>
  </cols>
  <sheetData>
    <row r="1" spans="1:15" s="127" customFormat="1">
      <c r="E1" s="139"/>
      <c r="F1" s="139"/>
      <c r="G1" s="139"/>
      <c r="H1" s="139"/>
      <c r="J1" s="128"/>
      <c r="K1" s="128"/>
    </row>
    <row r="2" spans="1:15" ht="52.5">
      <c r="B2" s="119" t="s">
        <v>240</v>
      </c>
      <c r="C2" s="129" t="s">
        <v>228</v>
      </c>
      <c r="D2" s="129" t="s">
        <v>229</v>
      </c>
      <c r="E2" s="140" t="s">
        <v>231</v>
      </c>
      <c r="F2" s="140" t="s">
        <v>232</v>
      </c>
      <c r="G2" s="140"/>
      <c r="H2" s="140" t="s">
        <v>16</v>
      </c>
      <c r="I2" s="140" t="s">
        <v>233</v>
      </c>
      <c r="J2" s="140" t="s">
        <v>234</v>
      </c>
      <c r="K2" s="130" t="s">
        <v>230</v>
      </c>
      <c r="M2" s="160" t="s">
        <v>266</v>
      </c>
    </row>
    <row r="3" spans="1:15" s="127" customFormat="1">
      <c r="E3" s="139"/>
      <c r="F3" s="139"/>
      <c r="G3" s="139"/>
      <c r="H3" s="139"/>
      <c r="I3" s="128"/>
      <c r="J3" s="128"/>
      <c r="K3" s="128"/>
    </row>
    <row r="4" spans="1:15" s="127" customFormat="1">
      <c r="C4" s="131"/>
      <c r="D4" s="131"/>
      <c r="E4" s="139"/>
      <c r="F4" s="139"/>
      <c r="G4" s="139"/>
      <c r="H4" s="139"/>
      <c r="I4" s="128"/>
      <c r="J4" s="128"/>
      <c r="K4" s="128"/>
    </row>
    <row r="5" spans="1:15" ht="91.9">
      <c r="A5" s="127"/>
      <c r="B5" s="132" t="s">
        <v>241</v>
      </c>
      <c r="C5" s="133"/>
      <c r="D5" s="133"/>
      <c r="E5" s="161" t="s">
        <v>255</v>
      </c>
      <c r="F5" s="170">
        <v>-2</v>
      </c>
      <c r="G5" s="170">
        <v>10</v>
      </c>
      <c r="H5" s="141"/>
      <c r="I5" s="142" t="s">
        <v>252</v>
      </c>
      <c r="J5" s="154" t="s">
        <v>267</v>
      </c>
      <c r="K5" s="165" t="s">
        <v>256</v>
      </c>
      <c r="L5" s="134"/>
      <c r="M5" s="134"/>
      <c r="N5" s="134"/>
      <c r="O5" s="134"/>
    </row>
    <row r="6" spans="1:15">
      <c r="A6" s="127"/>
      <c r="B6" s="127"/>
      <c r="C6" s="127"/>
      <c r="D6" s="127"/>
      <c r="E6" s="159"/>
      <c r="F6" s="171"/>
      <c r="G6" s="171"/>
      <c r="H6" s="139"/>
      <c r="I6" s="128"/>
      <c r="J6" s="155"/>
      <c r="K6" s="165" t="s">
        <v>257</v>
      </c>
    </row>
    <row r="7" spans="1:15">
      <c r="A7" s="127"/>
      <c r="B7" s="127"/>
      <c r="C7" s="127"/>
      <c r="D7" s="127"/>
      <c r="E7" s="159"/>
      <c r="F7" s="171"/>
      <c r="G7" s="171"/>
      <c r="H7" s="143"/>
      <c r="I7" s="128"/>
      <c r="J7" s="155"/>
      <c r="K7" s="166" t="s">
        <v>258</v>
      </c>
    </row>
    <row r="8" spans="1:15">
      <c r="A8" s="127"/>
      <c r="B8" s="127"/>
      <c r="C8" s="127"/>
      <c r="D8" s="127"/>
      <c r="E8" s="159"/>
      <c r="F8" s="171"/>
      <c r="G8" s="171"/>
      <c r="H8" s="143"/>
      <c r="I8" s="128"/>
      <c r="J8" s="155"/>
      <c r="K8" s="155"/>
    </row>
    <row r="9" spans="1:15" ht="65.650000000000006">
      <c r="B9" s="135" t="s">
        <v>242</v>
      </c>
      <c r="C9" s="133"/>
      <c r="D9" s="133"/>
      <c r="E9" s="162" t="s">
        <v>259</v>
      </c>
      <c r="F9" s="170">
        <v>2</v>
      </c>
      <c r="G9" s="172">
        <v>10</v>
      </c>
      <c r="H9" s="141"/>
      <c r="I9" s="142" t="s">
        <v>253</v>
      </c>
      <c r="J9" s="156" t="s">
        <v>268</v>
      </c>
      <c r="K9" s="165" t="s">
        <v>260</v>
      </c>
    </row>
    <row r="10" spans="1:15">
      <c r="A10" s="127"/>
      <c r="B10" s="131"/>
      <c r="C10" s="127"/>
      <c r="D10" s="127"/>
      <c r="E10" s="163"/>
      <c r="F10" s="171"/>
      <c r="G10" s="171"/>
      <c r="H10" s="139"/>
      <c r="I10" s="128"/>
      <c r="J10" s="155"/>
      <c r="K10" s="167" t="s">
        <v>261</v>
      </c>
    </row>
    <row r="11" spans="1:15">
      <c r="A11" s="127"/>
      <c r="B11" s="131"/>
      <c r="C11" s="127"/>
      <c r="D11" s="127"/>
      <c r="E11" s="163"/>
      <c r="F11" s="171"/>
      <c r="G11" s="171"/>
      <c r="H11" s="139"/>
      <c r="I11" s="128"/>
      <c r="J11" s="155"/>
      <c r="K11" s="168"/>
    </row>
    <row r="12" spans="1:15" s="127" customFormat="1">
      <c r="B12" s="131"/>
      <c r="E12" s="159"/>
      <c r="F12" s="171"/>
      <c r="G12" s="171"/>
      <c r="H12" s="139"/>
      <c r="I12" s="128"/>
      <c r="J12" s="155"/>
      <c r="K12" s="155"/>
    </row>
    <row r="13" spans="1:15" ht="78.75">
      <c r="B13" s="135" t="s">
        <v>243</v>
      </c>
      <c r="C13" s="133"/>
      <c r="D13" s="133"/>
      <c r="E13" s="164" t="s">
        <v>269</v>
      </c>
      <c r="F13" s="170">
        <v>2</v>
      </c>
      <c r="G13" s="172">
        <v>10</v>
      </c>
      <c r="H13" s="141"/>
      <c r="I13" s="142" t="s">
        <v>253</v>
      </c>
      <c r="J13" s="157" t="s">
        <v>270</v>
      </c>
      <c r="K13" s="169" t="s">
        <v>262</v>
      </c>
    </row>
    <row r="14" spans="1:15" s="127" customFormat="1">
      <c r="B14" s="131"/>
      <c r="E14" s="159"/>
      <c r="F14" s="171"/>
      <c r="G14" s="171"/>
      <c r="H14" s="139"/>
      <c r="I14" s="128"/>
      <c r="J14" s="155"/>
      <c r="K14" s="169" t="s">
        <v>271</v>
      </c>
    </row>
    <row r="15" spans="1:15" s="127" customFormat="1">
      <c r="B15" s="131"/>
      <c r="E15" s="159"/>
      <c r="F15" s="171"/>
      <c r="G15" s="171"/>
      <c r="H15" s="139"/>
      <c r="I15" s="128"/>
      <c r="J15" s="155"/>
      <c r="K15" s="168" t="s">
        <v>272</v>
      </c>
    </row>
    <row r="16" spans="1:15" s="127" customFormat="1">
      <c r="B16" s="131"/>
      <c r="E16" s="159"/>
      <c r="F16" s="171"/>
      <c r="G16" s="171"/>
      <c r="H16" s="139"/>
      <c r="I16" s="128"/>
      <c r="J16" s="155"/>
      <c r="K16" s="155"/>
    </row>
    <row r="17" spans="2:11" ht="91.9">
      <c r="B17" s="135" t="s">
        <v>244</v>
      </c>
      <c r="C17" s="136"/>
      <c r="D17" s="133"/>
      <c r="E17" s="162" t="s">
        <v>263</v>
      </c>
      <c r="F17" s="170">
        <v>-6</v>
      </c>
      <c r="G17" s="172">
        <v>10</v>
      </c>
      <c r="H17" s="141"/>
      <c r="I17" s="142" t="s">
        <v>252</v>
      </c>
      <c r="J17" s="158" t="s">
        <v>273</v>
      </c>
      <c r="K17" s="166" t="s">
        <v>264</v>
      </c>
    </row>
    <row r="18" spans="2:11" s="127" customFormat="1">
      <c r="E18" s="139"/>
      <c r="F18" s="139"/>
      <c r="G18" s="139"/>
      <c r="H18" s="139"/>
      <c r="I18" s="128"/>
      <c r="J18" s="128"/>
      <c r="K18" s="166" t="s">
        <v>265</v>
      </c>
    </row>
    <row r="19" spans="2:11" s="127" customFormat="1">
      <c r="E19" s="139"/>
      <c r="F19" s="139"/>
      <c r="G19" s="139"/>
      <c r="H19" s="139"/>
      <c r="I19" s="128"/>
      <c r="J19" s="128"/>
      <c r="K19" s="168" t="s">
        <v>262</v>
      </c>
    </row>
    <row r="20" spans="2:11" s="127" customFormat="1">
      <c r="E20" s="139"/>
      <c r="F20" s="139"/>
      <c r="G20" s="139"/>
      <c r="H20" s="139"/>
      <c r="I20" s="128"/>
      <c r="J20" s="128"/>
      <c r="K20" s="128"/>
    </row>
    <row r="21" spans="2:11" s="127" customFormat="1">
      <c r="E21" s="139"/>
      <c r="F21" s="137" t="s">
        <v>235</v>
      </c>
      <c r="G21" s="144">
        <v>40</v>
      </c>
      <c r="I21" s="128"/>
      <c r="J21" s="128"/>
      <c r="K21" s="128"/>
    </row>
    <row r="22" spans="2:11" s="127" customFormat="1">
      <c r="E22" s="139"/>
      <c r="F22" s="145" t="s">
        <v>236</v>
      </c>
      <c r="G22" s="144">
        <v>-40</v>
      </c>
      <c r="H22" s="146" t="s">
        <v>237</v>
      </c>
      <c r="I22" s="147"/>
      <c r="J22" s="148"/>
      <c r="K22" s="148"/>
    </row>
    <row r="23" spans="2:11" s="127" customFormat="1">
      <c r="E23" s="139"/>
      <c r="F23" s="145" t="s">
        <v>238</v>
      </c>
      <c r="G23" s="144">
        <v>80</v>
      </c>
      <c r="H23" s="149">
        <f>SUM(F5,F9,F13,F17)</f>
        <v>-4</v>
      </c>
      <c r="I23" s="147"/>
      <c r="J23" s="148"/>
      <c r="K23" s="148"/>
    </row>
    <row r="24" spans="2:11" s="127" customFormat="1">
      <c r="E24" s="139"/>
      <c r="F24" s="145" t="s">
        <v>239</v>
      </c>
      <c r="G24" s="144">
        <v>0</v>
      </c>
      <c r="H24" s="139"/>
      <c r="I24" s="150"/>
      <c r="J24" s="128"/>
      <c r="K24" s="128"/>
    </row>
    <row r="25" spans="2:11" s="127" customFormat="1">
      <c r="B25" s="131"/>
      <c r="E25" s="139"/>
      <c r="F25" s="139"/>
      <c r="G25" s="139"/>
      <c r="H25" s="139"/>
      <c r="I25" s="128"/>
      <c r="J25" s="128"/>
      <c r="K25" s="128"/>
    </row>
    <row r="26" spans="2:11" s="127" customFormat="1" ht="105">
      <c r="E26" s="139"/>
      <c r="F26" s="139" t="s">
        <v>254</v>
      </c>
      <c r="G26" s="139"/>
      <c r="H26" s="159" t="s">
        <v>274</v>
      </c>
      <c r="I26" s="128"/>
      <c r="J26" s="128"/>
      <c r="K26" s="128"/>
    </row>
    <row r="27" spans="2:11" s="127" customFormat="1">
      <c r="E27" s="139"/>
      <c r="F27" s="139"/>
      <c r="G27" s="139"/>
      <c r="H27" s="139"/>
      <c r="I27" s="128"/>
      <c r="J27" s="128"/>
      <c r="K27" s="128"/>
    </row>
    <row r="28" spans="2:11" s="127" customFormat="1">
      <c r="B28" s="131"/>
      <c r="E28" s="139"/>
      <c r="F28" s="139"/>
      <c r="G28" s="139"/>
      <c r="H28" s="139"/>
      <c r="I28" s="128"/>
      <c r="J28" s="128"/>
      <c r="K28" s="128"/>
    </row>
    <row r="29" spans="2:11" s="127" customFormat="1">
      <c r="E29" s="139"/>
      <c r="F29" s="139"/>
      <c r="G29" s="139"/>
      <c r="H29" s="139"/>
      <c r="I29" s="128"/>
      <c r="J29" s="128"/>
      <c r="K29" s="128"/>
    </row>
    <row r="30" spans="2:11" s="127" customFormat="1">
      <c r="E30" s="139"/>
      <c r="F30" s="139"/>
      <c r="G30" s="139"/>
      <c r="H30" s="139"/>
      <c r="I30" s="128"/>
      <c r="J30" s="128"/>
      <c r="K30" s="128"/>
    </row>
    <row r="31" spans="2:11" s="127" customFormat="1">
      <c r="E31" s="139"/>
      <c r="F31" s="139"/>
      <c r="G31" s="139"/>
      <c r="H31" s="139"/>
      <c r="I31" s="128"/>
      <c r="J31" s="128"/>
      <c r="K31" s="128"/>
    </row>
    <row r="32" spans="2:11" s="127" customFormat="1">
      <c r="E32" s="139"/>
      <c r="F32" s="139"/>
      <c r="G32" s="139"/>
      <c r="H32" s="139"/>
      <c r="I32" s="151"/>
      <c r="J32" s="128"/>
      <c r="K32" s="128"/>
    </row>
    <row r="33" spans="5:11" s="127" customFormat="1">
      <c r="E33" s="139"/>
      <c r="F33" s="139"/>
      <c r="G33" s="139"/>
      <c r="H33" s="139"/>
      <c r="I33" s="128"/>
      <c r="J33" s="128"/>
      <c r="K33" s="128"/>
    </row>
    <row r="34" spans="5:11" s="127" customFormat="1">
      <c r="E34" s="139"/>
      <c r="F34" s="139"/>
      <c r="G34" s="139"/>
      <c r="H34" s="139"/>
      <c r="I34" s="128"/>
      <c r="J34" s="128"/>
      <c r="K34" s="128"/>
    </row>
    <row r="35" spans="5:11" s="127" customFormat="1">
      <c r="E35" s="139"/>
      <c r="F35" s="139"/>
      <c r="G35" s="139"/>
      <c r="H35" s="139"/>
      <c r="I35" s="128"/>
      <c r="J35" s="128"/>
      <c r="K35" s="128"/>
    </row>
    <row r="36" spans="5:11" s="127" customFormat="1">
      <c r="E36" s="139"/>
      <c r="F36" s="139"/>
      <c r="G36" s="139"/>
      <c r="H36" s="139"/>
      <c r="J36" s="128"/>
      <c r="K36" s="128"/>
    </row>
    <row r="37" spans="5:11" s="127" customFormat="1">
      <c r="E37" s="139"/>
      <c r="F37" s="139"/>
      <c r="G37" s="139"/>
      <c r="H37" s="139"/>
      <c r="J37" s="128"/>
      <c r="K37" s="128"/>
    </row>
    <row r="38" spans="5:11" s="127" customFormat="1">
      <c r="E38" s="139"/>
      <c r="F38" s="139"/>
      <c r="G38" s="139"/>
      <c r="H38" s="139"/>
      <c r="J38" s="128"/>
      <c r="K38" s="128"/>
    </row>
    <row r="39" spans="5:11" s="127" customFormat="1">
      <c r="E39" s="139"/>
      <c r="F39" s="139"/>
      <c r="G39" s="139"/>
      <c r="H39" s="139"/>
      <c r="J39" s="128"/>
      <c r="K39" s="128"/>
    </row>
    <row r="40" spans="5:11" s="127" customFormat="1">
      <c r="E40" s="139"/>
      <c r="F40" s="139"/>
      <c r="G40" s="139"/>
      <c r="H40" s="139"/>
      <c r="J40" s="128"/>
      <c r="K40" s="128"/>
    </row>
    <row r="41" spans="5:11" s="127" customFormat="1">
      <c r="E41" s="139"/>
      <c r="F41" s="139"/>
      <c r="G41" s="139"/>
      <c r="H41" s="139"/>
      <c r="J41" s="128"/>
      <c r="K41" s="128"/>
    </row>
    <row r="42" spans="5:11" s="127" customFormat="1">
      <c r="E42" s="139"/>
      <c r="F42" s="139"/>
      <c r="G42" s="139"/>
      <c r="H42" s="139"/>
      <c r="J42" s="128"/>
      <c r="K42" s="128"/>
    </row>
    <row r="43" spans="5:11" s="127" customFormat="1">
      <c r="E43" s="139"/>
      <c r="F43" s="139"/>
      <c r="G43" s="139"/>
      <c r="H43" s="139"/>
      <c r="J43" s="128"/>
      <c r="K43" s="128"/>
    </row>
    <row r="44" spans="5:11" s="127" customFormat="1">
      <c r="E44" s="139"/>
      <c r="F44" s="139"/>
      <c r="G44" s="139"/>
      <c r="H44" s="139"/>
      <c r="J44" s="128"/>
      <c r="K44" s="128"/>
    </row>
    <row r="45" spans="5:11" s="127" customFormat="1">
      <c r="E45" s="139"/>
      <c r="F45" s="139"/>
      <c r="G45" s="139"/>
      <c r="H45" s="139"/>
      <c r="J45" s="128"/>
      <c r="K45" s="128"/>
    </row>
    <row r="46" spans="5:11" s="127" customFormat="1">
      <c r="E46" s="139"/>
      <c r="F46" s="139"/>
      <c r="G46" s="139"/>
      <c r="H46" s="139"/>
      <c r="J46" s="128"/>
      <c r="K46" s="128"/>
    </row>
    <row r="47" spans="5:11" s="127" customFormat="1">
      <c r="E47" s="139"/>
      <c r="F47" s="139"/>
      <c r="G47" s="139"/>
      <c r="H47" s="139"/>
      <c r="J47" s="128"/>
      <c r="K47" s="128"/>
    </row>
    <row r="48" spans="5:11" s="127" customFormat="1">
      <c r="E48" s="139"/>
      <c r="F48" s="139"/>
      <c r="G48" s="139"/>
      <c r="H48" s="139"/>
      <c r="J48" s="128"/>
      <c r="K48" s="128"/>
    </row>
    <row r="49" spans="5:11" s="127" customFormat="1">
      <c r="E49" s="139"/>
      <c r="F49" s="139"/>
      <c r="G49" s="139"/>
      <c r="H49" s="139"/>
      <c r="J49" s="128"/>
      <c r="K49" s="128"/>
    </row>
    <row r="50" spans="5:11" s="127" customFormat="1">
      <c r="E50" s="139"/>
      <c r="F50" s="139"/>
      <c r="G50" s="139"/>
      <c r="H50" s="139"/>
      <c r="J50" s="128"/>
      <c r="K50" s="128"/>
    </row>
    <row r="51" spans="5:11" s="127" customFormat="1">
      <c r="E51" s="139"/>
      <c r="F51" s="139"/>
      <c r="G51" s="139"/>
      <c r="H51" s="139"/>
      <c r="J51" s="128"/>
      <c r="K51" s="128"/>
    </row>
    <row r="52" spans="5:11" s="127" customFormat="1">
      <c r="E52" s="139"/>
      <c r="F52" s="139"/>
      <c r="G52" s="139"/>
      <c r="H52" s="139"/>
      <c r="J52" s="128"/>
      <c r="K52" s="128"/>
    </row>
    <row r="53" spans="5:11" s="127" customFormat="1">
      <c r="E53" s="139"/>
      <c r="F53" s="139"/>
      <c r="G53" s="139"/>
      <c r="H53" s="139"/>
      <c r="J53" s="128"/>
      <c r="K53" s="128"/>
    </row>
    <row r="54" spans="5:11" s="127" customFormat="1">
      <c r="E54" s="139"/>
      <c r="F54" s="139"/>
      <c r="G54" s="139"/>
      <c r="H54" s="139"/>
      <c r="J54" s="128"/>
      <c r="K54" s="128"/>
    </row>
    <row r="55" spans="5:11" s="127" customFormat="1">
      <c r="E55" s="139"/>
      <c r="F55" s="139"/>
      <c r="G55" s="139"/>
      <c r="H55" s="139"/>
      <c r="J55" s="128"/>
      <c r="K55" s="128"/>
    </row>
    <row r="56" spans="5:11" s="127" customFormat="1">
      <c r="E56" s="139"/>
      <c r="F56" s="139"/>
      <c r="G56" s="139"/>
      <c r="H56" s="139"/>
      <c r="J56" s="128"/>
      <c r="K56" s="128"/>
    </row>
    <row r="57" spans="5:11" s="127" customFormat="1">
      <c r="E57" s="139"/>
      <c r="F57" s="139"/>
      <c r="G57" s="139"/>
      <c r="H57" s="139"/>
      <c r="J57" s="128"/>
      <c r="K57" s="128"/>
    </row>
    <row r="58" spans="5:11" s="127" customFormat="1">
      <c r="E58" s="139"/>
      <c r="F58" s="139"/>
      <c r="G58" s="139"/>
      <c r="H58" s="139"/>
      <c r="J58" s="128"/>
      <c r="K58" s="128"/>
    </row>
    <row r="59" spans="5:11" s="127" customFormat="1">
      <c r="E59" s="139"/>
      <c r="F59" s="139"/>
      <c r="G59" s="139"/>
      <c r="H59" s="139"/>
      <c r="J59" s="128"/>
      <c r="K59" s="128"/>
    </row>
    <row r="60" spans="5:11" s="127" customFormat="1">
      <c r="E60" s="139"/>
      <c r="F60" s="139"/>
      <c r="G60" s="139"/>
      <c r="H60" s="139"/>
      <c r="J60" s="128"/>
      <c r="K60" s="128"/>
    </row>
    <row r="61" spans="5:11" s="127" customFormat="1">
      <c r="E61" s="139"/>
      <c r="F61" s="139"/>
      <c r="G61" s="139"/>
      <c r="H61" s="139"/>
      <c r="J61" s="128"/>
      <c r="K61" s="128"/>
    </row>
    <row r="62" spans="5:11" s="127" customFormat="1">
      <c r="E62" s="139"/>
      <c r="F62" s="139"/>
      <c r="G62" s="139"/>
      <c r="H62" s="139"/>
      <c r="J62" s="128"/>
      <c r="K62" s="128"/>
    </row>
    <row r="63" spans="5:11" s="127" customFormat="1">
      <c r="E63" s="139"/>
      <c r="F63" s="139"/>
      <c r="G63" s="139"/>
      <c r="H63" s="139"/>
      <c r="J63" s="128"/>
      <c r="K63" s="128"/>
    </row>
    <row r="64" spans="5:11" s="127" customFormat="1">
      <c r="E64" s="139"/>
      <c r="F64" s="139"/>
      <c r="G64" s="139"/>
      <c r="H64" s="139"/>
      <c r="J64" s="128"/>
      <c r="K64" s="128"/>
    </row>
    <row r="65" spans="5:11" s="127" customFormat="1">
      <c r="E65" s="139"/>
      <c r="F65" s="139"/>
      <c r="G65" s="139"/>
      <c r="H65" s="139"/>
      <c r="J65" s="128"/>
      <c r="K65" s="128"/>
    </row>
    <row r="66" spans="5:11" s="127" customFormat="1">
      <c r="E66" s="139"/>
      <c r="F66" s="139"/>
      <c r="G66" s="139"/>
      <c r="H66" s="139"/>
      <c r="J66" s="128"/>
      <c r="K66" s="128"/>
    </row>
    <row r="67" spans="5:11" s="127" customFormat="1">
      <c r="E67" s="139"/>
      <c r="F67" s="139"/>
      <c r="G67" s="139"/>
      <c r="H67" s="139"/>
      <c r="J67" s="128"/>
      <c r="K67" s="128"/>
    </row>
    <row r="68" spans="5:11" s="127" customFormat="1">
      <c r="E68" s="139"/>
      <c r="F68" s="139"/>
      <c r="G68" s="139"/>
      <c r="H68" s="139"/>
      <c r="J68" s="128"/>
      <c r="K68" s="128"/>
    </row>
    <row r="69" spans="5:11" s="127" customFormat="1">
      <c r="E69" s="139"/>
      <c r="F69" s="139"/>
      <c r="G69" s="139"/>
      <c r="H69" s="139"/>
      <c r="J69" s="128"/>
      <c r="K69" s="128"/>
    </row>
    <row r="70" spans="5:11" s="127" customFormat="1">
      <c r="E70" s="139"/>
      <c r="F70" s="139"/>
      <c r="G70" s="139"/>
      <c r="H70" s="139"/>
      <c r="J70" s="128"/>
      <c r="K70" s="128"/>
    </row>
    <row r="71" spans="5:11" s="127" customFormat="1">
      <c r="E71" s="139"/>
      <c r="F71" s="139"/>
      <c r="G71" s="139"/>
      <c r="H71" s="139"/>
      <c r="J71" s="128"/>
      <c r="K71" s="128"/>
    </row>
    <row r="72" spans="5:11" s="127" customFormat="1">
      <c r="E72" s="139"/>
      <c r="F72" s="139"/>
      <c r="G72" s="139"/>
      <c r="H72" s="139"/>
      <c r="J72" s="128"/>
      <c r="K72" s="128"/>
    </row>
    <row r="73" spans="5:11" s="127" customFormat="1">
      <c r="E73" s="139"/>
      <c r="F73" s="139"/>
      <c r="G73" s="139"/>
      <c r="H73" s="139"/>
      <c r="J73" s="128"/>
      <c r="K73" s="128"/>
    </row>
    <row r="74" spans="5:11" s="127" customFormat="1">
      <c r="E74" s="139"/>
      <c r="F74" s="139"/>
      <c r="G74" s="139"/>
      <c r="H74" s="139"/>
      <c r="J74" s="128"/>
      <c r="K74" s="128"/>
    </row>
    <row r="75" spans="5:11" s="127" customFormat="1">
      <c r="E75" s="139"/>
      <c r="F75" s="139"/>
      <c r="G75" s="139"/>
      <c r="H75" s="139"/>
      <c r="J75" s="128"/>
      <c r="K75" s="128"/>
    </row>
    <row r="76" spans="5:11" s="127" customFormat="1">
      <c r="E76" s="139"/>
      <c r="F76" s="139"/>
      <c r="G76" s="139"/>
      <c r="H76" s="139"/>
      <c r="J76" s="128"/>
      <c r="K76" s="128"/>
    </row>
    <row r="77" spans="5:11" s="127" customFormat="1">
      <c r="E77" s="139"/>
      <c r="F77" s="139"/>
      <c r="G77" s="139"/>
      <c r="H77" s="139"/>
      <c r="J77" s="128"/>
      <c r="K77" s="128"/>
    </row>
    <row r="78" spans="5:11" s="127" customFormat="1">
      <c r="E78" s="139"/>
      <c r="F78" s="139"/>
      <c r="G78" s="139"/>
      <c r="H78" s="139"/>
      <c r="J78" s="128"/>
      <c r="K78" s="128"/>
    </row>
    <row r="79" spans="5:11" s="127" customFormat="1">
      <c r="E79" s="139"/>
      <c r="F79" s="139"/>
      <c r="G79" s="139"/>
      <c r="H79" s="139"/>
      <c r="J79" s="128"/>
      <c r="K79" s="128"/>
    </row>
    <row r="80" spans="5:11" s="127" customFormat="1">
      <c r="E80" s="139"/>
      <c r="F80" s="139"/>
      <c r="G80" s="139"/>
      <c r="H80" s="139"/>
      <c r="J80" s="128"/>
      <c r="K80" s="128"/>
    </row>
    <row r="81" spans="5:11" s="127" customFormat="1">
      <c r="E81" s="139"/>
      <c r="F81" s="139"/>
      <c r="G81" s="139"/>
      <c r="H81" s="139"/>
      <c r="J81" s="128"/>
      <c r="K81" s="128"/>
    </row>
    <row r="82" spans="5:11" s="127" customFormat="1">
      <c r="E82" s="139"/>
      <c r="F82" s="139"/>
      <c r="G82" s="139"/>
      <c r="H82" s="139"/>
      <c r="J82" s="128"/>
      <c r="K82" s="128"/>
    </row>
    <row r="83" spans="5:11" s="127" customFormat="1">
      <c r="E83" s="139"/>
      <c r="F83" s="139"/>
      <c r="G83" s="139"/>
      <c r="H83" s="139"/>
      <c r="J83" s="128"/>
      <c r="K83" s="128"/>
    </row>
    <row r="84" spans="5:11" s="127" customFormat="1">
      <c r="E84" s="139"/>
      <c r="F84" s="139"/>
      <c r="G84" s="139"/>
      <c r="H84" s="139"/>
      <c r="J84" s="128"/>
      <c r="K84" s="128"/>
    </row>
    <row r="85" spans="5:11" s="127" customFormat="1">
      <c r="E85" s="139"/>
      <c r="F85" s="139"/>
      <c r="G85" s="139"/>
      <c r="H85" s="139"/>
      <c r="J85" s="128"/>
      <c r="K85" s="128"/>
    </row>
    <row r="86" spans="5:11" s="127" customFormat="1">
      <c r="E86" s="139"/>
      <c r="F86" s="139"/>
      <c r="G86" s="139"/>
      <c r="H86" s="139"/>
      <c r="J86" s="128"/>
      <c r="K86" s="128"/>
    </row>
    <row r="87" spans="5:11" s="127" customFormat="1">
      <c r="E87" s="139"/>
      <c r="F87" s="139"/>
      <c r="G87" s="139"/>
      <c r="H87" s="139"/>
      <c r="J87" s="128"/>
      <c r="K87" s="128"/>
    </row>
    <row r="88" spans="5:11" s="127" customFormat="1">
      <c r="E88" s="139"/>
      <c r="F88" s="139"/>
      <c r="G88" s="139"/>
      <c r="H88" s="139"/>
      <c r="J88" s="128"/>
      <c r="K88" s="128"/>
    </row>
    <row r="89" spans="5:11" s="127" customFormat="1">
      <c r="E89" s="139"/>
      <c r="F89" s="139"/>
      <c r="G89" s="139"/>
      <c r="H89" s="139"/>
      <c r="J89" s="128"/>
      <c r="K89" s="128"/>
    </row>
    <row r="90" spans="5:11" s="127" customFormat="1">
      <c r="E90" s="139"/>
      <c r="F90" s="139"/>
      <c r="G90" s="139"/>
      <c r="H90" s="139"/>
      <c r="J90" s="128"/>
      <c r="K90" s="128"/>
    </row>
    <row r="91" spans="5:11" s="127" customFormat="1">
      <c r="E91" s="139"/>
      <c r="F91" s="139"/>
      <c r="G91" s="139"/>
      <c r="H91" s="139"/>
      <c r="J91" s="128"/>
      <c r="K91" s="128"/>
    </row>
    <row r="92" spans="5:11" s="127" customFormat="1">
      <c r="E92" s="139"/>
      <c r="F92" s="139"/>
      <c r="G92" s="139"/>
      <c r="H92" s="139"/>
      <c r="J92" s="128"/>
      <c r="K92" s="128"/>
    </row>
    <row r="93" spans="5:11" s="127" customFormat="1">
      <c r="E93" s="139"/>
      <c r="F93" s="139"/>
      <c r="G93" s="139"/>
      <c r="H93" s="139"/>
      <c r="J93" s="128"/>
      <c r="K93" s="128"/>
    </row>
    <row r="94" spans="5:11" s="127" customFormat="1">
      <c r="E94" s="139"/>
      <c r="F94" s="139"/>
      <c r="G94" s="139"/>
      <c r="H94" s="139"/>
      <c r="J94" s="128"/>
      <c r="K94" s="128"/>
    </row>
    <row r="95" spans="5:11" s="127" customFormat="1">
      <c r="E95" s="139"/>
      <c r="F95" s="139"/>
      <c r="G95" s="139"/>
      <c r="H95" s="139"/>
      <c r="J95" s="128"/>
      <c r="K95" s="128"/>
    </row>
    <row r="96" spans="5:11" s="127" customFormat="1">
      <c r="E96" s="139"/>
      <c r="F96" s="139"/>
      <c r="G96" s="139"/>
      <c r="H96" s="139"/>
      <c r="J96" s="128"/>
      <c r="K96" s="128"/>
    </row>
    <row r="97" spans="5:11" s="127" customFormat="1">
      <c r="E97" s="139"/>
      <c r="F97" s="139"/>
      <c r="G97" s="139"/>
      <c r="H97" s="139"/>
      <c r="J97" s="128"/>
      <c r="K97" s="128"/>
    </row>
    <row r="98" spans="5:11" s="127" customFormat="1">
      <c r="E98" s="139"/>
      <c r="F98" s="139"/>
      <c r="G98" s="139"/>
      <c r="H98" s="139"/>
      <c r="J98" s="128"/>
      <c r="K98" s="128"/>
    </row>
    <row r="99" spans="5:11" s="127" customFormat="1">
      <c r="E99" s="139"/>
      <c r="F99" s="139"/>
      <c r="G99" s="139"/>
      <c r="H99" s="139"/>
      <c r="J99" s="128"/>
      <c r="K99" s="128"/>
    </row>
    <row r="100" spans="5:11" s="127" customFormat="1">
      <c r="E100" s="139"/>
      <c r="F100" s="139"/>
      <c r="G100" s="139"/>
      <c r="H100" s="139"/>
      <c r="J100" s="128"/>
      <c r="K100" s="128"/>
    </row>
    <row r="101" spans="5:11" s="127" customFormat="1">
      <c r="E101" s="139"/>
      <c r="F101" s="139"/>
      <c r="G101" s="139"/>
      <c r="H101" s="139"/>
      <c r="J101" s="128"/>
      <c r="K101" s="128"/>
    </row>
    <row r="102" spans="5:11" s="127" customFormat="1">
      <c r="E102" s="139"/>
      <c r="F102" s="139"/>
      <c r="G102" s="139"/>
      <c r="H102" s="139"/>
      <c r="J102" s="128"/>
      <c r="K102" s="128"/>
    </row>
    <row r="103" spans="5:11" s="127" customFormat="1">
      <c r="E103" s="139"/>
      <c r="F103" s="139"/>
      <c r="G103" s="139"/>
      <c r="H103" s="139"/>
      <c r="J103" s="128"/>
      <c r="K103" s="128"/>
    </row>
    <row r="104" spans="5:11" s="127" customFormat="1">
      <c r="E104" s="139"/>
      <c r="F104" s="139"/>
      <c r="G104" s="139"/>
      <c r="H104" s="139"/>
      <c r="J104" s="128"/>
      <c r="K104" s="128"/>
    </row>
    <row r="105" spans="5:11" s="127" customFormat="1">
      <c r="E105" s="139"/>
      <c r="F105" s="139"/>
      <c r="G105" s="139"/>
      <c r="H105" s="139"/>
      <c r="J105" s="128"/>
      <c r="K105" s="128"/>
    </row>
    <row r="106" spans="5:11" s="127" customFormat="1">
      <c r="E106" s="139"/>
      <c r="F106" s="139"/>
      <c r="G106" s="139"/>
      <c r="H106" s="139"/>
      <c r="J106" s="128"/>
      <c r="K106" s="128"/>
    </row>
    <row r="107" spans="5:11" s="127" customFormat="1">
      <c r="E107" s="139"/>
      <c r="F107" s="139"/>
      <c r="G107" s="139"/>
      <c r="H107" s="139"/>
      <c r="J107" s="128"/>
      <c r="K107" s="128"/>
    </row>
    <row r="108" spans="5:11" s="127" customFormat="1">
      <c r="E108" s="139"/>
      <c r="F108" s="139"/>
      <c r="G108" s="139"/>
      <c r="H108" s="139"/>
      <c r="J108" s="128"/>
      <c r="K108" s="128"/>
    </row>
    <row r="109" spans="5:11" s="127" customFormat="1">
      <c r="E109" s="139"/>
      <c r="F109" s="139"/>
      <c r="G109" s="139"/>
      <c r="H109" s="139"/>
      <c r="J109" s="128"/>
      <c r="K109" s="128"/>
    </row>
    <row r="110" spans="5:11" s="127" customFormat="1">
      <c r="E110" s="139"/>
      <c r="F110" s="139"/>
      <c r="G110" s="139"/>
      <c r="H110" s="139"/>
      <c r="J110" s="128"/>
      <c r="K110" s="128"/>
    </row>
    <row r="111" spans="5:11" s="127" customFormat="1">
      <c r="E111" s="139"/>
      <c r="F111" s="139"/>
      <c r="G111" s="139"/>
      <c r="H111" s="139"/>
      <c r="J111" s="128"/>
      <c r="K111" s="128"/>
    </row>
    <row r="112" spans="5:11" s="127" customFormat="1">
      <c r="E112" s="139"/>
      <c r="F112" s="139"/>
      <c r="G112" s="139"/>
      <c r="H112" s="139"/>
      <c r="J112" s="128"/>
      <c r="K112" s="128"/>
    </row>
    <row r="113" spans="5:11" s="127" customFormat="1">
      <c r="E113" s="139"/>
      <c r="F113" s="139"/>
      <c r="G113" s="139"/>
      <c r="H113" s="139"/>
      <c r="J113" s="128"/>
      <c r="K113" s="128"/>
    </row>
    <row r="114" spans="5:11" s="127" customFormat="1">
      <c r="E114" s="139"/>
      <c r="F114" s="139"/>
      <c r="G114" s="139"/>
      <c r="H114" s="139"/>
      <c r="J114" s="128"/>
      <c r="K114" s="128"/>
    </row>
    <row r="115" spans="5:11" s="127" customFormat="1">
      <c r="E115" s="139"/>
      <c r="F115" s="139"/>
      <c r="G115" s="139"/>
      <c r="H115" s="139"/>
      <c r="J115" s="128"/>
      <c r="K115" s="128"/>
    </row>
    <row r="116" spans="5:11" s="127" customFormat="1">
      <c r="E116" s="139"/>
      <c r="F116" s="139"/>
      <c r="G116" s="139"/>
      <c r="H116" s="139"/>
      <c r="J116" s="128"/>
      <c r="K116" s="128"/>
    </row>
    <row r="117" spans="5:11" s="127" customFormat="1">
      <c r="E117" s="139"/>
      <c r="F117" s="139"/>
      <c r="G117" s="139"/>
      <c r="H117" s="139"/>
      <c r="J117" s="128"/>
      <c r="K117" s="128"/>
    </row>
    <row r="118" spans="5:11" s="127" customFormat="1">
      <c r="E118" s="139"/>
      <c r="F118" s="139"/>
      <c r="G118" s="139"/>
      <c r="H118" s="139"/>
      <c r="J118" s="128"/>
      <c r="K118" s="128"/>
    </row>
    <row r="119" spans="5:11" s="127" customFormat="1">
      <c r="E119" s="139"/>
      <c r="F119" s="139"/>
      <c r="G119" s="139"/>
      <c r="H119" s="139"/>
      <c r="J119" s="128"/>
      <c r="K119" s="128"/>
    </row>
    <row r="120" spans="5:11" s="127" customFormat="1">
      <c r="E120" s="139"/>
      <c r="F120" s="139"/>
      <c r="G120" s="139"/>
      <c r="H120" s="139"/>
      <c r="J120" s="128"/>
      <c r="K120" s="128"/>
    </row>
    <row r="121" spans="5:11" s="127" customFormat="1">
      <c r="E121" s="139"/>
      <c r="F121" s="139"/>
      <c r="G121" s="139"/>
      <c r="H121" s="139"/>
      <c r="J121" s="128"/>
      <c r="K121" s="128"/>
    </row>
    <row r="122" spans="5:11" s="127" customFormat="1">
      <c r="E122" s="139"/>
      <c r="F122" s="139"/>
      <c r="G122" s="139"/>
      <c r="H122" s="139"/>
      <c r="J122" s="128"/>
      <c r="K122" s="128"/>
    </row>
    <row r="123" spans="5:11" s="127" customFormat="1">
      <c r="E123" s="139"/>
      <c r="F123" s="139"/>
      <c r="G123" s="139"/>
      <c r="H123" s="139"/>
      <c r="J123" s="128"/>
      <c r="K123" s="128"/>
    </row>
    <row r="124" spans="5:11" s="127" customFormat="1">
      <c r="E124" s="139"/>
      <c r="F124" s="139"/>
      <c r="G124" s="139"/>
      <c r="H124" s="139"/>
      <c r="J124" s="128"/>
      <c r="K124" s="128"/>
    </row>
    <row r="125" spans="5:11" s="127" customFormat="1">
      <c r="E125" s="139"/>
      <c r="F125" s="139"/>
      <c r="G125" s="139"/>
      <c r="H125" s="139"/>
      <c r="J125" s="128"/>
      <c r="K125" s="128"/>
    </row>
    <row r="126" spans="5:11" s="127" customFormat="1">
      <c r="E126" s="139"/>
      <c r="F126" s="139"/>
      <c r="G126" s="139"/>
      <c r="H126" s="139"/>
      <c r="J126" s="128"/>
      <c r="K126" s="128"/>
    </row>
    <row r="127" spans="5:11" s="127" customFormat="1">
      <c r="E127" s="139"/>
      <c r="F127" s="139"/>
      <c r="G127" s="139"/>
      <c r="H127" s="139"/>
      <c r="J127" s="128"/>
      <c r="K127" s="128"/>
    </row>
    <row r="128" spans="5:11" s="127" customFormat="1">
      <c r="E128" s="139"/>
      <c r="F128" s="139"/>
      <c r="G128" s="139"/>
      <c r="H128" s="139"/>
      <c r="J128" s="128"/>
      <c r="K128" s="128"/>
    </row>
    <row r="129" spans="5:11" s="127" customFormat="1">
      <c r="E129" s="139"/>
      <c r="F129" s="139"/>
      <c r="G129" s="139"/>
      <c r="H129" s="139"/>
      <c r="J129" s="128"/>
      <c r="K129" s="128"/>
    </row>
    <row r="130" spans="5:11" s="127" customFormat="1">
      <c r="E130" s="139"/>
      <c r="F130" s="139"/>
      <c r="G130" s="139"/>
      <c r="H130" s="139"/>
      <c r="J130" s="128"/>
      <c r="K130" s="128"/>
    </row>
    <row r="131" spans="5:11" s="127" customFormat="1">
      <c r="E131" s="139"/>
      <c r="F131" s="139"/>
      <c r="G131" s="139"/>
      <c r="H131" s="139"/>
      <c r="J131" s="128"/>
      <c r="K131" s="128"/>
    </row>
    <row r="132" spans="5:11" s="127" customFormat="1">
      <c r="E132" s="139"/>
      <c r="F132" s="139"/>
      <c r="G132" s="139"/>
      <c r="H132" s="139"/>
      <c r="J132" s="128"/>
      <c r="K132" s="128"/>
    </row>
    <row r="133" spans="5:11" s="127" customFormat="1">
      <c r="E133" s="139"/>
      <c r="F133" s="139"/>
      <c r="G133" s="139"/>
      <c r="H133" s="139"/>
      <c r="J133" s="128"/>
      <c r="K133" s="128"/>
    </row>
    <row r="134" spans="5:11" s="127" customFormat="1">
      <c r="E134" s="139"/>
      <c r="F134" s="139"/>
      <c r="G134" s="139"/>
      <c r="H134" s="139"/>
      <c r="J134" s="128"/>
      <c r="K134" s="128"/>
    </row>
    <row r="135" spans="5:11" s="127" customFormat="1">
      <c r="E135" s="139"/>
      <c r="F135" s="139"/>
      <c r="G135" s="139"/>
      <c r="H135" s="139"/>
      <c r="J135" s="128"/>
      <c r="K135" s="128"/>
    </row>
    <row r="136" spans="5:11" s="127" customFormat="1">
      <c r="E136" s="139"/>
      <c r="F136" s="139"/>
      <c r="G136" s="139"/>
      <c r="H136" s="139"/>
      <c r="J136" s="128"/>
      <c r="K136" s="128"/>
    </row>
    <row r="137" spans="5:11" s="127" customFormat="1">
      <c r="E137" s="139"/>
      <c r="F137" s="139"/>
      <c r="G137" s="139"/>
      <c r="H137" s="139"/>
      <c r="J137" s="128"/>
      <c r="K137" s="128"/>
    </row>
    <row r="138" spans="5:11" s="127" customFormat="1">
      <c r="E138" s="139"/>
      <c r="F138" s="139"/>
      <c r="G138" s="139"/>
      <c r="H138" s="139"/>
      <c r="J138" s="128"/>
      <c r="K138" s="128"/>
    </row>
    <row r="139" spans="5:11" s="127" customFormat="1">
      <c r="E139" s="139"/>
      <c r="F139" s="139"/>
      <c r="G139" s="139"/>
      <c r="H139" s="139"/>
      <c r="J139" s="128"/>
      <c r="K139" s="128"/>
    </row>
    <row r="140" spans="5:11" s="127" customFormat="1">
      <c r="E140" s="139"/>
      <c r="F140" s="139"/>
      <c r="G140" s="139"/>
      <c r="H140" s="139"/>
      <c r="J140" s="128"/>
      <c r="K140" s="128"/>
    </row>
    <row r="141" spans="5:11" s="127" customFormat="1">
      <c r="E141" s="139"/>
      <c r="F141" s="139"/>
      <c r="G141" s="139"/>
      <c r="H141" s="139"/>
      <c r="J141" s="128"/>
      <c r="K141" s="128"/>
    </row>
    <row r="142" spans="5:11" s="127" customFormat="1">
      <c r="E142" s="139"/>
      <c r="F142" s="139"/>
      <c r="G142" s="139"/>
      <c r="H142" s="139"/>
      <c r="J142" s="128"/>
      <c r="K142" s="128"/>
    </row>
    <row r="143" spans="5:11" s="127" customFormat="1">
      <c r="E143" s="139"/>
      <c r="F143" s="139"/>
      <c r="G143" s="139"/>
      <c r="H143" s="139"/>
      <c r="J143" s="128"/>
      <c r="K143" s="128"/>
    </row>
    <row r="144" spans="5:11" s="127" customFormat="1">
      <c r="E144" s="139"/>
      <c r="F144" s="139"/>
      <c r="G144" s="139"/>
      <c r="H144" s="139"/>
      <c r="J144" s="128"/>
      <c r="K144" s="128"/>
    </row>
    <row r="145" spans="5:11" s="127" customFormat="1">
      <c r="E145" s="139"/>
      <c r="F145" s="139"/>
      <c r="G145" s="139"/>
      <c r="H145" s="139"/>
      <c r="J145" s="128"/>
      <c r="K145" s="128"/>
    </row>
    <row r="146" spans="5:11" s="127" customFormat="1">
      <c r="E146" s="139"/>
      <c r="F146" s="139"/>
      <c r="G146" s="139"/>
      <c r="H146" s="139"/>
      <c r="J146" s="128"/>
      <c r="K146" s="128"/>
    </row>
    <row r="147" spans="5:11" s="127" customFormat="1">
      <c r="E147" s="139"/>
      <c r="F147" s="139"/>
      <c r="G147" s="139"/>
      <c r="H147" s="139"/>
      <c r="J147" s="128"/>
      <c r="K147" s="128"/>
    </row>
    <row r="148" spans="5:11" s="127" customFormat="1">
      <c r="E148" s="139"/>
      <c r="F148" s="139"/>
      <c r="G148" s="139"/>
      <c r="H148" s="139"/>
      <c r="J148" s="128"/>
      <c r="K148" s="128"/>
    </row>
    <row r="149" spans="5:11" s="127" customFormat="1">
      <c r="E149" s="139"/>
      <c r="F149" s="139"/>
      <c r="G149" s="139"/>
      <c r="H149" s="139"/>
      <c r="J149" s="128"/>
      <c r="K149" s="128"/>
    </row>
    <row r="150" spans="5:11" s="127" customFormat="1">
      <c r="E150" s="139"/>
      <c r="F150" s="139"/>
      <c r="G150" s="139"/>
      <c r="H150" s="139"/>
      <c r="J150" s="128"/>
      <c r="K150" s="128"/>
    </row>
    <row r="151" spans="5:11" s="127" customFormat="1">
      <c r="E151" s="139"/>
      <c r="F151" s="139"/>
      <c r="G151" s="139"/>
      <c r="H151" s="139"/>
      <c r="J151" s="128"/>
      <c r="K151" s="128"/>
    </row>
    <row r="152" spans="5:11" s="127" customFormat="1">
      <c r="E152" s="139"/>
      <c r="F152" s="139"/>
      <c r="G152" s="139"/>
      <c r="H152" s="139"/>
      <c r="J152" s="128"/>
      <c r="K152" s="128"/>
    </row>
    <row r="153" spans="5:11" s="127" customFormat="1">
      <c r="E153" s="139"/>
      <c r="F153" s="139"/>
      <c r="G153" s="139"/>
      <c r="H153" s="139"/>
      <c r="J153" s="128"/>
      <c r="K153" s="128"/>
    </row>
    <row r="154" spans="5:11" s="127" customFormat="1">
      <c r="E154" s="139"/>
      <c r="F154" s="139"/>
      <c r="G154" s="139"/>
      <c r="H154" s="139"/>
      <c r="J154" s="128"/>
      <c r="K154" s="128"/>
    </row>
    <row r="155" spans="5:11" s="127" customFormat="1">
      <c r="E155" s="139"/>
      <c r="F155" s="139"/>
      <c r="G155" s="139"/>
      <c r="H155" s="139"/>
      <c r="J155" s="128"/>
      <c r="K155" s="128"/>
    </row>
    <row r="156" spans="5:11" s="127" customFormat="1">
      <c r="E156" s="139"/>
      <c r="F156" s="139"/>
      <c r="G156" s="139"/>
      <c r="H156" s="139"/>
      <c r="J156" s="128"/>
      <c r="K156" s="128"/>
    </row>
    <row r="157" spans="5:11" s="127" customFormat="1">
      <c r="E157" s="139"/>
      <c r="F157" s="139"/>
      <c r="G157" s="139"/>
      <c r="H157" s="139"/>
      <c r="J157" s="128"/>
      <c r="K157" s="128"/>
    </row>
    <row r="158" spans="5:11" s="127" customFormat="1">
      <c r="E158" s="139"/>
      <c r="F158" s="139"/>
      <c r="G158" s="139"/>
      <c r="H158" s="139"/>
      <c r="J158" s="128"/>
      <c r="K158" s="128"/>
    </row>
    <row r="159" spans="5:11" s="127" customFormat="1">
      <c r="E159" s="139"/>
      <c r="F159" s="139"/>
      <c r="G159" s="139"/>
      <c r="H159" s="139"/>
      <c r="J159" s="128"/>
      <c r="K159" s="128"/>
    </row>
    <row r="160" spans="5:11" s="127" customFormat="1">
      <c r="E160" s="139"/>
      <c r="F160" s="139"/>
      <c r="G160" s="139"/>
      <c r="H160" s="139"/>
      <c r="J160" s="128"/>
      <c r="K160" s="128"/>
    </row>
    <row r="161" spans="5:11" s="127" customFormat="1">
      <c r="E161" s="139"/>
      <c r="F161" s="139"/>
      <c r="G161" s="139"/>
      <c r="H161" s="139"/>
      <c r="J161" s="128"/>
      <c r="K161" s="128"/>
    </row>
    <row r="162" spans="5:11" s="127" customFormat="1">
      <c r="E162" s="139"/>
      <c r="F162" s="139"/>
      <c r="G162" s="139"/>
      <c r="H162" s="139"/>
      <c r="J162" s="128"/>
      <c r="K162" s="128"/>
    </row>
    <row r="163" spans="5:11" s="127" customFormat="1">
      <c r="E163" s="139"/>
      <c r="F163" s="139"/>
      <c r="G163" s="139"/>
      <c r="H163" s="139"/>
      <c r="J163" s="128"/>
      <c r="K163" s="128"/>
    </row>
    <row r="164" spans="5:11" s="127" customFormat="1">
      <c r="E164" s="139"/>
      <c r="F164" s="139"/>
      <c r="G164" s="139"/>
      <c r="H164" s="139"/>
      <c r="J164" s="128"/>
      <c r="K164" s="128"/>
    </row>
    <row r="165" spans="5:11" s="127" customFormat="1">
      <c r="E165" s="139"/>
      <c r="F165" s="139"/>
      <c r="G165" s="139"/>
      <c r="H165" s="139"/>
      <c r="J165" s="128"/>
      <c r="K165" s="128"/>
    </row>
    <row r="166" spans="5:11" s="127" customFormat="1">
      <c r="E166" s="139"/>
      <c r="F166" s="139"/>
      <c r="G166" s="139"/>
      <c r="H166" s="139"/>
      <c r="J166" s="128"/>
      <c r="K166" s="128"/>
    </row>
    <row r="167" spans="5:11" s="127" customFormat="1">
      <c r="E167" s="139"/>
      <c r="F167" s="139"/>
      <c r="G167" s="139"/>
      <c r="H167" s="139"/>
      <c r="J167" s="128"/>
      <c r="K167" s="128"/>
    </row>
    <row r="168" spans="5:11" s="127" customFormat="1">
      <c r="E168" s="139"/>
      <c r="F168" s="139"/>
      <c r="G168" s="139"/>
      <c r="H168" s="139"/>
      <c r="J168" s="128"/>
      <c r="K168" s="128"/>
    </row>
    <row r="169" spans="5:11" s="127" customFormat="1">
      <c r="E169" s="139"/>
      <c r="F169" s="139"/>
      <c r="G169" s="139"/>
      <c r="H169" s="139"/>
      <c r="J169" s="128"/>
      <c r="K169" s="128"/>
    </row>
    <row r="170" spans="5:11" s="127" customFormat="1">
      <c r="E170" s="139"/>
      <c r="F170" s="139"/>
      <c r="G170" s="139"/>
      <c r="H170" s="139"/>
      <c r="J170" s="128"/>
      <c r="K170" s="128"/>
    </row>
    <row r="171" spans="5:11" s="127" customFormat="1">
      <c r="E171" s="139"/>
      <c r="F171" s="139"/>
      <c r="G171" s="139"/>
      <c r="H171" s="139"/>
      <c r="J171" s="128"/>
      <c r="K171" s="128"/>
    </row>
    <row r="172" spans="5:11" s="127" customFormat="1">
      <c r="E172" s="139"/>
      <c r="F172" s="139"/>
      <c r="G172" s="139"/>
      <c r="H172" s="139"/>
      <c r="J172" s="128"/>
      <c r="K172" s="128"/>
    </row>
    <row r="173" spans="5:11" s="127" customFormat="1">
      <c r="E173" s="139"/>
      <c r="F173" s="139"/>
      <c r="G173" s="139"/>
      <c r="H173" s="139"/>
      <c r="J173" s="128"/>
      <c r="K173" s="128"/>
    </row>
    <row r="174" spans="5:11" s="127" customFormat="1">
      <c r="E174" s="139"/>
      <c r="F174" s="139"/>
      <c r="G174" s="139"/>
      <c r="H174" s="139"/>
      <c r="J174" s="128"/>
      <c r="K174" s="128"/>
    </row>
    <row r="175" spans="5:11" s="127" customFormat="1">
      <c r="E175" s="139"/>
      <c r="F175" s="139"/>
      <c r="G175" s="139"/>
      <c r="H175" s="139"/>
      <c r="J175" s="128"/>
      <c r="K175" s="128"/>
    </row>
    <row r="176" spans="5:11" s="127" customFormat="1">
      <c r="E176" s="139"/>
      <c r="F176" s="139"/>
      <c r="G176" s="139"/>
      <c r="H176" s="139"/>
      <c r="J176" s="128"/>
      <c r="K176" s="128"/>
    </row>
    <row r="177" spans="5:11" s="127" customFormat="1">
      <c r="E177" s="139"/>
      <c r="F177" s="139"/>
      <c r="G177" s="139"/>
      <c r="H177" s="139"/>
      <c r="J177" s="128"/>
      <c r="K177" s="128"/>
    </row>
    <row r="178" spans="5:11" s="127" customFormat="1">
      <c r="E178" s="139"/>
      <c r="F178" s="139"/>
      <c r="G178" s="139"/>
      <c r="H178" s="139"/>
      <c r="J178" s="128"/>
      <c r="K178" s="128"/>
    </row>
    <row r="179" spans="5:11" s="127" customFormat="1">
      <c r="E179" s="139"/>
      <c r="F179" s="139"/>
      <c r="G179" s="139"/>
      <c r="H179" s="139"/>
      <c r="J179" s="128"/>
      <c r="K179" s="128"/>
    </row>
    <row r="180" spans="5:11" s="127" customFormat="1">
      <c r="E180" s="139"/>
      <c r="F180" s="139"/>
      <c r="G180" s="139"/>
      <c r="H180" s="139"/>
      <c r="J180" s="128"/>
      <c r="K180" s="128"/>
    </row>
    <row r="181" spans="5:11" s="127" customFormat="1">
      <c r="E181" s="139"/>
      <c r="F181" s="139"/>
      <c r="G181" s="139"/>
      <c r="H181" s="139"/>
      <c r="J181" s="128"/>
      <c r="K181" s="128"/>
    </row>
    <row r="182" spans="5:11" s="127" customFormat="1">
      <c r="E182" s="139"/>
      <c r="F182" s="139"/>
      <c r="G182" s="139"/>
      <c r="H182" s="139"/>
      <c r="J182" s="128"/>
      <c r="K182" s="128"/>
    </row>
    <row r="183" spans="5:11" s="127" customFormat="1">
      <c r="E183" s="139"/>
      <c r="F183" s="139"/>
      <c r="G183" s="139"/>
      <c r="H183" s="139"/>
      <c r="J183" s="128"/>
      <c r="K183" s="128"/>
    </row>
    <row r="184" spans="5:11" s="127" customFormat="1">
      <c r="E184" s="139"/>
      <c r="F184" s="139"/>
      <c r="G184" s="139"/>
      <c r="H184" s="139"/>
      <c r="J184" s="128"/>
      <c r="K184" s="128"/>
    </row>
    <row r="185" spans="5:11" s="127" customFormat="1">
      <c r="E185" s="139"/>
      <c r="F185" s="139"/>
      <c r="G185" s="139"/>
      <c r="H185" s="139"/>
      <c r="J185" s="128"/>
      <c r="K185" s="128"/>
    </row>
    <row r="186" spans="5:11" s="127" customFormat="1">
      <c r="E186" s="139"/>
      <c r="F186" s="139"/>
      <c r="G186" s="139"/>
      <c r="H186" s="139"/>
      <c r="J186" s="128"/>
      <c r="K186" s="128"/>
    </row>
    <row r="187" spans="5:11" s="127" customFormat="1">
      <c r="E187" s="139"/>
      <c r="F187" s="139"/>
      <c r="G187" s="139"/>
      <c r="H187" s="139"/>
      <c r="J187" s="128"/>
      <c r="K187" s="128"/>
    </row>
    <row r="188" spans="5:11" s="127" customFormat="1">
      <c r="E188" s="139"/>
      <c r="F188" s="139"/>
      <c r="G188" s="139"/>
      <c r="H188" s="139"/>
      <c r="J188" s="128"/>
      <c r="K188" s="128"/>
    </row>
    <row r="189" spans="5:11" s="127" customFormat="1">
      <c r="E189" s="139"/>
      <c r="F189" s="139"/>
      <c r="G189" s="139"/>
      <c r="H189" s="139"/>
      <c r="J189" s="128"/>
      <c r="K189" s="128"/>
    </row>
    <row r="190" spans="5:11" s="127" customFormat="1">
      <c r="E190" s="139"/>
      <c r="F190" s="139"/>
      <c r="G190" s="139"/>
      <c r="H190" s="139"/>
      <c r="J190" s="128"/>
      <c r="K190" s="128"/>
    </row>
    <row r="191" spans="5:11" s="127" customFormat="1">
      <c r="E191" s="139"/>
      <c r="F191" s="139"/>
      <c r="G191" s="139"/>
      <c r="H191" s="139"/>
      <c r="J191" s="128"/>
      <c r="K191" s="128"/>
    </row>
    <row r="192" spans="5:11" s="127" customFormat="1">
      <c r="E192" s="139"/>
      <c r="F192" s="139"/>
      <c r="G192" s="139"/>
      <c r="H192" s="139"/>
      <c r="J192" s="128"/>
      <c r="K192" s="128"/>
    </row>
    <row r="193" spans="5:11" s="127" customFormat="1">
      <c r="E193" s="139"/>
      <c r="F193" s="139"/>
      <c r="G193" s="139"/>
      <c r="H193" s="139"/>
      <c r="J193" s="128"/>
      <c r="K193" s="128"/>
    </row>
    <row r="194" spans="5:11" s="127" customFormat="1">
      <c r="E194" s="139"/>
      <c r="F194" s="139"/>
      <c r="G194" s="139"/>
      <c r="H194" s="139"/>
      <c r="J194" s="128"/>
      <c r="K194" s="128"/>
    </row>
    <row r="195" spans="5:11" s="127" customFormat="1">
      <c r="E195" s="139"/>
      <c r="F195" s="139"/>
      <c r="G195" s="139"/>
      <c r="H195" s="139"/>
      <c r="J195" s="128"/>
      <c r="K195" s="128"/>
    </row>
    <row r="196" spans="5:11" s="127" customFormat="1">
      <c r="E196" s="139"/>
      <c r="F196" s="139"/>
      <c r="G196" s="139"/>
      <c r="H196" s="139"/>
      <c r="J196" s="128"/>
      <c r="K196" s="128"/>
    </row>
    <row r="197" spans="5:11" s="127" customFormat="1">
      <c r="E197" s="139"/>
      <c r="F197" s="139"/>
      <c r="G197" s="139"/>
      <c r="H197" s="139"/>
      <c r="J197" s="128"/>
      <c r="K197" s="128"/>
    </row>
    <row r="198" spans="5:11" s="127" customFormat="1">
      <c r="E198" s="139"/>
      <c r="F198" s="139"/>
      <c r="G198" s="139"/>
      <c r="H198" s="139"/>
      <c r="J198" s="128"/>
      <c r="K198" s="128"/>
    </row>
    <row r="199" spans="5:11" s="127" customFormat="1">
      <c r="E199" s="139"/>
      <c r="F199" s="139"/>
      <c r="G199" s="139"/>
      <c r="H199" s="139"/>
      <c r="J199" s="128"/>
      <c r="K199" s="128"/>
    </row>
    <row r="200" spans="5:11" s="127" customFormat="1">
      <c r="E200" s="139"/>
      <c r="F200" s="139"/>
      <c r="G200" s="139"/>
      <c r="H200" s="139"/>
      <c r="J200" s="128"/>
      <c r="K200" s="128"/>
    </row>
    <row r="201" spans="5:11" s="127" customFormat="1">
      <c r="E201" s="139"/>
      <c r="F201" s="139"/>
      <c r="G201" s="139"/>
      <c r="H201" s="139"/>
      <c r="J201" s="128"/>
      <c r="K201" s="128"/>
    </row>
    <row r="202" spans="5:11" s="127" customFormat="1">
      <c r="E202" s="139"/>
      <c r="F202" s="139"/>
      <c r="G202" s="139"/>
      <c r="H202" s="139"/>
      <c r="J202" s="128"/>
      <c r="K202" s="128"/>
    </row>
    <row r="203" spans="5:11" s="127" customFormat="1">
      <c r="E203" s="139"/>
      <c r="F203" s="139"/>
      <c r="G203" s="139"/>
      <c r="H203" s="139"/>
      <c r="J203" s="128"/>
      <c r="K203" s="128"/>
    </row>
    <row r="204" spans="5:11" s="127" customFormat="1">
      <c r="E204" s="139"/>
      <c r="F204" s="139"/>
      <c r="G204" s="139"/>
      <c r="H204" s="139"/>
      <c r="J204" s="128"/>
      <c r="K204" s="128"/>
    </row>
    <row r="205" spans="5:11" s="127" customFormat="1">
      <c r="E205" s="139"/>
      <c r="F205" s="139"/>
      <c r="G205" s="139"/>
      <c r="H205" s="139"/>
      <c r="J205" s="128"/>
      <c r="K205" s="128"/>
    </row>
    <row r="206" spans="5:11" s="127" customFormat="1">
      <c r="E206" s="139"/>
      <c r="F206" s="139"/>
      <c r="G206" s="139"/>
      <c r="H206" s="139"/>
      <c r="J206" s="128"/>
      <c r="K206" s="128"/>
    </row>
    <row r="207" spans="5:11" s="127" customFormat="1">
      <c r="E207" s="139"/>
      <c r="F207" s="139"/>
      <c r="G207" s="139"/>
      <c r="H207" s="139"/>
      <c r="J207" s="128"/>
      <c r="K207" s="128"/>
    </row>
    <row r="208" spans="5:11" s="127" customFormat="1">
      <c r="E208" s="139"/>
      <c r="F208" s="139"/>
      <c r="G208" s="139"/>
      <c r="H208" s="139"/>
      <c r="J208" s="128"/>
      <c r="K208" s="128"/>
    </row>
    <row r="209" spans="5:11" s="127" customFormat="1">
      <c r="E209" s="139"/>
      <c r="F209" s="139"/>
      <c r="G209" s="139"/>
      <c r="H209" s="139"/>
      <c r="J209" s="128"/>
      <c r="K209" s="128"/>
    </row>
    <row r="210" spans="5:11" s="127" customFormat="1">
      <c r="E210" s="139"/>
      <c r="F210" s="139"/>
      <c r="G210" s="139"/>
      <c r="H210" s="139"/>
      <c r="J210" s="128"/>
      <c r="K210" s="128"/>
    </row>
    <row r="211" spans="5:11" s="127" customFormat="1">
      <c r="E211" s="139"/>
      <c r="F211" s="139"/>
      <c r="G211" s="139"/>
      <c r="H211" s="139"/>
      <c r="J211" s="128"/>
      <c r="K211" s="128"/>
    </row>
    <row r="212" spans="5:11" s="127" customFormat="1">
      <c r="E212" s="139"/>
      <c r="F212" s="139"/>
      <c r="G212" s="139"/>
      <c r="H212" s="139"/>
      <c r="J212" s="128"/>
      <c r="K212" s="128"/>
    </row>
    <row r="213" spans="5:11" s="127" customFormat="1">
      <c r="E213" s="139"/>
      <c r="F213" s="139"/>
      <c r="G213" s="139"/>
      <c r="H213" s="139"/>
      <c r="J213" s="128"/>
      <c r="K213" s="128"/>
    </row>
    <row r="214" spans="5:11" s="127" customFormat="1">
      <c r="E214" s="139"/>
      <c r="F214" s="139"/>
      <c r="G214" s="139"/>
      <c r="H214" s="139"/>
      <c r="J214" s="128"/>
      <c r="K214" s="128"/>
    </row>
    <row r="215" spans="5:11" s="127" customFormat="1">
      <c r="E215" s="139"/>
      <c r="F215" s="139"/>
      <c r="G215" s="139"/>
      <c r="H215" s="139"/>
      <c r="J215" s="128"/>
      <c r="K215" s="128"/>
    </row>
    <row r="216" spans="5:11" s="127" customFormat="1">
      <c r="E216" s="139"/>
      <c r="F216" s="139"/>
      <c r="G216" s="139"/>
      <c r="H216" s="139"/>
      <c r="J216" s="128"/>
      <c r="K216" s="128"/>
    </row>
    <row r="217" spans="5:11" s="127" customFormat="1">
      <c r="E217" s="139"/>
      <c r="F217" s="139"/>
      <c r="G217" s="139"/>
      <c r="H217" s="139"/>
      <c r="J217" s="128"/>
      <c r="K217" s="128"/>
    </row>
    <row r="218" spans="5:11" s="127" customFormat="1">
      <c r="E218" s="139"/>
      <c r="F218" s="139"/>
      <c r="G218" s="139"/>
      <c r="H218" s="139"/>
      <c r="J218" s="128"/>
      <c r="K218" s="128"/>
    </row>
    <row r="219" spans="5:11" s="127" customFormat="1">
      <c r="E219" s="139"/>
      <c r="F219" s="139"/>
      <c r="G219" s="139"/>
      <c r="H219" s="139"/>
      <c r="J219" s="128"/>
      <c r="K219" s="128"/>
    </row>
    <row r="220" spans="5:11" s="127" customFormat="1">
      <c r="E220" s="139"/>
      <c r="F220" s="139"/>
      <c r="G220" s="139"/>
      <c r="H220" s="139"/>
      <c r="J220" s="128"/>
      <c r="K220" s="128"/>
    </row>
    <row r="221" spans="5:11" s="127" customFormat="1">
      <c r="E221" s="139"/>
      <c r="F221" s="139"/>
      <c r="G221" s="139"/>
      <c r="H221" s="139"/>
      <c r="J221" s="128"/>
      <c r="K221" s="128"/>
    </row>
    <row r="222" spans="5:11" s="127" customFormat="1">
      <c r="E222" s="139"/>
      <c r="F222" s="139"/>
      <c r="G222" s="139"/>
      <c r="H222" s="139"/>
      <c r="J222" s="128"/>
      <c r="K222" s="128"/>
    </row>
    <row r="223" spans="5:11" s="127" customFormat="1">
      <c r="E223" s="139"/>
      <c r="F223" s="139"/>
      <c r="G223" s="139"/>
      <c r="H223" s="139"/>
      <c r="J223" s="128"/>
      <c r="K223" s="128"/>
    </row>
    <row r="224" spans="5:11" s="127" customFormat="1">
      <c r="E224" s="139"/>
      <c r="F224" s="139"/>
      <c r="G224" s="139"/>
      <c r="H224" s="139"/>
      <c r="J224" s="128"/>
      <c r="K224" s="128"/>
    </row>
    <row r="225" spans="5:11" s="127" customFormat="1">
      <c r="E225" s="139"/>
      <c r="F225" s="139"/>
      <c r="G225" s="139"/>
      <c r="H225" s="139"/>
      <c r="J225" s="128"/>
      <c r="K225" s="128"/>
    </row>
    <row r="226" spans="5:11" s="127" customFormat="1">
      <c r="E226" s="139"/>
      <c r="F226" s="139"/>
      <c r="G226" s="139"/>
      <c r="H226" s="139"/>
      <c r="J226" s="128"/>
      <c r="K226" s="128"/>
    </row>
    <row r="227" spans="5:11" s="127" customFormat="1">
      <c r="E227" s="139"/>
      <c r="F227" s="139"/>
      <c r="G227" s="139"/>
      <c r="H227" s="139"/>
      <c r="J227" s="128"/>
      <c r="K227" s="128"/>
    </row>
    <row r="228" spans="5:11" s="127" customFormat="1">
      <c r="E228" s="139"/>
      <c r="F228" s="139"/>
      <c r="G228" s="139"/>
      <c r="H228" s="139"/>
      <c r="J228" s="128"/>
      <c r="K228" s="128"/>
    </row>
    <row r="229" spans="5:11" s="127" customFormat="1">
      <c r="E229" s="139"/>
      <c r="F229" s="139"/>
      <c r="G229" s="139"/>
      <c r="H229" s="139"/>
      <c r="J229" s="128"/>
      <c r="K229" s="128"/>
    </row>
    <row r="230" spans="5:11" s="127" customFormat="1">
      <c r="E230" s="139"/>
      <c r="F230" s="139"/>
      <c r="G230" s="139"/>
      <c r="H230" s="139"/>
      <c r="J230" s="128"/>
      <c r="K230" s="128"/>
    </row>
    <row r="231" spans="5:11" s="127" customFormat="1">
      <c r="E231" s="139"/>
      <c r="F231" s="139"/>
      <c r="G231" s="139"/>
      <c r="H231" s="139"/>
      <c r="J231" s="128"/>
      <c r="K231" s="128"/>
    </row>
    <row r="232" spans="5:11" s="127" customFormat="1">
      <c r="E232" s="139"/>
      <c r="F232" s="139"/>
      <c r="G232" s="139"/>
      <c r="H232" s="139"/>
      <c r="J232" s="128"/>
      <c r="K232" s="128"/>
    </row>
    <row r="233" spans="5:11" s="127" customFormat="1">
      <c r="E233" s="139"/>
      <c r="F233" s="139"/>
      <c r="G233" s="139"/>
      <c r="H233" s="139"/>
      <c r="J233" s="128"/>
      <c r="K233" s="128"/>
    </row>
    <row r="234" spans="5:11" s="127" customFormat="1">
      <c r="E234" s="139"/>
      <c r="F234" s="139"/>
      <c r="G234" s="139"/>
      <c r="H234" s="139"/>
      <c r="J234" s="128"/>
      <c r="K234" s="128"/>
    </row>
    <row r="235" spans="5:11" s="127" customFormat="1">
      <c r="E235" s="139"/>
      <c r="F235" s="139"/>
      <c r="G235" s="139"/>
      <c r="H235" s="139"/>
      <c r="J235" s="128"/>
      <c r="K235" s="128"/>
    </row>
    <row r="236" spans="5:11" s="127" customFormat="1">
      <c r="E236" s="139"/>
      <c r="F236" s="139"/>
      <c r="G236" s="139"/>
      <c r="H236" s="139"/>
      <c r="J236" s="128"/>
      <c r="K236" s="128"/>
    </row>
    <row r="237" spans="5:11" s="127" customFormat="1">
      <c r="E237" s="139"/>
      <c r="F237" s="139"/>
      <c r="G237" s="139"/>
      <c r="H237" s="139"/>
      <c r="J237" s="128"/>
      <c r="K237" s="128"/>
    </row>
    <row r="238" spans="5:11" s="127" customFormat="1">
      <c r="E238" s="139"/>
      <c r="F238" s="139"/>
      <c r="G238" s="139"/>
      <c r="H238" s="139"/>
      <c r="J238" s="128"/>
      <c r="K238" s="128"/>
    </row>
    <row r="239" spans="5:11" s="127" customFormat="1">
      <c r="E239" s="139"/>
      <c r="F239" s="139"/>
      <c r="G239" s="139"/>
      <c r="H239" s="139"/>
      <c r="J239" s="128"/>
      <c r="K239" s="128"/>
    </row>
    <row r="240" spans="5:11" s="127" customFormat="1">
      <c r="E240" s="139"/>
      <c r="F240" s="139"/>
      <c r="G240" s="139"/>
      <c r="H240" s="139"/>
      <c r="J240" s="128"/>
      <c r="K240" s="128"/>
    </row>
    <row r="241" spans="5:11" s="127" customFormat="1">
      <c r="E241" s="139"/>
      <c r="F241" s="139"/>
      <c r="G241" s="139"/>
      <c r="H241" s="139"/>
      <c r="J241" s="128"/>
      <c r="K241" s="128"/>
    </row>
    <row r="242" spans="5:11" s="127" customFormat="1">
      <c r="E242" s="139"/>
      <c r="F242" s="139"/>
      <c r="G242" s="139"/>
      <c r="H242" s="139"/>
      <c r="J242" s="128"/>
      <c r="K242" s="128"/>
    </row>
    <row r="243" spans="5:11" s="127" customFormat="1">
      <c r="E243" s="139"/>
      <c r="F243" s="139"/>
      <c r="G243" s="139"/>
      <c r="H243" s="139"/>
      <c r="J243" s="128"/>
      <c r="K243" s="128"/>
    </row>
    <row r="244" spans="5:11" s="127" customFormat="1">
      <c r="E244" s="139"/>
      <c r="F244" s="139"/>
      <c r="G244" s="139"/>
      <c r="H244" s="139"/>
      <c r="J244" s="128"/>
      <c r="K244" s="128"/>
    </row>
    <row r="245" spans="5:11" s="127" customFormat="1">
      <c r="E245" s="139"/>
      <c r="F245" s="139"/>
      <c r="G245" s="139"/>
      <c r="H245" s="139"/>
      <c r="J245" s="128"/>
      <c r="K245" s="128"/>
    </row>
    <row r="246" spans="5:11" s="127" customFormat="1">
      <c r="E246" s="139"/>
      <c r="F246" s="139"/>
      <c r="G246" s="139"/>
      <c r="H246" s="139"/>
      <c r="J246" s="128"/>
      <c r="K246" s="128"/>
    </row>
    <row r="247" spans="5:11" s="127" customFormat="1">
      <c r="E247" s="139"/>
      <c r="F247" s="139"/>
      <c r="G247" s="139"/>
      <c r="H247" s="139"/>
      <c r="J247" s="128"/>
      <c r="K247" s="128"/>
    </row>
    <row r="248" spans="5:11" s="127" customFormat="1">
      <c r="E248" s="139"/>
      <c r="F248" s="139"/>
      <c r="G248" s="139"/>
      <c r="H248" s="139"/>
      <c r="J248" s="128"/>
      <c r="K248" s="128"/>
    </row>
    <row r="249" spans="5:11" s="127" customFormat="1">
      <c r="E249" s="139"/>
      <c r="F249" s="139"/>
      <c r="G249" s="139"/>
      <c r="H249" s="139"/>
      <c r="J249" s="128"/>
      <c r="K249" s="128"/>
    </row>
    <row r="250" spans="5:11" s="127" customFormat="1">
      <c r="E250" s="139"/>
      <c r="F250" s="139"/>
      <c r="G250" s="139"/>
      <c r="H250" s="139"/>
      <c r="J250" s="128"/>
      <c r="K250" s="128"/>
    </row>
    <row r="251" spans="5:11" s="127" customFormat="1">
      <c r="E251" s="139"/>
      <c r="F251" s="139"/>
      <c r="G251" s="139"/>
      <c r="H251" s="139"/>
      <c r="J251" s="128"/>
      <c r="K251" s="128"/>
    </row>
    <row r="252" spans="5:11" s="127" customFormat="1">
      <c r="E252" s="139"/>
      <c r="F252" s="139"/>
      <c r="G252" s="139"/>
      <c r="H252" s="139"/>
      <c r="J252" s="128"/>
      <c r="K252" s="128"/>
    </row>
    <row r="253" spans="5:11" s="127" customFormat="1">
      <c r="E253" s="139"/>
      <c r="F253" s="139"/>
      <c r="G253" s="139"/>
      <c r="H253" s="139"/>
      <c r="J253" s="128"/>
      <c r="K253" s="128"/>
    </row>
    <row r="254" spans="5:11" s="127" customFormat="1">
      <c r="E254" s="139"/>
      <c r="F254" s="139"/>
      <c r="G254" s="139"/>
      <c r="H254" s="139"/>
      <c r="J254" s="128"/>
      <c r="K254" s="128"/>
    </row>
    <row r="255" spans="5:11" s="127" customFormat="1">
      <c r="E255" s="139"/>
      <c r="F255" s="139"/>
      <c r="G255" s="139"/>
      <c r="H255" s="139"/>
      <c r="J255" s="128"/>
      <c r="K255" s="128"/>
    </row>
    <row r="256" spans="5:11" s="127" customFormat="1">
      <c r="E256" s="139"/>
      <c r="F256" s="139"/>
      <c r="G256" s="139"/>
      <c r="H256" s="139"/>
      <c r="J256" s="128"/>
      <c r="K256" s="128"/>
    </row>
    <row r="257" spans="5:11" s="127" customFormat="1">
      <c r="E257" s="139"/>
      <c r="F257" s="139"/>
      <c r="G257" s="139"/>
      <c r="H257" s="139"/>
      <c r="J257" s="128"/>
      <c r="K257" s="128"/>
    </row>
    <row r="258" spans="5:11" s="127" customFormat="1">
      <c r="E258" s="139"/>
      <c r="F258" s="139"/>
      <c r="G258" s="139"/>
      <c r="H258" s="139"/>
      <c r="J258" s="128"/>
      <c r="K258" s="128"/>
    </row>
    <row r="259" spans="5:11" s="127" customFormat="1">
      <c r="E259" s="139"/>
      <c r="F259" s="139"/>
      <c r="G259" s="139"/>
      <c r="H259" s="139"/>
      <c r="J259" s="128"/>
      <c r="K259" s="128"/>
    </row>
    <row r="260" spans="5:11" s="127" customFormat="1">
      <c r="E260" s="139"/>
      <c r="F260" s="139"/>
      <c r="G260" s="139"/>
      <c r="H260" s="139"/>
      <c r="J260" s="128"/>
      <c r="K260" s="128"/>
    </row>
    <row r="261" spans="5:11" s="127" customFormat="1">
      <c r="E261" s="139"/>
      <c r="F261" s="139"/>
      <c r="G261" s="139"/>
      <c r="H261" s="139"/>
      <c r="J261" s="128"/>
      <c r="K261" s="128"/>
    </row>
    <row r="262" spans="5:11" s="127" customFormat="1">
      <c r="E262" s="139"/>
      <c r="F262" s="139"/>
      <c r="G262" s="139"/>
      <c r="H262" s="139"/>
      <c r="J262" s="128"/>
      <c r="K262" s="128"/>
    </row>
    <row r="263" spans="5:11" s="127" customFormat="1">
      <c r="E263" s="139"/>
      <c r="F263" s="139"/>
      <c r="G263" s="139"/>
      <c r="H263" s="139"/>
      <c r="J263" s="128"/>
      <c r="K263" s="128"/>
    </row>
    <row r="264" spans="5:11" s="127" customFormat="1">
      <c r="E264" s="139"/>
      <c r="F264" s="139"/>
      <c r="G264" s="139"/>
      <c r="H264" s="139"/>
      <c r="J264" s="128"/>
      <c r="K264" s="128"/>
    </row>
    <row r="265" spans="5:11" s="127" customFormat="1">
      <c r="E265" s="139"/>
      <c r="F265" s="139"/>
      <c r="G265" s="139"/>
      <c r="H265" s="139"/>
      <c r="J265" s="128"/>
      <c r="K265" s="128"/>
    </row>
    <row r="266" spans="5:11" s="127" customFormat="1">
      <c r="E266" s="139"/>
      <c r="F266" s="139"/>
      <c r="G266" s="139"/>
      <c r="H266" s="139"/>
      <c r="J266" s="128"/>
      <c r="K266" s="128"/>
    </row>
    <row r="267" spans="5:11" s="127" customFormat="1">
      <c r="E267" s="139"/>
      <c r="F267" s="139"/>
      <c r="G267" s="139"/>
      <c r="H267" s="139"/>
      <c r="J267" s="128"/>
      <c r="K267" s="128"/>
    </row>
    <row r="268" spans="5:11" s="127" customFormat="1">
      <c r="E268" s="139"/>
      <c r="F268" s="139"/>
      <c r="G268" s="139"/>
      <c r="H268" s="139"/>
      <c r="J268" s="128"/>
      <c r="K268" s="128"/>
    </row>
    <row r="269" spans="5:11" s="127" customFormat="1">
      <c r="E269" s="139"/>
      <c r="F269" s="139"/>
      <c r="G269" s="139"/>
      <c r="H269" s="139"/>
      <c r="J269" s="128"/>
      <c r="K269" s="128"/>
    </row>
    <row r="270" spans="5:11" s="127" customFormat="1">
      <c r="E270" s="139"/>
      <c r="F270" s="139"/>
      <c r="G270" s="139"/>
      <c r="H270" s="139"/>
      <c r="J270" s="128"/>
      <c r="K270" s="128"/>
    </row>
    <row r="271" spans="5:11" s="127" customFormat="1">
      <c r="E271" s="139"/>
      <c r="F271" s="139"/>
      <c r="G271" s="139"/>
      <c r="H271" s="139"/>
      <c r="J271" s="128"/>
      <c r="K271" s="128"/>
    </row>
    <row r="272" spans="5:11" s="127" customFormat="1">
      <c r="E272" s="139"/>
      <c r="F272" s="139"/>
      <c r="G272" s="139"/>
      <c r="H272" s="139"/>
      <c r="J272" s="128"/>
      <c r="K272" s="128"/>
    </row>
    <row r="273" spans="5:11" s="127" customFormat="1">
      <c r="E273" s="139"/>
      <c r="F273" s="139"/>
      <c r="G273" s="139"/>
      <c r="H273" s="139"/>
      <c r="J273" s="128"/>
      <c r="K273" s="128"/>
    </row>
    <row r="274" spans="5:11" s="127" customFormat="1">
      <c r="E274" s="139"/>
      <c r="F274" s="139"/>
      <c r="G274" s="139"/>
      <c r="H274" s="139"/>
      <c r="J274" s="128"/>
      <c r="K274" s="128"/>
    </row>
    <row r="275" spans="5:11" s="127" customFormat="1">
      <c r="E275" s="139"/>
      <c r="F275" s="139"/>
      <c r="G275" s="139"/>
      <c r="H275" s="139"/>
      <c r="J275" s="128"/>
      <c r="K275" s="128"/>
    </row>
    <row r="276" spans="5:11" s="127" customFormat="1">
      <c r="E276" s="139"/>
      <c r="F276" s="139"/>
      <c r="G276" s="139"/>
      <c r="H276" s="139"/>
      <c r="J276" s="128"/>
      <c r="K276" s="128"/>
    </row>
    <row r="277" spans="5:11" s="127" customFormat="1">
      <c r="E277" s="139"/>
      <c r="F277" s="139"/>
      <c r="G277" s="139"/>
      <c r="H277" s="139"/>
      <c r="J277" s="128"/>
      <c r="K277" s="128"/>
    </row>
    <row r="278" spans="5:11" s="127" customFormat="1">
      <c r="E278" s="139"/>
      <c r="F278" s="139"/>
      <c r="G278" s="139"/>
      <c r="H278" s="139"/>
      <c r="J278" s="128"/>
      <c r="K278" s="128"/>
    </row>
    <row r="279" spans="5:11" s="127" customFormat="1">
      <c r="E279" s="139"/>
      <c r="F279" s="139"/>
      <c r="G279" s="139"/>
      <c r="H279" s="139"/>
      <c r="J279" s="128"/>
      <c r="K279" s="128"/>
    </row>
    <row r="280" spans="5:11" s="127" customFormat="1">
      <c r="E280" s="139"/>
      <c r="F280" s="139"/>
      <c r="G280" s="139"/>
      <c r="H280" s="139"/>
      <c r="J280" s="128"/>
      <c r="K280" s="128"/>
    </row>
    <row r="281" spans="5:11" s="127" customFormat="1">
      <c r="E281" s="139"/>
      <c r="F281" s="139"/>
      <c r="G281" s="139"/>
      <c r="H281" s="139"/>
      <c r="J281" s="128"/>
      <c r="K281" s="128"/>
    </row>
    <row r="282" spans="5:11" s="127" customFormat="1">
      <c r="E282" s="139"/>
      <c r="F282" s="139"/>
      <c r="G282" s="139"/>
      <c r="H282" s="139"/>
      <c r="J282" s="128"/>
      <c r="K282" s="128"/>
    </row>
    <row r="283" spans="5:11" s="127" customFormat="1">
      <c r="E283" s="139"/>
      <c r="F283" s="139"/>
      <c r="G283" s="139"/>
      <c r="H283" s="139"/>
      <c r="J283" s="128"/>
      <c r="K283" s="128"/>
    </row>
    <row r="284" spans="5:11" s="127" customFormat="1">
      <c r="E284" s="139"/>
      <c r="F284" s="139"/>
      <c r="G284" s="139"/>
      <c r="H284" s="139"/>
      <c r="J284" s="128"/>
      <c r="K284" s="128"/>
    </row>
    <row r="285" spans="5:11" s="127" customFormat="1">
      <c r="E285" s="139"/>
      <c r="F285" s="139"/>
      <c r="G285" s="139"/>
      <c r="H285" s="139"/>
      <c r="J285" s="128"/>
      <c r="K285" s="128"/>
    </row>
    <row r="286" spans="5:11" s="127" customFormat="1">
      <c r="E286" s="139"/>
      <c r="F286" s="139"/>
      <c r="G286" s="139"/>
      <c r="H286" s="139"/>
      <c r="J286" s="128"/>
      <c r="K286" s="128"/>
    </row>
    <row r="287" spans="5:11" s="127" customFormat="1">
      <c r="E287" s="139"/>
      <c r="F287" s="139"/>
      <c r="G287" s="139"/>
      <c r="H287" s="139"/>
      <c r="J287" s="128"/>
      <c r="K287" s="128"/>
    </row>
    <row r="288" spans="5:11" s="127" customFormat="1">
      <c r="E288" s="139"/>
      <c r="F288" s="139"/>
      <c r="G288" s="139"/>
      <c r="H288" s="139"/>
      <c r="J288" s="128"/>
      <c r="K288" s="128"/>
    </row>
    <row r="289" spans="5:11" s="127" customFormat="1">
      <c r="E289" s="139"/>
      <c r="F289" s="139"/>
      <c r="G289" s="139"/>
      <c r="H289" s="139"/>
      <c r="J289" s="128"/>
      <c r="K289" s="128"/>
    </row>
    <row r="290" spans="5:11" s="127" customFormat="1">
      <c r="E290" s="139"/>
      <c r="F290" s="139"/>
      <c r="G290" s="139"/>
      <c r="H290" s="139"/>
      <c r="J290" s="128"/>
      <c r="K290" s="128"/>
    </row>
    <row r="291" spans="5:11" s="127" customFormat="1">
      <c r="E291" s="139"/>
      <c r="F291" s="139"/>
      <c r="G291" s="139"/>
      <c r="H291" s="139"/>
      <c r="J291" s="128"/>
      <c r="K291" s="128"/>
    </row>
    <row r="292" spans="5:11" s="127" customFormat="1">
      <c r="E292" s="139"/>
      <c r="F292" s="139"/>
      <c r="G292" s="139"/>
      <c r="H292" s="139"/>
      <c r="J292" s="128"/>
      <c r="K292" s="128"/>
    </row>
    <row r="293" spans="5:11" s="127" customFormat="1">
      <c r="E293" s="139"/>
      <c r="F293" s="139"/>
      <c r="G293" s="139"/>
      <c r="H293" s="139"/>
      <c r="J293" s="128"/>
      <c r="K293" s="128"/>
    </row>
    <row r="294" spans="5:11" s="127" customFormat="1">
      <c r="E294" s="139"/>
      <c r="F294" s="139"/>
      <c r="G294" s="139"/>
      <c r="H294" s="139"/>
      <c r="J294" s="128"/>
      <c r="K294" s="128"/>
    </row>
    <row r="295" spans="5:11" s="127" customFormat="1">
      <c r="E295" s="139"/>
      <c r="F295" s="139"/>
      <c r="G295" s="139"/>
      <c r="H295" s="139"/>
      <c r="J295" s="128"/>
      <c r="K295" s="128"/>
    </row>
    <row r="296" spans="5:11" s="127" customFormat="1">
      <c r="E296" s="139"/>
      <c r="F296" s="139"/>
      <c r="G296" s="139"/>
      <c r="H296" s="139"/>
      <c r="J296" s="128"/>
      <c r="K296" s="128"/>
    </row>
    <row r="297" spans="5:11" s="127" customFormat="1">
      <c r="E297" s="139"/>
      <c r="F297" s="139"/>
      <c r="G297" s="139"/>
      <c r="H297" s="139"/>
      <c r="J297" s="128"/>
      <c r="K297" s="128"/>
    </row>
    <row r="298" spans="5:11" s="127" customFormat="1">
      <c r="E298" s="139"/>
      <c r="F298" s="139"/>
      <c r="G298" s="139"/>
      <c r="H298" s="139"/>
      <c r="J298" s="128"/>
      <c r="K298" s="128"/>
    </row>
    <row r="299" spans="5:11" s="127" customFormat="1">
      <c r="E299" s="139"/>
      <c r="F299" s="139"/>
      <c r="G299" s="139"/>
      <c r="H299" s="139"/>
      <c r="J299" s="128"/>
      <c r="K299" s="128"/>
    </row>
    <row r="300" spans="5:11" s="127" customFormat="1">
      <c r="E300" s="139"/>
      <c r="F300" s="139"/>
      <c r="G300" s="139"/>
      <c r="H300" s="139"/>
      <c r="J300" s="128"/>
      <c r="K300" s="128"/>
    </row>
    <row r="301" spans="5:11" s="127" customFormat="1">
      <c r="E301" s="139"/>
      <c r="F301" s="139"/>
      <c r="G301" s="139"/>
      <c r="H301" s="139"/>
      <c r="J301" s="128"/>
      <c r="K301" s="128"/>
    </row>
    <row r="302" spans="5:11" s="127" customFormat="1">
      <c r="E302" s="139"/>
      <c r="F302" s="139"/>
      <c r="G302" s="139"/>
      <c r="H302" s="139"/>
      <c r="J302" s="128"/>
      <c r="K302" s="128"/>
    </row>
    <row r="303" spans="5:11" s="127" customFormat="1">
      <c r="E303" s="139"/>
      <c r="F303" s="139"/>
      <c r="G303" s="139"/>
      <c r="H303" s="139"/>
      <c r="J303" s="128"/>
      <c r="K303" s="128"/>
    </row>
    <row r="304" spans="5:11" s="127" customFormat="1">
      <c r="E304" s="139"/>
      <c r="F304" s="139"/>
      <c r="G304" s="139"/>
      <c r="H304" s="139"/>
      <c r="J304" s="128"/>
      <c r="K304" s="128"/>
    </row>
    <row r="305" spans="5:11" s="127" customFormat="1">
      <c r="E305" s="139"/>
      <c r="F305" s="139"/>
      <c r="G305" s="139"/>
      <c r="H305" s="139"/>
      <c r="J305" s="128"/>
      <c r="K305" s="128"/>
    </row>
    <row r="306" spans="5:11" s="127" customFormat="1">
      <c r="E306" s="139"/>
      <c r="F306" s="139"/>
      <c r="G306" s="139"/>
      <c r="H306" s="139"/>
      <c r="J306" s="128"/>
      <c r="K306" s="128"/>
    </row>
    <row r="307" spans="5:11" s="127" customFormat="1">
      <c r="E307" s="139"/>
      <c r="F307" s="139"/>
      <c r="G307" s="139"/>
      <c r="H307" s="139"/>
      <c r="J307" s="128"/>
      <c r="K307" s="128"/>
    </row>
    <row r="308" spans="5:11" s="127" customFormat="1">
      <c r="E308" s="139"/>
      <c r="F308" s="139"/>
      <c r="G308" s="139"/>
      <c r="H308" s="139"/>
      <c r="J308" s="128"/>
      <c r="K308" s="128"/>
    </row>
    <row r="309" spans="5:11" s="127" customFormat="1">
      <c r="E309" s="139"/>
      <c r="F309" s="139"/>
      <c r="G309" s="139"/>
      <c r="H309" s="139"/>
      <c r="J309" s="128"/>
      <c r="K309" s="128"/>
    </row>
    <row r="310" spans="5:11" s="127" customFormat="1">
      <c r="E310" s="139"/>
      <c r="F310" s="139"/>
      <c r="G310" s="139"/>
      <c r="H310" s="139"/>
      <c r="J310" s="128"/>
      <c r="K310" s="128"/>
    </row>
    <row r="311" spans="5:11" s="127" customFormat="1">
      <c r="E311" s="139"/>
      <c r="F311" s="139"/>
      <c r="G311" s="139"/>
      <c r="H311" s="139"/>
      <c r="J311" s="128"/>
      <c r="K311" s="128"/>
    </row>
    <row r="312" spans="5:11" s="127" customFormat="1">
      <c r="E312" s="139"/>
      <c r="F312" s="139"/>
      <c r="G312" s="139"/>
      <c r="H312" s="139"/>
      <c r="J312" s="128"/>
      <c r="K312" s="128"/>
    </row>
    <row r="313" spans="5:11" s="127" customFormat="1">
      <c r="E313" s="139"/>
      <c r="F313" s="139"/>
      <c r="G313" s="139"/>
      <c r="H313" s="139"/>
      <c r="J313" s="128"/>
      <c r="K313" s="128"/>
    </row>
    <row r="314" spans="5:11" s="127" customFormat="1">
      <c r="E314" s="139"/>
      <c r="F314" s="139"/>
      <c r="G314" s="139"/>
      <c r="H314" s="139"/>
      <c r="J314" s="128"/>
      <c r="K314" s="128"/>
    </row>
    <row r="315" spans="5:11" s="127" customFormat="1">
      <c r="E315" s="139"/>
      <c r="F315" s="139"/>
      <c r="G315" s="139"/>
      <c r="H315" s="139"/>
      <c r="J315" s="128"/>
      <c r="K315" s="128"/>
    </row>
    <row r="316" spans="5:11" s="127" customFormat="1">
      <c r="E316" s="139"/>
      <c r="F316" s="139"/>
      <c r="G316" s="139"/>
      <c r="H316" s="139"/>
      <c r="J316" s="128"/>
      <c r="K316" s="128"/>
    </row>
    <row r="317" spans="5:11" s="127" customFormat="1">
      <c r="E317" s="139"/>
      <c r="F317" s="139"/>
      <c r="G317" s="139"/>
      <c r="H317" s="139"/>
      <c r="J317" s="128"/>
      <c r="K317" s="128"/>
    </row>
    <row r="318" spans="5:11" s="127" customFormat="1">
      <c r="E318" s="139"/>
      <c r="F318" s="139"/>
      <c r="G318" s="139"/>
      <c r="H318" s="139"/>
      <c r="J318" s="128"/>
      <c r="K318" s="128"/>
    </row>
    <row r="319" spans="5:11" s="127" customFormat="1">
      <c r="E319" s="139"/>
      <c r="F319" s="139"/>
      <c r="G319" s="139"/>
      <c r="H319" s="139"/>
      <c r="J319" s="128"/>
      <c r="K319" s="128"/>
    </row>
    <row r="320" spans="5:11" s="127" customFormat="1">
      <c r="E320" s="139"/>
      <c r="F320" s="139"/>
      <c r="G320" s="139"/>
      <c r="H320" s="139"/>
      <c r="J320" s="128"/>
      <c r="K320" s="128"/>
    </row>
    <row r="321" spans="5:11" s="127" customFormat="1">
      <c r="E321" s="139"/>
      <c r="F321" s="139"/>
      <c r="G321" s="139"/>
      <c r="H321" s="139"/>
      <c r="J321" s="128"/>
      <c r="K321" s="128"/>
    </row>
    <row r="322" spans="5:11" s="127" customFormat="1">
      <c r="E322" s="139"/>
      <c r="F322" s="139"/>
      <c r="G322" s="139"/>
      <c r="H322" s="139"/>
      <c r="J322" s="128"/>
      <c r="K322" s="128"/>
    </row>
    <row r="323" spans="5:11" s="127" customFormat="1">
      <c r="E323" s="139"/>
      <c r="F323" s="139"/>
      <c r="G323" s="139"/>
      <c r="H323" s="139"/>
      <c r="J323" s="128"/>
      <c r="K323" s="128"/>
    </row>
    <row r="324" spans="5:11" s="127" customFormat="1">
      <c r="E324" s="139"/>
      <c r="F324" s="139"/>
      <c r="G324" s="139"/>
      <c r="H324" s="139"/>
      <c r="J324" s="128"/>
      <c r="K324" s="128"/>
    </row>
    <row r="325" spans="5:11" s="127" customFormat="1">
      <c r="E325" s="139"/>
      <c r="F325" s="139"/>
      <c r="G325" s="139"/>
      <c r="H325" s="139"/>
      <c r="J325" s="128"/>
      <c r="K325" s="128"/>
    </row>
    <row r="326" spans="5:11" s="127" customFormat="1">
      <c r="E326" s="139"/>
      <c r="F326" s="139"/>
      <c r="G326" s="139"/>
      <c r="H326" s="139"/>
      <c r="J326" s="128"/>
      <c r="K326" s="128"/>
    </row>
    <row r="327" spans="5:11" s="127" customFormat="1">
      <c r="E327" s="139"/>
      <c r="F327" s="139"/>
      <c r="G327" s="139"/>
      <c r="H327" s="139"/>
      <c r="J327" s="128"/>
      <c r="K327" s="128"/>
    </row>
    <row r="328" spans="5:11" s="127" customFormat="1">
      <c r="E328" s="139"/>
      <c r="F328" s="139"/>
      <c r="G328" s="139"/>
      <c r="H328" s="139"/>
      <c r="J328" s="128"/>
      <c r="K328" s="128"/>
    </row>
    <row r="329" spans="5:11" s="127" customFormat="1">
      <c r="E329" s="139"/>
      <c r="F329" s="139"/>
      <c r="G329" s="139"/>
      <c r="H329" s="139"/>
      <c r="J329" s="128"/>
      <c r="K329" s="128"/>
    </row>
    <row r="330" spans="5:11" s="127" customFormat="1">
      <c r="E330" s="139"/>
      <c r="F330" s="139"/>
      <c r="G330" s="139"/>
      <c r="H330" s="139"/>
      <c r="J330" s="128"/>
      <c r="K330" s="128"/>
    </row>
    <row r="331" spans="5:11" s="127" customFormat="1">
      <c r="E331" s="139"/>
      <c r="F331" s="139"/>
      <c r="G331" s="139"/>
      <c r="H331" s="139"/>
      <c r="J331" s="128"/>
      <c r="K331" s="128"/>
    </row>
    <row r="332" spans="5:11" s="127" customFormat="1">
      <c r="E332" s="139"/>
      <c r="F332" s="139"/>
      <c r="G332" s="139"/>
      <c r="H332" s="139"/>
      <c r="J332" s="128"/>
      <c r="K332" s="128"/>
    </row>
    <row r="333" spans="5:11" s="127" customFormat="1">
      <c r="E333" s="139"/>
      <c r="F333" s="139"/>
      <c r="G333" s="139"/>
      <c r="H333" s="139"/>
      <c r="J333" s="128"/>
      <c r="K333" s="128"/>
    </row>
    <row r="334" spans="5:11" s="127" customFormat="1">
      <c r="E334" s="139"/>
      <c r="F334" s="139"/>
      <c r="G334" s="139"/>
      <c r="H334" s="139"/>
      <c r="J334" s="128"/>
      <c r="K334" s="128"/>
    </row>
    <row r="335" spans="5:11" s="127" customFormat="1">
      <c r="E335" s="139"/>
      <c r="F335" s="139"/>
      <c r="G335" s="139"/>
      <c r="H335" s="139"/>
      <c r="J335" s="128"/>
      <c r="K335" s="128"/>
    </row>
    <row r="336" spans="5:11" s="127" customFormat="1">
      <c r="E336" s="139"/>
      <c r="F336" s="139"/>
      <c r="G336" s="139"/>
      <c r="H336" s="139"/>
      <c r="J336" s="128"/>
      <c r="K336" s="128"/>
    </row>
    <row r="337" spans="5:11" s="127" customFormat="1">
      <c r="E337" s="139"/>
      <c r="F337" s="139"/>
      <c r="G337" s="139"/>
      <c r="H337" s="139"/>
      <c r="J337" s="128"/>
      <c r="K337" s="128"/>
    </row>
    <row r="338" spans="5:11" s="127" customFormat="1">
      <c r="E338" s="139"/>
      <c r="F338" s="139"/>
      <c r="G338" s="139"/>
      <c r="H338" s="139"/>
      <c r="J338" s="128"/>
      <c r="K338" s="128"/>
    </row>
    <row r="339" spans="5:11" s="127" customFormat="1">
      <c r="E339" s="139"/>
      <c r="F339" s="139"/>
      <c r="G339" s="139"/>
      <c r="H339" s="139"/>
      <c r="J339" s="128"/>
      <c r="K339" s="128"/>
    </row>
    <row r="340" spans="5:11" s="127" customFormat="1">
      <c r="E340" s="139"/>
      <c r="F340" s="139"/>
      <c r="G340" s="139"/>
      <c r="H340" s="139"/>
      <c r="J340" s="128"/>
      <c r="K340" s="128"/>
    </row>
    <row r="341" spans="5:11" s="127" customFormat="1">
      <c r="E341" s="139"/>
      <c r="F341" s="139"/>
      <c r="G341" s="139"/>
      <c r="H341" s="139"/>
      <c r="J341" s="128"/>
      <c r="K341" s="128"/>
    </row>
    <row r="342" spans="5:11" s="127" customFormat="1">
      <c r="E342" s="139"/>
      <c r="F342" s="139"/>
      <c r="G342" s="139"/>
      <c r="H342" s="139"/>
      <c r="J342" s="128"/>
      <c r="K342" s="128"/>
    </row>
    <row r="343" spans="5:11" s="127" customFormat="1">
      <c r="E343" s="139"/>
      <c r="F343" s="139"/>
      <c r="G343" s="139"/>
      <c r="H343" s="139"/>
      <c r="J343" s="128"/>
      <c r="K343" s="128"/>
    </row>
    <row r="344" spans="5:11" s="127" customFormat="1">
      <c r="E344" s="139"/>
      <c r="F344" s="139"/>
      <c r="G344" s="139"/>
      <c r="H344" s="139"/>
      <c r="J344" s="128"/>
      <c r="K344" s="128"/>
    </row>
    <row r="345" spans="5:11" s="127" customFormat="1">
      <c r="E345" s="139"/>
      <c r="F345" s="139"/>
      <c r="G345" s="139"/>
      <c r="H345" s="139"/>
      <c r="J345" s="128"/>
      <c r="K345" s="128"/>
    </row>
    <row r="346" spans="5:11" s="127" customFormat="1">
      <c r="E346" s="139"/>
      <c r="F346" s="139"/>
      <c r="G346" s="139"/>
      <c r="H346" s="139"/>
      <c r="J346" s="128"/>
      <c r="K346" s="128"/>
    </row>
    <row r="347" spans="5:11" s="127" customFormat="1">
      <c r="E347" s="139"/>
      <c r="F347" s="139"/>
      <c r="G347" s="139"/>
      <c r="H347" s="139"/>
      <c r="J347" s="128"/>
      <c r="K347" s="128"/>
    </row>
    <row r="348" spans="5:11" s="127" customFormat="1">
      <c r="E348" s="139"/>
      <c r="F348" s="139"/>
      <c r="G348" s="139"/>
      <c r="H348" s="139"/>
      <c r="J348" s="128"/>
      <c r="K348" s="128"/>
    </row>
    <row r="349" spans="5:11" s="127" customFormat="1">
      <c r="E349" s="139"/>
      <c r="F349" s="139"/>
      <c r="G349" s="139"/>
      <c r="H349" s="139"/>
      <c r="J349" s="128"/>
      <c r="K349" s="128"/>
    </row>
    <row r="350" spans="5:11" s="127" customFormat="1">
      <c r="E350" s="139"/>
      <c r="F350" s="139"/>
      <c r="G350" s="139"/>
      <c r="H350" s="139"/>
      <c r="J350" s="128"/>
      <c r="K350" s="128"/>
    </row>
    <row r="351" spans="5:11" s="127" customFormat="1">
      <c r="E351" s="139"/>
      <c r="F351" s="139"/>
      <c r="G351" s="139"/>
      <c r="H351" s="139"/>
      <c r="J351" s="128"/>
      <c r="K351" s="128"/>
    </row>
    <row r="352" spans="5:11" s="127" customFormat="1">
      <c r="E352" s="139"/>
      <c r="F352" s="139"/>
      <c r="G352" s="139"/>
      <c r="H352" s="139"/>
      <c r="J352" s="128"/>
      <c r="K352" s="128"/>
    </row>
    <row r="353" spans="5:11" s="127" customFormat="1">
      <c r="E353" s="139"/>
      <c r="F353" s="139"/>
      <c r="G353" s="139"/>
      <c r="H353" s="139"/>
      <c r="J353" s="128"/>
      <c r="K353" s="128"/>
    </row>
    <row r="354" spans="5:11" s="127" customFormat="1">
      <c r="E354" s="139"/>
      <c r="F354" s="139"/>
      <c r="G354" s="139"/>
      <c r="H354" s="139"/>
      <c r="J354" s="128"/>
      <c r="K354" s="128"/>
    </row>
    <row r="355" spans="5:11" s="127" customFormat="1">
      <c r="E355" s="139"/>
      <c r="F355" s="139"/>
      <c r="G355" s="139"/>
      <c r="H355" s="139"/>
      <c r="J355" s="128"/>
      <c r="K355" s="128"/>
    </row>
    <row r="356" spans="5:11" s="127" customFormat="1">
      <c r="E356" s="139"/>
      <c r="F356" s="139"/>
      <c r="G356" s="139"/>
      <c r="H356" s="139"/>
      <c r="J356" s="128"/>
      <c r="K356" s="128"/>
    </row>
    <row r="357" spans="5:11" s="127" customFormat="1">
      <c r="E357" s="139"/>
      <c r="F357" s="139"/>
      <c r="G357" s="139"/>
      <c r="H357" s="139"/>
      <c r="J357" s="128"/>
      <c r="K357" s="128"/>
    </row>
    <row r="358" spans="5:11" s="127" customFormat="1">
      <c r="E358" s="139"/>
      <c r="F358" s="139"/>
      <c r="G358" s="139"/>
      <c r="H358" s="139"/>
      <c r="J358" s="128"/>
      <c r="K358" s="128"/>
    </row>
    <row r="359" spans="5:11" s="127" customFormat="1">
      <c r="E359" s="139"/>
      <c r="F359" s="139"/>
      <c r="G359" s="139"/>
      <c r="H359" s="139"/>
      <c r="J359" s="128"/>
      <c r="K359" s="128"/>
    </row>
    <row r="360" spans="5:11" s="127" customFormat="1">
      <c r="E360" s="139"/>
      <c r="F360" s="139"/>
      <c r="G360" s="139"/>
      <c r="H360" s="139"/>
      <c r="J360" s="128"/>
      <c r="K360" s="128"/>
    </row>
    <row r="361" spans="5:11" s="127" customFormat="1">
      <c r="E361" s="139"/>
      <c r="F361" s="139"/>
      <c r="G361" s="139"/>
      <c r="H361" s="139"/>
      <c r="J361" s="128"/>
      <c r="K361" s="128"/>
    </row>
    <row r="362" spans="5:11" s="127" customFormat="1">
      <c r="E362" s="139"/>
      <c r="F362" s="139"/>
      <c r="G362" s="139"/>
      <c r="H362" s="139"/>
      <c r="J362" s="128"/>
      <c r="K362" s="128"/>
    </row>
    <row r="363" spans="5:11" s="127" customFormat="1">
      <c r="E363" s="139"/>
      <c r="F363" s="139"/>
      <c r="G363" s="139"/>
      <c r="H363" s="139"/>
      <c r="J363" s="128"/>
      <c r="K363" s="128"/>
    </row>
    <row r="364" spans="5:11" s="127" customFormat="1">
      <c r="E364" s="139"/>
      <c r="F364" s="139"/>
      <c r="G364" s="139"/>
      <c r="H364" s="139"/>
      <c r="J364" s="128"/>
      <c r="K364" s="128"/>
    </row>
    <row r="365" spans="5:11" s="127" customFormat="1">
      <c r="E365" s="139"/>
      <c r="F365" s="139"/>
      <c r="G365" s="139"/>
      <c r="H365" s="139"/>
      <c r="J365" s="128"/>
      <c r="K365" s="128"/>
    </row>
    <row r="366" spans="5:11" s="127" customFormat="1">
      <c r="E366" s="139"/>
      <c r="F366" s="139"/>
      <c r="G366" s="139"/>
      <c r="H366" s="139"/>
      <c r="J366" s="128"/>
      <c r="K366" s="128"/>
    </row>
    <row r="367" spans="5:11" s="127" customFormat="1">
      <c r="E367" s="139"/>
      <c r="F367" s="139"/>
      <c r="G367" s="139"/>
      <c r="H367" s="139"/>
      <c r="J367" s="128"/>
      <c r="K367" s="128"/>
    </row>
    <row r="368" spans="5:11" s="127" customFormat="1">
      <c r="E368" s="139"/>
      <c r="F368" s="139"/>
      <c r="G368" s="139"/>
      <c r="H368" s="139"/>
      <c r="J368" s="128"/>
      <c r="K368" s="128"/>
    </row>
    <row r="369" spans="5:11" s="127" customFormat="1">
      <c r="E369" s="139"/>
      <c r="F369" s="139"/>
      <c r="G369" s="139"/>
      <c r="H369" s="139"/>
      <c r="J369" s="128"/>
      <c r="K369" s="128"/>
    </row>
    <row r="370" spans="5:11" s="127" customFormat="1">
      <c r="E370" s="139"/>
      <c r="F370" s="139"/>
      <c r="G370" s="139"/>
      <c r="H370" s="139"/>
      <c r="J370" s="128"/>
      <c r="K370" s="128"/>
    </row>
    <row r="371" spans="5:11" s="127" customFormat="1">
      <c r="E371" s="139"/>
      <c r="F371" s="139"/>
      <c r="G371" s="139"/>
      <c r="H371" s="139"/>
      <c r="J371" s="128"/>
      <c r="K371" s="128"/>
    </row>
    <row r="372" spans="5:11" s="127" customFormat="1">
      <c r="E372" s="139"/>
      <c r="F372" s="139"/>
      <c r="G372" s="139"/>
      <c r="H372" s="139"/>
      <c r="J372" s="128"/>
      <c r="K372" s="128"/>
    </row>
    <row r="373" spans="5:11" s="127" customFormat="1">
      <c r="E373" s="139"/>
      <c r="F373" s="139"/>
      <c r="G373" s="139"/>
      <c r="H373" s="139"/>
      <c r="J373" s="128"/>
      <c r="K373" s="128"/>
    </row>
    <row r="374" spans="5:11" s="127" customFormat="1">
      <c r="E374" s="139"/>
      <c r="F374" s="139"/>
      <c r="G374" s="139"/>
      <c r="H374" s="139"/>
      <c r="J374" s="128"/>
      <c r="K374" s="128"/>
    </row>
    <row r="375" spans="5:11" s="127" customFormat="1">
      <c r="E375" s="139"/>
      <c r="F375" s="139"/>
      <c r="G375" s="139"/>
      <c r="H375" s="139"/>
      <c r="J375" s="128"/>
      <c r="K375" s="128"/>
    </row>
    <row r="376" spans="5:11" s="127" customFormat="1">
      <c r="E376" s="139"/>
      <c r="F376" s="139"/>
      <c r="G376" s="139"/>
      <c r="H376" s="139"/>
      <c r="J376" s="128"/>
      <c r="K376" s="128"/>
    </row>
    <row r="377" spans="5:11" s="127" customFormat="1">
      <c r="E377" s="139"/>
      <c r="F377" s="139"/>
      <c r="G377" s="139"/>
      <c r="H377" s="139"/>
      <c r="J377" s="128"/>
      <c r="K377" s="128"/>
    </row>
    <row r="378" spans="5:11" s="127" customFormat="1">
      <c r="E378" s="139"/>
      <c r="F378" s="139"/>
      <c r="G378" s="139"/>
      <c r="H378" s="139"/>
      <c r="J378" s="128"/>
      <c r="K378" s="128"/>
    </row>
    <row r="379" spans="5:11" s="127" customFormat="1">
      <c r="E379" s="139"/>
      <c r="F379" s="139"/>
      <c r="G379" s="139"/>
      <c r="H379" s="139"/>
      <c r="J379" s="128"/>
      <c r="K379" s="128"/>
    </row>
    <row r="380" spans="5:11" s="127" customFormat="1">
      <c r="E380" s="139"/>
      <c r="F380" s="139"/>
      <c r="G380" s="139"/>
      <c r="H380" s="139"/>
      <c r="J380" s="128"/>
      <c r="K380" s="128"/>
    </row>
    <row r="381" spans="5:11" s="127" customFormat="1">
      <c r="E381" s="139"/>
      <c r="F381" s="139"/>
      <c r="G381" s="139"/>
      <c r="H381" s="139"/>
      <c r="J381" s="128"/>
      <c r="K381" s="128"/>
    </row>
    <row r="382" spans="5:11" s="127" customFormat="1">
      <c r="E382" s="139"/>
      <c r="F382" s="139"/>
      <c r="G382" s="139"/>
      <c r="H382" s="139"/>
      <c r="J382" s="128"/>
      <c r="K382" s="128"/>
    </row>
    <row r="383" spans="5:11" s="127" customFormat="1">
      <c r="E383" s="139"/>
      <c r="F383" s="139"/>
      <c r="G383" s="139"/>
      <c r="H383" s="139"/>
      <c r="J383" s="128"/>
      <c r="K383" s="128"/>
    </row>
    <row r="384" spans="5:11" s="127" customFormat="1">
      <c r="E384" s="139"/>
      <c r="F384" s="139"/>
      <c r="G384" s="139"/>
      <c r="H384" s="139"/>
      <c r="J384" s="128"/>
      <c r="K384" s="128"/>
    </row>
    <row r="385" spans="5:11" s="127" customFormat="1">
      <c r="E385" s="139"/>
      <c r="F385" s="139"/>
      <c r="G385" s="139"/>
      <c r="H385" s="139"/>
      <c r="J385" s="128"/>
      <c r="K385" s="128"/>
    </row>
    <row r="386" spans="5:11" s="127" customFormat="1">
      <c r="E386" s="139"/>
      <c r="F386" s="139"/>
      <c r="G386" s="139"/>
      <c r="H386" s="139"/>
      <c r="J386" s="128"/>
      <c r="K386" s="128"/>
    </row>
    <row r="387" spans="5:11" s="127" customFormat="1">
      <c r="E387" s="139"/>
      <c r="F387" s="139"/>
      <c r="G387" s="139"/>
      <c r="H387" s="139"/>
      <c r="J387" s="128"/>
      <c r="K387" s="128"/>
    </row>
    <row r="388" spans="5:11" s="127" customFormat="1">
      <c r="E388" s="139"/>
      <c r="F388" s="139"/>
      <c r="G388" s="139"/>
      <c r="H388" s="139"/>
      <c r="J388" s="128"/>
      <c r="K388" s="128"/>
    </row>
    <row r="389" spans="5:11" s="127" customFormat="1">
      <c r="E389" s="139"/>
      <c r="F389" s="139"/>
      <c r="G389" s="139"/>
      <c r="H389" s="139"/>
      <c r="J389" s="128"/>
      <c r="K389" s="128"/>
    </row>
    <row r="390" spans="5:11" s="127" customFormat="1">
      <c r="E390" s="139"/>
      <c r="F390" s="139"/>
      <c r="G390" s="139"/>
      <c r="H390" s="139"/>
      <c r="J390" s="128"/>
      <c r="K390" s="128"/>
    </row>
    <row r="391" spans="5:11" s="127" customFormat="1">
      <c r="E391" s="139"/>
      <c r="F391" s="139"/>
      <c r="G391" s="139"/>
      <c r="H391" s="139"/>
      <c r="J391" s="128"/>
      <c r="K391" s="128"/>
    </row>
    <row r="392" spans="5:11" s="127" customFormat="1">
      <c r="E392" s="139"/>
      <c r="F392" s="139"/>
      <c r="G392" s="139"/>
      <c r="H392" s="139"/>
      <c r="J392" s="128"/>
      <c r="K392" s="128"/>
    </row>
    <row r="393" spans="5:11" s="127" customFormat="1">
      <c r="E393" s="139"/>
      <c r="F393" s="139"/>
      <c r="G393" s="139"/>
      <c r="H393" s="139"/>
      <c r="J393" s="128"/>
      <c r="K393" s="128"/>
    </row>
    <row r="394" spans="5:11" s="127" customFormat="1">
      <c r="E394" s="139"/>
      <c r="F394" s="139"/>
      <c r="G394" s="139"/>
      <c r="H394" s="139"/>
      <c r="J394" s="128"/>
      <c r="K394" s="128"/>
    </row>
    <row r="395" spans="5:11" s="127" customFormat="1">
      <c r="E395" s="139"/>
      <c r="F395" s="139"/>
      <c r="G395" s="139"/>
      <c r="H395" s="139"/>
      <c r="J395" s="128"/>
      <c r="K395" s="128"/>
    </row>
    <row r="396" spans="5:11" s="127" customFormat="1">
      <c r="E396" s="139"/>
      <c r="F396" s="139"/>
      <c r="G396" s="139"/>
      <c r="H396" s="139"/>
      <c r="J396" s="128"/>
      <c r="K396" s="128"/>
    </row>
    <row r="397" spans="5:11" s="127" customFormat="1">
      <c r="E397" s="139"/>
      <c r="F397" s="139"/>
      <c r="G397" s="139"/>
      <c r="H397" s="139"/>
      <c r="J397" s="128"/>
      <c r="K397" s="128"/>
    </row>
    <row r="398" spans="5:11" s="127" customFormat="1">
      <c r="E398" s="139"/>
      <c r="F398" s="139"/>
      <c r="G398" s="139"/>
      <c r="H398" s="139"/>
      <c r="J398" s="128"/>
      <c r="K398" s="128"/>
    </row>
    <row r="399" spans="5:11" s="127" customFormat="1">
      <c r="E399" s="139"/>
      <c r="F399" s="139"/>
      <c r="G399" s="139"/>
      <c r="H399" s="139"/>
      <c r="J399" s="128"/>
      <c r="K399" s="128"/>
    </row>
    <row r="400" spans="5:11" s="127" customFormat="1">
      <c r="E400" s="139"/>
      <c r="F400" s="139"/>
      <c r="G400" s="139"/>
      <c r="H400" s="139"/>
      <c r="J400" s="128"/>
      <c r="K400" s="128"/>
    </row>
    <row r="401" spans="5:11" s="127" customFormat="1">
      <c r="E401" s="139"/>
      <c r="F401" s="139"/>
      <c r="G401" s="139"/>
      <c r="H401" s="139"/>
      <c r="J401" s="128"/>
      <c r="K401" s="128"/>
    </row>
    <row r="402" spans="5:11" s="127" customFormat="1">
      <c r="E402" s="139"/>
      <c r="F402" s="139"/>
      <c r="G402" s="139"/>
      <c r="H402" s="139"/>
      <c r="J402" s="128"/>
      <c r="K402" s="128"/>
    </row>
    <row r="403" spans="5:11" s="127" customFormat="1">
      <c r="E403" s="139"/>
      <c r="F403" s="139"/>
      <c r="G403" s="139"/>
      <c r="H403" s="139"/>
      <c r="J403" s="128"/>
      <c r="K403" s="128"/>
    </row>
    <row r="404" spans="5:11" s="127" customFormat="1">
      <c r="E404" s="139"/>
      <c r="F404" s="139"/>
      <c r="G404" s="139"/>
      <c r="H404" s="139"/>
      <c r="J404" s="128"/>
      <c r="K404" s="128"/>
    </row>
    <row r="405" spans="5:11" s="127" customFormat="1">
      <c r="E405" s="139"/>
      <c r="F405" s="139"/>
      <c r="G405" s="139"/>
      <c r="H405" s="139"/>
      <c r="J405" s="128"/>
      <c r="K405" s="128"/>
    </row>
    <row r="406" spans="5:11" s="127" customFormat="1">
      <c r="E406" s="139"/>
      <c r="F406" s="139"/>
      <c r="G406" s="139"/>
      <c r="H406" s="139"/>
      <c r="J406" s="128"/>
      <c r="K406" s="128"/>
    </row>
    <row r="407" spans="5:11" s="127" customFormat="1">
      <c r="E407" s="139"/>
      <c r="F407" s="139"/>
      <c r="G407" s="139"/>
      <c r="H407" s="139"/>
      <c r="J407" s="128"/>
      <c r="K407" s="128"/>
    </row>
    <row r="408" spans="5:11" s="127" customFormat="1">
      <c r="E408" s="139"/>
      <c r="F408" s="139"/>
      <c r="G408" s="139"/>
      <c r="H408" s="139"/>
      <c r="J408" s="128"/>
      <c r="K408" s="128"/>
    </row>
    <row r="409" spans="5:11" s="127" customFormat="1">
      <c r="E409" s="139"/>
      <c r="F409" s="139"/>
      <c r="G409" s="139"/>
      <c r="H409" s="139"/>
      <c r="J409" s="128"/>
      <c r="K409" s="128"/>
    </row>
    <row r="410" spans="5:11" s="127" customFormat="1">
      <c r="E410" s="139"/>
      <c r="F410" s="139"/>
      <c r="G410" s="139"/>
      <c r="H410" s="139"/>
      <c r="J410" s="128"/>
      <c r="K410" s="128"/>
    </row>
    <row r="411" spans="5:11" s="127" customFormat="1">
      <c r="E411" s="139"/>
      <c r="F411" s="139"/>
      <c r="G411" s="139"/>
      <c r="H411" s="139"/>
      <c r="J411" s="128"/>
      <c r="K411" s="128"/>
    </row>
    <row r="412" spans="5:11" s="127" customFormat="1">
      <c r="E412" s="139"/>
      <c r="F412" s="139"/>
      <c r="G412" s="139"/>
      <c r="H412" s="139"/>
      <c r="J412" s="128"/>
      <c r="K412" s="128"/>
    </row>
    <row r="413" spans="5:11" s="127" customFormat="1">
      <c r="E413" s="139"/>
      <c r="F413" s="139"/>
      <c r="G413" s="139"/>
      <c r="H413" s="139"/>
      <c r="J413" s="128"/>
      <c r="K413" s="128"/>
    </row>
    <row r="414" spans="5:11" s="127" customFormat="1">
      <c r="E414" s="139"/>
      <c r="F414" s="139"/>
      <c r="G414" s="139"/>
      <c r="H414" s="139"/>
      <c r="J414" s="128"/>
      <c r="K414" s="128"/>
    </row>
    <row r="415" spans="5:11" s="127" customFormat="1">
      <c r="E415" s="139"/>
      <c r="F415" s="139"/>
      <c r="G415" s="139"/>
      <c r="H415" s="139"/>
      <c r="J415" s="128"/>
      <c r="K415" s="128"/>
    </row>
    <row r="416" spans="5:11" s="127" customFormat="1">
      <c r="E416" s="139"/>
      <c r="F416" s="139"/>
      <c r="G416" s="139"/>
      <c r="H416" s="139"/>
      <c r="J416" s="128"/>
      <c r="K416" s="128"/>
    </row>
    <row r="417" spans="5:11" s="127" customFormat="1">
      <c r="E417" s="139"/>
      <c r="F417" s="139"/>
      <c r="G417" s="139"/>
      <c r="H417" s="139"/>
      <c r="J417" s="128"/>
      <c r="K417" s="128"/>
    </row>
    <row r="418" spans="5:11" s="127" customFormat="1">
      <c r="E418" s="139"/>
      <c r="F418" s="139"/>
      <c r="G418" s="139"/>
      <c r="H418" s="139"/>
      <c r="J418" s="128"/>
      <c r="K418" s="128"/>
    </row>
    <row r="419" spans="5:11" s="127" customFormat="1">
      <c r="E419" s="139"/>
      <c r="F419" s="139"/>
      <c r="G419" s="139"/>
      <c r="H419" s="139"/>
      <c r="J419" s="128"/>
      <c r="K419" s="128"/>
    </row>
    <row r="420" spans="5:11" s="127" customFormat="1">
      <c r="E420" s="139"/>
      <c r="F420" s="139"/>
      <c r="G420" s="139"/>
      <c r="H420" s="139"/>
      <c r="J420" s="128"/>
      <c r="K420" s="128"/>
    </row>
    <row r="421" spans="5:11" s="127" customFormat="1">
      <c r="E421" s="139"/>
      <c r="F421" s="139"/>
      <c r="G421" s="139"/>
      <c r="H421" s="139"/>
      <c r="J421" s="128"/>
      <c r="K421" s="128"/>
    </row>
    <row r="422" spans="5:11" s="127" customFormat="1">
      <c r="E422" s="139"/>
      <c r="F422" s="139"/>
      <c r="G422" s="139"/>
      <c r="H422" s="139"/>
      <c r="J422" s="128"/>
      <c r="K422" s="128"/>
    </row>
    <row r="423" spans="5:11" s="127" customFormat="1">
      <c r="E423" s="139"/>
      <c r="F423" s="139"/>
      <c r="G423" s="139"/>
      <c r="H423" s="139"/>
      <c r="J423" s="128"/>
      <c r="K423" s="128"/>
    </row>
    <row r="424" spans="5:11" s="127" customFormat="1">
      <c r="E424" s="139"/>
      <c r="F424" s="139"/>
      <c r="G424" s="139"/>
      <c r="H424" s="139"/>
      <c r="J424" s="128"/>
      <c r="K424" s="128"/>
    </row>
    <row r="425" spans="5:11" s="127" customFormat="1">
      <c r="E425" s="139"/>
      <c r="F425" s="139"/>
      <c r="G425" s="139"/>
      <c r="H425" s="139"/>
      <c r="J425" s="128"/>
      <c r="K425" s="128"/>
    </row>
    <row r="426" spans="5:11" s="127" customFormat="1">
      <c r="E426" s="139"/>
      <c r="F426" s="139"/>
      <c r="G426" s="139"/>
      <c r="H426" s="139"/>
      <c r="J426" s="128"/>
      <c r="K426" s="128"/>
    </row>
    <row r="427" spans="5:11" s="127" customFormat="1">
      <c r="E427" s="139"/>
      <c r="F427" s="139"/>
      <c r="G427" s="139"/>
      <c r="H427" s="139"/>
      <c r="J427" s="128"/>
      <c r="K427" s="128"/>
    </row>
    <row r="428" spans="5:11" s="127" customFormat="1">
      <c r="E428" s="139"/>
      <c r="F428" s="139"/>
      <c r="G428" s="139"/>
      <c r="H428" s="139"/>
      <c r="J428" s="128"/>
      <c r="K428" s="128"/>
    </row>
    <row r="429" spans="5:11" s="127" customFormat="1">
      <c r="E429" s="139"/>
      <c r="F429" s="139"/>
      <c r="G429" s="139"/>
      <c r="H429" s="139"/>
      <c r="J429" s="128"/>
      <c r="K429" s="128"/>
    </row>
    <row r="430" spans="5:11" s="127" customFormat="1">
      <c r="E430" s="139"/>
      <c r="F430" s="139"/>
      <c r="G430" s="139"/>
      <c r="H430" s="139"/>
      <c r="J430" s="128"/>
      <c r="K430" s="128"/>
    </row>
    <row r="431" spans="5:11" s="127" customFormat="1">
      <c r="E431" s="139"/>
      <c r="F431" s="139"/>
      <c r="G431" s="139"/>
      <c r="H431" s="139"/>
      <c r="J431" s="128"/>
      <c r="K431" s="128"/>
    </row>
    <row r="432" spans="5:11" s="127" customFormat="1">
      <c r="E432" s="139"/>
      <c r="F432" s="139"/>
      <c r="G432" s="139"/>
      <c r="H432" s="139"/>
      <c r="J432" s="128"/>
      <c r="K432" s="128"/>
    </row>
    <row r="433" spans="5:11" s="127" customFormat="1">
      <c r="E433" s="139"/>
      <c r="F433" s="139"/>
      <c r="G433" s="139"/>
      <c r="H433" s="139"/>
      <c r="J433" s="128"/>
      <c r="K433" s="128"/>
    </row>
    <row r="434" spans="5:11" s="127" customFormat="1">
      <c r="E434" s="139"/>
      <c r="F434" s="139"/>
      <c r="G434" s="139"/>
      <c r="H434" s="139"/>
      <c r="J434" s="128"/>
      <c r="K434" s="128"/>
    </row>
    <row r="435" spans="5:11" s="127" customFormat="1">
      <c r="E435" s="139"/>
      <c r="F435" s="139"/>
      <c r="G435" s="139"/>
      <c r="H435" s="139"/>
      <c r="J435" s="128"/>
      <c r="K435" s="128"/>
    </row>
    <row r="436" spans="5:11" s="127" customFormat="1">
      <c r="E436" s="139"/>
      <c r="F436" s="139"/>
      <c r="G436" s="139"/>
      <c r="H436" s="139"/>
      <c r="J436" s="128"/>
      <c r="K436" s="128"/>
    </row>
    <row r="437" spans="5:11" s="127" customFormat="1">
      <c r="E437" s="139"/>
      <c r="F437" s="139"/>
      <c r="G437" s="139"/>
      <c r="H437" s="139"/>
      <c r="J437" s="128"/>
      <c r="K437" s="128"/>
    </row>
    <row r="438" spans="5:11" s="127" customFormat="1">
      <c r="E438" s="139"/>
      <c r="F438" s="139"/>
      <c r="G438" s="139"/>
      <c r="H438" s="139"/>
      <c r="J438" s="128"/>
      <c r="K438" s="128"/>
    </row>
    <row r="439" spans="5:11" s="127" customFormat="1">
      <c r="E439" s="139"/>
      <c r="F439" s="139"/>
      <c r="G439" s="139"/>
      <c r="H439" s="139"/>
      <c r="J439" s="128"/>
      <c r="K439" s="128"/>
    </row>
    <row r="440" spans="5:11" s="127" customFormat="1">
      <c r="E440" s="139"/>
      <c r="F440" s="139"/>
      <c r="G440" s="139"/>
      <c r="H440" s="139"/>
      <c r="J440" s="128"/>
      <c r="K440" s="128"/>
    </row>
    <row r="441" spans="5:11" s="127" customFormat="1">
      <c r="E441" s="139"/>
      <c r="F441" s="139"/>
      <c r="G441" s="139"/>
      <c r="H441" s="139"/>
      <c r="J441" s="128"/>
      <c r="K441" s="128"/>
    </row>
    <row r="442" spans="5:11" s="127" customFormat="1">
      <c r="E442" s="139"/>
      <c r="F442" s="139"/>
      <c r="G442" s="139"/>
      <c r="H442" s="139"/>
      <c r="J442" s="128"/>
      <c r="K442" s="128"/>
    </row>
    <row r="443" spans="5:11" s="127" customFormat="1">
      <c r="E443" s="139"/>
      <c r="F443" s="139"/>
      <c r="G443" s="139"/>
      <c r="H443" s="139"/>
      <c r="J443" s="128"/>
      <c r="K443" s="128"/>
    </row>
    <row r="444" spans="5:11" s="127" customFormat="1">
      <c r="E444" s="139"/>
      <c r="F444" s="139"/>
      <c r="G444" s="139"/>
      <c r="H444" s="139"/>
      <c r="J444" s="128"/>
      <c r="K444" s="128"/>
    </row>
    <row r="445" spans="5:11" s="127" customFormat="1">
      <c r="E445" s="139"/>
      <c r="F445" s="139"/>
      <c r="G445" s="139"/>
      <c r="H445" s="139"/>
      <c r="J445" s="128"/>
      <c r="K445" s="128"/>
    </row>
    <row r="446" spans="5:11" s="127" customFormat="1">
      <c r="E446" s="139"/>
      <c r="F446" s="139"/>
      <c r="G446" s="139"/>
      <c r="H446" s="139"/>
      <c r="J446" s="128"/>
      <c r="K446" s="128"/>
    </row>
    <row r="447" spans="5:11" s="127" customFormat="1">
      <c r="E447" s="139"/>
      <c r="F447" s="139"/>
      <c r="G447" s="139"/>
      <c r="H447" s="139"/>
      <c r="J447" s="128"/>
      <c r="K447" s="128"/>
    </row>
    <row r="448" spans="5:11" s="127" customFormat="1">
      <c r="E448" s="139"/>
      <c r="F448" s="139"/>
      <c r="G448" s="139"/>
      <c r="H448" s="139"/>
      <c r="J448" s="128"/>
      <c r="K448" s="128"/>
    </row>
    <row r="449" spans="5:11" s="127" customFormat="1">
      <c r="E449" s="139"/>
      <c r="F449" s="139"/>
      <c r="G449" s="139"/>
      <c r="H449" s="139"/>
      <c r="J449" s="128"/>
      <c r="K449" s="128"/>
    </row>
    <row r="450" spans="5:11" s="127" customFormat="1">
      <c r="E450" s="139"/>
      <c r="F450" s="139"/>
      <c r="G450" s="139"/>
      <c r="H450" s="139"/>
      <c r="J450" s="128"/>
      <c r="K450" s="128"/>
    </row>
    <row r="451" spans="5:11" s="127" customFormat="1">
      <c r="E451" s="139"/>
      <c r="F451" s="139"/>
      <c r="G451" s="139"/>
      <c r="H451" s="139"/>
      <c r="J451" s="128"/>
      <c r="K451" s="128"/>
    </row>
    <row r="452" spans="5:11" s="127" customFormat="1">
      <c r="E452" s="139"/>
      <c r="F452" s="139"/>
      <c r="G452" s="139"/>
      <c r="H452" s="139"/>
      <c r="J452" s="128"/>
      <c r="K452" s="128"/>
    </row>
    <row r="453" spans="5:11" s="127" customFormat="1">
      <c r="E453" s="139"/>
      <c r="F453" s="139"/>
      <c r="G453" s="139"/>
      <c r="H453" s="139"/>
      <c r="J453" s="128"/>
      <c r="K453" s="128"/>
    </row>
    <row r="454" spans="5:11" s="127" customFormat="1">
      <c r="E454" s="139"/>
      <c r="F454" s="139"/>
      <c r="G454" s="139"/>
      <c r="H454" s="139"/>
      <c r="J454" s="128"/>
      <c r="K454" s="128"/>
    </row>
    <row r="455" spans="5:11" s="127" customFormat="1">
      <c r="E455" s="139"/>
      <c r="F455" s="139"/>
      <c r="G455" s="139"/>
      <c r="H455" s="139"/>
      <c r="J455" s="128"/>
      <c r="K455" s="128"/>
    </row>
    <row r="456" spans="5:11" s="127" customFormat="1">
      <c r="E456" s="139"/>
      <c r="F456" s="139"/>
      <c r="G456" s="139"/>
      <c r="H456" s="139"/>
      <c r="J456" s="128"/>
      <c r="K456" s="128"/>
    </row>
    <row r="457" spans="5:11" s="127" customFormat="1">
      <c r="E457" s="139"/>
      <c r="F457" s="139"/>
      <c r="G457" s="139"/>
      <c r="H457" s="139"/>
      <c r="J457" s="128"/>
      <c r="K457" s="128"/>
    </row>
    <row r="458" spans="5:11" s="127" customFormat="1">
      <c r="E458" s="139"/>
      <c r="F458" s="139"/>
      <c r="G458" s="139"/>
      <c r="H458" s="139"/>
      <c r="J458" s="128"/>
      <c r="K458" s="128"/>
    </row>
    <row r="459" spans="5:11" s="127" customFormat="1">
      <c r="E459" s="139"/>
      <c r="F459" s="139"/>
      <c r="G459" s="139"/>
      <c r="H459" s="139"/>
      <c r="J459" s="128"/>
      <c r="K459" s="128"/>
    </row>
    <row r="460" spans="5:11" s="127" customFormat="1">
      <c r="E460" s="139"/>
      <c r="F460" s="139"/>
      <c r="G460" s="139"/>
      <c r="H460" s="139"/>
      <c r="J460" s="128"/>
      <c r="K460" s="128"/>
    </row>
    <row r="461" spans="5:11" s="127" customFormat="1">
      <c r="E461" s="139"/>
      <c r="F461" s="139"/>
      <c r="G461" s="139"/>
      <c r="H461" s="139"/>
      <c r="J461" s="128"/>
      <c r="K461" s="128"/>
    </row>
    <row r="462" spans="5:11" s="127" customFormat="1">
      <c r="E462" s="139"/>
      <c r="F462" s="139"/>
      <c r="G462" s="139"/>
      <c r="H462" s="139"/>
      <c r="J462" s="128"/>
      <c r="K462" s="128"/>
    </row>
    <row r="463" spans="5:11" s="127" customFormat="1">
      <c r="E463" s="139"/>
      <c r="F463" s="139"/>
      <c r="G463" s="139"/>
      <c r="H463" s="139"/>
      <c r="J463" s="128"/>
      <c r="K463" s="128"/>
    </row>
    <row r="464" spans="5:11" s="127" customFormat="1">
      <c r="E464" s="139"/>
      <c r="F464" s="139"/>
      <c r="G464" s="139"/>
      <c r="H464" s="139"/>
      <c r="J464" s="128"/>
      <c r="K464" s="128"/>
    </row>
    <row r="465" spans="5:11" s="127" customFormat="1">
      <c r="E465" s="139"/>
      <c r="F465" s="139"/>
      <c r="G465" s="139"/>
      <c r="H465" s="139"/>
      <c r="J465" s="128"/>
      <c r="K465" s="128"/>
    </row>
    <row r="466" spans="5:11" s="127" customFormat="1">
      <c r="E466" s="139"/>
      <c r="F466" s="139"/>
      <c r="G466" s="139"/>
      <c r="H466" s="139"/>
      <c r="J466" s="128"/>
      <c r="K466" s="128"/>
    </row>
    <row r="467" spans="5:11" s="127" customFormat="1">
      <c r="E467" s="139"/>
      <c r="F467" s="139"/>
      <c r="G467" s="139"/>
      <c r="H467" s="139"/>
      <c r="J467" s="128"/>
      <c r="K467" s="128"/>
    </row>
    <row r="468" spans="5:11" s="127" customFormat="1">
      <c r="E468" s="139"/>
      <c r="F468" s="139"/>
      <c r="G468" s="139"/>
      <c r="H468" s="139"/>
      <c r="J468" s="128"/>
      <c r="K468" s="128"/>
    </row>
    <row r="469" spans="5:11" s="127" customFormat="1">
      <c r="E469" s="139"/>
      <c r="F469" s="139"/>
      <c r="G469" s="139"/>
      <c r="H469" s="139"/>
      <c r="J469" s="128"/>
      <c r="K469" s="128"/>
    </row>
    <row r="470" spans="5:11" s="127" customFormat="1">
      <c r="E470" s="139"/>
      <c r="F470" s="139"/>
      <c r="G470" s="139"/>
      <c r="H470" s="139"/>
      <c r="J470" s="128"/>
      <c r="K470" s="128"/>
    </row>
    <row r="471" spans="5:11" s="127" customFormat="1">
      <c r="E471" s="139"/>
      <c r="F471" s="139"/>
      <c r="G471" s="139"/>
      <c r="H471" s="139"/>
      <c r="J471" s="128"/>
      <c r="K471" s="128"/>
    </row>
    <row r="472" spans="5:11" s="127" customFormat="1">
      <c r="E472" s="139"/>
      <c r="F472" s="139"/>
      <c r="G472" s="139"/>
      <c r="H472" s="139"/>
      <c r="J472" s="128"/>
      <c r="K472" s="128"/>
    </row>
    <row r="473" spans="5:11" s="127" customFormat="1">
      <c r="E473" s="139"/>
      <c r="F473" s="139"/>
      <c r="G473" s="139"/>
      <c r="H473" s="139"/>
      <c r="J473" s="128"/>
      <c r="K473" s="128"/>
    </row>
    <row r="474" spans="5:11" s="127" customFormat="1">
      <c r="E474" s="139"/>
      <c r="F474" s="139"/>
      <c r="G474" s="139"/>
      <c r="H474" s="139"/>
      <c r="J474" s="128"/>
      <c r="K474" s="128"/>
    </row>
    <row r="475" spans="5:11" s="127" customFormat="1">
      <c r="E475" s="139"/>
      <c r="F475" s="139"/>
      <c r="G475" s="139"/>
      <c r="H475" s="139"/>
      <c r="J475" s="128"/>
      <c r="K475" s="128"/>
    </row>
    <row r="476" spans="5:11" s="127" customFormat="1">
      <c r="E476" s="139"/>
      <c r="F476" s="139"/>
      <c r="G476" s="139"/>
      <c r="H476" s="139"/>
      <c r="J476" s="128"/>
      <c r="K476" s="128"/>
    </row>
    <row r="477" spans="5:11" s="127" customFormat="1">
      <c r="E477" s="139"/>
      <c r="F477" s="139"/>
      <c r="G477" s="139"/>
      <c r="H477" s="139"/>
      <c r="J477" s="128"/>
      <c r="K477" s="128"/>
    </row>
    <row r="478" spans="5:11" s="127" customFormat="1">
      <c r="E478" s="139"/>
      <c r="F478" s="139"/>
      <c r="G478" s="139"/>
      <c r="H478" s="139"/>
      <c r="J478" s="128"/>
      <c r="K478" s="128"/>
    </row>
    <row r="479" spans="5:11" s="127" customFormat="1">
      <c r="E479" s="139"/>
      <c r="F479" s="139"/>
      <c r="G479" s="139"/>
      <c r="H479" s="139"/>
      <c r="J479" s="128"/>
      <c r="K479" s="128"/>
    </row>
    <row r="480" spans="5:11" s="127" customFormat="1">
      <c r="E480" s="139"/>
      <c r="F480" s="139"/>
      <c r="G480" s="139"/>
      <c r="H480" s="139"/>
      <c r="J480" s="128"/>
      <c r="K480" s="128"/>
    </row>
    <row r="481" spans="5:11" s="127" customFormat="1">
      <c r="E481" s="139"/>
      <c r="F481" s="139"/>
      <c r="G481" s="139"/>
      <c r="H481" s="139"/>
      <c r="J481" s="128"/>
      <c r="K481" s="128"/>
    </row>
    <row r="482" spans="5:11" s="127" customFormat="1">
      <c r="E482" s="139"/>
      <c r="F482" s="139"/>
      <c r="G482" s="139"/>
      <c r="H482" s="139"/>
      <c r="J482" s="128"/>
      <c r="K482" s="128"/>
    </row>
    <row r="483" spans="5:11" s="127" customFormat="1">
      <c r="E483" s="139"/>
      <c r="F483" s="139"/>
      <c r="G483" s="139"/>
      <c r="H483" s="139"/>
      <c r="J483" s="128"/>
      <c r="K483" s="128"/>
    </row>
    <row r="484" spans="5:11" s="127" customFormat="1">
      <c r="E484" s="139"/>
      <c r="F484" s="139"/>
      <c r="G484" s="139"/>
      <c r="H484" s="139"/>
      <c r="J484" s="128"/>
      <c r="K484" s="128"/>
    </row>
    <row r="485" spans="5:11" s="127" customFormat="1">
      <c r="E485" s="139"/>
      <c r="F485" s="139"/>
      <c r="G485" s="139"/>
      <c r="H485" s="139"/>
      <c r="J485" s="128"/>
      <c r="K485" s="128"/>
    </row>
    <row r="486" spans="5:11" s="127" customFormat="1">
      <c r="E486" s="139"/>
      <c r="F486" s="139"/>
      <c r="G486" s="139"/>
      <c r="H486" s="139"/>
      <c r="J486" s="128"/>
      <c r="K486" s="128"/>
    </row>
    <row r="487" spans="5:11" s="127" customFormat="1">
      <c r="E487" s="139"/>
      <c r="F487" s="139"/>
      <c r="G487" s="139"/>
      <c r="H487" s="139"/>
      <c r="J487" s="128"/>
      <c r="K487" s="128"/>
    </row>
    <row r="488" spans="5:11" s="127" customFormat="1">
      <c r="E488" s="139"/>
      <c r="F488" s="139"/>
      <c r="G488" s="139"/>
      <c r="H488" s="139"/>
      <c r="J488" s="128"/>
      <c r="K488" s="128"/>
    </row>
    <row r="489" spans="5:11" s="127" customFormat="1">
      <c r="E489" s="139"/>
      <c r="F489" s="139"/>
      <c r="G489" s="139"/>
      <c r="H489" s="139"/>
      <c r="J489" s="128"/>
      <c r="K489" s="128"/>
    </row>
    <row r="490" spans="5:11" s="127" customFormat="1">
      <c r="E490" s="139"/>
      <c r="F490" s="139"/>
      <c r="G490" s="139"/>
      <c r="H490" s="139"/>
      <c r="J490" s="128"/>
      <c r="K490" s="128"/>
    </row>
    <row r="491" spans="5:11" s="127" customFormat="1">
      <c r="E491" s="139"/>
      <c r="F491" s="139"/>
      <c r="G491" s="139"/>
      <c r="H491" s="139"/>
      <c r="J491" s="128"/>
      <c r="K491" s="128"/>
    </row>
    <row r="492" spans="5:11" s="127" customFormat="1">
      <c r="E492" s="139"/>
      <c r="F492" s="139"/>
      <c r="G492" s="139"/>
      <c r="H492" s="139"/>
      <c r="J492" s="128"/>
      <c r="K492" s="128"/>
    </row>
    <row r="493" spans="5:11" s="127" customFormat="1">
      <c r="E493" s="139"/>
      <c r="F493" s="139"/>
      <c r="G493" s="139"/>
      <c r="H493" s="139"/>
      <c r="J493" s="128"/>
      <c r="K493" s="128"/>
    </row>
    <row r="494" spans="5:11" s="127" customFormat="1">
      <c r="E494" s="139"/>
      <c r="F494" s="139"/>
      <c r="G494" s="139"/>
      <c r="H494" s="139"/>
      <c r="J494" s="128"/>
      <c r="K494" s="128"/>
    </row>
    <row r="495" spans="5:11" s="127" customFormat="1">
      <c r="E495" s="139"/>
      <c r="F495" s="139"/>
      <c r="G495" s="139"/>
      <c r="H495" s="139"/>
      <c r="J495" s="128"/>
      <c r="K495" s="128"/>
    </row>
    <row r="496" spans="5:11" s="127" customFormat="1">
      <c r="E496" s="139"/>
      <c r="F496" s="139"/>
      <c r="G496" s="139"/>
      <c r="H496" s="139"/>
      <c r="J496" s="128"/>
      <c r="K496" s="128"/>
    </row>
    <row r="497" spans="5:11" s="127" customFormat="1">
      <c r="E497" s="139"/>
      <c r="F497" s="139"/>
      <c r="G497" s="139"/>
      <c r="H497" s="139"/>
      <c r="J497" s="128"/>
      <c r="K497" s="128"/>
    </row>
    <row r="498" spans="5:11" s="127" customFormat="1">
      <c r="E498" s="139"/>
      <c r="F498" s="139"/>
      <c r="G498" s="139"/>
      <c r="H498" s="139"/>
      <c r="J498" s="128"/>
      <c r="K498" s="128"/>
    </row>
    <row r="499" spans="5:11" s="127" customFormat="1">
      <c r="E499" s="139"/>
      <c r="F499" s="139"/>
      <c r="G499" s="139"/>
      <c r="H499" s="139"/>
      <c r="J499" s="128"/>
      <c r="K499" s="128"/>
    </row>
    <row r="500" spans="5:11" s="127" customFormat="1">
      <c r="E500" s="139"/>
      <c r="F500" s="139"/>
      <c r="G500" s="139"/>
      <c r="H500" s="139"/>
      <c r="J500" s="128"/>
      <c r="K500" s="128"/>
    </row>
    <row r="501" spans="5:11" s="127" customFormat="1">
      <c r="E501" s="139"/>
      <c r="F501" s="139"/>
      <c r="G501" s="139"/>
      <c r="H501" s="139"/>
      <c r="J501" s="128"/>
      <c r="K501" s="128"/>
    </row>
    <row r="502" spans="5:11" s="127" customFormat="1">
      <c r="E502" s="139"/>
      <c r="F502" s="139"/>
      <c r="G502" s="139"/>
      <c r="H502" s="139"/>
      <c r="J502" s="128"/>
      <c r="K502" s="128"/>
    </row>
    <row r="503" spans="5:11" s="127" customFormat="1">
      <c r="E503" s="139"/>
      <c r="F503" s="139"/>
      <c r="G503" s="139"/>
      <c r="H503" s="139"/>
      <c r="J503" s="128"/>
      <c r="K503" s="128"/>
    </row>
    <row r="504" spans="5:11" s="127" customFormat="1">
      <c r="E504" s="139"/>
      <c r="F504" s="139"/>
      <c r="G504" s="139"/>
      <c r="H504" s="139"/>
      <c r="J504" s="128"/>
      <c r="K504" s="128"/>
    </row>
    <row r="505" spans="5:11" s="127" customFormat="1">
      <c r="E505" s="139"/>
      <c r="F505" s="139"/>
      <c r="G505" s="139"/>
      <c r="H505" s="139"/>
      <c r="J505" s="128"/>
      <c r="K505" s="128"/>
    </row>
    <row r="506" spans="5:11" s="127" customFormat="1">
      <c r="E506" s="139"/>
      <c r="F506" s="139"/>
      <c r="G506" s="139"/>
      <c r="H506" s="139"/>
      <c r="J506" s="128"/>
      <c r="K506" s="128"/>
    </row>
    <row r="507" spans="5:11" s="127" customFormat="1">
      <c r="E507" s="139"/>
      <c r="F507" s="139"/>
      <c r="G507" s="139"/>
      <c r="H507" s="139"/>
      <c r="J507" s="128"/>
      <c r="K507" s="128"/>
    </row>
    <row r="508" spans="5:11" s="127" customFormat="1">
      <c r="E508" s="139"/>
      <c r="F508" s="139"/>
      <c r="G508" s="139"/>
      <c r="H508" s="139"/>
      <c r="J508" s="128"/>
      <c r="K508" s="128"/>
    </row>
    <row r="509" spans="5:11" s="127" customFormat="1">
      <c r="E509" s="139"/>
      <c r="F509" s="139"/>
      <c r="G509" s="139"/>
      <c r="H509" s="139"/>
      <c r="J509" s="128"/>
      <c r="K509" s="128"/>
    </row>
    <row r="510" spans="5:11" s="127" customFormat="1">
      <c r="E510" s="139"/>
      <c r="F510" s="139"/>
      <c r="G510" s="139"/>
      <c r="H510" s="139"/>
      <c r="J510" s="128"/>
      <c r="K510" s="128"/>
    </row>
    <row r="511" spans="5:11" s="127" customFormat="1">
      <c r="E511" s="139"/>
      <c r="F511" s="139"/>
      <c r="G511" s="139"/>
      <c r="H511" s="139"/>
      <c r="J511" s="128"/>
      <c r="K511" s="128"/>
    </row>
    <row r="512" spans="5:11" s="127" customFormat="1">
      <c r="E512" s="139"/>
      <c r="F512" s="139"/>
      <c r="G512" s="139"/>
      <c r="H512" s="139"/>
      <c r="J512" s="128"/>
      <c r="K512" s="128"/>
    </row>
    <row r="513" spans="5:11" s="127" customFormat="1">
      <c r="E513" s="139"/>
      <c r="F513" s="139"/>
      <c r="G513" s="139"/>
      <c r="H513" s="139"/>
      <c r="J513" s="128"/>
      <c r="K513" s="128"/>
    </row>
    <row r="514" spans="5:11" s="127" customFormat="1">
      <c r="E514" s="139"/>
      <c r="F514" s="139"/>
      <c r="G514" s="139"/>
      <c r="H514" s="139"/>
      <c r="J514" s="128"/>
      <c r="K514" s="128"/>
    </row>
    <row r="515" spans="5:11" s="127" customFormat="1">
      <c r="E515" s="139"/>
      <c r="F515" s="139"/>
      <c r="G515" s="139"/>
      <c r="H515" s="139"/>
      <c r="J515" s="128"/>
      <c r="K515" s="128"/>
    </row>
    <row r="516" spans="5:11" s="127" customFormat="1">
      <c r="E516" s="139"/>
      <c r="F516" s="139"/>
      <c r="G516" s="139"/>
      <c r="H516" s="139"/>
      <c r="J516" s="128"/>
      <c r="K516" s="128"/>
    </row>
    <row r="517" spans="5:11" s="127" customFormat="1">
      <c r="E517" s="139"/>
      <c r="F517" s="139"/>
      <c r="G517" s="139"/>
      <c r="H517" s="139"/>
      <c r="J517" s="128"/>
      <c r="K517" s="128"/>
    </row>
    <row r="518" spans="5:11" s="127" customFormat="1">
      <c r="E518" s="139"/>
      <c r="F518" s="139"/>
      <c r="G518" s="139"/>
      <c r="H518" s="139"/>
      <c r="J518" s="128"/>
      <c r="K518" s="128"/>
    </row>
  </sheetData>
  <hyperlinks>
    <hyperlink ref="K6" r:id="rId1" display="http://www.imf.org/external/country/AUS/index.htm " xr:uid="{5937CBAB-1D9B-4039-926D-B055F3A667B2}"/>
    <hyperlink ref="K5" r:id="rId2" display="http://www.imf.org/external/country/USA/index.htm " xr:uid="{4670EA91-150D-4163-9C57-9968D25B42A2}"/>
    <hyperlink ref="K9" r:id="rId3" display="https://www.bea.gov/international/xls/table1.xls " xr:uid="{44F404C7-D187-477D-8FF0-A650A5E42506}"/>
    <hyperlink ref="K10" r:id="rId4" display="http://www.abs.gov.au/Ausstats/abs@.nsf/mf/5302.0 " xr:uid="{11FFB2AA-57C7-4A56-A5DE-C7CAD2A51331}"/>
    <hyperlink ref="K13" r:id="rId5" display="http://research.stlouisfed.org/fred2/categories/22/downloaddata" xr:uid="{F17810E7-CFFD-47FA-8D9F-5963AB9FBD33}"/>
    <hyperlink ref="K18" r:id="rId6" display="https://sg.finance.yahoo.com/q/hp?s=%5EAXJO&amp;a=10&amp;b=23&amp;c=1992&amp;d=03&amp;e=2&amp;f=2015&amp;g=d " xr:uid="{06707FB4-3960-4C42-9CBC-663065CC631E}"/>
    <hyperlink ref="K17" r:id="rId7" display="http://www.eoddata.com/stockquote/FOREX/AUDUSD.htm   " xr:uid="{E023452D-DF72-4831-9907-F3CEF37AB444}"/>
    <hyperlink ref="K7" r:id="rId8" location=" " display="http://databank.worldbank.org/data/views/variableselection/selectvariables.aspx?source=World-Development-Indicators# " xr:uid="{C3653067-EDDA-44FE-8E49-A1696808A78A}"/>
  </hyperlinks>
  <pageMargins left="0.7" right="0.7" top="0.75" bottom="0.75" header="0.3" footer="0.3"/>
  <pageSetup paperSize="9"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0B70-0DB4-4A06-AD4D-2288BF3E4991}">
  <dimension ref="A1:DJ518"/>
  <sheetViews>
    <sheetView workbookViewId="0">
      <selection activeCell="F10" sqref="F10"/>
    </sheetView>
  </sheetViews>
  <sheetFormatPr defaultColWidth="9.1328125" defaultRowHeight="13.15"/>
  <cols>
    <col min="1" max="1" width="4.86328125" style="86" customWidth="1"/>
    <col min="2" max="2" width="44.46484375" style="86" customWidth="1"/>
    <col min="3" max="3" width="35.53125" style="86" customWidth="1"/>
    <col min="4" max="4" width="8.6640625" style="86" customWidth="1"/>
    <col min="5" max="5" width="12.86328125" style="86" customWidth="1"/>
    <col min="6" max="6" width="85.1328125" style="138" customWidth="1"/>
    <col min="7" max="114" width="9.1328125" style="127"/>
    <col min="115" max="16384" width="9.1328125" style="86"/>
  </cols>
  <sheetData>
    <row r="1" spans="1:10" s="127" customFormat="1">
      <c r="F1" s="128"/>
    </row>
    <row r="2" spans="1:10">
      <c r="B2" s="119" t="s">
        <v>240</v>
      </c>
      <c r="C2" s="129" t="s">
        <v>228</v>
      </c>
      <c r="D2" s="129" t="s">
        <v>229</v>
      </c>
      <c r="E2" s="129"/>
      <c r="F2" s="130" t="s">
        <v>230</v>
      </c>
    </row>
    <row r="3" spans="1:10" s="127" customFormat="1">
      <c r="F3" s="128"/>
    </row>
    <row r="4" spans="1:10" s="127" customFormat="1">
      <c r="C4" s="131"/>
      <c r="D4" s="131"/>
      <c r="E4" s="131"/>
      <c r="F4" s="128"/>
    </row>
    <row r="5" spans="1:10">
      <c r="A5" s="127"/>
      <c r="B5" s="132" t="s">
        <v>241</v>
      </c>
      <c r="C5" s="133"/>
      <c r="D5" s="133"/>
      <c r="F5" s="165" t="s">
        <v>256</v>
      </c>
      <c r="G5" s="134"/>
      <c r="H5" s="134"/>
      <c r="I5" s="134"/>
      <c r="J5" s="134"/>
    </row>
    <row r="6" spans="1:10">
      <c r="A6" s="127"/>
      <c r="B6" s="127"/>
      <c r="C6" s="127"/>
      <c r="D6" s="127"/>
      <c r="E6" s="127"/>
      <c r="F6" s="165" t="s">
        <v>257</v>
      </c>
    </row>
    <row r="7" spans="1:10">
      <c r="A7" s="127"/>
      <c r="B7" s="127"/>
      <c r="C7" s="127"/>
      <c r="D7" s="127"/>
      <c r="E7" s="127"/>
      <c r="F7" s="166" t="s">
        <v>258</v>
      </c>
    </row>
    <row r="8" spans="1:10">
      <c r="A8" s="127"/>
      <c r="B8" s="127"/>
      <c r="C8" s="127"/>
      <c r="D8" s="127"/>
      <c r="E8" s="127"/>
      <c r="F8" s="155"/>
    </row>
    <row r="9" spans="1:10">
      <c r="B9" s="135" t="s">
        <v>242</v>
      </c>
      <c r="C9" s="133"/>
      <c r="D9" s="133"/>
      <c r="F9" s="165" t="s">
        <v>260</v>
      </c>
    </row>
    <row r="10" spans="1:10">
      <c r="A10" s="127"/>
      <c r="B10" s="131"/>
      <c r="C10" s="127"/>
      <c r="D10" s="127"/>
      <c r="E10" s="127"/>
      <c r="F10" s="167" t="s">
        <v>261</v>
      </c>
    </row>
    <row r="11" spans="1:10">
      <c r="A11" s="127"/>
      <c r="B11" s="131"/>
      <c r="C11" s="127"/>
      <c r="D11" s="127"/>
      <c r="E11" s="127"/>
      <c r="F11" s="168"/>
    </row>
    <row r="12" spans="1:10" s="127" customFormat="1">
      <c r="B12" s="131"/>
      <c r="F12" s="155"/>
    </row>
    <row r="13" spans="1:10">
      <c r="B13" s="135" t="s">
        <v>243</v>
      </c>
      <c r="C13" s="133"/>
      <c r="D13" s="133"/>
      <c r="F13" s="166" t="s">
        <v>262</v>
      </c>
    </row>
    <row r="14" spans="1:10" s="127" customFormat="1">
      <c r="B14" s="131"/>
      <c r="F14" s="166" t="s">
        <v>271</v>
      </c>
    </row>
    <row r="15" spans="1:10" s="127" customFormat="1">
      <c r="B15" s="131"/>
      <c r="F15" s="168" t="s">
        <v>272</v>
      </c>
    </row>
    <row r="16" spans="1:10" s="127" customFormat="1">
      <c r="B16" s="131"/>
      <c r="F16" s="155"/>
    </row>
    <row r="17" spans="2:6">
      <c r="B17" s="135" t="s">
        <v>244</v>
      </c>
      <c r="C17" s="136"/>
      <c r="D17" s="133"/>
      <c r="F17" s="166" t="s">
        <v>264</v>
      </c>
    </row>
    <row r="18" spans="2:6" s="127" customFormat="1">
      <c r="F18" s="166" t="s">
        <v>265</v>
      </c>
    </row>
    <row r="19" spans="2:6" s="127" customFormat="1">
      <c r="F19" s="168" t="s">
        <v>262</v>
      </c>
    </row>
    <row r="20" spans="2:6" s="127" customFormat="1">
      <c r="F20" s="128"/>
    </row>
    <row r="21" spans="2:6" s="127" customFormat="1">
      <c r="F21" s="128"/>
    </row>
    <row r="22" spans="2:6" s="127" customFormat="1">
      <c r="F22" s="128"/>
    </row>
    <row r="23" spans="2:6" s="127" customFormat="1">
      <c r="F23" s="128"/>
    </row>
    <row r="24" spans="2:6" s="127" customFormat="1">
      <c r="F24" s="128"/>
    </row>
    <row r="25" spans="2:6" s="127" customFormat="1">
      <c r="B25" s="131"/>
      <c r="F25" s="128"/>
    </row>
    <row r="26" spans="2:6" s="127" customFormat="1">
      <c r="F26" s="128"/>
    </row>
    <row r="27" spans="2:6" s="127" customFormat="1">
      <c r="F27" s="128"/>
    </row>
    <row r="28" spans="2:6" s="127" customFormat="1">
      <c r="B28" s="131"/>
      <c r="F28" s="128"/>
    </row>
    <row r="29" spans="2:6" s="127" customFormat="1">
      <c r="F29" s="128"/>
    </row>
    <row r="30" spans="2:6" s="127" customFormat="1">
      <c r="F30" s="128"/>
    </row>
    <row r="31" spans="2:6" s="127" customFormat="1">
      <c r="F31" s="128"/>
    </row>
    <row r="32" spans="2:6" s="127" customFormat="1">
      <c r="F32" s="128"/>
    </row>
    <row r="33" spans="6:6" s="127" customFormat="1">
      <c r="F33" s="128"/>
    </row>
    <row r="34" spans="6:6" s="127" customFormat="1">
      <c r="F34" s="128"/>
    </row>
    <row r="35" spans="6:6" s="127" customFormat="1">
      <c r="F35" s="128"/>
    </row>
    <row r="36" spans="6:6" s="127" customFormat="1">
      <c r="F36" s="128"/>
    </row>
    <row r="37" spans="6:6" s="127" customFormat="1">
      <c r="F37" s="128"/>
    </row>
    <row r="38" spans="6:6" s="127" customFormat="1">
      <c r="F38" s="128"/>
    </row>
    <row r="39" spans="6:6" s="127" customFormat="1">
      <c r="F39" s="128"/>
    </row>
    <row r="40" spans="6:6" s="127" customFormat="1">
      <c r="F40" s="128"/>
    </row>
    <row r="41" spans="6:6" s="127" customFormat="1">
      <c r="F41" s="128"/>
    </row>
    <row r="42" spans="6:6" s="127" customFormat="1">
      <c r="F42" s="128"/>
    </row>
    <row r="43" spans="6:6" s="127" customFormat="1">
      <c r="F43" s="128"/>
    </row>
    <row r="44" spans="6:6" s="127" customFormat="1">
      <c r="F44" s="128"/>
    </row>
    <row r="45" spans="6:6" s="127" customFormat="1">
      <c r="F45" s="128"/>
    </row>
    <row r="46" spans="6:6" s="127" customFormat="1">
      <c r="F46" s="128"/>
    </row>
    <row r="47" spans="6:6" s="127" customFormat="1">
      <c r="F47" s="128"/>
    </row>
    <row r="48" spans="6:6" s="127" customFormat="1">
      <c r="F48" s="128"/>
    </row>
    <row r="49" spans="6:6" s="127" customFormat="1">
      <c r="F49" s="128"/>
    </row>
    <row r="50" spans="6:6" s="127" customFormat="1">
      <c r="F50" s="128"/>
    </row>
    <row r="51" spans="6:6" s="127" customFormat="1">
      <c r="F51" s="128"/>
    </row>
    <row r="52" spans="6:6" s="127" customFormat="1">
      <c r="F52" s="128"/>
    </row>
    <row r="53" spans="6:6" s="127" customFormat="1">
      <c r="F53" s="128"/>
    </row>
    <row r="54" spans="6:6" s="127" customFormat="1">
      <c r="F54" s="128"/>
    </row>
    <row r="55" spans="6:6" s="127" customFormat="1">
      <c r="F55" s="128"/>
    </row>
    <row r="56" spans="6:6" s="127" customFormat="1">
      <c r="F56" s="128"/>
    </row>
    <row r="57" spans="6:6" s="127" customFormat="1">
      <c r="F57" s="128"/>
    </row>
    <row r="58" spans="6:6" s="127" customFormat="1">
      <c r="F58" s="128"/>
    </row>
    <row r="59" spans="6:6" s="127" customFormat="1">
      <c r="F59" s="128"/>
    </row>
    <row r="60" spans="6:6" s="127" customFormat="1">
      <c r="F60" s="128"/>
    </row>
    <row r="61" spans="6:6" s="127" customFormat="1">
      <c r="F61" s="128"/>
    </row>
    <row r="62" spans="6:6" s="127" customFormat="1">
      <c r="F62" s="128"/>
    </row>
    <row r="63" spans="6:6" s="127" customFormat="1">
      <c r="F63" s="128"/>
    </row>
    <row r="64" spans="6:6" s="127" customFormat="1">
      <c r="F64" s="128"/>
    </row>
    <row r="65" spans="6:6" s="127" customFormat="1">
      <c r="F65" s="128"/>
    </row>
    <row r="66" spans="6:6" s="127" customFormat="1">
      <c r="F66" s="128"/>
    </row>
    <row r="67" spans="6:6" s="127" customFormat="1">
      <c r="F67" s="128"/>
    </row>
    <row r="68" spans="6:6" s="127" customFormat="1">
      <c r="F68" s="128"/>
    </row>
    <row r="69" spans="6:6" s="127" customFormat="1">
      <c r="F69" s="128"/>
    </row>
    <row r="70" spans="6:6" s="127" customFormat="1">
      <c r="F70" s="128"/>
    </row>
    <row r="71" spans="6:6" s="127" customFormat="1">
      <c r="F71" s="128"/>
    </row>
    <row r="72" spans="6:6" s="127" customFormat="1">
      <c r="F72" s="128"/>
    </row>
    <row r="73" spans="6:6" s="127" customFormat="1">
      <c r="F73" s="128"/>
    </row>
    <row r="74" spans="6:6" s="127" customFormat="1">
      <c r="F74" s="128"/>
    </row>
    <row r="75" spans="6:6" s="127" customFormat="1">
      <c r="F75" s="128"/>
    </row>
    <row r="76" spans="6:6" s="127" customFormat="1">
      <c r="F76" s="128"/>
    </row>
    <row r="77" spans="6:6" s="127" customFormat="1">
      <c r="F77" s="128"/>
    </row>
    <row r="78" spans="6:6" s="127" customFormat="1">
      <c r="F78" s="128"/>
    </row>
    <row r="79" spans="6:6" s="127" customFormat="1">
      <c r="F79" s="128"/>
    </row>
    <row r="80" spans="6:6" s="127" customFormat="1">
      <c r="F80" s="128"/>
    </row>
    <row r="81" spans="6:6" s="127" customFormat="1">
      <c r="F81" s="128"/>
    </row>
    <row r="82" spans="6:6" s="127" customFormat="1">
      <c r="F82" s="128"/>
    </row>
    <row r="83" spans="6:6" s="127" customFormat="1">
      <c r="F83" s="128"/>
    </row>
    <row r="84" spans="6:6" s="127" customFormat="1">
      <c r="F84" s="128"/>
    </row>
    <row r="85" spans="6:6" s="127" customFormat="1">
      <c r="F85" s="128"/>
    </row>
    <row r="86" spans="6:6" s="127" customFormat="1">
      <c r="F86" s="128"/>
    </row>
    <row r="87" spans="6:6" s="127" customFormat="1">
      <c r="F87" s="128"/>
    </row>
    <row r="88" spans="6:6" s="127" customFormat="1">
      <c r="F88" s="128"/>
    </row>
    <row r="89" spans="6:6" s="127" customFormat="1">
      <c r="F89" s="128"/>
    </row>
    <row r="90" spans="6:6" s="127" customFormat="1">
      <c r="F90" s="128"/>
    </row>
    <row r="91" spans="6:6" s="127" customFormat="1">
      <c r="F91" s="128"/>
    </row>
    <row r="92" spans="6:6" s="127" customFormat="1">
      <c r="F92" s="128"/>
    </row>
    <row r="93" spans="6:6" s="127" customFormat="1">
      <c r="F93" s="128"/>
    </row>
    <row r="94" spans="6:6" s="127" customFormat="1">
      <c r="F94" s="128"/>
    </row>
    <row r="95" spans="6:6" s="127" customFormat="1">
      <c r="F95" s="128"/>
    </row>
    <row r="96" spans="6:6" s="127" customFormat="1">
      <c r="F96" s="128"/>
    </row>
    <row r="97" spans="6:6" s="127" customFormat="1">
      <c r="F97" s="128"/>
    </row>
    <row r="98" spans="6:6" s="127" customFormat="1">
      <c r="F98" s="128"/>
    </row>
    <row r="99" spans="6:6" s="127" customFormat="1">
      <c r="F99" s="128"/>
    </row>
    <row r="100" spans="6:6" s="127" customFormat="1">
      <c r="F100" s="128"/>
    </row>
    <row r="101" spans="6:6" s="127" customFormat="1">
      <c r="F101" s="128"/>
    </row>
    <row r="102" spans="6:6" s="127" customFormat="1">
      <c r="F102" s="128"/>
    </row>
    <row r="103" spans="6:6" s="127" customFormat="1">
      <c r="F103" s="128"/>
    </row>
    <row r="104" spans="6:6" s="127" customFormat="1">
      <c r="F104" s="128"/>
    </row>
    <row r="105" spans="6:6" s="127" customFormat="1">
      <c r="F105" s="128"/>
    </row>
    <row r="106" spans="6:6" s="127" customFormat="1">
      <c r="F106" s="128"/>
    </row>
    <row r="107" spans="6:6" s="127" customFormat="1">
      <c r="F107" s="128"/>
    </row>
    <row r="108" spans="6:6" s="127" customFormat="1">
      <c r="F108" s="128"/>
    </row>
    <row r="109" spans="6:6" s="127" customFormat="1">
      <c r="F109" s="128"/>
    </row>
    <row r="110" spans="6:6" s="127" customFormat="1">
      <c r="F110" s="128"/>
    </row>
    <row r="111" spans="6:6" s="127" customFormat="1">
      <c r="F111" s="128"/>
    </row>
    <row r="112" spans="6:6" s="127" customFormat="1">
      <c r="F112" s="128"/>
    </row>
    <row r="113" spans="6:6" s="127" customFormat="1">
      <c r="F113" s="128"/>
    </row>
    <row r="114" spans="6:6" s="127" customFormat="1">
      <c r="F114" s="128"/>
    </row>
    <row r="115" spans="6:6" s="127" customFormat="1">
      <c r="F115" s="128"/>
    </row>
    <row r="116" spans="6:6" s="127" customFormat="1">
      <c r="F116" s="128"/>
    </row>
    <row r="117" spans="6:6" s="127" customFormat="1">
      <c r="F117" s="128"/>
    </row>
    <row r="118" spans="6:6" s="127" customFormat="1">
      <c r="F118" s="128"/>
    </row>
    <row r="119" spans="6:6" s="127" customFormat="1">
      <c r="F119" s="128"/>
    </row>
    <row r="120" spans="6:6" s="127" customFormat="1">
      <c r="F120" s="128"/>
    </row>
    <row r="121" spans="6:6" s="127" customFormat="1">
      <c r="F121" s="128"/>
    </row>
    <row r="122" spans="6:6" s="127" customFormat="1">
      <c r="F122" s="128"/>
    </row>
    <row r="123" spans="6:6" s="127" customFormat="1">
      <c r="F123" s="128"/>
    </row>
    <row r="124" spans="6:6" s="127" customFormat="1">
      <c r="F124" s="128"/>
    </row>
    <row r="125" spans="6:6" s="127" customFormat="1">
      <c r="F125" s="128"/>
    </row>
    <row r="126" spans="6:6" s="127" customFormat="1">
      <c r="F126" s="128"/>
    </row>
    <row r="127" spans="6:6" s="127" customFormat="1">
      <c r="F127" s="128"/>
    </row>
    <row r="128" spans="6:6" s="127" customFormat="1">
      <c r="F128" s="128"/>
    </row>
    <row r="129" spans="6:6" s="127" customFormat="1">
      <c r="F129" s="128"/>
    </row>
    <row r="130" spans="6:6" s="127" customFormat="1">
      <c r="F130" s="128"/>
    </row>
    <row r="131" spans="6:6" s="127" customFormat="1">
      <c r="F131" s="128"/>
    </row>
    <row r="132" spans="6:6" s="127" customFormat="1">
      <c r="F132" s="128"/>
    </row>
    <row r="133" spans="6:6" s="127" customFormat="1">
      <c r="F133" s="128"/>
    </row>
    <row r="134" spans="6:6" s="127" customFormat="1">
      <c r="F134" s="128"/>
    </row>
    <row r="135" spans="6:6" s="127" customFormat="1">
      <c r="F135" s="128"/>
    </row>
    <row r="136" spans="6:6" s="127" customFormat="1">
      <c r="F136" s="128"/>
    </row>
    <row r="137" spans="6:6" s="127" customFormat="1">
      <c r="F137" s="128"/>
    </row>
    <row r="138" spans="6:6" s="127" customFormat="1">
      <c r="F138" s="128"/>
    </row>
    <row r="139" spans="6:6" s="127" customFormat="1">
      <c r="F139" s="128"/>
    </row>
    <row r="140" spans="6:6" s="127" customFormat="1">
      <c r="F140" s="128"/>
    </row>
    <row r="141" spans="6:6" s="127" customFormat="1">
      <c r="F141" s="128"/>
    </row>
    <row r="142" spans="6:6" s="127" customFormat="1">
      <c r="F142" s="128"/>
    </row>
    <row r="143" spans="6:6" s="127" customFormat="1">
      <c r="F143" s="128"/>
    </row>
    <row r="144" spans="6:6" s="127" customFormat="1">
      <c r="F144" s="128"/>
    </row>
    <row r="145" spans="6:6" s="127" customFormat="1">
      <c r="F145" s="128"/>
    </row>
    <row r="146" spans="6:6" s="127" customFormat="1">
      <c r="F146" s="128"/>
    </row>
    <row r="147" spans="6:6" s="127" customFormat="1">
      <c r="F147" s="128"/>
    </row>
    <row r="148" spans="6:6" s="127" customFormat="1">
      <c r="F148" s="128"/>
    </row>
    <row r="149" spans="6:6" s="127" customFormat="1">
      <c r="F149" s="128"/>
    </row>
    <row r="150" spans="6:6" s="127" customFormat="1">
      <c r="F150" s="128"/>
    </row>
    <row r="151" spans="6:6" s="127" customFormat="1">
      <c r="F151" s="128"/>
    </row>
    <row r="152" spans="6:6" s="127" customFormat="1">
      <c r="F152" s="128"/>
    </row>
    <row r="153" spans="6:6" s="127" customFormat="1">
      <c r="F153" s="128"/>
    </row>
    <row r="154" spans="6:6" s="127" customFormat="1">
      <c r="F154" s="128"/>
    </row>
    <row r="155" spans="6:6" s="127" customFormat="1">
      <c r="F155" s="128"/>
    </row>
    <row r="156" spans="6:6" s="127" customFormat="1">
      <c r="F156" s="128"/>
    </row>
    <row r="157" spans="6:6" s="127" customFormat="1">
      <c r="F157" s="128"/>
    </row>
    <row r="158" spans="6:6" s="127" customFormat="1">
      <c r="F158" s="128"/>
    </row>
    <row r="159" spans="6:6" s="127" customFormat="1">
      <c r="F159" s="128"/>
    </row>
    <row r="160" spans="6:6" s="127" customFormat="1">
      <c r="F160" s="128"/>
    </row>
    <row r="161" spans="6:6" s="127" customFormat="1">
      <c r="F161" s="128"/>
    </row>
    <row r="162" spans="6:6" s="127" customFormat="1">
      <c r="F162" s="128"/>
    </row>
    <row r="163" spans="6:6" s="127" customFormat="1">
      <c r="F163" s="128"/>
    </row>
    <row r="164" spans="6:6" s="127" customFormat="1">
      <c r="F164" s="128"/>
    </row>
    <row r="165" spans="6:6" s="127" customFormat="1">
      <c r="F165" s="128"/>
    </row>
    <row r="166" spans="6:6" s="127" customFormat="1">
      <c r="F166" s="128"/>
    </row>
    <row r="167" spans="6:6" s="127" customFormat="1">
      <c r="F167" s="128"/>
    </row>
    <row r="168" spans="6:6" s="127" customFormat="1">
      <c r="F168" s="128"/>
    </row>
    <row r="169" spans="6:6" s="127" customFormat="1">
      <c r="F169" s="128"/>
    </row>
    <row r="170" spans="6:6" s="127" customFormat="1">
      <c r="F170" s="128"/>
    </row>
    <row r="171" spans="6:6" s="127" customFormat="1">
      <c r="F171" s="128"/>
    </row>
    <row r="172" spans="6:6" s="127" customFormat="1">
      <c r="F172" s="128"/>
    </row>
    <row r="173" spans="6:6" s="127" customFormat="1">
      <c r="F173" s="128"/>
    </row>
    <row r="174" spans="6:6" s="127" customFormat="1">
      <c r="F174" s="128"/>
    </row>
    <row r="175" spans="6:6" s="127" customFormat="1">
      <c r="F175" s="128"/>
    </row>
    <row r="176" spans="6:6" s="127" customFormat="1">
      <c r="F176" s="128"/>
    </row>
    <row r="177" spans="6:6" s="127" customFormat="1">
      <c r="F177" s="128"/>
    </row>
    <row r="178" spans="6:6" s="127" customFormat="1">
      <c r="F178" s="128"/>
    </row>
    <row r="179" spans="6:6" s="127" customFormat="1">
      <c r="F179" s="128"/>
    </row>
    <row r="180" spans="6:6" s="127" customFormat="1">
      <c r="F180" s="128"/>
    </row>
    <row r="181" spans="6:6" s="127" customFormat="1">
      <c r="F181" s="128"/>
    </row>
    <row r="182" spans="6:6" s="127" customFormat="1">
      <c r="F182" s="128"/>
    </row>
    <row r="183" spans="6:6" s="127" customFormat="1">
      <c r="F183" s="128"/>
    </row>
    <row r="184" spans="6:6" s="127" customFormat="1">
      <c r="F184" s="128"/>
    </row>
    <row r="185" spans="6:6" s="127" customFormat="1">
      <c r="F185" s="128"/>
    </row>
    <row r="186" spans="6:6" s="127" customFormat="1">
      <c r="F186" s="128"/>
    </row>
    <row r="187" spans="6:6" s="127" customFormat="1">
      <c r="F187" s="128"/>
    </row>
    <row r="188" spans="6:6" s="127" customFormat="1">
      <c r="F188" s="128"/>
    </row>
    <row r="189" spans="6:6" s="127" customFormat="1">
      <c r="F189" s="128"/>
    </row>
    <row r="190" spans="6:6" s="127" customFormat="1">
      <c r="F190" s="128"/>
    </row>
    <row r="191" spans="6:6" s="127" customFormat="1">
      <c r="F191" s="128"/>
    </row>
    <row r="192" spans="6:6" s="127" customFormat="1">
      <c r="F192" s="128"/>
    </row>
    <row r="193" spans="6:6" s="127" customFormat="1">
      <c r="F193" s="128"/>
    </row>
    <row r="194" spans="6:6" s="127" customFormat="1">
      <c r="F194" s="128"/>
    </row>
    <row r="195" spans="6:6" s="127" customFormat="1">
      <c r="F195" s="128"/>
    </row>
    <row r="196" spans="6:6" s="127" customFormat="1">
      <c r="F196" s="128"/>
    </row>
    <row r="197" spans="6:6" s="127" customFormat="1">
      <c r="F197" s="128"/>
    </row>
    <row r="198" spans="6:6" s="127" customFormat="1">
      <c r="F198" s="128"/>
    </row>
    <row r="199" spans="6:6" s="127" customFormat="1">
      <c r="F199" s="128"/>
    </row>
    <row r="200" spans="6:6" s="127" customFormat="1">
      <c r="F200" s="128"/>
    </row>
    <row r="201" spans="6:6" s="127" customFormat="1">
      <c r="F201" s="128"/>
    </row>
    <row r="202" spans="6:6" s="127" customFormat="1">
      <c r="F202" s="128"/>
    </row>
    <row r="203" spans="6:6" s="127" customFormat="1">
      <c r="F203" s="128"/>
    </row>
    <row r="204" spans="6:6" s="127" customFormat="1">
      <c r="F204" s="128"/>
    </row>
    <row r="205" spans="6:6" s="127" customFormat="1">
      <c r="F205" s="128"/>
    </row>
    <row r="206" spans="6:6" s="127" customFormat="1">
      <c r="F206" s="128"/>
    </row>
    <row r="207" spans="6:6" s="127" customFormat="1">
      <c r="F207" s="128"/>
    </row>
    <row r="208" spans="6:6" s="127" customFormat="1">
      <c r="F208" s="128"/>
    </row>
    <row r="209" spans="6:6" s="127" customFormat="1">
      <c r="F209" s="128"/>
    </row>
    <row r="210" spans="6:6" s="127" customFormat="1">
      <c r="F210" s="128"/>
    </row>
    <row r="211" spans="6:6" s="127" customFormat="1">
      <c r="F211" s="128"/>
    </row>
    <row r="212" spans="6:6" s="127" customFormat="1">
      <c r="F212" s="128"/>
    </row>
    <row r="213" spans="6:6" s="127" customFormat="1">
      <c r="F213" s="128"/>
    </row>
    <row r="214" spans="6:6" s="127" customFormat="1">
      <c r="F214" s="128"/>
    </row>
    <row r="215" spans="6:6" s="127" customFormat="1">
      <c r="F215" s="128"/>
    </row>
    <row r="216" spans="6:6" s="127" customFormat="1">
      <c r="F216" s="128"/>
    </row>
    <row r="217" spans="6:6" s="127" customFormat="1">
      <c r="F217" s="128"/>
    </row>
    <row r="218" spans="6:6" s="127" customFormat="1">
      <c r="F218" s="128"/>
    </row>
    <row r="219" spans="6:6" s="127" customFormat="1">
      <c r="F219" s="128"/>
    </row>
    <row r="220" spans="6:6" s="127" customFormat="1">
      <c r="F220" s="128"/>
    </row>
    <row r="221" spans="6:6" s="127" customFormat="1">
      <c r="F221" s="128"/>
    </row>
    <row r="222" spans="6:6" s="127" customFormat="1">
      <c r="F222" s="128"/>
    </row>
    <row r="223" spans="6:6" s="127" customFormat="1">
      <c r="F223" s="128"/>
    </row>
    <row r="224" spans="6:6" s="127" customFormat="1">
      <c r="F224" s="128"/>
    </row>
    <row r="225" spans="6:6" s="127" customFormat="1">
      <c r="F225" s="128"/>
    </row>
    <row r="226" spans="6:6" s="127" customFormat="1">
      <c r="F226" s="128"/>
    </row>
    <row r="227" spans="6:6" s="127" customFormat="1">
      <c r="F227" s="128"/>
    </row>
    <row r="228" spans="6:6" s="127" customFormat="1">
      <c r="F228" s="128"/>
    </row>
    <row r="229" spans="6:6" s="127" customFormat="1">
      <c r="F229" s="128"/>
    </row>
    <row r="230" spans="6:6" s="127" customFormat="1">
      <c r="F230" s="128"/>
    </row>
    <row r="231" spans="6:6" s="127" customFormat="1">
      <c r="F231" s="128"/>
    </row>
    <row r="232" spans="6:6" s="127" customFormat="1">
      <c r="F232" s="128"/>
    </row>
    <row r="233" spans="6:6" s="127" customFormat="1">
      <c r="F233" s="128"/>
    </row>
    <row r="234" spans="6:6" s="127" customFormat="1">
      <c r="F234" s="128"/>
    </row>
    <row r="235" spans="6:6" s="127" customFormat="1">
      <c r="F235" s="128"/>
    </row>
    <row r="236" spans="6:6" s="127" customFormat="1">
      <c r="F236" s="128"/>
    </row>
    <row r="237" spans="6:6" s="127" customFormat="1">
      <c r="F237" s="128"/>
    </row>
    <row r="238" spans="6:6" s="127" customFormat="1">
      <c r="F238" s="128"/>
    </row>
    <row r="239" spans="6:6" s="127" customFormat="1">
      <c r="F239" s="128"/>
    </row>
    <row r="240" spans="6:6" s="127" customFormat="1">
      <c r="F240" s="128"/>
    </row>
    <row r="241" spans="6:6" s="127" customFormat="1">
      <c r="F241" s="128"/>
    </row>
    <row r="242" spans="6:6" s="127" customFormat="1">
      <c r="F242" s="128"/>
    </row>
    <row r="243" spans="6:6" s="127" customFormat="1">
      <c r="F243" s="128"/>
    </row>
    <row r="244" spans="6:6" s="127" customFormat="1">
      <c r="F244" s="128"/>
    </row>
    <row r="245" spans="6:6" s="127" customFormat="1">
      <c r="F245" s="128"/>
    </row>
    <row r="246" spans="6:6" s="127" customFormat="1">
      <c r="F246" s="128"/>
    </row>
    <row r="247" spans="6:6" s="127" customFormat="1">
      <c r="F247" s="128"/>
    </row>
    <row r="248" spans="6:6" s="127" customFormat="1">
      <c r="F248" s="128"/>
    </row>
    <row r="249" spans="6:6" s="127" customFormat="1">
      <c r="F249" s="128"/>
    </row>
    <row r="250" spans="6:6" s="127" customFormat="1">
      <c r="F250" s="128"/>
    </row>
    <row r="251" spans="6:6" s="127" customFormat="1">
      <c r="F251" s="128"/>
    </row>
    <row r="252" spans="6:6" s="127" customFormat="1">
      <c r="F252" s="128"/>
    </row>
    <row r="253" spans="6:6" s="127" customFormat="1">
      <c r="F253" s="128"/>
    </row>
    <row r="254" spans="6:6" s="127" customFormat="1">
      <c r="F254" s="128"/>
    </row>
    <row r="255" spans="6:6" s="127" customFormat="1">
      <c r="F255" s="128"/>
    </row>
    <row r="256" spans="6:6" s="127" customFormat="1">
      <c r="F256" s="128"/>
    </row>
    <row r="257" spans="6:6" s="127" customFormat="1">
      <c r="F257" s="128"/>
    </row>
    <row r="258" spans="6:6" s="127" customFormat="1">
      <c r="F258" s="128"/>
    </row>
    <row r="259" spans="6:6" s="127" customFormat="1">
      <c r="F259" s="128"/>
    </row>
    <row r="260" spans="6:6" s="127" customFormat="1">
      <c r="F260" s="128"/>
    </row>
    <row r="261" spans="6:6" s="127" customFormat="1">
      <c r="F261" s="128"/>
    </row>
    <row r="262" spans="6:6" s="127" customFormat="1">
      <c r="F262" s="128"/>
    </row>
    <row r="263" spans="6:6" s="127" customFormat="1">
      <c r="F263" s="128"/>
    </row>
    <row r="264" spans="6:6" s="127" customFormat="1">
      <c r="F264" s="128"/>
    </row>
    <row r="265" spans="6:6" s="127" customFormat="1">
      <c r="F265" s="128"/>
    </row>
    <row r="266" spans="6:6" s="127" customFormat="1">
      <c r="F266" s="128"/>
    </row>
    <row r="267" spans="6:6" s="127" customFormat="1">
      <c r="F267" s="128"/>
    </row>
    <row r="268" spans="6:6" s="127" customFormat="1">
      <c r="F268" s="128"/>
    </row>
    <row r="269" spans="6:6" s="127" customFormat="1">
      <c r="F269" s="128"/>
    </row>
    <row r="270" spans="6:6" s="127" customFormat="1">
      <c r="F270" s="128"/>
    </row>
    <row r="271" spans="6:6" s="127" customFormat="1">
      <c r="F271" s="128"/>
    </row>
    <row r="272" spans="6:6" s="127" customFormat="1">
      <c r="F272" s="128"/>
    </row>
    <row r="273" spans="6:6" s="127" customFormat="1">
      <c r="F273" s="128"/>
    </row>
    <row r="274" spans="6:6" s="127" customFormat="1">
      <c r="F274" s="128"/>
    </row>
    <row r="275" spans="6:6" s="127" customFormat="1">
      <c r="F275" s="128"/>
    </row>
    <row r="276" spans="6:6" s="127" customFormat="1">
      <c r="F276" s="128"/>
    </row>
    <row r="277" spans="6:6" s="127" customFormat="1">
      <c r="F277" s="128"/>
    </row>
    <row r="278" spans="6:6" s="127" customFormat="1">
      <c r="F278" s="128"/>
    </row>
    <row r="279" spans="6:6" s="127" customFormat="1">
      <c r="F279" s="128"/>
    </row>
    <row r="280" spans="6:6" s="127" customFormat="1">
      <c r="F280" s="128"/>
    </row>
    <row r="281" spans="6:6" s="127" customFormat="1">
      <c r="F281" s="128"/>
    </row>
    <row r="282" spans="6:6" s="127" customFormat="1">
      <c r="F282" s="128"/>
    </row>
    <row r="283" spans="6:6" s="127" customFormat="1">
      <c r="F283" s="128"/>
    </row>
    <row r="284" spans="6:6" s="127" customFormat="1">
      <c r="F284" s="128"/>
    </row>
    <row r="285" spans="6:6" s="127" customFormat="1">
      <c r="F285" s="128"/>
    </row>
    <row r="286" spans="6:6" s="127" customFormat="1">
      <c r="F286" s="128"/>
    </row>
    <row r="287" spans="6:6" s="127" customFormat="1">
      <c r="F287" s="128"/>
    </row>
    <row r="288" spans="6:6" s="127" customFormat="1">
      <c r="F288" s="128"/>
    </row>
    <row r="289" spans="6:6" s="127" customFormat="1">
      <c r="F289" s="128"/>
    </row>
    <row r="290" spans="6:6" s="127" customFormat="1">
      <c r="F290" s="128"/>
    </row>
    <row r="291" spans="6:6" s="127" customFormat="1">
      <c r="F291" s="128"/>
    </row>
    <row r="292" spans="6:6" s="127" customFormat="1">
      <c r="F292" s="128"/>
    </row>
    <row r="293" spans="6:6" s="127" customFormat="1">
      <c r="F293" s="128"/>
    </row>
    <row r="294" spans="6:6" s="127" customFormat="1">
      <c r="F294" s="128"/>
    </row>
    <row r="295" spans="6:6" s="127" customFormat="1">
      <c r="F295" s="128"/>
    </row>
    <row r="296" spans="6:6" s="127" customFormat="1">
      <c r="F296" s="128"/>
    </row>
    <row r="297" spans="6:6" s="127" customFormat="1">
      <c r="F297" s="128"/>
    </row>
    <row r="298" spans="6:6" s="127" customFormat="1">
      <c r="F298" s="128"/>
    </row>
    <row r="299" spans="6:6" s="127" customFormat="1">
      <c r="F299" s="128"/>
    </row>
    <row r="300" spans="6:6" s="127" customFormat="1">
      <c r="F300" s="128"/>
    </row>
    <row r="301" spans="6:6" s="127" customFormat="1">
      <c r="F301" s="128"/>
    </row>
    <row r="302" spans="6:6" s="127" customFormat="1">
      <c r="F302" s="128"/>
    </row>
    <row r="303" spans="6:6" s="127" customFormat="1">
      <c r="F303" s="128"/>
    </row>
    <row r="304" spans="6:6" s="127" customFormat="1">
      <c r="F304" s="128"/>
    </row>
    <row r="305" spans="6:6" s="127" customFormat="1">
      <c r="F305" s="128"/>
    </row>
    <row r="306" spans="6:6" s="127" customFormat="1">
      <c r="F306" s="128"/>
    </row>
    <row r="307" spans="6:6" s="127" customFormat="1">
      <c r="F307" s="128"/>
    </row>
    <row r="308" spans="6:6" s="127" customFormat="1">
      <c r="F308" s="128"/>
    </row>
    <row r="309" spans="6:6" s="127" customFormat="1">
      <c r="F309" s="128"/>
    </row>
    <row r="310" spans="6:6" s="127" customFormat="1">
      <c r="F310" s="128"/>
    </row>
    <row r="311" spans="6:6" s="127" customFormat="1">
      <c r="F311" s="128"/>
    </row>
    <row r="312" spans="6:6" s="127" customFormat="1">
      <c r="F312" s="128"/>
    </row>
    <row r="313" spans="6:6" s="127" customFormat="1">
      <c r="F313" s="128"/>
    </row>
    <row r="314" spans="6:6" s="127" customFormat="1">
      <c r="F314" s="128"/>
    </row>
    <row r="315" spans="6:6" s="127" customFormat="1">
      <c r="F315" s="128"/>
    </row>
    <row r="316" spans="6:6" s="127" customFormat="1">
      <c r="F316" s="128"/>
    </row>
    <row r="317" spans="6:6" s="127" customFormat="1">
      <c r="F317" s="128"/>
    </row>
    <row r="318" spans="6:6" s="127" customFormat="1">
      <c r="F318" s="128"/>
    </row>
    <row r="319" spans="6:6" s="127" customFormat="1">
      <c r="F319" s="128"/>
    </row>
    <row r="320" spans="6:6" s="127" customFormat="1">
      <c r="F320" s="128"/>
    </row>
    <row r="321" spans="6:6" s="127" customFormat="1">
      <c r="F321" s="128"/>
    </row>
    <row r="322" spans="6:6" s="127" customFormat="1">
      <c r="F322" s="128"/>
    </row>
    <row r="323" spans="6:6" s="127" customFormat="1">
      <c r="F323" s="128"/>
    </row>
    <row r="324" spans="6:6" s="127" customFormat="1">
      <c r="F324" s="128"/>
    </row>
    <row r="325" spans="6:6" s="127" customFormat="1">
      <c r="F325" s="128"/>
    </row>
    <row r="326" spans="6:6" s="127" customFormat="1">
      <c r="F326" s="128"/>
    </row>
    <row r="327" spans="6:6" s="127" customFormat="1">
      <c r="F327" s="128"/>
    </row>
    <row r="328" spans="6:6" s="127" customFormat="1">
      <c r="F328" s="128"/>
    </row>
    <row r="329" spans="6:6" s="127" customFormat="1">
      <c r="F329" s="128"/>
    </row>
    <row r="330" spans="6:6" s="127" customFormat="1">
      <c r="F330" s="128"/>
    </row>
    <row r="331" spans="6:6" s="127" customFormat="1">
      <c r="F331" s="128"/>
    </row>
    <row r="332" spans="6:6" s="127" customFormat="1">
      <c r="F332" s="128"/>
    </row>
    <row r="333" spans="6:6" s="127" customFormat="1">
      <c r="F333" s="128"/>
    </row>
    <row r="334" spans="6:6" s="127" customFormat="1">
      <c r="F334" s="128"/>
    </row>
    <row r="335" spans="6:6" s="127" customFormat="1">
      <c r="F335" s="128"/>
    </row>
    <row r="336" spans="6:6" s="127" customFormat="1">
      <c r="F336" s="128"/>
    </row>
    <row r="337" spans="6:6" s="127" customFormat="1">
      <c r="F337" s="128"/>
    </row>
    <row r="338" spans="6:6" s="127" customFormat="1">
      <c r="F338" s="128"/>
    </row>
    <row r="339" spans="6:6" s="127" customFormat="1">
      <c r="F339" s="128"/>
    </row>
    <row r="340" spans="6:6" s="127" customFormat="1">
      <c r="F340" s="128"/>
    </row>
    <row r="341" spans="6:6" s="127" customFormat="1">
      <c r="F341" s="128"/>
    </row>
    <row r="342" spans="6:6" s="127" customFormat="1">
      <c r="F342" s="128"/>
    </row>
    <row r="343" spans="6:6" s="127" customFormat="1">
      <c r="F343" s="128"/>
    </row>
    <row r="344" spans="6:6" s="127" customFormat="1">
      <c r="F344" s="128"/>
    </row>
    <row r="345" spans="6:6" s="127" customFormat="1">
      <c r="F345" s="128"/>
    </row>
    <row r="346" spans="6:6" s="127" customFormat="1">
      <c r="F346" s="128"/>
    </row>
    <row r="347" spans="6:6" s="127" customFormat="1">
      <c r="F347" s="128"/>
    </row>
    <row r="348" spans="6:6" s="127" customFormat="1">
      <c r="F348" s="128"/>
    </row>
    <row r="349" spans="6:6" s="127" customFormat="1">
      <c r="F349" s="128"/>
    </row>
    <row r="350" spans="6:6" s="127" customFormat="1">
      <c r="F350" s="128"/>
    </row>
    <row r="351" spans="6:6" s="127" customFormat="1">
      <c r="F351" s="128"/>
    </row>
    <row r="352" spans="6:6" s="127" customFormat="1">
      <c r="F352" s="128"/>
    </row>
    <row r="353" spans="6:6" s="127" customFormat="1">
      <c r="F353" s="128"/>
    </row>
    <row r="354" spans="6:6" s="127" customFormat="1">
      <c r="F354" s="128"/>
    </row>
    <row r="355" spans="6:6" s="127" customFormat="1">
      <c r="F355" s="128"/>
    </row>
    <row r="356" spans="6:6" s="127" customFormat="1">
      <c r="F356" s="128"/>
    </row>
    <row r="357" spans="6:6" s="127" customFormat="1">
      <c r="F357" s="128"/>
    </row>
    <row r="358" spans="6:6" s="127" customFormat="1">
      <c r="F358" s="128"/>
    </row>
    <row r="359" spans="6:6" s="127" customFormat="1">
      <c r="F359" s="128"/>
    </row>
    <row r="360" spans="6:6" s="127" customFormat="1">
      <c r="F360" s="128"/>
    </row>
    <row r="361" spans="6:6" s="127" customFormat="1">
      <c r="F361" s="128"/>
    </row>
    <row r="362" spans="6:6" s="127" customFormat="1">
      <c r="F362" s="128"/>
    </row>
    <row r="363" spans="6:6" s="127" customFormat="1">
      <c r="F363" s="128"/>
    </row>
    <row r="364" spans="6:6" s="127" customFormat="1">
      <c r="F364" s="128"/>
    </row>
    <row r="365" spans="6:6" s="127" customFormat="1">
      <c r="F365" s="128"/>
    </row>
    <row r="366" spans="6:6" s="127" customFormat="1">
      <c r="F366" s="128"/>
    </row>
    <row r="367" spans="6:6" s="127" customFormat="1">
      <c r="F367" s="128"/>
    </row>
    <row r="368" spans="6:6" s="127" customFormat="1">
      <c r="F368" s="128"/>
    </row>
    <row r="369" spans="6:6" s="127" customFormat="1">
      <c r="F369" s="128"/>
    </row>
    <row r="370" spans="6:6" s="127" customFormat="1">
      <c r="F370" s="128"/>
    </row>
    <row r="371" spans="6:6" s="127" customFormat="1">
      <c r="F371" s="128"/>
    </row>
    <row r="372" spans="6:6" s="127" customFormat="1">
      <c r="F372" s="128"/>
    </row>
    <row r="373" spans="6:6" s="127" customFormat="1">
      <c r="F373" s="128"/>
    </row>
    <row r="374" spans="6:6" s="127" customFormat="1">
      <c r="F374" s="128"/>
    </row>
    <row r="375" spans="6:6" s="127" customFormat="1">
      <c r="F375" s="128"/>
    </row>
    <row r="376" spans="6:6" s="127" customFormat="1">
      <c r="F376" s="128"/>
    </row>
    <row r="377" spans="6:6" s="127" customFormat="1">
      <c r="F377" s="128"/>
    </row>
    <row r="378" spans="6:6" s="127" customFormat="1">
      <c r="F378" s="128"/>
    </row>
    <row r="379" spans="6:6" s="127" customFormat="1">
      <c r="F379" s="128"/>
    </row>
    <row r="380" spans="6:6" s="127" customFormat="1">
      <c r="F380" s="128"/>
    </row>
    <row r="381" spans="6:6" s="127" customFormat="1">
      <c r="F381" s="128"/>
    </row>
    <row r="382" spans="6:6" s="127" customFormat="1">
      <c r="F382" s="128"/>
    </row>
    <row r="383" spans="6:6" s="127" customFormat="1">
      <c r="F383" s="128"/>
    </row>
    <row r="384" spans="6:6" s="127" customFormat="1">
      <c r="F384" s="128"/>
    </row>
    <row r="385" spans="6:6" s="127" customFormat="1">
      <c r="F385" s="128"/>
    </row>
    <row r="386" spans="6:6" s="127" customFormat="1">
      <c r="F386" s="128"/>
    </row>
    <row r="387" spans="6:6" s="127" customFormat="1">
      <c r="F387" s="128"/>
    </row>
    <row r="388" spans="6:6" s="127" customFormat="1">
      <c r="F388" s="128"/>
    </row>
    <row r="389" spans="6:6" s="127" customFormat="1">
      <c r="F389" s="128"/>
    </row>
    <row r="390" spans="6:6" s="127" customFormat="1">
      <c r="F390" s="128"/>
    </row>
    <row r="391" spans="6:6" s="127" customFormat="1">
      <c r="F391" s="128"/>
    </row>
    <row r="392" spans="6:6" s="127" customFormat="1">
      <c r="F392" s="128"/>
    </row>
    <row r="393" spans="6:6" s="127" customFormat="1">
      <c r="F393" s="128"/>
    </row>
    <row r="394" spans="6:6" s="127" customFormat="1">
      <c r="F394" s="128"/>
    </row>
    <row r="395" spans="6:6" s="127" customFormat="1">
      <c r="F395" s="128"/>
    </row>
    <row r="396" spans="6:6" s="127" customFormat="1">
      <c r="F396" s="128"/>
    </row>
    <row r="397" spans="6:6" s="127" customFormat="1">
      <c r="F397" s="128"/>
    </row>
    <row r="398" spans="6:6" s="127" customFormat="1">
      <c r="F398" s="128"/>
    </row>
    <row r="399" spans="6:6" s="127" customFormat="1">
      <c r="F399" s="128"/>
    </row>
    <row r="400" spans="6:6" s="127" customFormat="1">
      <c r="F400" s="128"/>
    </row>
    <row r="401" spans="6:6" s="127" customFormat="1">
      <c r="F401" s="128"/>
    </row>
    <row r="402" spans="6:6" s="127" customFormat="1">
      <c r="F402" s="128"/>
    </row>
    <row r="403" spans="6:6" s="127" customFormat="1">
      <c r="F403" s="128"/>
    </row>
    <row r="404" spans="6:6" s="127" customFormat="1">
      <c r="F404" s="128"/>
    </row>
    <row r="405" spans="6:6" s="127" customFormat="1">
      <c r="F405" s="128"/>
    </row>
    <row r="406" spans="6:6" s="127" customFormat="1">
      <c r="F406" s="128"/>
    </row>
    <row r="407" spans="6:6" s="127" customFormat="1">
      <c r="F407" s="128"/>
    </row>
    <row r="408" spans="6:6" s="127" customFormat="1">
      <c r="F408" s="128"/>
    </row>
    <row r="409" spans="6:6" s="127" customFormat="1">
      <c r="F409" s="128"/>
    </row>
    <row r="410" spans="6:6" s="127" customFormat="1">
      <c r="F410" s="128"/>
    </row>
    <row r="411" spans="6:6" s="127" customFormat="1">
      <c r="F411" s="128"/>
    </row>
    <row r="412" spans="6:6" s="127" customFormat="1">
      <c r="F412" s="128"/>
    </row>
    <row r="413" spans="6:6" s="127" customFormat="1">
      <c r="F413" s="128"/>
    </row>
    <row r="414" spans="6:6" s="127" customFormat="1">
      <c r="F414" s="128"/>
    </row>
    <row r="415" spans="6:6" s="127" customFormat="1">
      <c r="F415" s="128"/>
    </row>
    <row r="416" spans="6:6" s="127" customFormat="1">
      <c r="F416" s="128"/>
    </row>
    <row r="417" spans="6:6" s="127" customFormat="1">
      <c r="F417" s="128"/>
    </row>
    <row r="418" spans="6:6" s="127" customFormat="1">
      <c r="F418" s="128"/>
    </row>
    <row r="419" spans="6:6" s="127" customFormat="1">
      <c r="F419" s="128"/>
    </row>
    <row r="420" spans="6:6" s="127" customFormat="1">
      <c r="F420" s="128"/>
    </row>
    <row r="421" spans="6:6" s="127" customFormat="1">
      <c r="F421" s="128"/>
    </row>
    <row r="422" spans="6:6" s="127" customFormat="1">
      <c r="F422" s="128"/>
    </row>
    <row r="423" spans="6:6" s="127" customFormat="1">
      <c r="F423" s="128"/>
    </row>
    <row r="424" spans="6:6" s="127" customFormat="1">
      <c r="F424" s="128"/>
    </row>
    <row r="425" spans="6:6" s="127" customFormat="1">
      <c r="F425" s="128"/>
    </row>
    <row r="426" spans="6:6" s="127" customFormat="1">
      <c r="F426" s="128"/>
    </row>
    <row r="427" spans="6:6" s="127" customFormat="1">
      <c r="F427" s="128"/>
    </row>
    <row r="428" spans="6:6" s="127" customFormat="1">
      <c r="F428" s="128"/>
    </row>
    <row r="429" spans="6:6" s="127" customFormat="1">
      <c r="F429" s="128"/>
    </row>
    <row r="430" spans="6:6" s="127" customFormat="1">
      <c r="F430" s="128"/>
    </row>
    <row r="431" spans="6:6" s="127" customFormat="1">
      <c r="F431" s="128"/>
    </row>
    <row r="432" spans="6:6" s="127" customFormat="1">
      <c r="F432" s="128"/>
    </row>
    <row r="433" spans="6:6" s="127" customFormat="1">
      <c r="F433" s="128"/>
    </row>
    <row r="434" spans="6:6" s="127" customFormat="1">
      <c r="F434" s="128"/>
    </row>
    <row r="435" spans="6:6" s="127" customFormat="1">
      <c r="F435" s="128"/>
    </row>
    <row r="436" spans="6:6" s="127" customFormat="1">
      <c r="F436" s="128"/>
    </row>
    <row r="437" spans="6:6" s="127" customFormat="1">
      <c r="F437" s="128"/>
    </row>
    <row r="438" spans="6:6" s="127" customFormat="1">
      <c r="F438" s="128"/>
    </row>
    <row r="439" spans="6:6" s="127" customFormat="1">
      <c r="F439" s="128"/>
    </row>
    <row r="440" spans="6:6" s="127" customFormat="1">
      <c r="F440" s="128"/>
    </row>
    <row r="441" spans="6:6" s="127" customFormat="1">
      <c r="F441" s="128"/>
    </row>
    <row r="442" spans="6:6" s="127" customFormat="1">
      <c r="F442" s="128"/>
    </row>
    <row r="443" spans="6:6" s="127" customFormat="1">
      <c r="F443" s="128"/>
    </row>
    <row r="444" spans="6:6" s="127" customFormat="1">
      <c r="F444" s="128"/>
    </row>
    <row r="445" spans="6:6" s="127" customFormat="1">
      <c r="F445" s="128"/>
    </row>
    <row r="446" spans="6:6" s="127" customFormat="1">
      <c r="F446" s="128"/>
    </row>
    <row r="447" spans="6:6" s="127" customFormat="1">
      <c r="F447" s="128"/>
    </row>
    <row r="448" spans="6:6" s="127" customFormat="1">
      <c r="F448" s="128"/>
    </row>
    <row r="449" spans="6:6" s="127" customFormat="1">
      <c r="F449" s="128"/>
    </row>
    <row r="450" spans="6:6" s="127" customFormat="1">
      <c r="F450" s="128"/>
    </row>
    <row r="451" spans="6:6" s="127" customFormat="1">
      <c r="F451" s="128"/>
    </row>
    <row r="452" spans="6:6" s="127" customFormat="1">
      <c r="F452" s="128"/>
    </row>
    <row r="453" spans="6:6" s="127" customFormat="1">
      <c r="F453" s="128"/>
    </row>
    <row r="454" spans="6:6" s="127" customFormat="1">
      <c r="F454" s="128"/>
    </row>
    <row r="455" spans="6:6" s="127" customFormat="1">
      <c r="F455" s="128"/>
    </row>
    <row r="456" spans="6:6" s="127" customFormat="1">
      <c r="F456" s="128"/>
    </row>
    <row r="457" spans="6:6" s="127" customFormat="1">
      <c r="F457" s="128"/>
    </row>
    <row r="458" spans="6:6" s="127" customFormat="1">
      <c r="F458" s="128"/>
    </row>
    <row r="459" spans="6:6" s="127" customFormat="1">
      <c r="F459" s="128"/>
    </row>
    <row r="460" spans="6:6" s="127" customFormat="1">
      <c r="F460" s="128"/>
    </row>
    <row r="461" spans="6:6" s="127" customFormat="1">
      <c r="F461" s="128"/>
    </row>
    <row r="462" spans="6:6" s="127" customFormat="1">
      <c r="F462" s="128"/>
    </row>
    <row r="463" spans="6:6" s="127" customFormat="1">
      <c r="F463" s="128"/>
    </row>
    <row r="464" spans="6:6" s="127" customFormat="1">
      <c r="F464" s="128"/>
    </row>
    <row r="465" spans="6:6" s="127" customFormat="1">
      <c r="F465" s="128"/>
    </row>
    <row r="466" spans="6:6" s="127" customFormat="1">
      <c r="F466" s="128"/>
    </row>
    <row r="467" spans="6:6" s="127" customFormat="1">
      <c r="F467" s="128"/>
    </row>
    <row r="468" spans="6:6" s="127" customFormat="1">
      <c r="F468" s="128"/>
    </row>
    <row r="469" spans="6:6" s="127" customFormat="1">
      <c r="F469" s="128"/>
    </row>
    <row r="470" spans="6:6" s="127" customFormat="1">
      <c r="F470" s="128"/>
    </row>
    <row r="471" spans="6:6" s="127" customFormat="1">
      <c r="F471" s="128"/>
    </row>
    <row r="472" spans="6:6" s="127" customFormat="1">
      <c r="F472" s="128"/>
    </row>
    <row r="473" spans="6:6" s="127" customFormat="1">
      <c r="F473" s="128"/>
    </row>
    <row r="474" spans="6:6" s="127" customFormat="1">
      <c r="F474" s="128"/>
    </row>
    <row r="475" spans="6:6" s="127" customFormat="1">
      <c r="F475" s="128"/>
    </row>
    <row r="476" spans="6:6" s="127" customFormat="1">
      <c r="F476" s="128"/>
    </row>
    <row r="477" spans="6:6" s="127" customFormat="1">
      <c r="F477" s="128"/>
    </row>
    <row r="478" spans="6:6" s="127" customFormat="1">
      <c r="F478" s="128"/>
    </row>
    <row r="479" spans="6:6" s="127" customFormat="1">
      <c r="F479" s="128"/>
    </row>
    <row r="480" spans="6:6" s="127" customFormat="1">
      <c r="F480" s="128"/>
    </row>
    <row r="481" spans="6:6" s="127" customFormat="1">
      <c r="F481" s="128"/>
    </row>
    <row r="482" spans="6:6" s="127" customFormat="1">
      <c r="F482" s="128"/>
    </row>
    <row r="483" spans="6:6" s="127" customFormat="1">
      <c r="F483" s="128"/>
    </row>
    <row r="484" spans="6:6" s="127" customFormat="1">
      <c r="F484" s="128"/>
    </row>
    <row r="485" spans="6:6" s="127" customFormat="1">
      <c r="F485" s="128"/>
    </row>
    <row r="486" spans="6:6" s="127" customFormat="1">
      <c r="F486" s="128"/>
    </row>
    <row r="487" spans="6:6" s="127" customFormat="1">
      <c r="F487" s="128"/>
    </row>
    <row r="488" spans="6:6" s="127" customFormat="1">
      <c r="F488" s="128"/>
    </row>
    <row r="489" spans="6:6" s="127" customFormat="1">
      <c r="F489" s="128"/>
    </row>
    <row r="490" spans="6:6" s="127" customFormat="1">
      <c r="F490" s="128"/>
    </row>
    <row r="491" spans="6:6" s="127" customFormat="1">
      <c r="F491" s="128"/>
    </row>
    <row r="492" spans="6:6" s="127" customFormat="1">
      <c r="F492" s="128"/>
    </row>
    <row r="493" spans="6:6" s="127" customFormat="1">
      <c r="F493" s="128"/>
    </row>
    <row r="494" spans="6:6" s="127" customFormat="1">
      <c r="F494" s="128"/>
    </row>
    <row r="495" spans="6:6" s="127" customFormat="1">
      <c r="F495" s="128"/>
    </row>
    <row r="496" spans="6:6" s="127" customFormat="1">
      <c r="F496" s="128"/>
    </row>
    <row r="497" spans="6:6" s="127" customFormat="1">
      <c r="F497" s="128"/>
    </row>
    <row r="498" spans="6:6" s="127" customFormat="1">
      <c r="F498" s="128"/>
    </row>
    <row r="499" spans="6:6" s="127" customFormat="1">
      <c r="F499" s="128"/>
    </row>
    <row r="500" spans="6:6" s="127" customFormat="1">
      <c r="F500" s="128"/>
    </row>
    <row r="501" spans="6:6" s="127" customFormat="1">
      <c r="F501" s="128"/>
    </row>
    <row r="502" spans="6:6" s="127" customFormat="1">
      <c r="F502" s="128"/>
    </row>
    <row r="503" spans="6:6" s="127" customFormat="1">
      <c r="F503" s="128"/>
    </row>
    <row r="504" spans="6:6" s="127" customFormat="1">
      <c r="F504" s="128"/>
    </row>
    <row r="505" spans="6:6" s="127" customFormat="1">
      <c r="F505" s="128"/>
    </row>
    <row r="506" spans="6:6" s="127" customFormat="1">
      <c r="F506" s="128"/>
    </row>
    <row r="507" spans="6:6" s="127" customFormat="1">
      <c r="F507" s="128"/>
    </row>
    <row r="508" spans="6:6" s="127" customFormat="1">
      <c r="F508" s="128"/>
    </row>
    <row r="509" spans="6:6" s="127" customFormat="1">
      <c r="F509" s="128"/>
    </row>
    <row r="510" spans="6:6" s="127" customFormat="1">
      <c r="F510" s="128"/>
    </row>
    <row r="511" spans="6:6" s="127" customFormat="1">
      <c r="F511" s="128"/>
    </row>
    <row r="512" spans="6:6" s="127" customFormat="1">
      <c r="F512" s="128"/>
    </row>
    <row r="513" spans="6:6" s="127" customFormat="1">
      <c r="F513" s="128"/>
    </row>
    <row r="514" spans="6:6" s="127" customFormat="1">
      <c r="F514" s="128"/>
    </row>
    <row r="515" spans="6:6" s="127" customFormat="1">
      <c r="F515" s="128"/>
    </row>
    <row r="516" spans="6:6" s="127" customFormat="1">
      <c r="F516" s="128"/>
    </row>
    <row r="517" spans="6:6" s="127" customFormat="1">
      <c r="F517" s="128"/>
    </row>
    <row r="518" spans="6:6" s="127" customFormat="1">
      <c r="F518" s="128"/>
    </row>
  </sheetData>
  <hyperlinks>
    <hyperlink ref="F6" r:id="rId1" display="http://www.imf.org/external/country/AUS/index.htm " xr:uid="{7F6993FD-023E-444E-9602-7CF87872B77E}"/>
    <hyperlink ref="F5" r:id="rId2" display="http://www.imf.org/external/country/USA/index.htm " xr:uid="{F2EC6713-3518-49CA-844C-130848C3C2F0}"/>
    <hyperlink ref="F9" r:id="rId3" display="https://www.bea.gov/international/xls/table1.xls " xr:uid="{ED0264FC-1AE0-408D-A399-ECAE047982A2}"/>
    <hyperlink ref="F10" r:id="rId4" display="http://www.abs.gov.au/Ausstats/abs@.nsf/mf/5302.0 " xr:uid="{A1A86AED-F9AD-40B1-9A24-AEE105CDABA0}"/>
    <hyperlink ref="F13" r:id="rId5" display="https://research.stlouisfed.org/fred2/series/FEDFUNDS/downloaddata " xr:uid="{5AAD2710-0245-433D-9209-DBF20533B7F2}"/>
    <hyperlink ref="F18" r:id="rId6" display="https://sg.finance.yahoo.com/q/hp?s=%5EAXJO&amp;a=10&amp;b=23&amp;c=1992&amp;d=03&amp;e=2&amp;f=2015&amp;g=d " xr:uid="{4B733466-E276-4319-A139-C96469D06DD6}"/>
    <hyperlink ref="F17" r:id="rId7" display="http://www.eoddata.com/stockquote/FOREX/AUDUSD.htm   " xr:uid="{9D11C484-263F-4D07-B3C7-A9FB8261589D}"/>
    <hyperlink ref="F7" r:id="rId8" location=" " display="http://databank.worldbank.org/data/views/variableselection/selectvariables.aspx?source=World-Development-Indicators# " xr:uid="{5552F654-C625-4A02-9CD8-B09D7A497EE3}"/>
    <hyperlink ref="F14" r:id="rId9" location="interest_rates?accessed=2015-04-30-16-20-20" display="http://www.rba.gov.au/statistics/tables/index.html#interest_rates?accessed=2015-04-30-16-20-20" xr:uid="{E1916373-73A1-4AB9-98D3-3F313064DE3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1032F-E2D2-4AA6-9691-CD1E1B5DFAD1}">
  <dimension ref="A1:N83"/>
  <sheetViews>
    <sheetView topLeftCell="A31" workbookViewId="0">
      <selection activeCell="Y11" sqref="Y11"/>
    </sheetView>
  </sheetViews>
  <sheetFormatPr defaultColWidth="9.1328125" defaultRowHeight="14.25"/>
  <cols>
    <col min="1" max="1" width="9.1328125" style="24"/>
    <col min="2" max="2" width="17.46484375" style="24" customWidth="1"/>
    <col min="3" max="3" width="12" style="24" customWidth="1"/>
    <col min="4" max="5" width="10.86328125" style="5" customWidth="1"/>
    <col min="6" max="6" width="9.1328125" style="24"/>
    <col min="7" max="7" width="10.46484375" style="57" customWidth="1"/>
    <col min="8" max="8" width="11.33203125" style="57" customWidth="1"/>
    <col min="9" max="9" width="11.33203125" customWidth="1"/>
    <col min="10" max="10" width="13" customWidth="1"/>
    <col min="11" max="11" width="10.33203125" customWidth="1"/>
  </cols>
  <sheetData>
    <row r="1" spans="1:9" s="42" customFormat="1">
      <c r="A1" s="22" t="s">
        <v>0</v>
      </c>
      <c r="B1" s="22" t="s">
        <v>86</v>
      </c>
      <c r="C1" s="22" t="s">
        <v>85</v>
      </c>
      <c r="D1" s="46" t="s">
        <v>88</v>
      </c>
      <c r="E1" s="46" t="s">
        <v>87</v>
      </c>
      <c r="F1" s="22" t="s">
        <v>89</v>
      </c>
      <c r="G1" s="54" t="s">
        <v>246</v>
      </c>
      <c r="H1" s="54" t="s">
        <v>90</v>
      </c>
    </row>
    <row r="2" spans="1:9">
      <c r="A2" s="22">
        <v>1974</v>
      </c>
      <c r="B2" s="47">
        <v>5461.8851600000007</v>
      </c>
      <c r="C2" s="47">
        <v>374.58640000000003</v>
      </c>
      <c r="F2" s="5"/>
      <c r="G2" s="55">
        <v>1.2709999999999999</v>
      </c>
      <c r="H2" s="58">
        <v>-1.6999999999999999E-3</v>
      </c>
      <c r="I2" s="44"/>
    </row>
    <row r="3" spans="1:9">
      <c r="A3" s="22">
        <v>1975</v>
      </c>
      <c r="B3" s="47">
        <v>5451.1557339999999</v>
      </c>
      <c r="C3" s="47">
        <v>379.58150000000001</v>
      </c>
      <c r="D3" s="5">
        <f t="shared" ref="D3:E42" si="0">(B3-B2)/B2</f>
        <v>-1.9644180874723452E-3</v>
      </c>
      <c r="E3" s="5">
        <f t="shared" si="0"/>
        <v>1.3334974254270788E-2</v>
      </c>
      <c r="F3" s="5">
        <f t="shared" ref="F3:F42" si="1">E3-D3</f>
        <v>1.5299392341743132E-2</v>
      </c>
      <c r="G3" s="55">
        <v>1.4850000000000001</v>
      </c>
      <c r="H3" s="58">
        <v>1.6999999999999999E-3</v>
      </c>
      <c r="I3" s="45"/>
    </row>
    <row r="4" spans="1:9">
      <c r="A4" s="22">
        <v>1976</v>
      </c>
      <c r="B4" s="47">
        <v>5744.6966339999999</v>
      </c>
      <c r="C4" s="47">
        <v>389.40159999999997</v>
      </c>
      <c r="D4" s="5">
        <f t="shared" si="0"/>
        <v>5.3849296245404236E-2</v>
      </c>
      <c r="E4" s="5">
        <f t="shared" si="0"/>
        <v>2.5870860408107266E-2</v>
      </c>
      <c r="F4" s="5">
        <f t="shared" si="1"/>
        <v>-2.7978435837296971E-2</v>
      </c>
      <c r="G4" s="55">
        <v>1.3383</v>
      </c>
      <c r="H4" s="58">
        <v>1.04E-2</v>
      </c>
      <c r="I4" s="45"/>
    </row>
    <row r="5" spans="1:9">
      <c r="A5" s="22">
        <v>1977</v>
      </c>
      <c r="B5" s="47">
        <v>6009.4907700000003</v>
      </c>
      <c r="C5" s="47">
        <v>403.45170000000002</v>
      </c>
      <c r="D5" s="5">
        <f t="shared" si="0"/>
        <v>4.609366740670269E-2</v>
      </c>
      <c r="E5" s="5">
        <f t="shared" si="0"/>
        <v>3.6081259039510996E-2</v>
      </c>
      <c r="F5" s="5">
        <f t="shared" si="1"/>
        <v>-1.0012408367191694E-2</v>
      </c>
      <c r="G5" s="55">
        <v>1.2587999999999999</v>
      </c>
      <c r="H5" s="58">
        <v>1.2999999999999999E-3</v>
      </c>
      <c r="I5" s="45"/>
    </row>
    <row r="6" spans="1:9">
      <c r="A6" s="22">
        <v>1978</v>
      </c>
      <c r="B6" s="47">
        <v>6343.7225120000003</v>
      </c>
      <c r="C6" s="47">
        <v>407.07279999999997</v>
      </c>
      <c r="D6" s="5">
        <f t="shared" si="0"/>
        <v>5.5617315142327761E-2</v>
      </c>
      <c r="E6" s="5">
        <f t="shared" si="0"/>
        <v>8.9752998933948121E-3</v>
      </c>
      <c r="F6" s="5">
        <f t="shared" si="1"/>
        <v>-4.6642015248932953E-2</v>
      </c>
      <c r="G6" s="55">
        <v>1.087</v>
      </c>
      <c r="H6" s="58">
        <v>-2.9999999999999997E-4</v>
      </c>
      <c r="I6" s="44"/>
    </row>
    <row r="7" spans="1:9">
      <c r="A7" s="22">
        <v>1979</v>
      </c>
      <c r="B7" s="47">
        <v>6545.1523020000004</v>
      </c>
      <c r="C7" s="47">
        <v>423.5745</v>
      </c>
      <c r="D7" s="5">
        <f t="shared" si="0"/>
        <v>3.1752616798570353E-2</v>
      </c>
      <c r="E7" s="5">
        <f t="shared" si="0"/>
        <v>4.0537466517045671E-2</v>
      </c>
      <c r="F7" s="5">
        <f t="shared" si="1"/>
        <v>8.7848497184753183E-3</v>
      </c>
      <c r="G7" s="55">
        <v>1.1382000000000001</v>
      </c>
      <c r="H7" s="58">
        <v>-2.8E-3</v>
      </c>
      <c r="I7" s="44"/>
    </row>
    <row r="8" spans="1:9">
      <c r="A8" s="22">
        <v>1980</v>
      </c>
      <c r="B8" s="47">
        <v>6529.1593839999996</v>
      </c>
      <c r="C8" s="47">
        <v>436.49889999999999</v>
      </c>
      <c r="D8" s="5">
        <f t="shared" si="0"/>
        <v>-2.4434753023415325E-3</v>
      </c>
      <c r="E8" s="5">
        <f t="shared" si="0"/>
        <v>3.0512696113670655E-2</v>
      </c>
      <c r="F8" s="5">
        <f t="shared" si="1"/>
        <v>3.2956171416012189E-2</v>
      </c>
      <c r="G8" s="55">
        <v>1.1326000000000001</v>
      </c>
      <c r="H8" s="58">
        <v>-1.5100000000000001E-2</v>
      </c>
      <c r="I8" s="44"/>
    </row>
    <row r="9" spans="1:9">
      <c r="A9" s="22">
        <v>1981</v>
      </c>
      <c r="B9" s="47">
        <v>6698.502117</v>
      </c>
      <c r="C9" s="47">
        <v>451.15129999999999</v>
      </c>
      <c r="D9" s="5">
        <f t="shared" si="0"/>
        <v>2.5936376038695339E-2</v>
      </c>
      <c r="E9" s="5">
        <f t="shared" si="0"/>
        <v>3.3568011282502662E-2</v>
      </c>
      <c r="F9" s="5">
        <f t="shared" si="1"/>
        <v>7.6316352438073227E-3</v>
      </c>
      <c r="G9" s="55">
        <v>1.1071</v>
      </c>
      <c r="H9" s="58">
        <v>5.0000000000000001E-4</v>
      </c>
      <c r="I9" s="45"/>
    </row>
    <row r="10" spans="1:9">
      <c r="A10" s="22">
        <v>1982</v>
      </c>
      <c r="B10" s="47">
        <v>6570.5587730000007</v>
      </c>
      <c r="C10" s="47">
        <v>466.1454</v>
      </c>
      <c r="D10" s="5">
        <f t="shared" si="0"/>
        <v>-1.910029164211121E-2</v>
      </c>
      <c r="E10" s="5">
        <f t="shared" si="0"/>
        <v>3.323519183032389E-2</v>
      </c>
      <c r="F10" s="5">
        <f t="shared" si="1"/>
        <v>5.23354834724351E-2</v>
      </c>
      <c r="G10" s="55">
        <v>1.1684000000000001</v>
      </c>
      <c r="H10" s="58">
        <v>-1.0800000000000001E-2</v>
      </c>
      <c r="I10" s="44"/>
    </row>
    <row r="11" spans="1:9">
      <c r="A11" s="22">
        <v>1983</v>
      </c>
      <c r="B11" s="47">
        <v>6874.9303200000004</v>
      </c>
      <c r="C11" s="47">
        <v>455.7337</v>
      </c>
      <c r="D11" s="5">
        <f t="shared" si="0"/>
        <v>4.6323540739143118E-2</v>
      </c>
      <c r="E11" s="5">
        <f t="shared" si="0"/>
        <v>-2.2335734729979094E-2</v>
      </c>
      <c r="F11" s="5">
        <f t="shared" si="1"/>
        <v>-6.8659275469122205E-2</v>
      </c>
      <c r="G11" s="55">
        <v>1.099</v>
      </c>
      <c r="H11" s="58">
        <v>-2.5399999999999999E-2</v>
      </c>
      <c r="I11" s="44"/>
    </row>
    <row r="12" spans="1:9">
      <c r="A12" s="22">
        <v>1984</v>
      </c>
      <c r="B12" s="47">
        <v>7373.94985</v>
      </c>
      <c r="C12" s="47">
        <v>476.8372</v>
      </c>
      <c r="D12" s="5">
        <f t="shared" si="0"/>
        <v>7.2585394581860946E-2</v>
      </c>
      <c r="E12" s="5">
        <f t="shared" si="0"/>
        <v>4.6306647939355808E-2</v>
      </c>
      <c r="F12" s="5">
        <f t="shared" si="1"/>
        <v>-2.6278746642505138E-2</v>
      </c>
      <c r="G12" s="55">
        <v>0.9677</v>
      </c>
      <c r="H12" s="58">
        <v>-1.26E-2</v>
      </c>
      <c r="I12" s="44"/>
    </row>
    <row r="13" spans="1:9">
      <c r="A13" s="22">
        <v>1985</v>
      </c>
      <c r="B13" s="47">
        <v>7686.5202980000004</v>
      </c>
      <c r="C13" s="47">
        <v>501.86799999999999</v>
      </c>
      <c r="D13" s="5">
        <f t="shared" si="0"/>
        <v>4.2388469457790033E-2</v>
      </c>
      <c r="E13" s="5">
        <f t="shared" si="0"/>
        <v>5.2493387680323599E-2</v>
      </c>
      <c r="F13" s="5">
        <f t="shared" si="1"/>
        <v>1.0104918222533565E-2</v>
      </c>
      <c r="G13" s="55">
        <v>0.91720000000000002</v>
      </c>
      <c r="H13" s="58">
        <v>2.3099999999999999E-2</v>
      </c>
      <c r="I13" s="45"/>
    </row>
    <row r="14" spans="1:9">
      <c r="A14" s="22">
        <v>1986</v>
      </c>
      <c r="B14" s="47">
        <v>7956.476705</v>
      </c>
      <c r="C14" s="47">
        <v>521.60509999999999</v>
      </c>
      <c r="D14" s="5">
        <f t="shared" si="0"/>
        <v>3.5120756406542136E-2</v>
      </c>
      <c r="E14" s="5">
        <f t="shared" si="0"/>
        <v>3.9327273306925321E-2</v>
      </c>
      <c r="F14" s="5">
        <f t="shared" si="1"/>
        <v>4.2065169003831851E-3</v>
      </c>
      <c r="G14" s="55">
        <v>0.81379999999999997</v>
      </c>
      <c r="H14" s="58">
        <v>-1.3599999999999999E-2</v>
      </c>
      <c r="I14" s="44"/>
    </row>
    <row r="15" spans="1:9">
      <c r="A15" s="22">
        <v>1987</v>
      </c>
      <c r="B15" s="47">
        <v>8231.8990460000005</v>
      </c>
      <c r="C15" s="47">
        <v>534.39679999999998</v>
      </c>
      <c r="D15" s="5">
        <f t="shared" si="0"/>
        <v>3.4616118567521205E-2</v>
      </c>
      <c r="E15" s="5">
        <f t="shared" si="0"/>
        <v>2.4523724940572842E-2</v>
      </c>
      <c r="F15" s="5">
        <f t="shared" si="1"/>
        <v>-1.0092393626948363E-2</v>
      </c>
      <c r="G15" s="55">
        <v>0.71379999999999999</v>
      </c>
      <c r="H15" s="58">
        <v>4.6899999999999997E-2</v>
      </c>
      <c r="I15" s="45"/>
    </row>
    <row r="16" spans="1:9">
      <c r="A16" s="22">
        <v>1988</v>
      </c>
      <c r="B16" s="47">
        <v>8577.973645</v>
      </c>
      <c r="C16" s="47">
        <v>564.1884</v>
      </c>
      <c r="D16" s="5">
        <f t="shared" si="0"/>
        <v>4.2040675798637531E-2</v>
      </c>
      <c r="E16" s="5">
        <f t="shared" si="0"/>
        <v>5.5748088311906092E-2</v>
      </c>
      <c r="F16" s="5">
        <f t="shared" si="1"/>
        <v>1.3707412513268562E-2</v>
      </c>
      <c r="G16" s="55">
        <v>0.65900000000000003</v>
      </c>
      <c r="H16" s="58">
        <v>-9.4999999999999998E-3</v>
      </c>
      <c r="I16" s="44"/>
    </row>
    <row r="17" spans="1:9">
      <c r="A17" s="22">
        <v>1989</v>
      </c>
      <c r="B17" s="47">
        <v>8893.6819439999999</v>
      </c>
      <c r="C17" s="47">
        <v>586.53560000000004</v>
      </c>
      <c r="D17" s="5">
        <f t="shared" si="0"/>
        <v>3.6804531240781153E-2</v>
      </c>
      <c r="E17" s="5">
        <f t="shared" si="0"/>
        <v>3.960946378904643E-2</v>
      </c>
      <c r="F17" s="5">
        <f t="shared" si="1"/>
        <v>2.8049325482652765E-3</v>
      </c>
      <c r="G17" s="55">
        <v>0.70669999999999999</v>
      </c>
      <c r="H17" s="58">
        <v>-2.1299999999999999E-2</v>
      </c>
      <c r="I17" s="44"/>
    </row>
    <row r="18" spans="1:9">
      <c r="A18" s="22">
        <v>1990</v>
      </c>
      <c r="B18" s="47">
        <v>9064.3405500000008</v>
      </c>
      <c r="C18" s="47">
        <v>610.87379999999996</v>
      </c>
      <c r="D18" s="5">
        <f t="shared" si="0"/>
        <v>1.9188746244195674E-2</v>
      </c>
      <c r="E18" s="5">
        <f t="shared" si="0"/>
        <v>4.1494838505966074E-2</v>
      </c>
      <c r="F18" s="5">
        <f t="shared" si="1"/>
        <v>2.23060922617704E-2</v>
      </c>
      <c r="G18" s="55">
        <v>0.88660000000000005</v>
      </c>
      <c r="H18" s="58">
        <v>3.8899999999999997E-2</v>
      </c>
      <c r="I18" s="45"/>
    </row>
    <row r="19" spans="1:9">
      <c r="A19" s="22">
        <v>1991</v>
      </c>
      <c r="B19" s="47">
        <v>9057.6599640000004</v>
      </c>
      <c r="C19" s="47">
        <v>610.12009999999998</v>
      </c>
      <c r="D19" s="5">
        <f t="shared" si="0"/>
        <v>-7.3701842546068088E-4</v>
      </c>
      <c r="E19" s="5">
        <f t="shared" si="0"/>
        <v>-1.2338063933990634E-3</v>
      </c>
      <c r="F19" s="5">
        <f t="shared" si="1"/>
        <v>-4.9678796793838249E-4</v>
      </c>
      <c r="G19" s="55">
        <v>0.7712</v>
      </c>
      <c r="H19" s="58">
        <v>-2.1899999999999999E-2</v>
      </c>
      <c r="I19" s="44"/>
    </row>
    <row r="20" spans="1:9">
      <c r="A20" s="22">
        <v>1992</v>
      </c>
      <c r="B20" s="47">
        <v>9379.7451860000001</v>
      </c>
      <c r="C20" s="47">
        <v>612.05799999999999</v>
      </c>
      <c r="D20" s="5">
        <f t="shared" si="0"/>
        <v>3.5559429618702752E-2</v>
      </c>
      <c r="E20" s="5">
        <f t="shared" si="0"/>
        <v>3.1762598871927237E-3</v>
      </c>
      <c r="F20" s="5">
        <f t="shared" si="1"/>
        <v>-3.2383169731510029E-2</v>
      </c>
      <c r="G20" s="55">
        <v>0.78249999999999997</v>
      </c>
      <c r="H20" s="58">
        <v>1.23E-2</v>
      </c>
      <c r="I20" s="45"/>
    </row>
    <row r="21" spans="1:9">
      <c r="A21" s="22">
        <v>1993</v>
      </c>
      <c r="B21" s="47">
        <v>9637.2514100000008</v>
      </c>
      <c r="C21" s="47">
        <v>637.36959999999999</v>
      </c>
      <c r="D21" s="5">
        <f t="shared" si="0"/>
        <v>2.7453434916798032E-2</v>
      </c>
      <c r="E21" s="5">
        <f t="shared" si="0"/>
        <v>4.135490427377797E-2</v>
      </c>
      <c r="F21" s="5">
        <f t="shared" si="1"/>
        <v>1.3901469356979938E-2</v>
      </c>
      <c r="G21" s="55">
        <v>0.75070000000000003</v>
      </c>
      <c r="H21" s="58">
        <v>-1.17E-2</v>
      </c>
      <c r="I21" s="44"/>
    </row>
    <row r="22" spans="1:9">
      <c r="A22" s="22">
        <v>1994</v>
      </c>
      <c r="B22" s="47">
        <v>10026.344934000001</v>
      </c>
      <c r="C22" s="47">
        <v>663.10609999999997</v>
      </c>
      <c r="D22" s="5">
        <f t="shared" si="0"/>
        <v>4.0373910303539533E-2</v>
      </c>
      <c r="E22" s="5">
        <f t="shared" si="0"/>
        <v>4.0379239926096225E-2</v>
      </c>
      <c r="F22" s="5">
        <f t="shared" si="1"/>
        <v>5.3296225566920596E-6</v>
      </c>
      <c r="G22" s="55">
        <v>0.67849999999999999</v>
      </c>
      <c r="H22" s="58">
        <v>-1.6E-2</v>
      </c>
      <c r="I22" s="44"/>
    </row>
    <row r="23" spans="1:9">
      <c r="A23" s="22">
        <v>1995</v>
      </c>
      <c r="B23" s="47">
        <v>10299.034308</v>
      </c>
      <c r="C23" s="47">
        <v>687.8578</v>
      </c>
      <c r="D23" s="5">
        <f t="shared" si="0"/>
        <v>2.7197286328669169E-2</v>
      </c>
      <c r="E23" s="5">
        <f t="shared" si="0"/>
        <v>3.7326907413459218E-2</v>
      </c>
      <c r="F23" s="5">
        <f t="shared" si="1"/>
        <v>1.0129621084790048E-2</v>
      </c>
      <c r="G23" s="55">
        <v>0.70899999999999996</v>
      </c>
      <c r="H23" s="58">
        <v>4.3700000000000003E-2</v>
      </c>
      <c r="I23" s="45"/>
    </row>
    <row r="24" spans="1:9">
      <c r="A24" s="22">
        <v>1996</v>
      </c>
      <c r="B24" s="47">
        <v>10689.94981</v>
      </c>
      <c r="C24" s="47">
        <v>714.99329999999998</v>
      </c>
      <c r="D24" s="5">
        <f t="shared" si="0"/>
        <v>3.7956520029877719E-2</v>
      </c>
      <c r="E24" s="5">
        <f t="shared" si="0"/>
        <v>3.9449287338167827E-2</v>
      </c>
      <c r="F24" s="5">
        <f t="shared" si="1"/>
        <v>1.4927673082901077E-3</v>
      </c>
      <c r="G24" s="55">
        <v>0.75680000000000003</v>
      </c>
      <c r="H24" s="58">
        <v>-2.4500000000000001E-2</v>
      </c>
      <c r="I24" s="44"/>
    </row>
    <row r="25" spans="1:9">
      <c r="A25" s="22">
        <v>1997</v>
      </c>
      <c r="B25" s="47">
        <v>11169.636129</v>
      </c>
      <c r="C25" s="47">
        <v>743.19929999999999</v>
      </c>
      <c r="D25" s="5">
        <f t="shared" si="0"/>
        <v>4.4872644635924663E-2</v>
      </c>
      <c r="E25" s="5">
        <f t="shared" si="0"/>
        <v>3.944932071391441E-2</v>
      </c>
      <c r="F25" s="5">
        <f t="shared" si="1"/>
        <v>-5.4233239220102536E-3</v>
      </c>
      <c r="G25" s="55">
        <v>0.74650000000000005</v>
      </c>
      <c r="H25" s="58">
        <v>3.2000000000000002E-3</v>
      </c>
      <c r="I25" s="45"/>
    </row>
    <row r="26" spans="1:9">
      <c r="A26" s="22">
        <v>1998</v>
      </c>
      <c r="B26" s="47">
        <v>11666.631239</v>
      </c>
      <c r="C26" s="47">
        <v>776.13499999999999</v>
      </c>
      <c r="D26" s="5">
        <f t="shared" si="0"/>
        <v>4.4495192525532613E-2</v>
      </c>
      <c r="E26" s="5">
        <f t="shared" si="0"/>
        <v>4.4316107402146365E-2</v>
      </c>
      <c r="F26" s="5">
        <f t="shared" si="1"/>
        <v>-1.790851233862481E-4</v>
      </c>
      <c r="G26" s="55">
        <v>0.76229999999999998</v>
      </c>
      <c r="H26" s="58">
        <v>-4.1000000000000002E-2</v>
      </c>
      <c r="I26" s="44"/>
    </row>
    <row r="27" spans="1:9">
      <c r="A27" s="22">
        <v>1999</v>
      </c>
      <c r="B27" s="47">
        <v>12213.224639</v>
      </c>
      <c r="C27" s="47">
        <v>814.96519999999998</v>
      </c>
      <c r="D27" s="5">
        <f t="shared" si="0"/>
        <v>4.6851005127582203E-2</v>
      </c>
      <c r="E27" s="5">
        <f t="shared" si="0"/>
        <v>5.0030213815895418E-2</v>
      </c>
      <c r="F27" s="5">
        <f t="shared" si="1"/>
        <v>3.1792086883132148E-3</v>
      </c>
      <c r="G27" s="55">
        <v>0.68300000000000005</v>
      </c>
      <c r="H27" s="58">
        <v>4.8000000000000001E-2</v>
      </c>
      <c r="I27" s="45"/>
    </row>
    <row r="28" spans="1:9">
      <c r="A28" s="22">
        <v>2000</v>
      </c>
      <c r="B28" s="47">
        <v>12713.053937000001</v>
      </c>
      <c r="C28" s="47">
        <v>846.55799999999999</v>
      </c>
      <c r="D28" s="5">
        <f t="shared" si="0"/>
        <v>4.092525215690504E-2</v>
      </c>
      <c r="E28" s="5">
        <f t="shared" si="0"/>
        <v>3.87658270561737E-2</v>
      </c>
      <c r="F28" s="5">
        <f t="shared" si="1"/>
        <v>-2.1594251007313395E-3</v>
      </c>
      <c r="G28" s="55">
        <v>0.63049999999999995</v>
      </c>
      <c r="H28" s="58">
        <v>3.09E-2</v>
      </c>
      <c r="I28" s="45"/>
    </row>
    <row r="29" spans="1:9">
      <c r="A29" s="22">
        <v>2001</v>
      </c>
      <c r="B29" s="47">
        <v>12837.049662000001</v>
      </c>
      <c r="C29" s="47">
        <v>862.84879999999998</v>
      </c>
      <c r="D29" s="5">
        <f t="shared" si="0"/>
        <v>9.7534176771738711E-3</v>
      </c>
      <c r="E29" s="5">
        <f t="shared" si="0"/>
        <v>1.9243572206511534E-2</v>
      </c>
      <c r="F29" s="5">
        <f t="shared" si="1"/>
        <v>9.4901545293376629E-3</v>
      </c>
      <c r="G29" s="55">
        <v>0.63729999999999998</v>
      </c>
      <c r="H29" s="58">
        <v>-3.0700000000000002E-2</v>
      </c>
      <c r="I29" s="44"/>
    </row>
    <row r="30" spans="1:9">
      <c r="A30" s="22">
        <v>2002</v>
      </c>
      <c r="B30" s="47">
        <v>13066.416448</v>
      </c>
      <c r="C30" s="47">
        <v>896.22889999999995</v>
      </c>
      <c r="D30" s="5">
        <f t="shared" si="0"/>
        <v>1.7867562410307257E-2</v>
      </c>
      <c r="E30" s="5">
        <f t="shared" si="0"/>
        <v>3.8685920406912509E-2</v>
      </c>
      <c r="F30" s="5">
        <f t="shared" si="1"/>
        <v>2.0818357996605252E-2</v>
      </c>
      <c r="G30" s="55">
        <v>0.55000000000000004</v>
      </c>
      <c r="H30" s="58">
        <v>-1.61E-2</v>
      </c>
      <c r="I30" s="44"/>
    </row>
    <row r="31" spans="1:9">
      <c r="A31" s="22">
        <v>2003</v>
      </c>
      <c r="B31" s="47">
        <v>13433.140131000002</v>
      </c>
      <c r="C31" s="47">
        <v>923.822</v>
      </c>
      <c r="D31" s="5">
        <f t="shared" si="0"/>
        <v>2.8066125433812743E-2</v>
      </c>
      <c r="E31" s="5">
        <f t="shared" si="0"/>
        <v>3.078800516252048E-2</v>
      </c>
      <c r="F31" s="5">
        <f t="shared" si="1"/>
        <v>2.7218797287077365E-3</v>
      </c>
      <c r="G31" s="55">
        <v>0.50800000000000001</v>
      </c>
      <c r="H31" s="58">
        <v>-2E-3</v>
      </c>
      <c r="I31" s="44"/>
    </row>
    <row r="32" spans="1:9">
      <c r="A32" s="22">
        <v>2004</v>
      </c>
      <c r="B32" s="47">
        <v>13941.674435000001</v>
      </c>
      <c r="C32" s="47">
        <v>962.2355</v>
      </c>
      <c r="D32" s="5">
        <f t="shared" si="0"/>
        <v>3.7856696129182875E-2</v>
      </c>
      <c r="E32" s="5">
        <f t="shared" si="0"/>
        <v>4.1581062152665771E-2</v>
      </c>
      <c r="F32" s="5">
        <f t="shared" si="1"/>
        <v>3.724366023482896E-3</v>
      </c>
      <c r="G32" s="55">
        <v>0.58720000000000006</v>
      </c>
      <c r="H32" s="58">
        <v>4.5999999999999999E-2</v>
      </c>
      <c r="I32" s="45"/>
    </row>
    <row r="33" spans="1:14">
      <c r="A33" s="22">
        <v>2005</v>
      </c>
      <c r="B33" s="47">
        <v>14407.999582000002</v>
      </c>
      <c r="C33" s="47">
        <v>993.19899999999996</v>
      </c>
      <c r="D33" s="5">
        <f t="shared" si="0"/>
        <v>3.3448288379859969E-2</v>
      </c>
      <c r="E33" s="5">
        <f t="shared" si="0"/>
        <v>3.2178713007366654E-2</v>
      </c>
      <c r="F33" s="5">
        <f t="shared" si="1"/>
        <v>-1.2695753724933159E-3</v>
      </c>
      <c r="G33" s="55">
        <v>0.76419999999999999</v>
      </c>
      <c r="H33" s="58">
        <v>1.54E-2</v>
      </c>
      <c r="I33" s="45"/>
      <c r="J33" t="s">
        <v>95</v>
      </c>
    </row>
    <row r="34" spans="1:14">
      <c r="A34" s="22">
        <v>2006</v>
      </c>
      <c r="B34" s="47">
        <v>14792.234498</v>
      </c>
      <c r="C34" s="47">
        <v>1022.835</v>
      </c>
      <c r="D34" s="5">
        <f t="shared" si="0"/>
        <v>2.6668165404448271E-2</v>
      </c>
      <c r="E34" s="5">
        <f t="shared" si="0"/>
        <v>2.9838934594175068E-2</v>
      </c>
      <c r="F34" s="5">
        <f t="shared" si="1"/>
        <v>3.1707691897267971E-3</v>
      </c>
      <c r="G34" s="55">
        <v>0.7752</v>
      </c>
      <c r="H34" s="58">
        <v>-8.8999999999999999E-3</v>
      </c>
      <c r="I34" s="44"/>
      <c r="J34" t="s">
        <v>96</v>
      </c>
    </row>
    <row r="35" spans="1:14">
      <c r="A35" s="22">
        <v>2007</v>
      </c>
      <c r="B35" s="47">
        <v>15055.307877000001</v>
      </c>
      <c r="C35" s="47">
        <v>1061.386</v>
      </c>
      <c r="D35" s="5">
        <f t="shared" si="0"/>
        <v>1.7784559799641522E-2</v>
      </c>
      <c r="E35" s="5">
        <f t="shared" si="0"/>
        <v>3.7690341061852525E-2</v>
      </c>
      <c r="F35" s="5">
        <f t="shared" si="1"/>
        <v>1.9905781262211004E-2</v>
      </c>
      <c r="G35" s="55">
        <v>0.75870000000000004</v>
      </c>
      <c r="H35" s="58">
        <v>3.4200000000000001E-2</v>
      </c>
      <c r="I35" s="45"/>
      <c r="J35" t="s">
        <v>189</v>
      </c>
    </row>
    <row r="36" spans="1:14">
      <c r="A36" s="22">
        <v>2008</v>
      </c>
      <c r="B36" s="47">
        <v>15011.479184</v>
      </c>
      <c r="C36" s="47">
        <v>1100.6320000000001</v>
      </c>
      <c r="D36" s="5">
        <f t="shared" si="0"/>
        <v>-2.9111787920962019E-3</v>
      </c>
      <c r="E36" s="5">
        <f t="shared" si="0"/>
        <v>3.6976180202113178E-2</v>
      </c>
      <c r="F36" s="5">
        <f t="shared" si="1"/>
        <v>3.9887358994209379E-2</v>
      </c>
      <c r="G36" s="55">
        <v>0.77680000000000005</v>
      </c>
      <c r="H36" s="58">
        <v>-1.5800000000000002E-2</v>
      </c>
      <c r="I36" s="44"/>
    </row>
    <row r="37" spans="1:14">
      <c r="A37" s="22">
        <v>2009</v>
      </c>
      <c r="B37" s="47">
        <v>14594.752327000002</v>
      </c>
      <c r="C37" s="47">
        <v>1119.8130000000001</v>
      </c>
      <c r="D37" s="5">
        <f t="shared" si="0"/>
        <v>-2.7760545905707052E-2</v>
      </c>
      <c r="E37" s="5">
        <f t="shared" si="0"/>
        <v>1.7427259974269364E-2</v>
      </c>
      <c r="F37" s="5">
        <f t="shared" si="1"/>
        <v>4.5187805879976416E-2</v>
      </c>
      <c r="G37" s="55">
        <v>0.89610000000000001</v>
      </c>
      <c r="H37" s="58">
        <v>2.3099999999999999E-2</v>
      </c>
      <c r="I37" s="45"/>
      <c r="K37" s="49">
        <v>2017</v>
      </c>
    </row>
    <row r="38" spans="1:14">
      <c r="A38" s="22">
        <v>2010</v>
      </c>
      <c r="B38" s="47">
        <v>14964.310197999999</v>
      </c>
      <c r="C38" s="47">
        <v>1141.7929999999999</v>
      </c>
      <c r="D38" s="5">
        <f t="shared" si="0"/>
        <v>2.5321284165701292E-2</v>
      </c>
      <c r="E38" s="5">
        <f t="shared" si="0"/>
        <v>1.9628277221285864E-2</v>
      </c>
      <c r="F38" s="5">
        <f t="shared" si="1"/>
        <v>-5.6930069444154283E-3</v>
      </c>
      <c r="G38" s="55">
        <v>0.6351</v>
      </c>
      <c r="H38" s="58">
        <v>-0.10249999999999999</v>
      </c>
      <c r="I38" s="44"/>
      <c r="J38" s="108" t="s">
        <v>215</v>
      </c>
      <c r="K38" s="50">
        <v>2.2000000000000002</v>
      </c>
      <c r="L38" s="48" t="s">
        <v>92</v>
      </c>
    </row>
    <row r="39" spans="1:14">
      <c r="A39" s="22">
        <v>2011</v>
      </c>
      <c r="B39" s="47">
        <v>15204.001526000002</v>
      </c>
      <c r="C39" s="47">
        <v>1167.3610000000001</v>
      </c>
      <c r="D39" s="5">
        <f t="shared" si="0"/>
        <v>1.6017532704717501E-2</v>
      </c>
      <c r="E39" s="5">
        <f t="shared" si="0"/>
        <v>2.2392850542962001E-2</v>
      </c>
      <c r="F39" s="5">
        <f t="shared" si="1"/>
        <v>6.3753178382445E-3</v>
      </c>
      <c r="G39" s="55">
        <v>0.88470000000000004</v>
      </c>
      <c r="H39" s="58">
        <v>-1.4E-2</v>
      </c>
      <c r="I39" s="44"/>
      <c r="J39" s="108" t="s">
        <v>216</v>
      </c>
      <c r="K39" s="50">
        <v>2.2000000000000002</v>
      </c>
      <c r="L39" s="48" t="s">
        <v>91</v>
      </c>
    </row>
    <row r="40" spans="1:14">
      <c r="A40" s="22">
        <v>2012</v>
      </c>
      <c r="B40" s="47">
        <v>15556.857932000001</v>
      </c>
      <c r="C40" s="47">
        <v>1209.559</v>
      </c>
      <c r="D40" s="5">
        <f t="shared" si="0"/>
        <v>2.3208127504893209E-2</v>
      </c>
      <c r="E40" s="5">
        <f t="shared" si="0"/>
        <v>3.6148200942124897E-2</v>
      </c>
      <c r="F40" s="5">
        <f t="shared" si="1"/>
        <v>1.2940073437231688E-2</v>
      </c>
      <c r="G40" s="55">
        <v>0.99670000000000003</v>
      </c>
      <c r="H40" s="58">
        <v>-2.4500000000000001E-2</v>
      </c>
      <c r="I40" s="44"/>
      <c r="J40" s="108" t="s">
        <v>89</v>
      </c>
      <c r="K40" s="50">
        <f>K39-K38</f>
        <v>0</v>
      </c>
    </row>
    <row r="41" spans="1:14">
      <c r="A41" s="22">
        <v>2013</v>
      </c>
      <c r="B41" s="47">
        <v>15902.122762999999</v>
      </c>
      <c r="C41" s="47">
        <v>1241.7349999999999</v>
      </c>
      <c r="D41" s="5">
        <f t="shared" si="0"/>
        <v>2.2193738125601763E-2</v>
      </c>
      <c r="E41" s="5">
        <f t="shared" si="0"/>
        <v>2.6601430769396063E-2</v>
      </c>
      <c r="F41" s="5">
        <f t="shared" si="1"/>
        <v>4.4076926437943004E-3</v>
      </c>
      <c r="G41" s="55">
        <v>1.0616000000000001</v>
      </c>
      <c r="H41" s="58">
        <v>3.7900000000000003E-2</v>
      </c>
      <c r="I41" s="45"/>
    </row>
    <row r="42" spans="1:14">
      <c r="A42" s="22">
        <v>2014</v>
      </c>
      <c r="B42" s="47">
        <v>16271.052011101603</v>
      </c>
      <c r="C42" s="47">
        <v>1282.7122549999997</v>
      </c>
      <c r="D42" s="5">
        <f t="shared" si="0"/>
        <v>2.3200000000000231E-2</v>
      </c>
      <c r="E42" s="5">
        <f t="shared" si="0"/>
        <v>3.2999999999999828E-2</v>
      </c>
      <c r="F42" s="5">
        <f t="shared" si="1"/>
        <v>9.7999999999995972E-3</v>
      </c>
      <c r="G42" s="55">
        <v>1.0424</v>
      </c>
      <c r="H42" s="58">
        <v>3.0000000000000001E-3</v>
      </c>
      <c r="I42" s="45"/>
      <c r="J42" s="49" t="s">
        <v>89</v>
      </c>
      <c r="K42" s="49" t="s">
        <v>94</v>
      </c>
    </row>
    <row r="43" spans="1:14">
      <c r="A43" s="22">
        <v>2015</v>
      </c>
      <c r="B43" s="24">
        <v>16550</v>
      </c>
      <c r="F43" s="5"/>
      <c r="G43" s="55">
        <v>0.72799999999999998</v>
      </c>
      <c r="J43" s="50">
        <v>5</v>
      </c>
      <c r="K43" s="51">
        <v>10</v>
      </c>
    </row>
    <row r="44" spans="1:14">
      <c r="A44" s="22">
        <v>2016</v>
      </c>
      <c r="B44" s="24">
        <v>16850</v>
      </c>
      <c r="G44" s="55">
        <v>0.72160000000000002</v>
      </c>
      <c r="J44" s="50">
        <v>4</v>
      </c>
      <c r="K44" s="51">
        <v>8</v>
      </c>
      <c r="M44" s="120" t="s">
        <v>191</v>
      </c>
      <c r="N44" s="30"/>
    </row>
    <row r="45" spans="1:14">
      <c r="A45" s="22">
        <v>2017</v>
      </c>
      <c r="B45" s="24">
        <v>17030</v>
      </c>
      <c r="D45" s="5">
        <v>2.1999999999999999E-2</v>
      </c>
      <c r="E45" s="5">
        <v>2.1999999999999999E-2</v>
      </c>
      <c r="F45" s="153"/>
      <c r="G45" s="55">
        <v>0.78480000000000005</v>
      </c>
      <c r="J45" s="50">
        <v>3</v>
      </c>
      <c r="K45" s="51">
        <v>6</v>
      </c>
    </row>
    <row r="46" spans="1:14">
      <c r="A46" s="22"/>
      <c r="G46" s="55"/>
      <c r="J46" s="50">
        <v>2</v>
      </c>
      <c r="K46" s="51">
        <v>4</v>
      </c>
    </row>
    <row r="47" spans="1:14">
      <c r="A47" s="22"/>
      <c r="J47" s="50">
        <v>1</v>
      </c>
      <c r="K47" s="51">
        <v>2</v>
      </c>
    </row>
    <row r="48" spans="1:14">
      <c r="A48" s="22"/>
      <c r="J48" s="50">
        <v>0</v>
      </c>
      <c r="K48" s="52">
        <v>0</v>
      </c>
    </row>
    <row r="49" spans="1:14">
      <c r="A49" s="22"/>
      <c r="J49" s="50">
        <v>-1</v>
      </c>
      <c r="K49" s="53">
        <v>-2</v>
      </c>
    </row>
    <row r="50" spans="1:14">
      <c r="A50" s="22"/>
      <c r="J50" s="50">
        <v>-2</v>
      </c>
      <c r="K50" s="53">
        <v>-4</v>
      </c>
      <c r="M50" s="119" t="s">
        <v>188</v>
      </c>
      <c r="N50" s="118"/>
    </row>
    <row r="51" spans="1:14">
      <c r="A51" s="22"/>
      <c r="J51" s="50">
        <v>-3</v>
      </c>
      <c r="K51" s="53">
        <v>-6</v>
      </c>
    </row>
    <row r="52" spans="1:14">
      <c r="A52" s="22"/>
      <c r="J52" s="50">
        <v>-4</v>
      </c>
      <c r="K52" s="53">
        <v>-8</v>
      </c>
    </row>
    <row r="53" spans="1:14">
      <c r="A53" s="22"/>
      <c r="J53" s="50">
        <v>-5</v>
      </c>
      <c r="K53" s="53">
        <v>-10</v>
      </c>
    </row>
    <row r="54" spans="1:14">
      <c r="A54" s="22"/>
    </row>
    <row r="55" spans="1:14">
      <c r="A55" s="22"/>
    </row>
    <row r="56" spans="1:14">
      <c r="A56" s="22"/>
    </row>
    <row r="57" spans="1:14">
      <c r="A57" s="22"/>
    </row>
    <row r="58" spans="1:14">
      <c r="A58" s="22"/>
      <c r="J58" s="24"/>
      <c r="K58" s="24"/>
    </row>
    <row r="59" spans="1:14">
      <c r="A59" s="22"/>
      <c r="J59" s="24"/>
      <c r="K59" s="24"/>
    </row>
    <row r="60" spans="1:14">
      <c r="A60" s="22"/>
      <c r="J60" s="24"/>
      <c r="K60" s="24"/>
    </row>
    <row r="61" spans="1:14">
      <c r="A61" s="22"/>
      <c r="J61" s="24"/>
      <c r="K61" s="24"/>
    </row>
    <row r="62" spans="1:14">
      <c r="A62" s="22"/>
      <c r="J62" s="24"/>
      <c r="K62" s="24"/>
    </row>
    <row r="63" spans="1:14">
      <c r="A63" s="22"/>
    </row>
    <row r="64" spans="1:14">
      <c r="A64" s="22"/>
    </row>
    <row r="65" spans="1:1">
      <c r="A65" s="22"/>
    </row>
    <row r="66" spans="1:1">
      <c r="A66" s="22"/>
    </row>
    <row r="67" spans="1:1">
      <c r="A67" s="22"/>
    </row>
    <row r="68" spans="1:1">
      <c r="A68" s="22"/>
    </row>
    <row r="69" spans="1:1">
      <c r="A69" s="22"/>
    </row>
    <row r="70" spans="1:1">
      <c r="A70" s="22"/>
    </row>
    <row r="71" spans="1:1">
      <c r="A71" s="22"/>
    </row>
    <row r="72" spans="1:1">
      <c r="A72" s="22"/>
    </row>
    <row r="73" spans="1:1">
      <c r="A73" s="22"/>
    </row>
    <row r="74" spans="1:1">
      <c r="A74" s="22"/>
    </row>
    <row r="75" spans="1:1">
      <c r="A75" s="22"/>
    </row>
    <row r="76" spans="1:1">
      <c r="A76" s="22"/>
    </row>
    <row r="77" spans="1:1">
      <c r="A77" s="22"/>
    </row>
    <row r="78" spans="1:1">
      <c r="A78" s="22"/>
    </row>
    <row r="79" spans="1:1">
      <c r="A79" s="22"/>
    </row>
    <row r="80" spans="1:1">
      <c r="A80" s="22"/>
    </row>
    <row r="81" spans="1:1">
      <c r="A81" s="22"/>
    </row>
    <row r="82" spans="1:1">
      <c r="A82" s="22"/>
    </row>
    <row r="83" spans="1:1">
      <c r="A83" s="22"/>
    </row>
  </sheetData>
  <hyperlinks>
    <hyperlink ref="L39" r:id="rId1" xr:uid="{FA2B9DC8-BF80-44A8-9E2F-3866D0B69FFC}"/>
    <hyperlink ref="L38" r:id="rId2" xr:uid="{BE27DC14-31EA-403C-AA63-F022A36DDFB6}"/>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9791-5C86-4EB7-B0FE-CF37999E2673}">
  <dimension ref="A1:BD26"/>
  <sheetViews>
    <sheetView zoomScale="80" zoomScaleNormal="80" workbookViewId="0">
      <selection activeCell="H18" sqref="H18"/>
    </sheetView>
  </sheetViews>
  <sheetFormatPr defaultColWidth="9.1328125" defaultRowHeight="11.65"/>
  <cols>
    <col min="1" max="1" width="51.53125" style="81" customWidth="1"/>
    <col min="2" max="55" width="12.6640625" style="71" customWidth="1"/>
    <col min="56" max="16384" width="9.1328125" style="72"/>
  </cols>
  <sheetData>
    <row r="1" spans="1:56">
      <c r="A1" s="70" t="s">
        <v>106</v>
      </c>
    </row>
    <row r="2" spans="1:56" s="74" customFormat="1">
      <c r="A2" s="70" t="s">
        <v>105</v>
      </c>
      <c r="B2" s="73">
        <v>1960</v>
      </c>
      <c r="C2" s="73">
        <v>1961</v>
      </c>
      <c r="D2" s="73">
        <v>1962</v>
      </c>
      <c r="E2" s="73">
        <v>1963</v>
      </c>
      <c r="F2" s="73">
        <v>1964</v>
      </c>
      <c r="G2" s="73">
        <v>1965</v>
      </c>
      <c r="H2" s="73">
        <v>1966</v>
      </c>
      <c r="I2" s="73">
        <v>1967</v>
      </c>
      <c r="J2" s="73">
        <v>1968</v>
      </c>
      <c r="K2" s="73">
        <v>1969</v>
      </c>
      <c r="L2" s="73">
        <v>1970</v>
      </c>
      <c r="M2" s="73">
        <v>1971</v>
      </c>
      <c r="N2" s="73">
        <v>1972</v>
      </c>
      <c r="O2" s="73">
        <v>1973</v>
      </c>
      <c r="P2" s="73">
        <v>1974</v>
      </c>
      <c r="Q2" s="73">
        <v>1975</v>
      </c>
      <c r="R2" s="73">
        <v>1976</v>
      </c>
      <c r="S2" s="73">
        <v>1977</v>
      </c>
      <c r="T2" s="73">
        <v>1978</v>
      </c>
      <c r="U2" s="73">
        <v>1979</v>
      </c>
      <c r="V2" s="73">
        <v>1980</v>
      </c>
      <c r="W2" s="73">
        <v>1981</v>
      </c>
      <c r="X2" s="73">
        <v>1982</v>
      </c>
      <c r="Y2" s="73">
        <v>1983</v>
      </c>
      <c r="Z2" s="73">
        <v>1984</v>
      </c>
      <c r="AA2" s="73">
        <v>1985</v>
      </c>
      <c r="AB2" s="73">
        <v>1986</v>
      </c>
      <c r="AC2" s="73">
        <v>1987</v>
      </c>
      <c r="AD2" s="73">
        <v>1988</v>
      </c>
      <c r="AE2" s="73">
        <v>1989</v>
      </c>
      <c r="AF2" s="73">
        <v>1990</v>
      </c>
      <c r="AG2" s="73">
        <v>1991</v>
      </c>
      <c r="AH2" s="73">
        <v>1992</v>
      </c>
      <c r="AI2" s="73">
        <v>1993</v>
      </c>
      <c r="AJ2" s="73">
        <v>1994</v>
      </c>
      <c r="AK2" s="73">
        <v>1995</v>
      </c>
      <c r="AL2" s="73">
        <v>1996</v>
      </c>
      <c r="AM2" s="73">
        <v>1997</v>
      </c>
      <c r="AN2" s="73">
        <v>1998</v>
      </c>
      <c r="AO2" s="73">
        <v>1999</v>
      </c>
      <c r="AP2" s="73">
        <v>2000</v>
      </c>
      <c r="AQ2" s="73">
        <v>2001</v>
      </c>
      <c r="AR2" s="73">
        <v>2002</v>
      </c>
      <c r="AS2" s="73">
        <v>2003</v>
      </c>
      <c r="AT2" s="73">
        <v>2004</v>
      </c>
      <c r="AU2" s="73">
        <v>2005</v>
      </c>
      <c r="AV2" s="73">
        <v>2006</v>
      </c>
      <c r="AW2" s="73">
        <v>2007</v>
      </c>
      <c r="AX2" s="73">
        <v>2008</v>
      </c>
      <c r="AY2" s="73">
        <v>2009</v>
      </c>
      <c r="AZ2" s="73">
        <v>2010</v>
      </c>
      <c r="BA2" s="73">
        <v>2011</v>
      </c>
      <c r="BB2" s="73">
        <v>2012</v>
      </c>
      <c r="BC2" s="73">
        <v>2013</v>
      </c>
    </row>
    <row r="3" spans="1:56">
      <c r="A3" s="70"/>
    </row>
    <row r="4" spans="1:56" s="73" customFormat="1">
      <c r="A4" s="124" t="s">
        <v>104</v>
      </c>
      <c r="BD4" s="124" t="s">
        <v>104</v>
      </c>
    </row>
    <row r="5" spans="1:56" s="77" customFormat="1">
      <c r="A5" s="75" t="s">
        <v>103</v>
      </c>
      <c r="B5" s="76">
        <v>30556</v>
      </c>
      <c r="C5" s="76">
        <v>31402</v>
      </c>
      <c r="D5" s="76">
        <v>33340</v>
      </c>
      <c r="E5" s="76">
        <v>35776</v>
      </c>
      <c r="F5" s="76">
        <v>40165</v>
      </c>
      <c r="G5" s="76">
        <v>42722</v>
      </c>
      <c r="H5" s="76">
        <v>46454</v>
      </c>
      <c r="I5" s="76">
        <v>49353</v>
      </c>
      <c r="J5" s="76">
        <v>54911</v>
      </c>
      <c r="K5" s="76">
        <v>60132</v>
      </c>
      <c r="L5" s="76">
        <v>68387</v>
      </c>
      <c r="M5" s="76">
        <v>72384</v>
      </c>
      <c r="N5" s="76">
        <v>81986</v>
      </c>
      <c r="O5" s="76">
        <v>113050</v>
      </c>
      <c r="P5" s="76">
        <v>148484</v>
      </c>
      <c r="Q5" s="76">
        <v>157936</v>
      </c>
      <c r="R5" s="76">
        <v>172090</v>
      </c>
      <c r="S5" s="76">
        <v>184655</v>
      </c>
      <c r="T5" s="76">
        <v>220516</v>
      </c>
      <c r="U5" s="76">
        <v>287965</v>
      </c>
      <c r="V5" s="76">
        <v>344440</v>
      </c>
      <c r="W5" s="76">
        <v>380928</v>
      </c>
      <c r="X5" s="76">
        <v>366983</v>
      </c>
      <c r="Y5" s="76">
        <v>356106</v>
      </c>
      <c r="Z5" s="76">
        <v>399913</v>
      </c>
      <c r="AA5" s="76">
        <v>387612</v>
      </c>
      <c r="AB5" s="76">
        <v>407098</v>
      </c>
      <c r="AC5" s="76">
        <v>457053</v>
      </c>
      <c r="AD5" s="76">
        <v>567862</v>
      </c>
      <c r="AE5" s="76">
        <v>648290</v>
      </c>
      <c r="AF5" s="76">
        <v>706975</v>
      </c>
      <c r="AG5" s="76">
        <v>727557</v>
      </c>
      <c r="AH5" s="76">
        <v>750648</v>
      </c>
      <c r="AI5" s="76">
        <v>778920</v>
      </c>
      <c r="AJ5" s="76">
        <v>869775</v>
      </c>
      <c r="AK5" s="76">
        <v>1004631</v>
      </c>
      <c r="AL5" s="76">
        <v>1077731</v>
      </c>
      <c r="AM5" s="76">
        <v>1191257</v>
      </c>
      <c r="AN5" s="76">
        <v>1194993</v>
      </c>
      <c r="AO5" s="76">
        <v>1262431</v>
      </c>
      <c r="AP5" s="76">
        <v>1425260</v>
      </c>
      <c r="AQ5" s="76">
        <v>1300156</v>
      </c>
      <c r="AR5" s="76">
        <v>1263580</v>
      </c>
      <c r="AS5" s="76">
        <v>1346348</v>
      </c>
      <c r="AT5" s="76">
        <v>1579517</v>
      </c>
      <c r="AU5" s="76">
        <v>1825596</v>
      </c>
      <c r="AV5" s="76">
        <v>2145469</v>
      </c>
      <c r="AW5" s="76">
        <v>2486810</v>
      </c>
      <c r="AX5" s="76">
        <v>2654418</v>
      </c>
      <c r="AY5" s="76">
        <v>2184786</v>
      </c>
      <c r="AZ5" s="76">
        <v>2522520</v>
      </c>
      <c r="BA5" s="76">
        <v>2873654</v>
      </c>
      <c r="BB5" s="76">
        <v>2986949</v>
      </c>
      <c r="BC5" s="76">
        <v>3060451</v>
      </c>
      <c r="BD5" s="75" t="s">
        <v>103</v>
      </c>
    </row>
    <row r="6" spans="1:56" s="77" customFormat="1">
      <c r="A6" s="75" t="s">
        <v>102</v>
      </c>
      <c r="B6" s="76">
        <v>-23670</v>
      </c>
      <c r="C6" s="76">
        <v>-23453</v>
      </c>
      <c r="D6" s="76">
        <v>-25676</v>
      </c>
      <c r="E6" s="76">
        <v>-26970</v>
      </c>
      <c r="F6" s="76">
        <v>-29102</v>
      </c>
      <c r="G6" s="76">
        <v>-32708</v>
      </c>
      <c r="H6" s="76">
        <v>-38468</v>
      </c>
      <c r="I6" s="76">
        <v>-41476</v>
      </c>
      <c r="J6" s="76">
        <v>-48671</v>
      </c>
      <c r="K6" s="76">
        <v>-53998</v>
      </c>
      <c r="L6" s="76">
        <v>-59901</v>
      </c>
      <c r="M6" s="76">
        <v>-66414</v>
      </c>
      <c r="N6" s="76">
        <v>-79237</v>
      </c>
      <c r="O6" s="76">
        <v>-98997</v>
      </c>
      <c r="P6" s="76">
        <v>-137274</v>
      </c>
      <c r="Q6" s="76">
        <v>-132745</v>
      </c>
      <c r="R6" s="76">
        <v>-162109</v>
      </c>
      <c r="S6" s="76">
        <v>-193764</v>
      </c>
      <c r="T6" s="76">
        <v>-229870</v>
      </c>
      <c r="U6" s="76">
        <v>-281657</v>
      </c>
      <c r="V6" s="76">
        <v>-333774</v>
      </c>
      <c r="W6" s="76">
        <v>-364196</v>
      </c>
      <c r="X6" s="76">
        <v>-355975</v>
      </c>
      <c r="Y6" s="76">
        <v>-377488</v>
      </c>
      <c r="Z6" s="76">
        <v>-473923</v>
      </c>
      <c r="AA6" s="76">
        <v>-483769</v>
      </c>
      <c r="AB6" s="76">
        <v>-530142</v>
      </c>
      <c r="AC6" s="76">
        <v>-594443</v>
      </c>
      <c r="AD6" s="76">
        <v>-663741</v>
      </c>
      <c r="AE6" s="76">
        <v>-721607</v>
      </c>
      <c r="AF6" s="76">
        <v>-759290</v>
      </c>
      <c r="AG6" s="76">
        <v>-734563</v>
      </c>
      <c r="AH6" s="76">
        <v>-765626</v>
      </c>
      <c r="AI6" s="76">
        <v>-823914</v>
      </c>
      <c r="AJ6" s="76">
        <v>-951122</v>
      </c>
      <c r="AK6" s="76">
        <v>-1080124</v>
      </c>
      <c r="AL6" s="76">
        <v>-1159478</v>
      </c>
      <c r="AM6" s="76">
        <v>-1286921</v>
      </c>
      <c r="AN6" s="76">
        <v>-1356868</v>
      </c>
      <c r="AO6" s="76">
        <v>-1514255</v>
      </c>
      <c r="AP6" s="76">
        <v>-1783419</v>
      </c>
      <c r="AQ6" s="76">
        <v>-1632766</v>
      </c>
      <c r="AR6" s="76">
        <v>-1656570</v>
      </c>
      <c r="AS6" s="76">
        <v>-1794133</v>
      </c>
      <c r="AT6" s="76">
        <v>-2120285</v>
      </c>
      <c r="AU6" s="76">
        <v>-2465880</v>
      </c>
      <c r="AV6" s="76">
        <v>-2854530</v>
      </c>
      <c r="AW6" s="76">
        <v>-3085270</v>
      </c>
      <c r="AX6" s="76">
        <v>-3210575</v>
      </c>
      <c r="AY6" s="76">
        <v>-2444863</v>
      </c>
      <c r="AZ6" s="76">
        <v>-2844240</v>
      </c>
      <c r="BA6" s="76">
        <v>-3197844</v>
      </c>
      <c r="BB6" s="76">
        <v>-3297677</v>
      </c>
      <c r="BC6" s="76">
        <v>-3306549</v>
      </c>
      <c r="BD6" s="75" t="s">
        <v>102</v>
      </c>
    </row>
    <row r="7" spans="1:56" s="77" customFormat="1">
      <c r="A7" s="75" t="s">
        <v>101</v>
      </c>
      <c r="B7" s="76">
        <f t="shared" ref="B7:AG7" si="0">B5+B6</f>
        <v>6886</v>
      </c>
      <c r="C7" s="76">
        <f t="shared" si="0"/>
        <v>7949</v>
      </c>
      <c r="D7" s="76">
        <f t="shared" si="0"/>
        <v>7664</v>
      </c>
      <c r="E7" s="76">
        <f t="shared" si="0"/>
        <v>8806</v>
      </c>
      <c r="F7" s="76">
        <f t="shared" si="0"/>
        <v>11063</v>
      </c>
      <c r="G7" s="76">
        <f t="shared" si="0"/>
        <v>10014</v>
      </c>
      <c r="H7" s="76">
        <f t="shared" si="0"/>
        <v>7986</v>
      </c>
      <c r="I7" s="76">
        <f t="shared" si="0"/>
        <v>7877</v>
      </c>
      <c r="J7" s="76">
        <f t="shared" si="0"/>
        <v>6240</v>
      </c>
      <c r="K7" s="76">
        <f t="shared" si="0"/>
        <v>6134</v>
      </c>
      <c r="L7" s="76">
        <f t="shared" si="0"/>
        <v>8486</v>
      </c>
      <c r="M7" s="76">
        <f t="shared" si="0"/>
        <v>5970</v>
      </c>
      <c r="N7" s="76">
        <f t="shared" si="0"/>
        <v>2749</v>
      </c>
      <c r="O7" s="76">
        <f t="shared" si="0"/>
        <v>14053</v>
      </c>
      <c r="P7" s="76">
        <f t="shared" si="0"/>
        <v>11210</v>
      </c>
      <c r="Q7" s="76">
        <f t="shared" si="0"/>
        <v>25191</v>
      </c>
      <c r="R7" s="76">
        <f t="shared" si="0"/>
        <v>9981</v>
      </c>
      <c r="S7" s="76">
        <f t="shared" si="0"/>
        <v>-9109</v>
      </c>
      <c r="T7" s="76">
        <f t="shared" si="0"/>
        <v>-9354</v>
      </c>
      <c r="U7" s="76">
        <f t="shared" si="0"/>
        <v>6308</v>
      </c>
      <c r="V7" s="76">
        <f t="shared" si="0"/>
        <v>10666</v>
      </c>
      <c r="W7" s="76">
        <f t="shared" si="0"/>
        <v>16732</v>
      </c>
      <c r="X7" s="76">
        <f t="shared" si="0"/>
        <v>11008</v>
      </c>
      <c r="Y7" s="76">
        <f t="shared" si="0"/>
        <v>-21382</v>
      </c>
      <c r="Z7" s="76">
        <f t="shared" si="0"/>
        <v>-74010</v>
      </c>
      <c r="AA7" s="76">
        <f t="shared" si="0"/>
        <v>-96157</v>
      </c>
      <c r="AB7" s="76">
        <f t="shared" si="0"/>
        <v>-123044</v>
      </c>
      <c r="AC7" s="76">
        <f t="shared" si="0"/>
        <v>-137390</v>
      </c>
      <c r="AD7" s="76">
        <f t="shared" si="0"/>
        <v>-95879</v>
      </c>
      <c r="AE7" s="76">
        <f t="shared" si="0"/>
        <v>-73317</v>
      </c>
      <c r="AF7" s="76">
        <f t="shared" si="0"/>
        <v>-52315</v>
      </c>
      <c r="AG7" s="76">
        <f t="shared" si="0"/>
        <v>-7006</v>
      </c>
      <c r="AH7" s="76">
        <f t="shared" ref="AH7:BC7" si="1">AH5+AH6</f>
        <v>-14978</v>
      </c>
      <c r="AI7" s="76">
        <f t="shared" si="1"/>
        <v>-44994</v>
      </c>
      <c r="AJ7" s="76">
        <f t="shared" si="1"/>
        <v>-81347</v>
      </c>
      <c r="AK7" s="76">
        <f t="shared" si="1"/>
        <v>-75493</v>
      </c>
      <c r="AL7" s="76">
        <f t="shared" si="1"/>
        <v>-81747</v>
      </c>
      <c r="AM7" s="76">
        <f t="shared" si="1"/>
        <v>-95664</v>
      </c>
      <c r="AN7" s="76">
        <f t="shared" si="1"/>
        <v>-161875</v>
      </c>
      <c r="AO7" s="76">
        <f t="shared" si="1"/>
        <v>-251824</v>
      </c>
      <c r="AP7" s="76">
        <f t="shared" si="1"/>
        <v>-358159</v>
      </c>
      <c r="AQ7" s="76">
        <f t="shared" si="1"/>
        <v>-332610</v>
      </c>
      <c r="AR7" s="76">
        <f t="shared" si="1"/>
        <v>-392990</v>
      </c>
      <c r="AS7" s="76">
        <f t="shared" si="1"/>
        <v>-447785</v>
      </c>
      <c r="AT7" s="76">
        <f t="shared" si="1"/>
        <v>-540768</v>
      </c>
      <c r="AU7" s="76">
        <f t="shared" si="1"/>
        <v>-640284</v>
      </c>
      <c r="AV7" s="76">
        <f t="shared" si="1"/>
        <v>-709061</v>
      </c>
      <c r="AW7" s="76">
        <f t="shared" si="1"/>
        <v>-598460</v>
      </c>
      <c r="AX7" s="76">
        <f t="shared" si="1"/>
        <v>-556157</v>
      </c>
      <c r="AY7" s="76">
        <f t="shared" si="1"/>
        <v>-260077</v>
      </c>
      <c r="AZ7" s="76">
        <f t="shared" si="1"/>
        <v>-321720</v>
      </c>
      <c r="BA7" s="76">
        <f t="shared" si="1"/>
        <v>-324190</v>
      </c>
      <c r="BB7" s="76">
        <f t="shared" si="1"/>
        <v>-310728</v>
      </c>
      <c r="BC7" s="76">
        <f t="shared" si="1"/>
        <v>-246098</v>
      </c>
      <c r="BD7" s="75" t="s">
        <v>101</v>
      </c>
    </row>
    <row r="8" spans="1:56" s="77" customFormat="1">
      <c r="A8" s="75" t="s">
        <v>100</v>
      </c>
      <c r="B8" s="76">
        <v>-4062</v>
      </c>
      <c r="C8" s="76">
        <v>-4127</v>
      </c>
      <c r="D8" s="76">
        <v>-4277</v>
      </c>
      <c r="E8" s="76">
        <v>-4392</v>
      </c>
      <c r="F8" s="76">
        <v>-4240</v>
      </c>
      <c r="G8" s="76">
        <v>-4583</v>
      </c>
      <c r="H8" s="76">
        <v>-4955</v>
      </c>
      <c r="I8" s="76">
        <v>-5294</v>
      </c>
      <c r="J8" s="76">
        <v>-5629</v>
      </c>
      <c r="K8" s="76">
        <v>-5735</v>
      </c>
      <c r="L8" s="76">
        <v>-6156</v>
      </c>
      <c r="M8" s="76">
        <v>-7402</v>
      </c>
      <c r="N8" s="76">
        <v>-8544</v>
      </c>
      <c r="O8" s="76">
        <v>-6913</v>
      </c>
      <c r="P8" s="76">
        <v>-9249</v>
      </c>
      <c r="Q8" s="76">
        <v>-7075</v>
      </c>
      <c r="R8" s="76">
        <v>-5686</v>
      </c>
      <c r="S8" s="76">
        <v>-5226</v>
      </c>
      <c r="T8" s="76">
        <v>-5788</v>
      </c>
      <c r="U8" s="76">
        <v>-6593</v>
      </c>
      <c r="V8" s="76">
        <v>-8349</v>
      </c>
      <c r="W8" s="76">
        <v>-11702</v>
      </c>
      <c r="X8" s="76">
        <v>-16544</v>
      </c>
      <c r="Y8" s="76">
        <v>-17310</v>
      </c>
      <c r="Z8" s="76">
        <v>-20335</v>
      </c>
      <c r="AA8" s="76">
        <v>-21998</v>
      </c>
      <c r="AB8" s="76">
        <v>-24132</v>
      </c>
      <c r="AC8" s="76">
        <v>-23265</v>
      </c>
      <c r="AD8" s="76">
        <v>-25274</v>
      </c>
      <c r="AE8" s="76">
        <v>-26169</v>
      </c>
      <c r="AF8" s="76">
        <v>-26654</v>
      </c>
      <c r="AG8" s="76">
        <v>9904</v>
      </c>
      <c r="AH8" s="76">
        <v>-36636</v>
      </c>
      <c r="AI8" s="76">
        <v>-39812</v>
      </c>
      <c r="AJ8" s="76">
        <v>-40265</v>
      </c>
      <c r="AK8" s="76">
        <v>-38074</v>
      </c>
      <c r="AL8" s="76">
        <v>-43017</v>
      </c>
      <c r="AM8" s="76">
        <v>-45062</v>
      </c>
      <c r="AN8" s="76">
        <v>-53187</v>
      </c>
      <c r="AO8" s="76">
        <v>-48954</v>
      </c>
      <c r="AP8" s="76">
        <v>-58159</v>
      </c>
      <c r="AQ8" s="76">
        <v>-64086</v>
      </c>
      <c r="AR8" s="76">
        <v>-64810</v>
      </c>
      <c r="AS8" s="76">
        <v>-70873</v>
      </c>
      <c r="AT8" s="76">
        <v>-88559</v>
      </c>
      <c r="AU8" s="76">
        <v>-99512</v>
      </c>
      <c r="AV8" s="76">
        <v>-89417</v>
      </c>
      <c r="AW8" s="76">
        <v>-114929</v>
      </c>
      <c r="AX8" s="76">
        <v>-125185</v>
      </c>
      <c r="AY8" s="76">
        <v>-121559</v>
      </c>
      <c r="AZ8" s="76">
        <v>-127751</v>
      </c>
      <c r="BA8" s="76">
        <v>-133535</v>
      </c>
      <c r="BB8" s="76">
        <v>-129688</v>
      </c>
      <c r="BC8" s="76">
        <v>-133179</v>
      </c>
      <c r="BD8" s="75" t="s">
        <v>100</v>
      </c>
    </row>
    <row r="9" spans="1:56" s="77" customFormat="1">
      <c r="A9" s="75"/>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5"/>
    </row>
    <row r="10" spans="1:56" s="77" customFormat="1">
      <c r="A10" s="75" t="s">
        <v>114</v>
      </c>
      <c r="B10" s="76">
        <f t="shared" ref="B10:AG10" si="2">B7+B8</f>
        <v>2824</v>
      </c>
      <c r="C10" s="76">
        <f t="shared" si="2"/>
        <v>3822</v>
      </c>
      <c r="D10" s="76">
        <f t="shared" si="2"/>
        <v>3387</v>
      </c>
      <c r="E10" s="76">
        <f t="shared" si="2"/>
        <v>4414</v>
      </c>
      <c r="F10" s="76">
        <f t="shared" si="2"/>
        <v>6823</v>
      </c>
      <c r="G10" s="76">
        <f t="shared" si="2"/>
        <v>5431</v>
      </c>
      <c r="H10" s="76">
        <f t="shared" si="2"/>
        <v>3031</v>
      </c>
      <c r="I10" s="76">
        <f t="shared" si="2"/>
        <v>2583</v>
      </c>
      <c r="J10" s="76">
        <f t="shared" si="2"/>
        <v>611</v>
      </c>
      <c r="K10" s="76">
        <f t="shared" si="2"/>
        <v>399</v>
      </c>
      <c r="L10" s="76">
        <f t="shared" si="2"/>
        <v>2330</v>
      </c>
      <c r="M10" s="76">
        <f t="shared" si="2"/>
        <v>-1432</v>
      </c>
      <c r="N10" s="76">
        <f t="shared" si="2"/>
        <v>-5795</v>
      </c>
      <c r="O10" s="76">
        <f t="shared" si="2"/>
        <v>7140</v>
      </c>
      <c r="P10" s="76">
        <f t="shared" si="2"/>
        <v>1961</v>
      </c>
      <c r="Q10" s="76">
        <f t="shared" si="2"/>
        <v>18116</v>
      </c>
      <c r="R10" s="76">
        <f t="shared" si="2"/>
        <v>4295</v>
      </c>
      <c r="S10" s="76">
        <f t="shared" si="2"/>
        <v>-14335</v>
      </c>
      <c r="T10" s="76">
        <f t="shared" si="2"/>
        <v>-15142</v>
      </c>
      <c r="U10" s="76">
        <f t="shared" si="2"/>
        <v>-285</v>
      </c>
      <c r="V10" s="76">
        <f t="shared" si="2"/>
        <v>2317</v>
      </c>
      <c r="W10" s="76">
        <f t="shared" si="2"/>
        <v>5030</v>
      </c>
      <c r="X10" s="76">
        <f t="shared" si="2"/>
        <v>-5536</v>
      </c>
      <c r="Y10" s="76">
        <f t="shared" si="2"/>
        <v>-38692</v>
      </c>
      <c r="Z10" s="76">
        <f t="shared" si="2"/>
        <v>-94345</v>
      </c>
      <c r="AA10" s="76">
        <f t="shared" si="2"/>
        <v>-118155</v>
      </c>
      <c r="AB10" s="76">
        <f t="shared" si="2"/>
        <v>-147176</v>
      </c>
      <c r="AC10" s="76">
        <f t="shared" si="2"/>
        <v>-160655</v>
      </c>
      <c r="AD10" s="76">
        <f t="shared" si="2"/>
        <v>-121153</v>
      </c>
      <c r="AE10" s="76">
        <f t="shared" si="2"/>
        <v>-99486</v>
      </c>
      <c r="AF10" s="76">
        <f t="shared" si="2"/>
        <v>-78969</v>
      </c>
      <c r="AG10" s="76">
        <f t="shared" si="2"/>
        <v>2898</v>
      </c>
      <c r="AH10" s="76">
        <f t="shared" ref="AH10:BC10" si="3">AH7+AH8</f>
        <v>-51614</v>
      </c>
      <c r="AI10" s="76">
        <f t="shared" si="3"/>
        <v>-84806</v>
      </c>
      <c r="AJ10" s="76">
        <f t="shared" si="3"/>
        <v>-121612</v>
      </c>
      <c r="AK10" s="76">
        <f t="shared" si="3"/>
        <v>-113567</v>
      </c>
      <c r="AL10" s="76">
        <f t="shared" si="3"/>
        <v>-124764</v>
      </c>
      <c r="AM10" s="76">
        <f t="shared" si="3"/>
        <v>-140726</v>
      </c>
      <c r="AN10" s="76">
        <f t="shared" si="3"/>
        <v>-215062</v>
      </c>
      <c r="AO10" s="76">
        <f t="shared" si="3"/>
        <v>-300778</v>
      </c>
      <c r="AP10" s="76">
        <f t="shared" si="3"/>
        <v>-416318</v>
      </c>
      <c r="AQ10" s="76">
        <f t="shared" si="3"/>
        <v>-396696</v>
      </c>
      <c r="AR10" s="76">
        <f t="shared" si="3"/>
        <v>-457800</v>
      </c>
      <c r="AS10" s="76">
        <f t="shared" si="3"/>
        <v>-518658</v>
      </c>
      <c r="AT10" s="76">
        <f t="shared" si="3"/>
        <v>-629327</v>
      </c>
      <c r="AU10" s="76">
        <f t="shared" si="3"/>
        <v>-739796</v>
      </c>
      <c r="AV10" s="76">
        <f t="shared" si="3"/>
        <v>-798478</v>
      </c>
      <c r="AW10" s="76">
        <f t="shared" si="3"/>
        <v>-713389</v>
      </c>
      <c r="AX10" s="76">
        <f t="shared" si="3"/>
        <v>-681342</v>
      </c>
      <c r="AY10" s="76">
        <f t="shared" si="3"/>
        <v>-381636</v>
      </c>
      <c r="AZ10" s="76">
        <f t="shared" si="3"/>
        <v>-449471</v>
      </c>
      <c r="BA10" s="76">
        <f t="shared" si="3"/>
        <v>-457725</v>
      </c>
      <c r="BB10" s="76">
        <f t="shared" si="3"/>
        <v>-440416</v>
      </c>
      <c r="BC10" s="76">
        <f t="shared" si="3"/>
        <v>-379277</v>
      </c>
      <c r="BD10" s="75" t="s">
        <v>114</v>
      </c>
    </row>
    <row r="11" spans="1:56" s="77" customFormat="1">
      <c r="A11" s="75"/>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5"/>
    </row>
    <row r="12" spans="1:56" s="76" customFormat="1">
      <c r="A12" s="125" t="s">
        <v>99</v>
      </c>
      <c r="BD12" s="125" t="s">
        <v>99</v>
      </c>
    </row>
    <row r="13" spans="1:56" s="77" customFormat="1">
      <c r="A13" s="75" t="s">
        <v>98</v>
      </c>
      <c r="B13" s="76">
        <v>2294</v>
      </c>
      <c r="C13" s="76">
        <v>2705</v>
      </c>
      <c r="D13" s="76">
        <v>1911</v>
      </c>
      <c r="E13" s="76">
        <v>3217</v>
      </c>
      <c r="F13" s="76">
        <v>3643</v>
      </c>
      <c r="G13" s="76">
        <v>742</v>
      </c>
      <c r="H13" s="76">
        <v>3661</v>
      </c>
      <c r="I13" s="76">
        <v>7379</v>
      </c>
      <c r="J13" s="76">
        <v>9928</v>
      </c>
      <c r="K13" s="76">
        <v>12702</v>
      </c>
      <c r="L13" s="76">
        <v>7226</v>
      </c>
      <c r="M13" s="76">
        <v>23687</v>
      </c>
      <c r="N13" s="76">
        <v>22171</v>
      </c>
      <c r="O13" s="76">
        <v>18388</v>
      </c>
      <c r="P13" s="76">
        <v>35227</v>
      </c>
      <c r="Q13" s="76">
        <v>16870</v>
      </c>
      <c r="R13" s="76">
        <v>37839</v>
      </c>
      <c r="S13" s="76">
        <v>52770</v>
      </c>
      <c r="T13" s="76">
        <v>66275</v>
      </c>
      <c r="U13" s="76">
        <v>40693</v>
      </c>
      <c r="V13" s="76">
        <v>62037</v>
      </c>
      <c r="W13" s="76">
        <v>85684</v>
      </c>
      <c r="X13" s="76">
        <v>95056</v>
      </c>
      <c r="Y13" s="76">
        <v>87399</v>
      </c>
      <c r="Z13" s="76">
        <v>116048</v>
      </c>
      <c r="AA13" s="76">
        <v>144231</v>
      </c>
      <c r="AB13" s="76">
        <v>228330</v>
      </c>
      <c r="AC13" s="76">
        <v>247100</v>
      </c>
      <c r="AD13" s="76">
        <v>244833</v>
      </c>
      <c r="AE13" s="76">
        <v>222777</v>
      </c>
      <c r="AF13" s="76">
        <v>139357</v>
      </c>
      <c r="AG13" s="76">
        <v>108221</v>
      </c>
      <c r="AH13" s="76">
        <v>168349</v>
      </c>
      <c r="AI13" s="76">
        <v>279758</v>
      </c>
      <c r="AJ13" s="76">
        <v>303174</v>
      </c>
      <c r="AK13" s="76">
        <v>435102</v>
      </c>
      <c r="AL13" s="76">
        <v>547885</v>
      </c>
      <c r="AM13" s="76">
        <v>704452</v>
      </c>
      <c r="AN13" s="76">
        <v>420794</v>
      </c>
      <c r="AO13" s="76">
        <v>742210</v>
      </c>
      <c r="AP13" s="76">
        <v>1038224</v>
      </c>
      <c r="AQ13" s="76">
        <v>782870</v>
      </c>
      <c r="AR13" s="76">
        <v>795161</v>
      </c>
      <c r="AS13" s="76">
        <v>858303</v>
      </c>
      <c r="AT13" s="76">
        <v>1533201</v>
      </c>
      <c r="AU13" s="76">
        <v>1247347</v>
      </c>
      <c r="AV13" s="76">
        <v>2065169</v>
      </c>
      <c r="AW13" s="76">
        <v>2064642</v>
      </c>
      <c r="AX13" s="76">
        <v>431406</v>
      </c>
      <c r="AY13" s="76">
        <v>315063</v>
      </c>
      <c r="AZ13" s="76">
        <v>1333921</v>
      </c>
      <c r="BA13" s="76">
        <v>969006</v>
      </c>
      <c r="BB13" s="76">
        <v>543884</v>
      </c>
      <c r="BC13" s="76">
        <v>906066</v>
      </c>
      <c r="BD13" s="75" t="s">
        <v>98</v>
      </c>
    </row>
    <row r="14" spans="1:56" s="77" customFormat="1">
      <c r="A14" s="75" t="s">
        <v>247</v>
      </c>
      <c r="B14" s="76">
        <v>-4099</v>
      </c>
      <c r="C14" s="76">
        <v>-5538</v>
      </c>
      <c r="D14" s="76">
        <v>-4174</v>
      </c>
      <c r="E14" s="76">
        <v>-7270</v>
      </c>
      <c r="F14" s="76">
        <v>-9560</v>
      </c>
      <c r="G14" s="76">
        <v>-5716</v>
      </c>
      <c r="H14" s="76">
        <v>-7321</v>
      </c>
      <c r="I14" s="76">
        <v>-9757</v>
      </c>
      <c r="J14" s="76">
        <v>-10977</v>
      </c>
      <c r="K14" s="76">
        <v>-11585</v>
      </c>
      <c r="L14" s="76">
        <v>-9337</v>
      </c>
      <c r="M14" s="76">
        <v>-12475</v>
      </c>
      <c r="N14" s="76">
        <v>-14497</v>
      </c>
      <c r="O14" s="76">
        <v>-22874</v>
      </c>
      <c r="P14" s="76">
        <v>-34745</v>
      </c>
      <c r="Q14" s="76">
        <v>-39703</v>
      </c>
      <c r="R14" s="76">
        <v>-51269</v>
      </c>
      <c r="S14" s="76">
        <v>-34785</v>
      </c>
      <c r="T14" s="76">
        <v>-61130</v>
      </c>
      <c r="U14" s="76">
        <v>-66054</v>
      </c>
      <c r="V14" s="76">
        <v>-86967</v>
      </c>
      <c r="W14" s="76">
        <v>-114147</v>
      </c>
      <c r="X14" s="76">
        <v>-127882</v>
      </c>
      <c r="Y14" s="76">
        <v>-66373</v>
      </c>
      <c r="Z14" s="76">
        <v>-40376</v>
      </c>
      <c r="AA14" s="76">
        <v>-44752</v>
      </c>
      <c r="AB14" s="76">
        <v>-111723</v>
      </c>
      <c r="AC14" s="76">
        <v>-79296</v>
      </c>
      <c r="AD14" s="76">
        <v>-106573</v>
      </c>
      <c r="AE14" s="76">
        <v>-175383</v>
      </c>
      <c r="AF14" s="76">
        <v>-81234</v>
      </c>
      <c r="AG14" s="76">
        <v>-64388</v>
      </c>
      <c r="AH14" s="76">
        <v>-74410</v>
      </c>
      <c r="AI14" s="76">
        <v>-200552</v>
      </c>
      <c r="AJ14" s="76">
        <v>-178937</v>
      </c>
      <c r="AK14" s="76">
        <v>-352264</v>
      </c>
      <c r="AL14" s="76">
        <v>-413409</v>
      </c>
      <c r="AM14" s="76">
        <v>-485475</v>
      </c>
      <c r="AN14" s="76">
        <v>-353829</v>
      </c>
      <c r="AO14" s="76">
        <v>-504062</v>
      </c>
      <c r="AP14" s="76">
        <v>-560523</v>
      </c>
      <c r="AQ14" s="76">
        <v>-382616</v>
      </c>
      <c r="AR14" s="76">
        <v>-294646</v>
      </c>
      <c r="AS14" s="76">
        <v>-325424</v>
      </c>
      <c r="AT14" s="76">
        <v>-1000870</v>
      </c>
      <c r="AU14" s="76">
        <v>-546631</v>
      </c>
      <c r="AV14" s="76">
        <v>-1285729</v>
      </c>
      <c r="AW14" s="76">
        <v>-1453604</v>
      </c>
      <c r="AX14" s="76">
        <v>332109</v>
      </c>
      <c r="AY14" s="76">
        <v>-128860</v>
      </c>
      <c r="AZ14" s="76">
        <v>-909953</v>
      </c>
      <c r="BA14" s="76">
        <v>-452304</v>
      </c>
      <c r="BB14" s="76">
        <v>-97469</v>
      </c>
      <c r="BC14" s="76">
        <v>-552983</v>
      </c>
      <c r="BD14" s="75" t="s">
        <v>97</v>
      </c>
    </row>
    <row r="15" spans="1:56" s="77" customFormat="1">
      <c r="A15" s="75"/>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5"/>
    </row>
    <row r="16" spans="1:56" s="78" customFormat="1">
      <c r="A16" s="75" t="s">
        <v>115</v>
      </c>
      <c r="B16" s="76">
        <f t="shared" ref="B16:AG16" si="4">B13+B14</f>
        <v>-1805</v>
      </c>
      <c r="C16" s="76">
        <f t="shared" si="4"/>
        <v>-2833</v>
      </c>
      <c r="D16" s="76">
        <f t="shared" si="4"/>
        <v>-2263</v>
      </c>
      <c r="E16" s="76">
        <f t="shared" si="4"/>
        <v>-4053</v>
      </c>
      <c r="F16" s="76">
        <f t="shared" si="4"/>
        <v>-5917</v>
      </c>
      <c r="G16" s="76">
        <f t="shared" si="4"/>
        <v>-4974</v>
      </c>
      <c r="H16" s="76">
        <f t="shared" si="4"/>
        <v>-3660</v>
      </c>
      <c r="I16" s="76">
        <f t="shared" si="4"/>
        <v>-2378</v>
      </c>
      <c r="J16" s="76">
        <f t="shared" si="4"/>
        <v>-1049</v>
      </c>
      <c r="K16" s="76">
        <f t="shared" si="4"/>
        <v>1117</v>
      </c>
      <c r="L16" s="76">
        <f t="shared" si="4"/>
        <v>-2111</v>
      </c>
      <c r="M16" s="76">
        <f t="shared" si="4"/>
        <v>11212</v>
      </c>
      <c r="N16" s="76">
        <f t="shared" si="4"/>
        <v>7674</v>
      </c>
      <c r="O16" s="76">
        <f t="shared" si="4"/>
        <v>-4486</v>
      </c>
      <c r="P16" s="76">
        <f t="shared" si="4"/>
        <v>482</v>
      </c>
      <c r="Q16" s="76">
        <f t="shared" si="4"/>
        <v>-22833</v>
      </c>
      <c r="R16" s="76">
        <f t="shared" si="4"/>
        <v>-13430</v>
      </c>
      <c r="S16" s="76">
        <f t="shared" si="4"/>
        <v>17985</v>
      </c>
      <c r="T16" s="76">
        <f t="shared" si="4"/>
        <v>5145</v>
      </c>
      <c r="U16" s="76">
        <f t="shared" si="4"/>
        <v>-25361</v>
      </c>
      <c r="V16" s="76">
        <f t="shared" si="4"/>
        <v>-24930</v>
      </c>
      <c r="W16" s="76">
        <f t="shared" si="4"/>
        <v>-28463</v>
      </c>
      <c r="X16" s="76">
        <f t="shared" si="4"/>
        <v>-32826</v>
      </c>
      <c r="Y16" s="76">
        <f t="shared" si="4"/>
        <v>21026</v>
      </c>
      <c r="Z16" s="76">
        <f t="shared" si="4"/>
        <v>75672</v>
      </c>
      <c r="AA16" s="76">
        <f t="shared" si="4"/>
        <v>99479</v>
      </c>
      <c r="AB16" s="76">
        <f t="shared" si="4"/>
        <v>116607</v>
      </c>
      <c r="AC16" s="76">
        <f t="shared" si="4"/>
        <v>167804</v>
      </c>
      <c r="AD16" s="76">
        <f t="shared" si="4"/>
        <v>138260</v>
      </c>
      <c r="AE16" s="76">
        <f t="shared" si="4"/>
        <v>47394</v>
      </c>
      <c r="AF16" s="76">
        <f t="shared" si="4"/>
        <v>58123</v>
      </c>
      <c r="AG16" s="76">
        <f t="shared" si="4"/>
        <v>43833</v>
      </c>
      <c r="AH16" s="76">
        <f t="shared" ref="AH16:BC16" si="5">AH13+AH14</f>
        <v>93939</v>
      </c>
      <c r="AI16" s="76">
        <f t="shared" si="5"/>
        <v>79206</v>
      </c>
      <c r="AJ16" s="76">
        <f t="shared" si="5"/>
        <v>124237</v>
      </c>
      <c r="AK16" s="76">
        <f t="shared" si="5"/>
        <v>82838</v>
      </c>
      <c r="AL16" s="76">
        <f t="shared" si="5"/>
        <v>134476</v>
      </c>
      <c r="AM16" s="76">
        <f t="shared" si="5"/>
        <v>218977</v>
      </c>
      <c r="AN16" s="76">
        <f t="shared" si="5"/>
        <v>66965</v>
      </c>
      <c r="AO16" s="76">
        <f t="shared" si="5"/>
        <v>238148</v>
      </c>
      <c r="AP16" s="76">
        <f t="shared" si="5"/>
        <v>477701</v>
      </c>
      <c r="AQ16" s="76">
        <f t="shared" si="5"/>
        <v>400254</v>
      </c>
      <c r="AR16" s="76">
        <f t="shared" si="5"/>
        <v>500515</v>
      </c>
      <c r="AS16" s="76">
        <f t="shared" si="5"/>
        <v>532879</v>
      </c>
      <c r="AT16" s="76">
        <f t="shared" si="5"/>
        <v>532331</v>
      </c>
      <c r="AU16" s="76">
        <f t="shared" si="5"/>
        <v>700716</v>
      </c>
      <c r="AV16" s="76">
        <f t="shared" si="5"/>
        <v>779440</v>
      </c>
      <c r="AW16" s="76">
        <f t="shared" si="5"/>
        <v>611038</v>
      </c>
      <c r="AX16" s="76">
        <f t="shared" si="5"/>
        <v>763515</v>
      </c>
      <c r="AY16" s="76">
        <f t="shared" si="5"/>
        <v>186203</v>
      </c>
      <c r="AZ16" s="76">
        <f t="shared" si="5"/>
        <v>423968</v>
      </c>
      <c r="BA16" s="76">
        <f t="shared" si="5"/>
        <v>516702</v>
      </c>
      <c r="BB16" s="76">
        <f t="shared" si="5"/>
        <v>446415</v>
      </c>
      <c r="BC16" s="76">
        <f t="shared" si="5"/>
        <v>353083</v>
      </c>
      <c r="BD16" s="75" t="s">
        <v>115</v>
      </c>
    </row>
    <row r="17" spans="1:56" s="78" customFormat="1">
      <c r="A17" s="79"/>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79"/>
    </row>
    <row r="18" spans="1:56" s="78" customFormat="1">
      <c r="A18" s="75" t="s">
        <v>112</v>
      </c>
      <c r="B18" s="80">
        <f t="shared" ref="B18:AG18" si="6">(B10+B16)</f>
        <v>1019</v>
      </c>
      <c r="C18" s="80">
        <f t="shared" si="6"/>
        <v>989</v>
      </c>
      <c r="D18" s="80">
        <f t="shared" si="6"/>
        <v>1124</v>
      </c>
      <c r="E18" s="80">
        <f t="shared" si="6"/>
        <v>361</v>
      </c>
      <c r="F18" s="80">
        <f t="shared" si="6"/>
        <v>906</v>
      </c>
      <c r="G18" s="80">
        <f t="shared" si="6"/>
        <v>457</v>
      </c>
      <c r="H18" s="80">
        <f t="shared" si="6"/>
        <v>-629</v>
      </c>
      <c r="I18" s="80">
        <f t="shared" si="6"/>
        <v>205</v>
      </c>
      <c r="J18" s="80">
        <f t="shared" si="6"/>
        <v>-438</v>
      </c>
      <c r="K18" s="80">
        <f t="shared" si="6"/>
        <v>1516</v>
      </c>
      <c r="L18" s="80">
        <f t="shared" si="6"/>
        <v>219</v>
      </c>
      <c r="M18" s="80">
        <f t="shared" si="6"/>
        <v>9780</v>
      </c>
      <c r="N18" s="80">
        <f t="shared" si="6"/>
        <v>1879</v>
      </c>
      <c r="O18" s="80">
        <f t="shared" si="6"/>
        <v>2654</v>
      </c>
      <c r="P18" s="80">
        <f t="shared" si="6"/>
        <v>2443</v>
      </c>
      <c r="Q18" s="80">
        <f t="shared" si="6"/>
        <v>-4717</v>
      </c>
      <c r="R18" s="80">
        <f t="shared" si="6"/>
        <v>-9135</v>
      </c>
      <c r="S18" s="80">
        <f t="shared" si="6"/>
        <v>3650</v>
      </c>
      <c r="T18" s="80">
        <f t="shared" si="6"/>
        <v>-9997</v>
      </c>
      <c r="U18" s="80">
        <f t="shared" si="6"/>
        <v>-25646</v>
      </c>
      <c r="V18" s="80">
        <f t="shared" si="6"/>
        <v>-22613</v>
      </c>
      <c r="W18" s="80">
        <f t="shared" si="6"/>
        <v>-23433</v>
      </c>
      <c r="X18" s="80">
        <f t="shared" si="6"/>
        <v>-38362</v>
      </c>
      <c r="Y18" s="80">
        <f t="shared" si="6"/>
        <v>-17666</v>
      </c>
      <c r="Z18" s="80">
        <f t="shared" si="6"/>
        <v>-18673</v>
      </c>
      <c r="AA18" s="80">
        <f t="shared" si="6"/>
        <v>-18676</v>
      </c>
      <c r="AB18" s="80">
        <f t="shared" si="6"/>
        <v>-30569</v>
      </c>
      <c r="AC18" s="80">
        <f t="shared" si="6"/>
        <v>7149</v>
      </c>
      <c r="AD18" s="80">
        <f t="shared" si="6"/>
        <v>17107</v>
      </c>
      <c r="AE18" s="80">
        <f t="shared" si="6"/>
        <v>-52092</v>
      </c>
      <c r="AF18" s="80">
        <f t="shared" si="6"/>
        <v>-20846</v>
      </c>
      <c r="AG18" s="80">
        <f t="shared" si="6"/>
        <v>46731</v>
      </c>
      <c r="AH18" s="80">
        <f t="shared" ref="AH18:BC18" si="7">(AH10+AH16)</f>
        <v>42325</v>
      </c>
      <c r="AI18" s="80">
        <f t="shared" si="7"/>
        <v>-5600</v>
      </c>
      <c r="AJ18" s="80">
        <f t="shared" si="7"/>
        <v>2625</v>
      </c>
      <c r="AK18" s="80">
        <f t="shared" si="7"/>
        <v>-30729</v>
      </c>
      <c r="AL18" s="80">
        <f t="shared" si="7"/>
        <v>9712</v>
      </c>
      <c r="AM18" s="80">
        <f t="shared" si="7"/>
        <v>78251</v>
      </c>
      <c r="AN18" s="80">
        <f t="shared" si="7"/>
        <v>-148097</v>
      </c>
      <c r="AO18" s="80">
        <f t="shared" si="7"/>
        <v>-62630</v>
      </c>
      <c r="AP18" s="80">
        <f t="shared" si="7"/>
        <v>61383</v>
      </c>
      <c r="AQ18" s="80">
        <f t="shared" si="7"/>
        <v>3558</v>
      </c>
      <c r="AR18" s="80">
        <f t="shared" si="7"/>
        <v>42715</v>
      </c>
      <c r="AS18" s="80">
        <f t="shared" si="7"/>
        <v>14221</v>
      </c>
      <c r="AT18" s="80">
        <f t="shared" si="7"/>
        <v>-96996</v>
      </c>
      <c r="AU18" s="80">
        <f t="shared" si="7"/>
        <v>-39080</v>
      </c>
      <c r="AV18" s="80">
        <f t="shared" si="7"/>
        <v>-19038</v>
      </c>
      <c r="AW18" s="80">
        <f t="shared" si="7"/>
        <v>-102351</v>
      </c>
      <c r="AX18" s="80">
        <f t="shared" si="7"/>
        <v>82173</v>
      </c>
      <c r="AY18" s="80">
        <f t="shared" si="7"/>
        <v>-195433</v>
      </c>
      <c r="AZ18" s="80">
        <f t="shared" si="7"/>
        <v>-25503</v>
      </c>
      <c r="BA18" s="80">
        <f t="shared" si="7"/>
        <v>58977</v>
      </c>
      <c r="BB18" s="80">
        <f t="shared" si="7"/>
        <v>5999</v>
      </c>
      <c r="BC18" s="80">
        <f t="shared" si="7"/>
        <v>-26194</v>
      </c>
      <c r="BD18" s="75" t="s">
        <v>112</v>
      </c>
    </row>
    <row r="19" spans="1:56" s="78" customFormat="1">
      <c r="A19" s="79"/>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79"/>
    </row>
    <row r="20" spans="1:56" s="77" customFormat="1">
      <c r="A20" s="75" t="s">
        <v>250</v>
      </c>
      <c r="B20" s="76" t="s">
        <v>251</v>
      </c>
      <c r="C20" s="76">
        <v>-989</v>
      </c>
      <c r="D20" s="76">
        <v>-1124</v>
      </c>
      <c r="E20" s="76">
        <v>-360</v>
      </c>
      <c r="F20" s="76">
        <v>-907</v>
      </c>
      <c r="G20" s="76">
        <v>-457</v>
      </c>
      <c r="H20" s="76">
        <v>629</v>
      </c>
      <c r="I20" s="76">
        <v>-205</v>
      </c>
      <c r="J20" s="76">
        <v>438</v>
      </c>
      <c r="K20" s="76">
        <v>-1516</v>
      </c>
      <c r="L20" s="76">
        <v>-219</v>
      </c>
      <c r="M20" s="76">
        <v>-9779</v>
      </c>
      <c r="N20" s="76">
        <v>-1879</v>
      </c>
      <c r="O20" s="76">
        <v>-2654</v>
      </c>
      <c r="P20" s="76">
        <v>-2444</v>
      </c>
      <c r="Q20" s="76">
        <v>4717</v>
      </c>
      <c r="R20" s="76">
        <v>9134</v>
      </c>
      <c r="S20" s="76">
        <v>-3650</v>
      </c>
      <c r="T20" s="76">
        <v>9997</v>
      </c>
      <c r="U20" s="76">
        <v>25647</v>
      </c>
      <c r="V20" s="76">
        <v>22613</v>
      </c>
      <c r="W20" s="76">
        <v>23433</v>
      </c>
      <c r="X20" s="76">
        <v>38362</v>
      </c>
      <c r="Y20" s="76">
        <v>17666</v>
      </c>
      <c r="Z20" s="76">
        <v>18672</v>
      </c>
      <c r="AA20" s="76">
        <v>18677</v>
      </c>
      <c r="AB20" s="76">
        <v>30570</v>
      </c>
      <c r="AC20" s="76">
        <v>-7149</v>
      </c>
      <c r="AD20" s="76">
        <v>-17107</v>
      </c>
      <c r="AE20" s="76">
        <v>52299</v>
      </c>
      <c r="AF20" s="76">
        <v>28066</v>
      </c>
      <c r="AG20" s="76">
        <v>-41601</v>
      </c>
      <c r="AH20" s="76">
        <v>-43775</v>
      </c>
      <c r="AI20" s="76">
        <v>6314</v>
      </c>
      <c r="AJ20" s="76">
        <v>-1514</v>
      </c>
      <c r="AK20" s="76">
        <v>30951</v>
      </c>
      <c r="AL20" s="76">
        <v>-9705</v>
      </c>
      <c r="AM20" s="76">
        <v>-77995</v>
      </c>
      <c r="AN20" s="76">
        <v>148105</v>
      </c>
      <c r="AO20" s="76">
        <v>66806</v>
      </c>
      <c r="AP20" s="76">
        <v>-61382</v>
      </c>
      <c r="AQ20" s="76">
        <v>-16755</v>
      </c>
      <c r="AR20" s="76">
        <v>-42574</v>
      </c>
      <c r="AS20" s="76">
        <v>-12401</v>
      </c>
      <c r="AT20" s="76">
        <v>93947</v>
      </c>
      <c r="AU20" s="76">
        <v>25964</v>
      </c>
      <c r="AV20" s="76">
        <v>-8884</v>
      </c>
      <c r="AW20" s="76">
        <v>95745</v>
      </c>
      <c r="AX20" s="76">
        <v>-55235</v>
      </c>
      <c r="AY20" s="76">
        <v>150757</v>
      </c>
      <c r="AZ20" s="76">
        <v>11585</v>
      </c>
      <c r="BA20" s="76">
        <v>-92771</v>
      </c>
      <c r="BB20" s="76">
        <v>-5891</v>
      </c>
      <c r="BC20" s="76">
        <v>28456</v>
      </c>
      <c r="BD20" s="75" t="s">
        <v>116</v>
      </c>
    </row>
    <row r="22" spans="1:56">
      <c r="BC22" s="70" t="s">
        <v>117</v>
      </c>
    </row>
    <row r="23" spans="1:56">
      <c r="A23" s="70" t="s">
        <v>117</v>
      </c>
      <c r="F23" s="72"/>
      <c r="BC23" s="70" t="s">
        <v>118</v>
      </c>
    </row>
    <row r="24" spans="1:56">
      <c r="A24" s="70" t="s">
        <v>118</v>
      </c>
      <c r="F24" s="72"/>
    </row>
    <row r="25" spans="1:56">
      <c r="A25" s="71"/>
    </row>
    <row r="26" spans="1:56" ht="12.75">
      <c r="A26" s="59" t="s">
        <v>108</v>
      </c>
      <c r="F26" s="72"/>
    </row>
  </sheetData>
  <hyperlinks>
    <hyperlink ref="A26" r:id="rId1" xr:uid="{9680D10C-E3C3-4EF4-96FE-A0C848B13E9E}"/>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66CD8-AFB9-47C6-987E-3E9EC73A6E5D}">
  <dimension ref="A1:G225"/>
  <sheetViews>
    <sheetView topLeftCell="A29" workbookViewId="0">
      <selection activeCell="E61" sqref="E61"/>
    </sheetView>
  </sheetViews>
  <sheetFormatPr defaultColWidth="14.6640625" defaultRowHeight="10.15"/>
  <cols>
    <col min="1" max="1" width="14.6640625" style="60"/>
    <col min="2" max="2" width="12" style="65" customWidth="1"/>
    <col min="3" max="3" width="11.53125" style="65" customWidth="1"/>
    <col min="4" max="4" width="12.53125" style="65" customWidth="1"/>
    <col min="5" max="5" width="24.86328125" style="65" customWidth="1"/>
    <col min="6" max="6" width="13.1328125" style="65" customWidth="1"/>
    <col min="7" max="7" width="13.53125" style="65" customWidth="1"/>
    <col min="8" max="16384" width="14.6640625" style="60"/>
  </cols>
  <sheetData>
    <row r="1" spans="1:7" s="63" customFormat="1" ht="15" customHeight="1">
      <c r="A1" s="66" t="s">
        <v>0</v>
      </c>
      <c r="B1" s="63" t="s">
        <v>110</v>
      </c>
      <c r="C1" s="63" t="s">
        <v>111</v>
      </c>
      <c r="D1" s="63" t="s">
        <v>112</v>
      </c>
      <c r="E1" s="63" t="s">
        <v>113</v>
      </c>
      <c r="F1" s="69" t="s">
        <v>246</v>
      </c>
      <c r="G1" s="69" t="s">
        <v>90</v>
      </c>
    </row>
    <row r="2" spans="1:7">
      <c r="A2" s="62">
        <v>21885</v>
      </c>
      <c r="B2" s="64">
        <v>12</v>
      </c>
      <c r="C2" s="64">
        <v>22</v>
      </c>
      <c r="D2" s="64">
        <f>B2+C2</f>
        <v>34</v>
      </c>
      <c r="E2" s="64">
        <v>-34</v>
      </c>
    </row>
    <row r="3" spans="1:7">
      <c r="A3" s="62">
        <v>22251</v>
      </c>
      <c r="B3" s="64">
        <v>-176</v>
      </c>
      <c r="C3" s="64">
        <v>165</v>
      </c>
      <c r="D3" s="64">
        <f t="shared" ref="D3:D57" si="0">B3+C3</f>
        <v>-11</v>
      </c>
      <c r="E3" s="64">
        <v>11</v>
      </c>
    </row>
    <row r="4" spans="1:7">
      <c r="A4" s="62">
        <v>22616</v>
      </c>
      <c r="B4" s="64">
        <v>111</v>
      </c>
      <c r="C4" s="64">
        <v>-10</v>
      </c>
      <c r="D4" s="64">
        <f t="shared" si="0"/>
        <v>101</v>
      </c>
      <c r="E4" s="64">
        <v>-101</v>
      </c>
    </row>
    <row r="5" spans="1:7">
      <c r="A5" s="62">
        <v>22981</v>
      </c>
      <c r="B5" s="64">
        <v>-46</v>
      </c>
      <c r="C5" s="64">
        <v>74</v>
      </c>
      <c r="D5" s="64">
        <f t="shared" si="0"/>
        <v>28</v>
      </c>
      <c r="E5" s="64">
        <v>-28</v>
      </c>
    </row>
    <row r="6" spans="1:7">
      <c r="A6" s="62">
        <v>23346</v>
      </c>
      <c r="B6" s="64">
        <v>121</v>
      </c>
      <c r="C6" s="64">
        <v>-111</v>
      </c>
      <c r="D6" s="64">
        <f t="shared" si="0"/>
        <v>10</v>
      </c>
      <c r="E6" s="64">
        <v>-10</v>
      </c>
    </row>
    <row r="7" spans="1:7" s="61" customFormat="1">
      <c r="A7" s="62">
        <v>23712</v>
      </c>
      <c r="B7" s="64">
        <v>-105</v>
      </c>
      <c r="C7" s="64">
        <v>93</v>
      </c>
      <c r="D7" s="64">
        <f t="shared" si="0"/>
        <v>-12</v>
      </c>
      <c r="E7" s="64">
        <v>12</v>
      </c>
      <c r="F7" s="67"/>
      <c r="G7" s="67"/>
    </row>
    <row r="8" spans="1:7" s="61" customFormat="1">
      <c r="A8" s="62">
        <v>24077</v>
      </c>
      <c r="B8" s="64">
        <v>-193</v>
      </c>
      <c r="C8" s="64">
        <v>171</v>
      </c>
      <c r="D8" s="64">
        <f t="shared" si="0"/>
        <v>-22</v>
      </c>
      <c r="E8" s="64">
        <v>22</v>
      </c>
      <c r="F8" s="67"/>
      <c r="G8" s="67"/>
    </row>
    <row r="9" spans="1:7">
      <c r="A9" s="62">
        <v>24442</v>
      </c>
      <c r="B9" s="64">
        <v>-94</v>
      </c>
      <c r="C9" s="64">
        <v>141</v>
      </c>
      <c r="D9" s="64">
        <f t="shared" si="0"/>
        <v>47</v>
      </c>
      <c r="E9" s="64">
        <v>-47</v>
      </c>
    </row>
    <row r="10" spans="1:7">
      <c r="A10" s="62">
        <v>24807</v>
      </c>
      <c r="B10" s="64">
        <v>-178</v>
      </c>
      <c r="C10" s="64">
        <v>284</v>
      </c>
      <c r="D10" s="64">
        <f t="shared" si="0"/>
        <v>106</v>
      </c>
      <c r="E10" s="64">
        <v>-106</v>
      </c>
    </row>
    <row r="11" spans="1:7">
      <c r="A11" s="62">
        <v>25173</v>
      </c>
      <c r="B11" s="64">
        <v>-176</v>
      </c>
      <c r="C11" s="64">
        <v>196</v>
      </c>
      <c r="D11" s="64">
        <f t="shared" si="0"/>
        <v>20</v>
      </c>
      <c r="E11" s="64">
        <v>-20</v>
      </c>
    </row>
    <row r="12" spans="1:7">
      <c r="A12" s="62">
        <v>25538</v>
      </c>
      <c r="B12" s="64">
        <v>-152</v>
      </c>
      <c r="C12" s="64">
        <v>170</v>
      </c>
      <c r="D12" s="64">
        <f t="shared" si="0"/>
        <v>18</v>
      </c>
      <c r="E12" s="64">
        <v>-18</v>
      </c>
    </row>
    <row r="13" spans="1:7">
      <c r="A13" s="62">
        <v>25903</v>
      </c>
      <c r="B13" s="64">
        <v>-166</v>
      </c>
      <c r="C13" s="64">
        <v>186</v>
      </c>
      <c r="D13" s="64">
        <f t="shared" si="0"/>
        <v>20</v>
      </c>
      <c r="E13" s="64">
        <v>-20</v>
      </c>
    </row>
    <row r="14" spans="1:7">
      <c r="A14" s="62">
        <v>26268</v>
      </c>
      <c r="B14" s="64">
        <v>-172</v>
      </c>
      <c r="C14" s="64">
        <v>75</v>
      </c>
      <c r="D14" s="64">
        <f t="shared" si="0"/>
        <v>-97</v>
      </c>
      <c r="E14" s="64">
        <v>97</v>
      </c>
    </row>
    <row r="15" spans="1:7">
      <c r="A15" s="62">
        <v>26634</v>
      </c>
      <c r="B15" s="64">
        <v>251</v>
      </c>
      <c r="C15" s="64">
        <v>-375</v>
      </c>
      <c r="D15" s="64">
        <f t="shared" si="0"/>
        <v>-124</v>
      </c>
      <c r="E15" s="64">
        <v>124</v>
      </c>
    </row>
    <row r="16" spans="1:7">
      <c r="A16" s="62">
        <v>26999</v>
      </c>
      <c r="B16" s="64">
        <v>-2</v>
      </c>
      <c r="C16" s="64">
        <v>42</v>
      </c>
      <c r="D16" s="64">
        <f t="shared" si="0"/>
        <v>40</v>
      </c>
      <c r="E16" s="64">
        <v>-40</v>
      </c>
    </row>
    <row r="17" spans="1:7" ht="11.65">
      <c r="A17" s="62">
        <v>27364</v>
      </c>
      <c r="B17" s="64">
        <v>-417</v>
      </c>
      <c r="C17" s="64">
        <v>316</v>
      </c>
      <c r="D17" s="64">
        <f t="shared" si="0"/>
        <v>-101</v>
      </c>
      <c r="E17" s="64">
        <v>101</v>
      </c>
      <c r="F17" s="55">
        <v>1.2709999999999999</v>
      </c>
      <c r="G17" s="58">
        <v>-1.6999999999999999E-3</v>
      </c>
    </row>
    <row r="18" spans="1:7" ht="11.65">
      <c r="A18" s="62">
        <v>27729</v>
      </c>
      <c r="B18" s="64">
        <v>-340</v>
      </c>
      <c r="C18" s="64">
        <v>545</v>
      </c>
      <c r="D18" s="64">
        <f t="shared" si="0"/>
        <v>205</v>
      </c>
      <c r="E18" s="64">
        <v>-205</v>
      </c>
      <c r="F18" s="55">
        <v>1.4850000000000001</v>
      </c>
      <c r="G18" s="58">
        <v>1.6999999999999999E-3</v>
      </c>
    </row>
    <row r="19" spans="1:7" ht="11.65">
      <c r="A19" s="62">
        <v>28095</v>
      </c>
      <c r="B19" s="64">
        <v>-417</v>
      </c>
      <c r="C19" s="64">
        <v>728</v>
      </c>
      <c r="D19" s="64">
        <f t="shared" si="0"/>
        <v>311</v>
      </c>
      <c r="E19" s="64">
        <v>-311</v>
      </c>
      <c r="F19" s="55">
        <v>1.3383</v>
      </c>
      <c r="G19" s="58">
        <v>1.04E-2</v>
      </c>
    </row>
    <row r="20" spans="1:7" ht="11.65">
      <c r="A20" s="62">
        <v>28460</v>
      </c>
      <c r="B20" s="64">
        <v>-242</v>
      </c>
      <c r="C20" s="64">
        <v>630</v>
      </c>
      <c r="D20" s="64">
        <f t="shared" si="0"/>
        <v>388</v>
      </c>
      <c r="E20" s="64">
        <v>-388</v>
      </c>
      <c r="F20" s="55">
        <v>1.2587999999999999</v>
      </c>
      <c r="G20" s="58">
        <v>1.2999999999999999E-3</v>
      </c>
    </row>
    <row r="21" spans="1:7" ht="11.65">
      <c r="A21" s="62">
        <v>28825</v>
      </c>
      <c r="B21" s="64">
        <v>-941</v>
      </c>
      <c r="C21" s="64">
        <v>1006</v>
      </c>
      <c r="D21" s="64">
        <f t="shared" si="0"/>
        <v>65</v>
      </c>
      <c r="E21" s="64">
        <v>-65</v>
      </c>
      <c r="F21" s="55">
        <v>1.087</v>
      </c>
      <c r="G21" s="58">
        <v>-2.9999999999999997E-4</v>
      </c>
    </row>
    <row r="22" spans="1:7" ht="11.65">
      <c r="A22" s="62">
        <v>29190</v>
      </c>
      <c r="B22" s="64">
        <v>-195</v>
      </c>
      <c r="C22" s="64">
        <v>327</v>
      </c>
      <c r="D22" s="64">
        <f t="shared" si="0"/>
        <v>132</v>
      </c>
      <c r="E22" s="64">
        <v>-132</v>
      </c>
      <c r="F22" s="55">
        <v>1.1382000000000001</v>
      </c>
      <c r="G22" s="58">
        <v>-2.8E-3</v>
      </c>
    </row>
    <row r="23" spans="1:7" ht="11.65">
      <c r="A23" s="62">
        <v>29556</v>
      </c>
      <c r="B23" s="64">
        <v>-1141</v>
      </c>
      <c r="C23" s="64">
        <v>905</v>
      </c>
      <c r="D23" s="64">
        <f t="shared" si="0"/>
        <v>-236</v>
      </c>
      <c r="E23" s="64">
        <v>236</v>
      </c>
      <c r="F23" s="55">
        <v>1.1326000000000001</v>
      </c>
      <c r="G23" s="58">
        <v>-1.5100000000000001E-2</v>
      </c>
    </row>
    <row r="24" spans="1:7" ht="11.65">
      <c r="A24" s="62">
        <v>29921</v>
      </c>
      <c r="B24" s="64">
        <v>-2078</v>
      </c>
      <c r="C24" s="64">
        <v>2725</v>
      </c>
      <c r="D24" s="64">
        <f t="shared" si="0"/>
        <v>647</v>
      </c>
      <c r="E24" s="64">
        <v>-647</v>
      </c>
      <c r="F24" s="55">
        <v>1.1071</v>
      </c>
      <c r="G24" s="58">
        <v>5.0000000000000001E-4</v>
      </c>
    </row>
    <row r="25" spans="1:7" ht="11.65">
      <c r="A25" s="62">
        <v>30286</v>
      </c>
      <c r="B25" s="64">
        <v>-1316</v>
      </c>
      <c r="C25" s="64">
        <v>1191</v>
      </c>
      <c r="D25" s="64">
        <f t="shared" si="0"/>
        <v>-125</v>
      </c>
      <c r="E25" s="64">
        <v>125</v>
      </c>
      <c r="F25" s="55">
        <v>1.1684000000000001</v>
      </c>
      <c r="G25" s="58">
        <v>-1.0800000000000001E-2</v>
      </c>
    </row>
    <row r="26" spans="1:7" ht="11.65">
      <c r="A26" s="62">
        <v>30651</v>
      </c>
      <c r="B26" s="64">
        <v>-1170</v>
      </c>
      <c r="C26" s="64">
        <v>632</v>
      </c>
      <c r="D26" s="64">
        <f t="shared" si="0"/>
        <v>-538</v>
      </c>
      <c r="E26" s="64">
        <v>538</v>
      </c>
      <c r="F26" s="55">
        <v>1.099</v>
      </c>
      <c r="G26" s="58">
        <v>-2.5399999999999999E-2</v>
      </c>
    </row>
    <row r="27" spans="1:7" ht="11.65">
      <c r="A27" s="62">
        <v>31017</v>
      </c>
      <c r="B27" s="64">
        <v>-2687</v>
      </c>
      <c r="C27" s="64">
        <v>2073</v>
      </c>
      <c r="D27" s="64">
        <f t="shared" si="0"/>
        <v>-614</v>
      </c>
      <c r="E27" s="64">
        <v>614</v>
      </c>
      <c r="F27" s="55">
        <v>0.9677</v>
      </c>
      <c r="G27" s="58">
        <v>-1.26E-2</v>
      </c>
    </row>
    <row r="28" spans="1:7" ht="11.65">
      <c r="A28" s="62">
        <v>31382</v>
      </c>
      <c r="B28" s="64">
        <v>-3334</v>
      </c>
      <c r="C28" s="64">
        <v>3303</v>
      </c>
      <c r="D28" s="64">
        <f t="shared" si="0"/>
        <v>-31</v>
      </c>
      <c r="E28" s="64">
        <v>31</v>
      </c>
      <c r="F28" s="55">
        <v>0.91720000000000002</v>
      </c>
      <c r="G28" s="58">
        <v>2.3099999999999999E-2</v>
      </c>
    </row>
    <row r="29" spans="1:7" ht="11.65">
      <c r="A29" s="62">
        <v>31747</v>
      </c>
      <c r="B29" s="64">
        <v>-2759</v>
      </c>
      <c r="C29" s="64">
        <v>2818</v>
      </c>
      <c r="D29" s="64">
        <f t="shared" si="0"/>
        <v>59</v>
      </c>
      <c r="E29" s="64">
        <v>-59</v>
      </c>
      <c r="F29" s="55">
        <v>0.81379999999999997</v>
      </c>
      <c r="G29" s="58">
        <v>-1.3599999999999999E-2</v>
      </c>
    </row>
    <row r="30" spans="1:7" ht="11.65">
      <c r="A30" s="62">
        <v>32112</v>
      </c>
      <c r="B30" s="64">
        <v>-2207</v>
      </c>
      <c r="C30" s="64">
        <v>3026</v>
      </c>
      <c r="D30" s="64">
        <f t="shared" si="0"/>
        <v>819</v>
      </c>
      <c r="E30" s="64">
        <v>-819</v>
      </c>
      <c r="F30" s="55">
        <v>0.71379999999999999</v>
      </c>
      <c r="G30" s="58">
        <v>4.6899999999999997E-2</v>
      </c>
    </row>
    <row r="31" spans="1:7" ht="11.65">
      <c r="A31" s="62">
        <v>32478</v>
      </c>
      <c r="B31" s="64">
        <v>-4005</v>
      </c>
      <c r="C31" s="64">
        <v>3543</v>
      </c>
      <c r="D31" s="64">
        <f t="shared" si="0"/>
        <v>-462</v>
      </c>
      <c r="E31" s="64">
        <v>461</v>
      </c>
      <c r="F31" s="55">
        <v>0.65900000000000003</v>
      </c>
      <c r="G31" s="58">
        <v>-9.4999999999999998E-3</v>
      </c>
    </row>
    <row r="32" spans="1:7" ht="11.65">
      <c r="A32" s="62">
        <v>32843</v>
      </c>
      <c r="B32" s="64">
        <v>-6006</v>
      </c>
      <c r="C32" s="64">
        <v>5494</v>
      </c>
      <c r="D32" s="64">
        <f t="shared" si="0"/>
        <v>-512</v>
      </c>
      <c r="E32" s="64">
        <v>511</v>
      </c>
      <c r="F32" s="55">
        <v>0.70669999999999999</v>
      </c>
      <c r="G32" s="58">
        <v>-2.1299999999999999E-2</v>
      </c>
    </row>
    <row r="33" spans="1:7" ht="11.65">
      <c r="A33" s="62">
        <v>33208</v>
      </c>
      <c r="B33" s="64">
        <v>-4795</v>
      </c>
      <c r="C33" s="64">
        <v>4920</v>
      </c>
      <c r="D33" s="64">
        <f t="shared" si="0"/>
        <v>125</v>
      </c>
      <c r="E33" s="64">
        <v>-125</v>
      </c>
      <c r="F33" s="55">
        <v>0.88660000000000005</v>
      </c>
      <c r="G33" s="58">
        <v>3.8899999999999997E-2</v>
      </c>
    </row>
    <row r="34" spans="1:7" ht="11.65">
      <c r="A34" s="62">
        <v>33573</v>
      </c>
      <c r="B34" s="64">
        <v>-2723</v>
      </c>
      <c r="C34" s="64">
        <v>3180</v>
      </c>
      <c r="D34" s="64">
        <f t="shared" si="0"/>
        <v>457</v>
      </c>
      <c r="E34" s="64">
        <v>-457</v>
      </c>
      <c r="F34" s="55">
        <v>0.7712</v>
      </c>
      <c r="G34" s="58">
        <v>-2.1899999999999999E-2</v>
      </c>
    </row>
    <row r="35" spans="1:7" ht="11.65">
      <c r="A35" s="62">
        <v>33939</v>
      </c>
      <c r="B35" s="64">
        <v>-3097</v>
      </c>
      <c r="C35" s="64">
        <v>2675</v>
      </c>
      <c r="D35" s="64">
        <f t="shared" si="0"/>
        <v>-422</v>
      </c>
      <c r="E35" s="64">
        <v>422</v>
      </c>
      <c r="F35" s="55">
        <v>0.78249999999999997</v>
      </c>
      <c r="G35" s="58">
        <v>1.23E-2</v>
      </c>
    </row>
    <row r="36" spans="1:7" ht="11.65">
      <c r="A36" s="62">
        <v>34304</v>
      </c>
      <c r="B36" s="64">
        <v>-2981</v>
      </c>
      <c r="C36" s="64">
        <v>3451</v>
      </c>
      <c r="D36" s="64">
        <f t="shared" si="0"/>
        <v>470</v>
      </c>
      <c r="E36" s="64">
        <v>-469</v>
      </c>
      <c r="F36" s="55">
        <v>0.75070000000000003</v>
      </c>
      <c r="G36" s="58">
        <v>-1.17E-2</v>
      </c>
    </row>
    <row r="37" spans="1:7" ht="11.65">
      <c r="A37" s="62">
        <v>34669</v>
      </c>
      <c r="B37" s="64">
        <v>-6063</v>
      </c>
      <c r="C37" s="64">
        <v>6258</v>
      </c>
      <c r="D37" s="64">
        <f t="shared" si="0"/>
        <v>195</v>
      </c>
      <c r="E37" s="64">
        <v>-195</v>
      </c>
      <c r="F37" s="55">
        <v>0.67849999999999999</v>
      </c>
      <c r="G37" s="58">
        <v>-1.6E-2</v>
      </c>
    </row>
    <row r="38" spans="1:7" ht="11.65">
      <c r="A38" s="62">
        <v>35034</v>
      </c>
      <c r="B38" s="64">
        <v>-5916</v>
      </c>
      <c r="C38" s="64">
        <v>5188</v>
      </c>
      <c r="D38" s="64">
        <f t="shared" si="0"/>
        <v>-728</v>
      </c>
      <c r="E38" s="64">
        <v>728</v>
      </c>
      <c r="F38" s="55">
        <v>0.70899999999999996</v>
      </c>
      <c r="G38" s="58">
        <v>4.3700000000000003E-2</v>
      </c>
    </row>
    <row r="39" spans="1:7" ht="11.65">
      <c r="A39" s="62">
        <v>35400</v>
      </c>
      <c r="B39" s="64">
        <v>-4425</v>
      </c>
      <c r="C39" s="64">
        <v>4805</v>
      </c>
      <c r="D39" s="64">
        <f t="shared" si="0"/>
        <v>380</v>
      </c>
      <c r="E39" s="82">
        <v>-380</v>
      </c>
      <c r="F39" s="55">
        <v>0.75680000000000003</v>
      </c>
      <c r="G39" s="58">
        <v>-2.4500000000000001E-2</v>
      </c>
    </row>
    <row r="40" spans="1:7" ht="11.65">
      <c r="A40" s="62">
        <v>35765</v>
      </c>
      <c r="B40" s="64">
        <v>-5115</v>
      </c>
      <c r="C40" s="64">
        <v>5451</v>
      </c>
      <c r="D40" s="64">
        <f t="shared" si="0"/>
        <v>336</v>
      </c>
      <c r="E40" s="82">
        <v>-336</v>
      </c>
      <c r="F40" s="55">
        <v>0.74650000000000005</v>
      </c>
      <c r="G40" s="58">
        <v>3.2000000000000002E-3</v>
      </c>
    </row>
    <row r="41" spans="1:7" ht="11.65">
      <c r="A41" s="62">
        <v>36130</v>
      </c>
      <c r="B41" s="64">
        <v>-6777</v>
      </c>
      <c r="C41" s="64">
        <v>7058</v>
      </c>
      <c r="D41" s="64">
        <f t="shared" si="0"/>
        <v>281</v>
      </c>
      <c r="E41" s="82">
        <v>-281</v>
      </c>
      <c r="F41" s="55">
        <v>0.76229999999999998</v>
      </c>
      <c r="G41" s="58">
        <v>-4.1000000000000002E-2</v>
      </c>
    </row>
    <row r="42" spans="1:7" ht="11.65">
      <c r="A42" s="62">
        <v>36495</v>
      </c>
      <c r="B42" s="64">
        <v>-6784</v>
      </c>
      <c r="C42" s="64">
        <v>6777</v>
      </c>
      <c r="D42" s="64">
        <f t="shared" si="0"/>
        <v>-7</v>
      </c>
      <c r="E42" s="83">
        <v>7</v>
      </c>
      <c r="F42" s="55">
        <v>0.68300000000000005</v>
      </c>
      <c r="G42" s="58">
        <v>4.8000000000000001E-2</v>
      </c>
    </row>
    <row r="43" spans="1:7" ht="11.65">
      <c r="A43" s="62">
        <v>36861</v>
      </c>
      <c r="B43" s="64">
        <v>-4598</v>
      </c>
      <c r="C43" s="64">
        <v>4446</v>
      </c>
      <c r="D43" s="64">
        <f t="shared" si="0"/>
        <v>-152</v>
      </c>
      <c r="E43" s="83">
        <v>152</v>
      </c>
      <c r="F43" s="55">
        <v>0.63049999999999995</v>
      </c>
      <c r="G43" s="58">
        <v>3.09E-2</v>
      </c>
    </row>
    <row r="44" spans="1:7" ht="11.65">
      <c r="A44" s="62">
        <v>37226</v>
      </c>
      <c r="B44" s="64">
        <v>-4491</v>
      </c>
      <c r="C44" s="64">
        <v>4929</v>
      </c>
      <c r="D44" s="64">
        <f t="shared" si="0"/>
        <v>438</v>
      </c>
      <c r="E44" s="82">
        <v>-438</v>
      </c>
      <c r="F44" s="55">
        <v>0.63729999999999998</v>
      </c>
      <c r="G44" s="58">
        <v>-3.0700000000000002E-2</v>
      </c>
    </row>
    <row r="45" spans="1:7" ht="11.65">
      <c r="A45" s="62">
        <v>37591</v>
      </c>
      <c r="B45" s="64">
        <v>-9336</v>
      </c>
      <c r="C45" s="64">
        <v>9186</v>
      </c>
      <c r="D45" s="64">
        <f t="shared" si="0"/>
        <v>-150</v>
      </c>
      <c r="E45" s="83">
        <v>150</v>
      </c>
      <c r="F45" s="55">
        <v>0.55000000000000004</v>
      </c>
      <c r="G45" s="58">
        <v>-1.61E-2</v>
      </c>
    </row>
    <row r="46" spans="1:7" ht="11.65">
      <c r="A46" s="62">
        <v>37956</v>
      </c>
      <c r="B46" s="64">
        <v>-11367</v>
      </c>
      <c r="C46" s="64">
        <v>11793</v>
      </c>
      <c r="D46" s="64">
        <f t="shared" si="0"/>
        <v>426</v>
      </c>
      <c r="E46" s="82">
        <v>-427</v>
      </c>
      <c r="F46" s="55">
        <v>0.50800000000000001</v>
      </c>
      <c r="G46" s="58">
        <v>-2E-3</v>
      </c>
    </row>
    <row r="47" spans="1:7" ht="11.65">
      <c r="A47" s="62">
        <v>38322</v>
      </c>
      <c r="B47" s="64">
        <v>-15983</v>
      </c>
      <c r="C47" s="64">
        <v>16299</v>
      </c>
      <c r="D47" s="64">
        <f t="shared" si="0"/>
        <v>316</v>
      </c>
      <c r="E47" s="82">
        <v>-317</v>
      </c>
      <c r="F47" s="55">
        <v>0.58720000000000006</v>
      </c>
      <c r="G47" s="58">
        <v>4.5999999999999999E-2</v>
      </c>
    </row>
    <row r="48" spans="1:7" ht="11.65">
      <c r="A48" s="62">
        <v>38687</v>
      </c>
      <c r="B48" s="64">
        <v>-13932</v>
      </c>
      <c r="C48" s="64">
        <v>14213</v>
      </c>
      <c r="D48" s="64">
        <f t="shared" si="0"/>
        <v>281</v>
      </c>
      <c r="E48" s="82">
        <v>-281</v>
      </c>
      <c r="F48" s="55">
        <v>0.76419999999999999</v>
      </c>
      <c r="G48" s="58">
        <v>1.54E-2</v>
      </c>
    </row>
    <row r="49" spans="1:7" ht="11.65">
      <c r="A49" s="62">
        <v>39052</v>
      </c>
      <c r="B49" s="64">
        <v>-15192</v>
      </c>
      <c r="C49" s="64">
        <v>14668</v>
      </c>
      <c r="D49" s="64">
        <f t="shared" si="0"/>
        <v>-524</v>
      </c>
      <c r="E49" s="83">
        <v>524</v>
      </c>
      <c r="F49" s="55">
        <v>0.7752</v>
      </c>
      <c r="G49" s="58">
        <v>-8.8999999999999999E-3</v>
      </c>
    </row>
    <row r="50" spans="1:7" ht="11.65">
      <c r="A50" s="62">
        <v>39417</v>
      </c>
      <c r="B50" s="64">
        <v>-20391</v>
      </c>
      <c r="C50" s="64">
        <v>20183</v>
      </c>
      <c r="D50" s="64">
        <f t="shared" si="0"/>
        <v>-208</v>
      </c>
      <c r="E50" s="83">
        <v>208</v>
      </c>
      <c r="F50" s="55">
        <v>0.75870000000000004</v>
      </c>
      <c r="G50" s="58">
        <v>3.4200000000000001E-2</v>
      </c>
    </row>
    <row r="51" spans="1:7" ht="11.65">
      <c r="A51" s="62">
        <v>39783</v>
      </c>
      <c r="B51" s="64">
        <v>-8642</v>
      </c>
      <c r="C51" s="64">
        <v>8130</v>
      </c>
      <c r="D51" s="64">
        <f t="shared" si="0"/>
        <v>-512</v>
      </c>
      <c r="E51" s="83">
        <v>512</v>
      </c>
      <c r="F51" s="55">
        <v>0.77680000000000005</v>
      </c>
      <c r="G51" s="58">
        <v>-1.5800000000000002E-2</v>
      </c>
    </row>
    <row r="52" spans="1:7" ht="11.65">
      <c r="A52" s="62">
        <v>40148</v>
      </c>
      <c r="B52" s="64">
        <v>-20001</v>
      </c>
      <c r="C52" s="64">
        <v>20304</v>
      </c>
      <c r="D52" s="64">
        <f t="shared" si="0"/>
        <v>303</v>
      </c>
      <c r="E52" s="82">
        <v>-302</v>
      </c>
      <c r="F52" s="55">
        <v>0.89610000000000001</v>
      </c>
      <c r="G52" s="58">
        <v>2.3099999999999999E-2</v>
      </c>
    </row>
    <row r="53" spans="1:7" ht="11.65">
      <c r="A53" s="62">
        <v>40513</v>
      </c>
      <c r="B53" s="64">
        <v>-9839</v>
      </c>
      <c r="C53" s="64">
        <v>10016</v>
      </c>
      <c r="D53" s="64">
        <f t="shared" si="0"/>
        <v>177</v>
      </c>
      <c r="E53" s="82">
        <v>-177</v>
      </c>
      <c r="F53" s="55">
        <v>0.6351</v>
      </c>
      <c r="G53" s="58">
        <v>-0.10249999999999999</v>
      </c>
    </row>
    <row r="54" spans="1:7" ht="11.65">
      <c r="A54" s="62">
        <v>40878</v>
      </c>
      <c r="B54" s="64">
        <v>-9283</v>
      </c>
      <c r="C54" s="64">
        <v>8999</v>
      </c>
      <c r="D54" s="64">
        <f t="shared" si="0"/>
        <v>-284</v>
      </c>
      <c r="E54" s="83">
        <v>284</v>
      </c>
      <c r="F54" s="55">
        <v>0.88470000000000004</v>
      </c>
      <c r="G54" s="58">
        <v>-1.4E-2</v>
      </c>
    </row>
    <row r="55" spans="1:7" ht="11.65">
      <c r="A55" s="62">
        <v>41244</v>
      </c>
      <c r="B55" s="64">
        <v>-16280</v>
      </c>
      <c r="C55" s="64">
        <v>16094</v>
      </c>
      <c r="D55" s="64">
        <f t="shared" si="0"/>
        <v>-186</v>
      </c>
      <c r="E55" s="83">
        <v>186</v>
      </c>
      <c r="F55" s="55">
        <v>0.99670000000000003</v>
      </c>
      <c r="G55" s="58">
        <v>-2.4500000000000001E-2</v>
      </c>
    </row>
    <row r="56" spans="1:7" ht="11.65">
      <c r="A56" s="62">
        <v>41334</v>
      </c>
      <c r="B56" s="64">
        <v>-9376</v>
      </c>
      <c r="C56" s="64">
        <v>9348</v>
      </c>
      <c r="D56" s="64">
        <f t="shared" si="0"/>
        <v>-28</v>
      </c>
      <c r="E56" s="83">
        <v>29</v>
      </c>
      <c r="F56" s="55">
        <v>1.0616000000000001</v>
      </c>
      <c r="G56" s="58">
        <v>3.7900000000000003E-2</v>
      </c>
    </row>
    <row r="57" spans="1:7" ht="11.65">
      <c r="A57" s="62"/>
      <c r="B57" s="64"/>
      <c r="C57" s="64"/>
      <c r="D57" s="64">
        <f t="shared" si="0"/>
        <v>0</v>
      </c>
      <c r="E57" s="64"/>
      <c r="F57" s="55">
        <v>1.0424</v>
      </c>
      <c r="G57" s="58">
        <v>3.0000000000000001E-3</v>
      </c>
    </row>
    <row r="58" spans="1:7" ht="11.65">
      <c r="A58" s="70" t="s">
        <v>120</v>
      </c>
      <c r="B58" s="64"/>
      <c r="C58" s="64"/>
      <c r="D58" s="64"/>
      <c r="E58" s="64"/>
    </row>
    <row r="59" spans="1:7" ht="11.65">
      <c r="A59" s="70" t="s">
        <v>119</v>
      </c>
      <c r="B59" s="64"/>
      <c r="D59" s="64"/>
      <c r="E59" s="64"/>
    </row>
    <row r="60" spans="1:7">
      <c r="A60" s="62"/>
      <c r="B60" s="64"/>
      <c r="D60" s="64"/>
      <c r="E60" s="64"/>
    </row>
    <row r="61" spans="1:7">
      <c r="A61" s="93" t="s">
        <v>217</v>
      </c>
      <c r="B61" s="64"/>
      <c r="C61" s="64"/>
      <c r="D61" s="64"/>
      <c r="E61" s="64"/>
    </row>
    <row r="62" spans="1:7">
      <c r="A62" s="62"/>
      <c r="B62" s="64"/>
      <c r="C62" s="68"/>
      <c r="D62" s="64"/>
      <c r="E62" s="64"/>
    </row>
    <row r="63" spans="1:7" ht="12.75">
      <c r="A63" s="152" t="s">
        <v>245</v>
      </c>
      <c r="B63" s="64"/>
      <c r="C63" s="64"/>
      <c r="D63" s="64"/>
      <c r="E63" s="64"/>
    </row>
    <row r="64" spans="1:7">
      <c r="A64" s="62"/>
      <c r="B64" s="64"/>
      <c r="C64" s="64"/>
      <c r="D64" s="64"/>
      <c r="E64" s="64"/>
    </row>
    <row r="65" spans="1:5">
      <c r="A65" s="62"/>
      <c r="B65" s="64"/>
      <c r="C65" s="64"/>
      <c r="D65" s="64"/>
      <c r="E65" s="64"/>
    </row>
    <row r="66" spans="1:5">
      <c r="A66" s="62"/>
      <c r="B66" s="64"/>
      <c r="C66" s="64"/>
      <c r="D66" s="64"/>
      <c r="E66" s="64"/>
    </row>
    <row r="67" spans="1:5">
      <c r="A67" s="62"/>
      <c r="B67" s="64"/>
      <c r="C67" s="64"/>
      <c r="D67" s="64"/>
      <c r="E67" s="64"/>
    </row>
    <row r="68" spans="1:5">
      <c r="A68" s="62"/>
      <c r="B68" s="64"/>
      <c r="C68" s="64"/>
      <c r="D68" s="64"/>
      <c r="E68" s="64"/>
    </row>
    <row r="69" spans="1:5">
      <c r="A69" s="62"/>
      <c r="B69" s="64"/>
      <c r="C69" s="64"/>
      <c r="D69" s="64"/>
      <c r="E69" s="64"/>
    </row>
    <row r="70" spans="1:5">
      <c r="A70" s="62"/>
      <c r="B70" s="64"/>
      <c r="C70" s="64"/>
      <c r="D70" s="64"/>
      <c r="E70" s="64"/>
    </row>
    <row r="71" spans="1:5">
      <c r="A71" s="62"/>
      <c r="B71" s="64"/>
      <c r="C71" s="64"/>
      <c r="D71" s="64"/>
      <c r="E71" s="64"/>
    </row>
    <row r="72" spans="1:5">
      <c r="A72" s="62"/>
      <c r="B72" s="64"/>
      <c r="C72" s="64"/>
      <c r="D72" s="64"/>
      <c r="E72" s="64"/>
    </row>
    <row r="73" spans="1:5">
      <c r="A73" s="62"/>
      <c r="B73" s="64"/>
      <c r="C73" s="64"/>
      <c r="D73" s="64"/>
      <c r="E73" s="64"/>
    </row>
    <row r="74" spans="1:5">
      <c r="A74" s="62"/>
      <c r="B74" s="64"/>
      <c r="C74" s="64"/>
      <c r="D74" s="64"/>
      <c r="E74" s="64"/>
    </row>
    <row r="75" spans="1:5">
      <c r="A75" s="62"/>
      <c r="B75" s="64"/>
      <c r="C75" s="64"/>
      <c r="D75" s="64"/>
      <c r="E75" s="64"/>
    </row>
    <row r="76" spans="1:5">
      <c r="A76" s="62"/>
      <c r="B76" s="64"/>
      <c r="C76" s="64"/>
      <c r="D76" s="64"/>
      <c r="E76" s="64"/>
    </row>
    <row r="77" spans="1:5">
      <c r="A77" s="62"/>
      <c r="B77" s="64"/>
      <c r="C77" s="64"/>
      <c r="D77" s="64"/>
      <c r="E77" s="64"/>
    </row>
    <row r="78" spans="1:5">
      <c r="A78" s="62"/>
      <c r="B78" s="64"/>
      <c r="C78" s="64"/>
      <c r="D78" s="64"/>
      <c r="E78" s="64"/>
    </row>
    <row r="79" spans="1:5">
      <c r="A79" s="62"/>
      <c r="B79" s="64"/>
      <c r="C79" s="64"/>
      <c r="D79" s="64"/>
      <c r="E79" s="64"/>
    </row>
    <row r="80" spans="1:5">
      <c r="A80" s="62"/>
      <c r="B80" s="64"/>
      <c r="C80" s="64"/>
      <c r="D80" s="64"/>
      <c r="E80" s="64"/>
    </row>
    <row r="81" spans="1:5">
      <c r="A81" s="62"/>
      <c r="B81" s="64"/>
      <c r="C81" s="64"/>
      <c r="D81" s="64"/>
      <c r="E81" s="64"/>
    </row>
    <row r="82" spans="1:5">
      <c r="A82" s="62"/>
      <c r="B82" s="64"/>
      <c r="C82" s="64"/>
      <c r="D82" s="64"/>
      <c r="E82" s="64"/>
    </row>
    <row r="83" spans="1:5">
      <c r="A83" s="62"/>
      <c r="B83" s="64"/>
      <c r="C83" s="64"/>
      <c r="D83" s="64"/>
      <c r="E83" s="64"/>
    </row>
    <row r="84" spans="1:5">
      <c r="A84" s="62"/>
      <c r="B84" s="64"/>
      <c r="C84" s="64"/>
      <c r="D84" s="64"/>
      <c r="E84" s="64"/>
    </row>
    <row r="85" spans="1:5">
      <c r="A85" s="62"/>
      <c r="B85" s="64"/>
      <c r="C85" s="64"/>
      <c r="D85" s="64"/>
      <c r="E85" s="64"/>
    </row>
    <row r="86" spans="1:5">
      <c r="A86" s="62"/>
      <c r="B86" s="64"/>
      <c r="C86" s="64"/>
      <c r="D86" s="64"/>
      <c r="E86" s="64"/>
    </row>
    <row r="87" spans="1:5">
      <c r="A87" s="62"/>
      <c r="B87" s="64"/>
      <c r="C87" s="64"/>
      <c r="D87" s="64"/>
      <c r="E87" s="64"/>
    </row>
    <row r="88" spans="1:5">
      <c r="A88" s="62"/>
      <c r="B88" s="64"/>
      <c r="C88" s="64"/>
      <c r="D88" s="64"/>
      <c r="E88" s="64"/>
    </row>
    <row r="89" spans="1:5">
      <c r="A89" s="62"/>
      <c r="B89" s="64"/>
      <c r="C89" s="64"/>
      <c r="D89" s="64"/>
      <c r="E89" s="64"/>
    </row>
    <row r="90" spans="1:5">
      <c r="A90" s="62"/>
      <c r="B90" s="64"/>
      <c r="C90" s="64"/>
      <c r="D90" s="64"/>
      <c r="E90" s="64"/>
    </row>
    <row r="91" spans="1:5">
      <c r="A91" s="62"/>
      <c r="B91" s="64"/>
      <c r="C91" s="64"/>
      <c r="D91" s="64"/>
      <c r="E91" s="64"/>
    </row>
    <row r="92" spans="1:5">
      <c r="A92" s="62"/>
      <c r="B92" s="64"/>
      <c r="C92" s="64"/>
      <c r="D92" s="64"/>
      <c r="E92" s="64"/>
    </row>
    <row r="93" spans="1:5">
      <c r="A93" s="62"/>
      <c r="B93" s="64"/>
      <c r="C93" s="64"/>
      <c r="D93" s="64"/>
      <c r="E93" s="64"/>
    </row>
    <row r="94" spans="1:5">
      <c r="A94" s="62"/>
      <c r="B94" s="64"/>
      <c r="C94" s="64"/>
      <c r="D94" s="64"/>
      <c r="E94" s="64"/>
    </row>
    <row r="95" spans="1:5">
      <c r="A95" s="62"/>
      <c r="B95" s="64"/>
      <c r="C95" s="64"/>
      <c r="D95" s="64"/>
      <c r="E95" s="64"/>
    </row>
    <row r="96" spans="1:5">
      <c r="A96" s="62"/>
      <c r="B96" s="64"/>
      <c r="C96" s="64"/>
      <c r="D96" s="64"/>
      <c r="E96" s="64"/>
    </row>
    <row r="97" spans="1:5">
      <c r="A97" s="62"/>
      <c r="B97" s="64"/>
      <c r="C97" s="64"/>
      <c r="D97" s="64"/>
      <c r="E97" s="64"/>
    </row>
    <row r="98" spans="1:5">
      <c r="A98" s="62"/>
      <c r="B98" s="64"/>
      <c r="C98" s="64"/>
      <c r="D98" s="64"/>
      <c r="E98" s="64"/>
    </row>
    <row r="99" spans="1:5">
      <c r="A99" s="62"/>
      <c r="B99" s="64"/>
      <c r="C99" s="64"/>
      <c r="D99" s="64"/>
      <c r="E99" s="64"/>
    </row>
    <row r="100" spans="1:5">
      <c r="A100" s="62"/>
      <c r="B100" s="64"/>
      <c r="C100" s="64"/>
      <c r="D100" s="64"/>
      <c r="E100" s="64"/>
    </row>
    <row r="101" spans="1:5">
      <c r="A101" s="62"/>
      <c r="B101" s="64"/>
      <c r="C101" s="64"/>
      <c r="D101" s="64"/>
      <c r="E101" s="64"/>
    </row>
    <row r="102" spans="1:5">
      <c r="A102" s="62"/>
      <c r="B102" s="64"/>
      <c r="C102" s="64"/>
      <c r="D102" s="64"/>
      <c r="E102" s="64"/>
    </row>
    <row r="103" spans="1:5">
      <c r="A103" s="62"/>
      <c r="B103" s="64"/>
      <c r="C103" s="64"/>
      <c r="D103" s="64"/>
      <c r="E103" s="64"/>
    </row>
    <row r="104" spans="1:5">
      <c r="A104" s="62"/>
      <c r="B104" s="64"/>
      <c r="C104" s="64"/>
      <c r="D104" s="64"/>
      <c r="E104" s="64"/>
    </row>
    <row r="105" spans="1:5">
      <c r="A105" s="62"/>
      <c r="B105" s="64"/>
      <c r="C105" s="64"/>
      <c r="D105" s="64"/>
      <c r="E105" s="64"/>
    </row>
    <row r="106" spans="1:5">
      <c r="A106" s="62"/>
      <c r="B106" s="64"/>
      <c r="C106" s="64"/>
      <c r="D106" s="64"/>
      <c r="E106" s="64"/>
    </row>
    <row r="107" spans="1:5">
      <c r="A107" s="62"/>
      <c r="B107" s="64"/>
      <c r="C107" s="64"/>
      <c r="D107" s="64"/>
      <c r="E107" s="64"/>
    </row>
    <row r="108" spans="1:5">
      <c r="A108" s="62"/>
      <c r="B108" s="64"/>
      <c r="C108" s="64"/>
      <c r="D108" s="64"/>
      <c r="E108" s="64"/>
    </row>
    <row r="109" spans="1:5">
      <c r="A109" s="62"/>
      <c r="B109" s="64"/>
      <c r="C109" s="64"/>
      <c r="D109" s="64"/>
      <c r="E109" s="64"/>
    </row>
    <row r="110" spans="1:5">
      <c r="A110" s="62"/>
      <c r="B110" s="64"/>
      <c r="C110" s="64"/>
      <c r="D110" s="64"/>
      <c r="E110" s="64"/>
    </row>
    <row r="111" spans="1:5">
      <c r="A111" s="62"/>
      <c r="B111" s="64"/>
      <c r="C111" s="64"/>
      <c r="D111" s="64"/>
      <c r="E111" s="64"/>
    </row>
    <row r="112" spans="1:5">
      <c r="A112" s="62"/>
      <c r="B112" s="64"/>
      <c r="C112" s="64"/>
      <c r="D112" s="64"/>
      <c r="E112" s="64"/>
    </row>
    <row r="113" spans="1:5">
      <c r="A113" s="62"/>
      <c r="B113" s="64"/>
      <c r="C113" s="64"/>
      <c r="D113" s="64"/>
      <c r="E113" s="64"/>
    </row>
    <row r="114" spans="1:5">
      <c r="A114" s="62"/>
      <c r="B114" s="64"/>
      <c r="C114" s="64"/>
      <c r="D114" s="64"/>
      <c r="E114" s="64"/>
    </row>
    <row r="115" spans="1:5">
      <c r="A115" s="62"/>
      <c r="B115" s="64"/>
      <c r="C115" s="64"/>
      <c r="D115" s="64"/>
      <c r="E115" s="64"/>
    </row>
    <row r="116" spans="1:5">
      <c r="A116" s="62"/>
      <c r="B116" s="64"/>
      <c r="C116" s="64"/>
      <c r="D116" s="64"/>
      <c r="E116" s="64"/>
    </row>
    <row r="117" spans="1:5">
      <c r="A117" s="62"/>
      <c r="B117" s="64"/>
      <c r="C117" s="64"/>
      <c r="D117" s="64"/>
      <c r="E117" s="64"/>
    </row>
    <row r="118" spans="1:5">
      <c r="A118" s="62"/>
      <c r="B118" s="64"/>
      <c r="C118" s="64"/>
      <c r="D118" s="64"/>
      <c r="E118" s="64"/>
    </row>
    <row r="119" spans="1:5">
      <c r="A119" s="62"/>
      <c r="B119" s="64"/>
      <c r="C119" s="64"/>
      <c r="D119" s="64"/>
      <c r="E119" s="64"/>
    </row>
    <row r="120" spans="1:5">
      <c r="A120" s="62"/>
      <c r="B120" s="64"/>
      <c r="C120" s="64"/>
      <c r="D120" s="64"/>
      <c r="E120" s="64"/>
    </row>
    <row r="121" spans="1:5">
      <c r="A121" s="62"/>
      <c r="B121" s="64"/>
      <c r="C121" s="64"/>
      <c r="D121" s="64"/>
      <c r="E121" s="64"/>
    </row>
    <row r="122" spans="1:5">
      <c r="A122" s="62"/>
      <c r="B122" s="64"/>
      <c r="C122" s="64"/>
      <c r="D122" s="64"/>
      <c r="E122" s="64"/>
    </row>
    <row r="123" spans="1:5">
      <c r="A123" s="62"/>
      <c r="B123" s="64"/>
      <c r="C123" s="64"/>
      <c r="D123" s="64"/>
      <c r="E123" s="64"/>
    </row>
    <row r="124" spans="1:5">
      <c r="A124" s="62"/>
      <c r="B124" s="64"/>
      <c r="C124" s="64"/>
      <c r="D124" s="64"/>
      <c r="E124" s="64"/>
    </row>
    <row r="125" spans="1:5">
      <c r="A125" s="62"/>
      <c r="B125" s="64"/>
      <c r="C125" s="64"/>
      <c r="D125" s="64"/>
      <c r="E125" s="64"/>
    </row>
    <row r="126" spans="1:5">
      <c r="A126" s="62"/>
      <c r="B126" s="64"/>
      <c r="C126" s="64"/>
      <c r="D126" s="64"/>
      <c r="E126" s="64"/>
    </row>
    <row r="127" spans="1:5">
      <c r="A127" s="62"/>
      <c r="B127" s="64"/>
      <c r="C127" s="64"/>
      <c r="D127" s="64"/>
      <c r="E127" s="64"/>
    </row>
    <row r="128" spans="1:5">
      <c r="A128" s="62"/>
      <c r="B128" s="64"/>
      <c r="C128" s="64"/>
      <c r="D128" s="64"/>
      <c r="E128" s="64"/>
    </row>
    <row r="129" spans="1:5">
      <c r="A129" s="62"/>
      <c r="B129" s="64"/>
      <c r="C129" s="64"/>
      <c r="D129" s="64"/>
      <c r="E129" s="64"/>
    </row>
    <row r="130" spans="1:5">
      <c r="A130" s="62"/>
      <c r="B130" s="64"/>
      <c r="C130" s="64"/>
      <c r="D130" s="64"/>
      <c r="E130" s="64"/>
    </row>
    <row r="131" spans="1:5">
      <c r="A131" s="62"/>
      <c r="B131" s="64"/>
      <c r="C131" s="64"/>
      <c r="D131" s="64"/>
      <c r="E131" s="64"/>
    </row>
    <row r="132" spans="1:5">
      <c r="A132" s="62"/>
      <c r="B132" s="64"/>
      <c r="C132" s="64"/>
      <c r="D132" s="64"/>
      <c r="E132" s="64"/>
    </row>
    <row r="133" spans="1:5">
      <c r="A133" s="62"/>
      <c r="B133" s="64"/>
      <c r="C133" s="64"/>
      <c r="D133" s="64"/>
      <c r="E133" s="64"/>
    </row>
    <row r="134" spans="1:5">
      <c r="A134" s="62"/>
      <c r="B134" s="64"/>
      <c r="C134" s="64"/>
      <c r="D134" s="64"/>
      <c r="E134" s="64"/>
    </row>
    <row r="135" spans="1:5">
      <c r="A135" s="62"/>
      <c r="B135" s="64"/>
      <c r="C135" s="64"/>
      <c r="D135" s="64"/>
      <c r="E135" s="64"/>
    </row>
    <row r="136" spans="1:5">
      <c r="A136" s="62"/>
      <c r="B136" s="64"/>
      <c r="C136" s="64"/>
      <c r="D136" s="64"/>
      <c r="E136" s="64"/>
    </row>
    <row r="137" spans="1:5">
      <c r="A137" s="62"/>
      <c r="B137" s="64"/>
      <c r="C137" s="64"/>
      <c r="D137" s="64"/>
      <c r="E137" s="64"/>
    </row>
    <row r="138" spans="1:5">
      <c r="A138" s="62"/>
      <c r="B138" s="64"/>
      <c r="C138" s="64"/>
      <c r="D138" s="64"/>
      <c r="E138" s="64"/>
    </row>
    <row r="139" spans="1:5">
      <c r="A139" s="62"/>
      <c r="B139" s="64"/>
      <c r="C139" s="64"/>
      <c r="D139" s="64"/>
      <c r="E139" s="64"/>
    </row>
    <row r="140" spans="1:5">
      <c r="A140" s="62"/>
      <c r="B140" s="64"/>
      <c r="C140" s="64"/>
      <c r="D140" s="64"/>
      <c r="E140" s="64"/>
    </row>
    <row r="141" spans="1:5">
      <c r="A141" s="62"/>
      <c r="B141" s="64"/>
      <c r="C141" s="64"/>
      <c r="D141" s="64"/>
      <c r="E141" s="64"/>
    </row>
    <row r="142" spans="1:5">
      <c r="A142" s="62"/>
      <c r="B142" s="64"/>
      <c r="C142" s="64"/>
      <c r="D142" s="64"/>
      <c r="E142" s="64"/>
    </row>
    <row r="143" spans="1:5">
      <c r="A143" s="62"/>
      <c r="B143" s="64"/>
      <c r="C143" s="64"/>
      <c r="D143" s="64"/>
      <c r="E143" s="64"/>
    </row>
    <row r="144" spans="1:5">
      <c r="A144" s="62"/>
      <c r="B144" s="64"/>
      <c r="C144" s="64"/>
      <c r="D144" s="64"/>
      <c r="E144" s="64"/>
    </row>
    <row r="145" spans="1:5">
      <c r="A145" s="62"/>
      <c r="B145" s="64"/>
      <c r="C145" s="64"/>
      <c r="D145" s="64"/>
      <c r="E145" s="64"/>
    </row>
    <row r="146" spans="1:5">
      <c r="A146" s="62"/>
      <c r="B146" s="64"/>
      <c r="C146" s="64"/>
      <c r="D146" s="64"/>
      <c r="E146" s="64"/>
    </row>
    <row r="147" spans="1:5">
      <c r="A147" s="62"/>
      <c r="B147" s="64"/>
      <c r="C147" s="64"/>
      <c r="D147" s="64"/>
      <c r="E147" s="64"/>
    </row>
    <row r="148" spans="1:5">
      <c r="A148" s="62"/>
      <c r="B148" s="64"/>
      <c r="C148" s="64"/>
      <c r="D148" s="64"/>
      <c r="E148" s="64"/>
    </row>
    <row r="149" spans="1:5">
      <c r="A149" s="62"/>
      <c r="B149" s="64"/>
      <c r="C149" s="64"/>
      <c r="D149" s="64"/>
      <c r="E149" s="64"/>
    </row>
    <row r="150" spans="1:5">
      <c r="A150" s="62"/>
      <c r="B150" s="64"/>
      <c r="C150" s="64"/>
      <c r="D150" s="64"/>
      <c r="E150" s="64"/>
    </row>
    <row r="151" spans="1:5">
      <c r="A151" s="62"/>
      <c r="B151" s="64"/>
      <c r="C151" s="64"/>
      <c r="D151" s="64"/>
      <c r="E151" s="64"/>
    </row>
    <row r="152" spans="1:5">
      <c r="A152" s="62"/>
      <c r="B152" s="64"/>
      <c r="C152" s="64"/>
      <c r="D152" s="64"/>
      <c r="E152" s="64"/>
    </row>
    <row r="153" spans="1:5">
      <c r="A153" s="62"/>
      <c r="B153" s="64"/>
      <c r="C153" s="64"/>
      <c r="D153" s="64"/>
      <c r="E153" s="64"/>
    </row>
    <row r="154" spans="1:5">
      <c r="A154" s="62"/>
      <c r="B154" s="64"/>
      <c r="C154" s="64"/>
      <c r="D154" s="64"/>
      <c r="E154" s="64"/>
    </row>
    <row r="155" spans="1:5">
      <c r="A155" s="62"/>
      <c r="B155" s="64"/>
      <c r="C155" s="64"/>
      <c r="D155" s="64"/>
      <c r="E155" s="64"/>
    </row>
    <row r="156" spans="1:5">
      <c r="A156" s="62"/>
      <c r="B156" s="64"/>
      <c r="C156" s="64"/>
      <c r="D156" s="64"/>
      <c r="E156" s="64"/>
    </row>
    <row r="157" spans="1:5">
      <c r="A157" s="62"/>
      <c r="B157" s="64"/>
      <c r="C157" s="64"/>
      <c r="D157" s="64"/>
      <c r="E157" s="64"/>
    </row>
    <row r="158" spans="1:5">
      <c r="A158" s="62"/>
      <c r="B158" s="64"/>
      <c r="C158" s="64"/>
      <c r="D158" s="64"/>
      <c r="E158" s="64"/>
    </row>
    <row r="159" spans="1:5">
      <c r="A159" s="62"/>
      <c r="B159" s="64"/>
      <c r="C159" s="64"/>
      <c r="D159" s="64"/>
      <c r="E159" s="64"/>
    </row>
    <row r="160" spans="1:5">
      <c r="A160" s="62"/>
      <c r="B160" s="64"/>
      <c r="C160" s="64"/>
      <c r="D160" s="64"/>
      <c r="E160" s="64"/>
    </row>
    <row r="161" spans="1:5">
      <c r="A161" s="62"/>
      <c r="B161" s="64"/>
      <c r="C161" s="64"/>
      <c r="D161" s="64"/>
      <c r="E161" s="64"/>
    </row>
    <row r="162" spans="1:5">
      <c r="A162" s="62"/>
      <c r="B162" s="64"/>
      <c r="C162" s="64"/>
      <c r="D162" s="64"/>
      <c r="E162" s="64"/>
    </row>
    <row r="163" spans="1:5">
      <c r="A163" s="62"/>
      <c r="B163" s="64"/>
      <c r="C163" s="64"/>
      <c r="D163" s="64"/>
      <c r="E163" s="64"/>
    </row>
    <row r="164" spans="1:5">
      <c r="A164" s="62"/>
      <c r="B164" s="64"/>
      <c r="C164" s="64"/>
      <c r="D164" s="64"/>
      <c r="E164" s="64"/>
    </row>
    <row r="165" spans="1:5">
      <c r="A165" s="62"/>
      <c r="B165" s="64"/>
      <c r="C165" s="64"/>
      <c r="D165" s="64"/>
      <c r="E165" s="64"/>
    </row>
    <row r="166" spans="1:5">
      <c r="A166" s="62"/>
      <c r="B166" s="64"/>
      <c r="C166" s="64"/>
      <c r="D166" s="64"/>
      <c r="E166" s="64"/>
    </row>
    <row r="167" spans="1:5">
      <c r="A167" s="62"/>
      <c r="B167" s="64"/>
      <c r="C167" s="64"/>
      <c r="D167" s="64"/>
      <c r="E167" s="64"/>
    </row>
    <row r="168" spans="1:5">
      <c r="A168" s="62"/>
      <c r="B168" s="64"/>
      <c r="C168" s="64"/>
      <c r="D168" s="64"/>
      <c r="E168" s="64"/>
    </row>
    <row r="169" spans="1:5">
      <c r="A169" s="62"/>
      <c r="B169" s="64"/>
      <c r="C169" s="64"/>
      <c r="D169" s="64"/>
      <c r="E169" s="64"/>
    </row>
    <row r="170" spans="1:5">
      <c r="A170" s="62"/>
      <c r="B170" s="64"/>
      <c r="C170" s="64"/>
      <c r="D170" s="64"/>
      <c r="E170" s="64"/>
    </row>
    <row r="171" spans="1:5">
      <c r="A171" s="62"/>
      <c r="B171" s="64"/>
      <c r="C171" s="64"/>
      <c r="D171" s="64"/>
      <c r="E171" s="64"/>
    </row>
    <row r="172" spans="1:5">
      <c r="A172" s="62"/>
      <c r="B172" s="64"/>
      <c r="C172" s="64"/>
      <c r="D172" s="64"/>
      <c r="E172" s="64"/>
    </row>
    <row r="173" spans="1:5">
      <c r="A173" s="62"/>
      <c r="B173" s="64"/>
      <c r="C173" s="64"/>
      <c r="D173" s="64"/>
      <c r="E173" s="64"/>
    </row>
    <row r="174" spans="1:5">
      <c r="A174" s="62"/>
      <c r="B174" s="64"/>
      <c r="C174" s="64"/>
      <c r="D174" s="64"/>
      <c r="E174" s="64"/>
    </row>
    <row r="175" spans="1:5">
      <c r="A175" s="62"/>
      <c r="B175" s="64"/>
      <c r="C175" s="64"/>
      <c r="D175" s="64"/>
      <c r="E175" s="64"/>
    </row>
    <row r="176" spans="1:5">
      <c r="A176" s="62"/>
      <c r="B176" s="64"/>
      <c r="C176" s="64"/>
      <c r="D176" s="64"/>
      <c r="E176" s="64"/>
    </row>
    <row r="177" spans="1:5">
      <c r="A177" s="62"/>
      <c r="B177" s="64"/>
      <c r="C177" s="64"/>
      <c r="D177" s="64"/>
      <c r="E177" s="64"/>
    </row>
    <row r="178" spans="1:5">
      <c r="A178" s="62"/>
      <c r="B178" s="64"/>
      <c r="C178" s="64"/>
      <c r="D178" s="64"/>
      <c r="E178" s="64"/>
    </row>
    <row r="179" spans="1:5">
      <c r="A179" s="62"/>
      <c r="B179" s="64"/>
      <c r="C179" s="64"/>
      <c r="D179" s="64"/>
      <c r="E179" s="64"/>
    </row>
    <row r="180" spans="1:5">
      <c r="A180" s="62"/>
      <c r="B180" s="64"/>
      <c r="C180" s="64"/>
      <c r="D180" s="64"/>
      <c r="E180" s="64"/>
    </row>
    <row r="181" spans="1:5">
      <c r="A181" s="62"/>
      <c r="B181" s="64"/>
      <c r="C181" s="64"/>
      <c r="D181" s="64"/>
      <c r="E181" s="64"/>
    </row>
    <row r="182" spans="1:5">
      <c r="A182" s="62"/>
      <c r="B182" s="64"/>
      <c r="C182" s="64"/>
      <c r="D182" s="64"/>
      <c r="E182" s="64"/>
    </row>
    <row r="183" spans="1:5">
      <c r="A183" s="62"/>
      <c r="B183" s="64"/>
      <c r="C183" s="64"/>
      <c r="D183" s="64"/>
      <c r="E183" s="64"/>
    </row>
    <row r="184" spans="1:5">
      <c r="A184" s="62"/>
      <c r="B184" s="64"/>
      <c r="C184" s="64"/>
      <c r="D184" s="64"/>
      <c r="E184" s="64"/>
    </row>
    <row r="185" spans="1:5">
      <c r="A185" s="62"/>
      <c r="B185" s="64"/>
      <c r="C185" s="64"/>
      <c r="D185" s="64"/>
      <c r="E185" s="64"/>
    </row>
    <row r="186" spans="1:5">
      <c r="A186" s="62"/>
      <c r="B186" s="64"/>
      <c r="C186" s="64"/>
      <c r="D186" s="64"/>
      <c r="E186" s="64"/>
    </row>
    <row r="187" spans="1:5">
      <c r="A187" s="62"/>
      <c r="B187" s="64"/>
      <c r="C187" s="64"/>
      <c r="D187" s="64"/>
      <c r="E187" s="64"/>
    </row>
    <row r="188" spans="1:5">
      <c r="A188" s="62"/>
      <c r="B188" s="64"/>
      <c r="C188" s="64"/>
      <c r="D188" s="64"/>
      <c r="E188" s="64"/>
    </row>
    <row r="189" spans="1:5">
      <c r="A189" s="62"/>
      <c r="B189" s="64"/>
      <c r="C189" s="64"/>
      <c r="D189" s="64"/>
      <c r="E189" s="64"/>
    </row>
    <row r="190" spans="1:5">
      <c r="A190" s="62"/>
      <c r="B190" s="64"/>
      <c r="C190" s="64"/>
      <c r="D190" s="64"/>
      <c r="E190" s="64"/>
    </row>
    <row r="191" spans="1:5">
      <c r="A191" s="62"/>
      <c r="B191" s="64"/>
      <c r="C191" s="64"/>
      <c r="D191" s="64"/>
      <c r="E191" s="64"/>
    </row>
    <row r="192" spans="1:5">
      <c r="A192" s="62"/>
      <c r="B192" s="64"/>
      <c r="C192" s="64"/>
      <c r="D192" s="64"/>
      <c r="E192" s="64"/>
    </row>
    <row r="193" spans="1:5">
      <c r="A193" s="62"/>
      <c r="B193" s="64"/>
      <c r="C193" s="64"/>
      <c r="D193" s="64"/>
      <c r="E193" s="64"/>
    </row>
    <row r="194" spans="1:5">
      <c r="A194" s="62"/>
      <c r="B194" s="64"/>
      <c r="C194" s="64"/>
      <c r="D194" s="64"/>
      <c r="E194" s="64"/>
    </row>
    <row r="195" spans="1:5">
      <c r="A195" s="62"/>
      <c r="B195" s="64"/>
      <c r="C195" s="64"/>
      <c r="D195" s="64"/>
      <c r="E195" s="64"/>
    </row>
    <row r="196" spans="1:5">
      <c r="A196" s="62"/>
      <c r="B196" s="64"/>
      <c r="C196" s="64"/>
      <c r="D196" s="64"/>
      <c r="E196" s="64"/>
    </row>
    <row r="197" spans="1:5">
      <c r="A197" s="62"/>
      <c r="B197" s="64"/>
      <c r="C197" s="64"/>
      <c r="D197" s="64"/>
      <c r="E197" s="64"/>
    </row>
    <row r="198" spans="1:5">
      <c r="A198" s="62"/>
      <c r="B198" s="64"/>
      <c r="C198" s="64"/>
      <c r="D198" s="64"/>
      <c r="E198" s="64"/>
    </row>
    <row r="199" spans="1:5">
      <c r="A199" s="62"/>
      <c r="B199" s="64"/>
      <c r="C199" s="64"/>
      <c r="D199" s="64"/>
      <c r="E199" s="64"/>
    </row>
    <row r="200" spans="1:5">
      <c r="A200" s="62"/>
      <c r="B200" s="64"/>
      <c r="C200" s="64"/>
      <c r="D200" s="64"/>
      <c r="E200" s="64"/>
    </row>
    <row r="201" spans="1:5">
      <c r="A201" s="62"/>
      <c r="B201" s="64"/>
      <c r="C201" s="64"/>
      <c r="D201" s="64"/>
      <c r="E201" s="64"/>
    </row>
    <row r="202" spans="1:5">
      <c r="A202" s="62"/>
      <c r="B202" s="64"/>
      <c r="C202" s="64"/>
      <c r="D202" s="64"/>
      <c r="E202" s="64"/>
    </row>
    <row r="203" spans="1:5">
      <c r="A203" s="62"/>
      <c r="B203" s="64"/>
      <c r="C203" s="64"/>
      <c r="D203" s="64"/>
      <c r="E203" s="64"/>
    </row>
    <row r="204" spans="1:5">
      <c r="A204" s="62"/>
      <c r="B204" s="64"/>
      <c r="C204" s="64"/>
      <c r="D204" s="64"/>
      <c r="E204" s="64"/>
    </row>
    <row r="205" spans="1:5">
      <c r="A205" s="62"/>
      <c r="B205" s="64"/>
      <c r="C205" s="64"/>
      <c r="D205" s="64"/>
      <c r="E205" s="64"/>
    </row>
    <row r="206" spans="1:5">
      <c r="A206" s="62"/>
      <c r="B206" s="64"/>
      <c r="C206" s="64"/>
      <c r="D206" s="64"/>
      <c r="E206" s="64"/>
    </row>
    <row r="207" spans="1:5">
      <c r="A207" s="62"/>
      <c r="B207" s="64"/>
      <c r="C207" s="64"/>
      <c r="D207" s="64"/>
      <c r="E207" s="64"/>
    </row>
    <row r="208" spans="1:5">
      <c r="A208" s="62"/>
      <c r="B208" s="64"/>
      <c r="C208" s="64"/>
      <c r="D208" s="64"/>
      <c r="E208" s="64"/>
    </row>
    <row r="209" spans="1:5">
      <c r="A209" s="62"/>
      <c r="B209" s="64"/>
      <c r="C209" s="64"/>
      <c r="D209" s="64"/>
      <c r="E209" s="64"/>
    </row>
    <row r="210" spans="1:5">
      <c r="A210" s="62"/>
      <c r="B210" s="64"/>
      <c r="C210" s="64"/>
      <c r="D210" s="64"/>
      <c r="E210" s="64"/>
    </row>
    <row r="211" spans="1:5">
      <c r="A211" s="62"/>
      <c r="B211" s="64"/>
      <c r="C211" s="64"/>
      <c r="D211" s="64"/>
      <c r="E211" s="64"/>
    </row>
    <row r="212" spans="1:5">
      <c r="A212" s="62"/>
      <c r="B212" s="64"/>
      <c r="C212" s="64"/>
      <c r="D212" s="64"/>
      <c r="E212" s="64"/>
    </row>
    <row r="213" spans="1:5">
      <c r="A213" s="62"/>
      <c r="B213" s="64"/>
      <c r="C213" s="64"/>
      <c r="D213" s="64"/>
      <c r="E213" s="64"/>
    </row>
    <row r="214" spans="1:5">
      <c r="A214" s="62"/>
      <c r="B214" s="64"/>
      <c r="C214" s="64"/>
      <c r="D214" s="64"/>
      <c r="E214" s="64"/>
    </row>
    <row r="215" spans="1:5">
      <c r="A215" s="62"/>
      <c r="B215" s="64"/>
      <c r="C215" s="64"/>
      <c r="D215" s="64"/>
      <c r="E215" s="64"/>
    </row>
    <row r="216" spans="1:5">
      <c r="A216" s="62"/>
      <c r="B216" s="64"/>
      <c r="C216" s="64"/>
      <c r="D216" s="64"/>
      <c r="E216" s="64"/>
    </row>
    <row r="217" spans="1:5">
      <c r="A217" s="62"/>
      <c r="B217" s="64"/>
      <c r="C217" s="64"/>
      <c r="D217" s="64"/>
      <c r="E217" s="64"/>
    </row>
    <row r="218" spans="1:5">
      <c r="A218" s="62"/>
      <c r="B218" s="64"/>
      <c r="C218" s="64"/>
      <c r="D218" s="64"/>
      <c r="E218" s="64"/>
    </row>
    <row r="219" spans="1:5">
      <c r="A219" s="62"/>
      <c r="B219" s="64"/>
      <c r="C219" s="64"/>
      <c r="D219" s="64"/>
      <c r="E219" s="64"/>
    </row>
    <row r="220" spans="1:5">
      <c r="A220" s="62"/>
      <c r="B220" s="64"/>
      <c r="C220" s="64"/>
      <c r="D220" s="64"/>
      <c r="E220" s="64"/>
    </row>
    <row r="221" spans="1:5">
      <c r="A221" s="62"/>
      <c r="B221" s="64"/>
      <c r="C221" s="64"/>
      <c r="D221" s="64"/>
      <c r="E221" s="64"/>
    </row>
    <row r="222" spans="1:5">
      <c r="A222" s="62"/>
      <c r="B222" s="64"/>
      <c r="C222" s="64"/>
      <c r="D222" s="64"/>
      <c r="E222" s="64"/>
    </row>
    <row r="223" spans="1:5">
      <c r="A223" s="62"/>
      <c r="B223" s="64"/>
      <c r="C223" s="64"/>
      <c r="D223" s="64"/>
      <c r="E223" s="64"/>
    </row>
    <row r="224" spans="1:5">
      <c r="A224" s="62"/>
      <c r="B224" s="64"/>
      <c r="C224" s="64"/>
      <c r="D224" s="64"/>
      <c r="E224" s="64"/>
    </row>
    <row r="225" spans="1:5">
      <c r="A225" s="62"/>
      <c r="B225" s="64"/>
      <c r="C225" s="64"/>
      <c r="D225" s="64"/>
      <c r="E225" s="64"/>
    </row>
  </sheetData>
  <hyperlinks>
    <hyperlink ref="A63" r:id="rId1" xr:uid="{0EE521FA-0C25-4818-95BD-EF24C7A5B4F8}"/>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38D0B-02DC-49B6-A690-55132FFA95E6}">
  <dimension ref="A1:AZ256"/>
  <sheetViews>
    <sheetView topLeftCell="A58" zoomScale="90" zoomScaleNormal="90" workbookViewId="0">
      <selection activeCell="E55" sqref="E55"/>
    </sheetView>
  </sheetViews>
  <sheetFormatPr defaultColWidth="9.1328125" defaultRowHeight="13.15"/>
  <cols>
    <col min="1" max="1" width="10.86328125" style="85" customWidth="1"/>
    <col min="2" max="2" width="28.1328125" style="85" customWidth="1"/>
    <col min="3" max="3" width="31.46484375" style="85" customWidth="1"/>
    <col min="4" max="4" width="18.86328125" style="92" customWidth="1"/>
    <col min="5" max="52" width="12.6640625" style="85" customWidth="1"/>
    <col min="53" max="16384" width="9.1328125" style="86"/>
  </cols>
  <sheetData>
    <row r="1" spans="1:6" ht="14.25">
      <c r="A1" s="84" t="s">
        <v>0</v>
      </c>
      <c r="B1" s="84" t="s">
        <v>116</v>
      </c>
      <c r="C1" s="84" t="s">
        <v>121</v>
      </c>
      <c r="D1" s="90" t="s">
        <v>122</v>
      </c>
      <c r="E1" s="69" t="s">
        <v>246</v>
      </c>
      <c r="F1" s="69" t="s">
        <v>90</v>
      </c>
    </row>
    <row r="2" spans="1:6">
      <c r="A2" s="84">
        <v>1960</v>
      </c>
      <c r="B2" s="85">
        <v>-1019</v>
      </c>
      <c r="C2" s="87">
        <v>11</v>
      </c>
      <c r="D2" s="91">
        <f>C2/B2</f>
        <v>-1.0794896957801767E-2</v>
      </c>
    </row>
    <row r="3" spans="1:6">
      <c r="A3" s="84">
        <v>1961</v>
      </c>
      <c r="B3" s="85">
        <v>-989</v>
      </c>
      <c r="C3" s="87">
        <v>-101</v>
      </c>
      <c r="D3" s="91">
        <f t="shared" ref="D3:D55" si="0">C3/B3</f>
        <v>0.10212335692618807</v>
      </c>
    </row>
    <row r="4" spans="1:6">
      <c r="A4" s="84">
        <v>1962</v>
      </c>
      <c r="B4" s="85">
        <v>-1124</v>
      </c>
      <c r="C4" s="87">
        <v>-28</v>
      </c>
      <c r="D4" s="91">
        <f t="shared" si="0"/>
        <v>2.491103202846975E-2</v>
      </c>
    </row>
    <row r="5" spans="1:6">
      <c r="A5" s="84">
        <v>1963</v>
      </c>
      <c r="B5" s="85">
        <v>-360</v>
      </c>
      <c r="C5" s="87">
        <v>-10</v>
      </c>
      <c r="D5" s="91">
        <f t="shared" si="0"/>
        <v>2.7777777777777776E-2</v>
      </c>
    </row>
    <row r="6" spans="1:6">
      <c r="A6" s="84">
        <v>1964</v>
      </c>
      <c r="B6" s="85">
        <v>-907</v>
      </c>
      <c r="C6" s="87">
        <v>12</v>
      </c>
      <c r="D6" s="91">
        <f t="shared" si="0"/>
        <v>-1.3230429988974642E-2</v>
      </c>
    </row>
    <row r="7" spans="1:6">
      <c r="A7" s="84">
        <v>1965</v>
      </c>
      <c r="B7" s="85">
        <v>-457</v>
      </c>
      <c r="C7" s="87">
        <v>22</v>
      </c>
      <c r="D7" s="91">
        <f t="shared" si="0"/>
        <v>-4.8140043763676151E-2</v>
      </c>
    </row>
    <row r="8" spans="1:6">
      <c r="A8" s="84">
        <v>1966</v>
      </c>
      <c r="B8" s="85">
        <v>629</v>
      </c>
      <c r="C8" s="87">
        <v>-47</v>
      </c>
      <c r="D8" s="91">
        <f t="shared" si="0"/>
        <v>-7.472178060413355E-2</v>
      </c>
    </row>
    <row r="9" spans="1:6">
      <c r="A9" s="84">
        <v>1967</v>
      </c>
      <c r="B9" s="85">
        <v>-205</v>
      </c>
      <c r="C9" s="87">
        <v>-106</v>
      </c>
      <c r="D9" s="91">
        <f t="shared" si="0"/>
        <v>0.51707317073170733</v>
      </c>
    </row>
    <row r="10" spans="1:6">
      <c r="A10" s="84">
        <v>1968</v>
      </c>
      <c r="B10" s="85">
        <v>438</v>
      </c>
      <c r="C10" s="87">
        <v>-20</v>
      </c>
      <c r="D10" s="91">
        <f t="shared" si="0"/>
        <v>-4.5662100456621002E-2</v>
      </c>
    </row>
    <row r="11" spans="1:6">
      <c r="A11" s="84">
        <v>1969</v>
      </c>
      <c r="B11" s="85">
        <v>-1516</v>
      </c>
      <c r="C11" s="87">
        <v>-18</v>
      </c>
      <c r="D11" s="91">
        <f t="shared" si="0"/>
        <v>1.1873350923482849E-2</v>
      </c>
    </row>
    <row r="12" spans="1:6">
      <c r="A12" s="84">
        <v>1970</v>
      </c>
      <c r="B12" s="85">
        <v>-219</v>
      </c>
      <c r="C12" s="87">
        <v>-20</v>
      </c>
      <c r="D12" s="91">
        <f t="shared" si="0"/>
        <v>9.1324200913242004E-2</v>
      </c>
    </row>
    <row r="13" spans="1:6">
      <c r="A13" s="84">
        <v>1971</v>
      </c>
      <c r="B13" s="85">
        <v>-9779</v>
      </c>
      <c r="C13" s="87">
        <v>97</v>
      </c>
      <c r="D13" s="91">
        <f t="shared" si="0"/>
        <v>-9.9192146436240924E-3</v>
      </c>
    </row>
    <row r="14" spans="1:6">
      <c r="A14" s="84">
        <v>1972</v>
      </c>
      <c r="B14" s="85">
        <v>-1879</v>
      </c>
      <c r="C14" s="87">
        <v>124</v>
      </c>
      <c r="D14" s="91">
        <f t="shared" si="0"/>
        <v>-6.5992549228312936E-2</v>
      </c>
    </row>
    <row r="15" spans="1:6">
      <c r="A15" s="84">
        <v>1973</v>
      </c>
      <c r="B15" s="85">
        <v>-2654</v>
      </c>
      <c r="C15" s="87">
        <v>-40</v>
      </c>
      <c r="D15" s="91">
        <f t="shared" si="0"/>
        <v>1.5071590052750565E-2</v>
      </c>
    </row>
    <row r="16" spans="1:6">
      <c r="A16" s="84">
        <v>1974</v>
      </c>
      <c r="B16" s="85">
        <v>-2444</v>
      </c>
      <c r="C16" s="87">
        <v>101</v>
      </c>
      <c r="D16" s="91">
        <f t="shared" si="0"/>
        <v>-4.1325695581014732E-2</v>
      </c>
    </row>
    <row r="17" spans="1:6">
      <c r="A17" s="84">
        <v>1975</v>
      </c>
      <c r="B17" s="85">
        <v>4717</v>
      </c>
      <c r="C17" s="87">
        <v>-205</v>
      </c>
      <c r="D17" s="91">
        <f t="shared" si="0"/>
        <v>-4.345982616069536E-2</v>
      </c>
    </row>
    <row r="18" spans="1:6">
      <c r="A18" s="84">
        <v>1976</v>
      </c>
      <c r="B18" s="85">
        <v>9134</v>
      </c>
      <c r="C18" s="87">
        <v>-311</v>
      </c>
      <c r="D18" s="91">
        <f t="shared" si="0"/>
        <v>-3.4048609590540839E-2</v>
      </c>
    </row>
    <row r="19" spans="1:6">
      <c r="A19" s="84">
        <v>1977</v>
      </c>
      <c r="B19" s="85">
        <v>-3650</v>
      </c>
      <c r="C19" s="87">
        <v>-388</v>
      </c>
      <c r="D19" s="91">
        <f t="shared" si="0"/>
        <v>0.10630136986301369</v>
      </c>
    </row>
    <row r="20" spans="1:6">
      <c r="A20" s="84">
        <v>1978</v>
      </c>
      <c r="B20" s="85">
        <v>9997</v>
      </c>
      <c r="C20" s="87">
        <v>-65</v>
      </c>
      <c r="D20" s="91">
        <f t="shared" si="0"/>
        <v>-6.5019505851755524E-3</v>
      </c>
    </row>
    <row r="21" spans="1:6">
      <c r="A21" s="84">
        <v>1979</v>
      </c>
      <c r="B21" s="85">
        <v>25647</v>
      </c>
      <c r="C21" s="87">
        <v>-132</v>
      </c>
      <c r="D21" s="91">
        <f t="shared" si="0"/>
        <v>-5.1468007954146681E-3</v>
      </c>
    </row>
    <row r="22" spans="1:6">
      <c r="A22" s="84">
        <v>1980</v>
      </c>
      <c r="B22" s="85">
        <v>22613</v>
      </c>
      <c r="C22" s="87">
        <v>236</v>
      </c>
      <c r="D22" s="91">
        <f t="shared" si="0"/>
        <v>1.0436474594259939E-2</v>
      </c>
      <c r="E22" s="55">
        <v>1.1326000000000001</v>
      </c>
      <c r="F22" s="58">
        <v>-1.5100000000000001E-2</v>
      </c>
    </row>
    <row r="23" spans="1:6">
      <c r="A23" s="84">
        <v>1981</v>
      </c>
      <c r="B23" s="85">
        <v>23433</v>
      </c>
      <c r="C23" s="87">
        <v>-647</v>
      </c>
      <c r="D23" s="91">
        <f t="shared" si="0"/>
        <v>-2.7610634575171766E-2</v>
      </c>
      <c r="E23" s="55">
        <v>1.1071</v>
      </c>
      <c r="F23" s="58">
        <v>5.0000000000000001E-4</v>
      </c>
    </row>
    <row r="24" spans="1:6">
      <c r="A24" s="84">
        <v>1982</v>
      </c>
      <c r="B24" s="85">
        <v>38362</v>
      </c>
      <c r="C24" s="87">
        <v>125</v>
      </c>
      <c r="D24" s="91">
        <f t="shared" si="0"/>
        <v>3.2584328241488975E-3</v>
      </c>
      <c r="E24" s="55">
        <v>1.1684000000000001</v>
      </c>
      <c r="F24" s="58">
        <v>-1.0800000000000001E-2</v>
      </c>
    </row>
    <row r="25" spans="1:6">
      <c r="A25" s="84">
        <v>1983</v>
      </c>
      <c r="B25" s="85">
        <v>17666</v>
      </c>
      <c r="C25" s="87">
        <v>538</v>
      </c>
      <c r="D25" s="91">
        <f t="shared" si="0"/>
        <v>3.0453979395448885E-2</v>
      </c>
      <c r="E25" s="55">
        <v>1.099</v>
      </c>
      <c r="F25" s="58">
        <v>-2.5399999999999999E-2</v>
      </c>
    </row>
    <row r="26" spans="1:6">
      <c r="A26" s="84">
        <v>1984</v>
      </c>
      <c r="B26" s="85">
        <v>18672</v>
      </c>
      <c r="C26" s="87">
        <v>614</v>
      </c>
      <c r="D26" s="91">
        <f t="shared" si="0"/>
        <v>3.2883461868037707E-2</v>
      </c>
      <c r="E26" s="55">
        <v>0.9677</v>
      </c>
      <c r="F26" s="58">
        <v>-1.26E-2</v>
      </c>
    </row>
    <row r="27" spans="1:6">
      <c r="A27" s="84">
        <v>1985</v>
      </c>
      <c r="B27" s="85">
        <v>18677</v>
      </c>
      <c r="C27" s="87">
        <v>31</v>
      </c>
      <c r="D27" s="91">
        <f t="shared" si="0"/>
        <v>1.6597954703646196E-3</v>
      </c>
      <c r="E27" s="55">
        <v>0.91720000000000002</v>
      </c>
      <c r="F27" s="58">
        <v>2.3099999999999999E-2</v>
      </c>
    </row>
    <row r="28" spans="1:6">
      <c r="A28" s="84">
        <v>1986</v>
      </c>
      <c r="B28" s="85">
        <v>30570</v>
      </c>
      <c r="C28" s="87">
        <v>-59</v>
      </c>
      <c r="D28" s="91">
        <f t="shared" si="0"/>
        <v>-1.9299967288191036E-3</v>
      </c>
      <c r="E28" s="55">
        <v>0.81379999999999997</v>
      </c>
      <c r="F28" s="58">
        <v>-1.3599999999999999E-2</v>
      </c>
    </row>
    <row r="29" spans="1:6">
      <c r="A29" s="84">
        <v>1987</v>
      </c>
      <c r="B29" s="85">
        <v>-7149</v>
      </c>
      <c r="C29" s="87">
        <v>-819</v>
      </c>
      <c r="D29" s="91">
        <f t="shared" si="0"/>
        <v>0.11456147712966848</v>
      </c>
      <c r="E29" s="55">
        <v>0.71379999999999999</v>
      </c>
      <c r="F29" s="58">
        <v>4.6899999999999997E-2</v>
      </c>
    </row>
    <row r="30" spans="1:6">
      <c r="A30" s="84">
        <v>1988</v>
      </c>
      <c r="B30" s="85">
        <v>-17107</v>
      </c>
      <c r="C30" s="87">
        <v>461</v>
      </c>
      <c r="D30" s="91">
        <f t="shared" si="0"/>
        <v>-2.6948032968960076E-2</v>
      </c>
      <c r="E30" s="55">
        <v>0.65900000000000003</v>
      </c>
      <c r="F30" s="58">
        <v>-9.4999999999999998E-3</v>
      </c>
    </row>
    <row r="31" spans="1:6">
      <c r="A31" s="84">
        <v>1989</v>
      </c>
      <c r="B31" s="85">
        <v>52299</v>
      </c>
      <c r="C31" s="87">
        <v>511</v>
      </c>
      <c r="D31" s="91">
        <f t="shared" si="0"/>
        <v>9.7707413143654758E-3</v>
      </c>
      <c r="E31" s="55">
        <v>0.70669999999999999</v>
      </c>
      <c r="F31" s="58">
        <v>-2.1299999999999999E-2</v>
      </c>
    </row>
    <row r="32" spans="1:6">
      <c r="A32" s="84">
        <v>1990</v>
      </c>
      <c r="B32" s="85">
        <v>28066</v>
      </c>
      <c r="C32" s="87">
        <v>-125</v>
      </c>
      <c r="D32" s="91">
        <f t="shared" si="0"/>
        <v>-4.4537875008907575E-3</v>
      </c>
      <c r="E32" s="55">
        <v>0.88660000000000005</v>
      </c>
      <c r="F32" s="58">
        <v>3.8899999999999997E-2</v>
      </c>
    </row>
    <row r="33" spans="1:6">
      <c r="A33" s="84">
        <v>1991</v>
      </c>
      <c r="B33" s="85">
        <v>-41601</v>
      </c>
      <c r="C33" s="87">
        <v>-457</v>
      </c>
      <c r="D33" s="91">
        <f t="shared" si="0"/>
        <v>1.0985312853056418E-2</v>
      </c>
      <c r="E33" s="55">
        <v>0.7712</v>
      </c>
      <c r="F33" s="58">
        <v>-2.1899999999999999E-2</v>
      </c>
    </row>
    <row r="34" spans="1:6">
      <c r="A34" s="84">
        <v>1992</v>
      </c>
      <c r="B34" s="85">
        <v>-43775</v>
      </c>
      <c r="C34" s="87">
        <v>422</v>
      </c>
      <c r="D34" s="91">
        <f t="shared" si="0"/>
        <v>-9.6402055968018274E-3</v>
      </c>
      <c r="E34" s="55">
        <v>0.78249999999999997</v>
      </c>
      <c r="F34" s="58">
        <v>1.23E-2</v>
      </c>
    </row>
    <row r="35" spans="1:6">
      <c r="A35" s="84">
        <v>1993</v>
      </c>
      <c r="B35" s="85">
        <v>6314</v>
      </c>
      <c r="C35" s="87">
        <v>-469</v>
      </c>
      <c r="D35" s="91">
        <f t="shared" si="0"/>
        <v>-7.4279379157427938E-2</v>
      </c>
      <c r="E35" s="55">
        <v>0.75070000000000003</v>
      </c>
      <c r="F35" s="58">
        <v>-1.17E-2</v>
      </c>
    </row>
    <row r="36" spans="1:6">
      <c r="A36" s="84">
        <v>1994</v>
      </c>
      <c r="B36" s="85">
        <v>-1514</v>
      </c>
      <c r="C36" s="87">
        <v>-195</v>
      </c>
      <c r="D36" s="91">
        <f t="shared" si="0"/>
        <v>0.12879788639365919</v>
      </c>
      <c r="E36" s="55">
        <v>0.67849999999999999</v>
      </c>
      <c r="F36" s="58">
        <v>-1.6E-2</v>
      </c>
    </row>
    <row r="37" spans="1:6">
      <c r="A37" s="84">
        <v>1995</v>
      </c>
      <c r="B37" s="85">
        <v>30951</v>
      </c>
      <c r="C37" s="87">
        <v>728</v>
      </c>
      <c r="D37" s="91">
        <f t="shared" si="0"/>
        <v>2.3521049400665569E-2</v>
      </c>
      <c r="E37" s="55">
        <v>0.70899999999999996</v>
      </c>
      <c r="F37" s="58">
        <v>4.3700000000000003E-2</v>
      </c>
    </row>
    <row r="38" spans="1:6">
      <c r="A38" s="84">
        <v>1996</v>
      </c>
      <c r="B38" s="85">
        <v>-9705</v>
      </c>
      <c r="C38" s="88">
        <v>-380</v>
      </c>
      <c r="D38" s="91">
        <f t="shared" si="0"/>
        <v>3.915507470376095E-2</v>
      </c>
      <c r="E38" s="55">
        <v>0.75680000000000003</v>
      </c>
      <c r="F38" s="58">
        <v>-2.4500000000000001E-2</v>
      </c>
    </row>
    <row r="39" spans="1:6">
      <c r="A39" s="84">
        <v>1997</v>
      </c>
      <c r="B39" s="85">
        <v>-77995</v>
      </c>
      <c r="C39" s="88">
        <v>-336</v>
      </c>
      <c r="D39" s="91">
        <f t="shared" si="0"/>
        <v>4.3079684595166354E-3</v>
      </c>
      <c r="E39" s="55">
        <v>0.74650000000000005</v>
      </c>
      <c r="F39" s="58">
        <v>3.2000000000000002E-3</v>
      </c>
    </row>
    <row r="40" spans="1:6">
      <c r="A40" s="84">
        <v>1998</v>
      </c>
      <c r="B40" s="85">
        <v>148105</v>
      </c>
      <c r="C40" s="88">
        <v>-281</v>
      </c>
      <c r="D40" s="91">
        <f t="shared" si="0"/>
        <v>-1.8973025893791566E-3</v>
      </c>
      <c r="E40" s="55">
        <v>0.76229999999999998</v>
      </c>
      <c r="F40" s="58">
        <v>-4.1000000000000002E-2</v>
      </c>
    </row>
    <row r="41" spans="1:6">
      <c r="A41" s="84">
        <v>1999</v>
      </c>
      <c r="B41" s="85">
        <v>66806</v>
      </c>
      <c r="C41" s="89">
        <v>7</v>
      </c>
      <c r="D41" s="91">
        <f t="shared" si="0"/>
        <v>1.0478100769391971E-4</v>
      </c>
      <c r="E41" s="55">
        <v>0.68300000000000005</v>
      </c>
      <c r="F41" s="58">
        <v>4.8000000000000001E-2</v>
      </c>
    </row>
    <row r="42" spans="1:6">
      <c r="A42" s="84">
        <v>2000</v>
      </c>
      <c r="B42" s="85">
        <v>-61382</v>
      </c>
      <c r="C42" s="89">
        <v>152</v>
      </c>
      <c r="D42" s="91">
        <f t="shared" si="0"/>
        <v>-2.4762959825355966E-3</v>
      </c>
      <c r="E42" s="55">
        <v>0.63049999999999995</v>
      </c>
      <c r="F42" s="58">
        <v>3.09E-2</v>
      </c>
    </row>
    <row r="43" spans="1:6">
      <c r="A43" s="84">
        <v>2001</v>
      </c>
      <c r="B43" s="85">
        <v>-16755</v>
      </c>
      <c r="C43" s="88">
        <v>-438</v>
      </c>
      <c r="D43" s="91">
        <f t="shared" si="0"/>
        <v>2.6141450313339303E-2</v>
      </c>
      <c r="E43" s="55">
        <v>0.63729999999999998</v>
      </c>
      <c r="F43" s="58">
        <v>-3.0700000000000002E-2</v>
      </c>
    </row>
    <row r="44" spans="1:6">
      <c r="A44" s="84">
        <v>2002</v>
      </c>
      <c r="B44" s="85">
        <v>-42574</v>
      </c>
      <c r="C44" s="89">
        <v>150</v>
      </c>
      <c r="D44" s="91">
        <f t="shared" si="0"/>
        <v>-3.5232771174895476E-3</v>
      </c>
      <c r="E44" s="55">
        <v>0.55000000000000004</v>
      </c>
      <c r="F44" s="58">
        <v>-1.61E-2</v>
      </c>
    </row>
    <row r="45" spans="1:6">
      <c r="A45" s="84">
        <v>2003</v>
      </c>
      <c r="B45" s="85">
        <v>-12401</v>
      </c>
      <c r="C45" s="88">
        <v>-427</v>
      </c>
      <c r="D45" s="91">
        <f t="shared" si="0"/>
        <v>3.4432707039754859E-2</v>
      </c>
      <c r="E45" s="55">
        <v>0.50800000000000001</v>
      </c>
      <c r="F45" s="58">
        <v>-2E-3</v>
      </c>
    </row>
    <row r="46" spans="1:6">
      <c r="A46" s="84">
        <v>2004</v>
      </c>
      <c r="B46" s="85">
        <v>93947</v>
      </c>
      <c r="C46" s="88">
        <v>-317</v>
      </c>
      <c r="D46" s="91">
        <f t="shared" si="0"/>
        <v>-3.3742429242019437E-3</v>
      </c>
      <c r="E46" s="55">
        <v>0.58720000000000006</v>
      </c>
      <c r="F46" s="58">
        <v>4.5999999999999999E-2</v>
      </c>
    </row>
    <row r="47" spans="1:6">
      <c r="A47" s="84">
        <v>2005</v>
      </c>
      <c r="B47" s="85">
        <v>25964</v>
      </c>
      <c r="C47" s="88">
        <v>-281</v>
      </c>
      <c r="D47" s="91">
        <f t="shared" si="0"/>
        <v>-1.0822677553535665E-2</v>
      </c>
      <c r="E47" s="55">
        <v>0.76419999999999999</v>
      </c>
      <c r="F47" s="58">
        <v>1.54E-2</v>
      </c>
    </row>
    <row r="48" spans="1:6">
      <c r="A48" s="84">
        <v>2006</v>
      </c>
      <c r="B48" s="85">
        <v>-8884</v>
      </c>
      <c r="C48" s="89">
        <v>524</v>
      </c>
      <c r="D48" s="91">
        <f t="shared" si="0"/>
        <v>-5.8982440342188205E-2</v>
      </c>
      <c r="E48" s="55">
        <v>0.7752</v>
      </c>
      <c r="F48" s="58">
        <v>-8.8999999999999999E-3</v>
      </c>
    </row>
    <row r="49" spans="1:6">
      <c r="A49" s="84">
        <v>2007</v>
      </c>
      <c r="B49" s="85">
        <v>95745</v>
      </c>
      <c r="C49" s="89">
        <v>208</v>
      </c>
      <c r="D49" s="91">
        <f t="shared" si="0"/>
        <v>2.1724372029871012E-3</v>
      </c>
      <c r="E49" s="55">
        <v>0.75870000000000004</v>
      </c>
      <c r="F49" s="58">
        <v>3.4200000000000001E-2</v>
      </c>
    </row>
    <row r="50" spans="1:6">
      <c r="A50" s="84">
        <v>2008</v>
      </c>
      <c r="B50" s="85">
        <v>-55235</v>
      </c>
      <c r="C50" s="89">
        <v>512</v>
      </c>
      <c r="D50" s="91">
        <f t="shared" si="0"/>
        <v>-9.2694849280347599E-3</v>
      </c>
      <c r="E50" s="55">
        <v>0.77680000000000005</v>
      </c>
      <c r="F50" s="58">
        <v>-1.5800000000000002E-2</v>
      </c>
    </row>
    <row r="51" spans="1:6">
      <c r="A51" s="84">
        <v>2009</v>
      </c>
      <c r="B51" s="85">
        <v>150757</v>
      </c>
      <c r="C51" s="88">
        <v>-302</v>
      </c>
      <c r="D51" s="91">
        <f t="shared" si="0"/>
        <v>-2.0032237309047011E-3</v>
      </c>
      <c r="E51" s="55">
        <v>0.89610000000000001</v>
      </c>
      <c r="F51" s="58">
        <v>2.3099999999999999E-2</v>
      </c>
    </row>
    <row r="52" spans="1:6">
      <c r="A52" s="84">
        <v>2010</v>
      </c>
      <c r="B52" s="85">
        <v>11585</v>
      </c>
      <c r="C52" s="88">
        <v>-177</v>
      </c>
      <c r="D52" s="91">
        <f t="shared" si="0"/>
        <v>-1.5278377211911956E-2</v>
      </c>
      <c r="E52" s="55">
        <v>0.6351</v>
      </c>
      <c r="F52" s="58">
        <v>-0.10249999999999999</v>
      </c>
    </row>
    <row r="53" spans="1:6">
      <c r="A53" s="84">
        <v>2011</v>
      </c>
      <c r="B53" s="85">
        <v>-92771</v>
      </c>
      <c r="C53" s="89">
        <v>284</v>
      </c>
      <c r="D53" s="91">
        <f t="shared" si="0"/>
        <v>-3.0613014843000508E-3</v>
      </c>
      <c r="E53" s="55">
        <v>0.88470000000000004</v>
      </c>
      <c r="F53" s="58">
        <v>-1.4E-2</v>
      </c>
    </row>
    <row r="54" spans="1:6">
      <c r="A54" s="84">
        <v>2012</v>
      </c>
      <c r="B54" s="85">
        <v>-5891</v>
      </c>
      <c r="C54" s="89">
        <v>186</v>
      </c>
      <c r="D54" s="91">
        <f t="shared" si="0"/>
        <v>-3.1573586827363775E-2</v>
      </c>
      <c r="E54" s="55">
        <v>0.99670000000000003</v>
      </c>
      <c r="F54" s="58">
        <v>-2.4500000000000001E-2</v>
      </c>
    </row>
    <row r="55" spans="1:6">
      <c r="A55" s="84">
        <v>2013</v>
      </c>
      <c r="B55" s="85">
        <v>28456</v>
      </c>
      <c r="C55" s="89">
        <v>29</v>
      </c>
      <c r="D55" s="91">
        <f t="shared" si="0"/>
        <v>1.0191172336238403E-3</v>
      </c>
      <c r="E55" s="55">
        <v>1.0616000000000001</v>
      </c>
      <c r="F55" s="58">
        <v>3.7900000000000003E-2</v>
      </c>
    </row>
    <row r="56" spans="1:6">
      <c r="A56" s="84"/>
      <c r="D56" s="91"/>
      <c r="E56" s="55">
        <v>1.0424</v>
      </c>
      <c r="F56" s="58">
        <v>3.0000000000000001E-3</v>
      </c>
    </row>
    <row r="57" spans="1:6">
      <c r="A57" s="84"/>
    </row>
    <row r="58" spans="1:6">
      <c r="A58" s="96" t="s">
        <v>123</v>
      </c>
      <c r="B58" s="95" t="s">
        <v>219</v>
      </c>
    </row>
    <row r="59" spans="1:6">
      <c r="A59" s="84"/>
      <c r="B59" s="95" t="s">
        <v>218</v>
      </c>
    </row>
    <row r="60" spans="1:6">
      <c r="A60" s="84"/>
      <c r="B60" s="95"/>
    </row>
    <row r="61" spans="1:6">
      <c r="A61" s="84"/>
      <c r="B61" s="95" t="s">
        <v>221</v>
      </c>
    </row>
    <row r="62" spans="1:6">
      <c r="A62" s="84"/>
      <c r="B62" s="95" t="s">
        <v>220</v>
      </c>
    </row>
    <row r="63" spans="1:6">
      <c r="A63" s="84"/>
    </row>
    <row r="64" spans="1:6">
      <c r="A64" s="84"/>
      <c r="B64" s="95" t="s">
        <v>124</v>
      </c>
    </row>
    <row r="65" spans="1:2">
      <c r="A65" s="84"/>
      <c r="B65" s="95" t="s">
        <v>125</v>
      </c>
    </row>
    <row r="66" spans="1:2">
      <c r="A66" s="84"/>
    </row>
    <row r="67" spans="1:2">
      <c r="A67" s="84"/>
      <c r="B67" s="95" t="s">
        <v>126</v>
      </c>
    </row>
    <row r="68" spans="1:2">
      <c r="A68" s="84"/>
      <c r="B68" s="95" t="s">
        <v>169</v>
      </c>
    </row>
    <row r="69" spans="1:2">
      <c r="A69" s="84"/>
      <c r="B69" s="95"/>
    </row>
    <row r="70" spans="1:2">
      <c r="A70" s="84"/>
    </row>
    <row r="71" spans="1:2">
      <c r="A71" s="84"/>
    </row>
    <row r="72" spans="1:2">
      <c r="A72" s="84"/>
    </row>
    <row r="73" spans="1:2">
      <c r="A73" s="84"/>
    </row>
    <row r="74" spans="1:2">
      <c r="A74" s="84"/>
    </row>
    <row r="75" spans="1:2">
      <c r="A75" s="84"/>
    </row>
    <row r="76" spans="1:2">
      <c r="A76" s="84"/>
    </row>
    <row r="77" spans="1:2">
      <c r="A77" s="84"/>
    </row>
    <row r="78" spans="1:2">
      <c r="A78" s="84"/>
    </row>
    <row r="79" spans="1:2">
      <c r="A79" s="84"/>
    </row>
    <row r="80" spans="1:2">
      <c r="A80" s="84"/>
    </row>
    <row r="81" spans="1:1">
      <c r="A81" s="84"/>
    </row>
    <row r="82" spans="1:1">
      <c r="A82" s="84"/>
    </row>
    <row r="83" spans="1:1">
      <c r="A83" s="84"/>
    </row>
    <row r="84" spans="1:1">
      <c r="A84" s="84"/>
    </row>
    <row r="85" spans="1:1">
      <c r="A85" s="84"/>
    </row>
    <row r="86" spans="1:1">
      <c r="A86" s="84"/>
    </row>
    <row r="87" spans="1:1">
      <c r="A87" s="84"/>
    </row>
    <row r="88" spans="1:1">
      <c r="A88" s="84"/>
    </row>
    <row r="89" spans="1:1">
      <c r="A89" s="84"/>
    </row>
    <row r="90" spans="1:1">
      <c r="A90" s="84"/>
    </row>
    <row r="91" spans="1:1">
      <c r="A91" s="84"/>
    </row>
    <row r="92" spans="1:1">
      <c r="A92" s="84"/>
    </row>
    <row r="93" spans="1:1">
      <c r="A93" s="84"/>
    </row>
    <row r="94" spans="1:1">
      <c r="A94" s="84"/>
    </row>
    <row r="95" spans="1:1">
      <c r="A95" s="84"/>
    </row>
    <row r="96" spans="1:1">
      <c r="A96" s="84"/>
    </row>
    <row r="97" spans="1:1">
      <c r="A97" s="84"/>
    </row>
    <row r="98" spans="1:1">
      <c r="A98" s="84"/>
    </row>
    <row r="99" spans="1:1">
      <c r="A99" s="84"/>
    </row>
    <row r="100" spans="1:1">
      <c r="A100" s="84"/>
    </row>
    <row r="101" spans="1:1">
      <c r="A101" s="84"/>
    </row>
    <row r="102" spans="1:1">
      <c r="A102" s="84"/>
    </row>
    <row r="103" spans="1:1">
      <c r="A103" s="84"/>
    </row>
    <row r="104" spans="1:1">
      <c r="A104" s="84"/>
    </row>
    <row r="105" spans="1:1">
      <c r="A105" s="84"/>
    </row>
    <row r="106" spans="1:1">
      <c r="A106" s="84"/>
    </row>
    <row r="107" spans="1:1">
      <c r="A107" s="84"/>
    </row>
    <row r="108" spans="1:1">
      <c r="A108" s="84"/>
    </row>
    <row r="109" spans="1:1">
      <c r="A109" s="84"/>
    </row>
    <row r="110" spans="1:1">
      <c r="A110" s="84"/>
    </row>
    <row r="111" spans="1:1">
      <c r="A111" s="84"/>
    </row>
    <row r="112" spans="1:1">
      <c r="A112" s="84"/>
    </row>
    <row r="113" spans="1:1">
      <c r="A113" s="84"/>
    </row>
    <row r="114" spans="1:1">
      <c r="A114" s="84"/>
    </row>
    <row r="115" spans="1:1">
      <c r="A115" s="84"/>
    </row>
    <row r="116" spans="1:1">
      <c r="A116" s="84"/>
    </row>
    <row r="117" spans="1:1">
      <c r="A117" s="84"/>
    </row>
    <row r="118" spans="1:1">
      <c r="A118" s="84"/>
    </row>
    <row r="119" spans="1:1">
      <c r="A119" s="84"/>
    </row>
    <row r="120" spans="1:1">
      <c r="A120" s="84"/>
    </row>
    <row r="121" spans="1:1">
      <c r="A121" s="84"/>
    </row>
    <row r="122" spans="1:1">
      <c r="A122" s="84"/>
    </row>
    <row r="123" spans="1:1">
      <c r="A123" s="84"/>
    </row>
    <row r="124" spans="1:1">
      <c r="A124" s="84"/>
    </row>
    <row r="125" spans="1:1">
      <c r="A125" s="84"/>
    </row>
    <row r="126" spans="1:1">
      <c r="A126" s="84"/>
    </row>
    <row r="127" spans="1:1">
      <c r="A127" s="84"/>
    </row>
    <row r="128" spans="1:1">
      <c r="A128" s="84"/>
    </row>
    <row r="129" spans="1:1">
      <c r="A129" s="84"/>
    </row>
    <row r="130" spans="1:1">
      <c r="A130" s="84"/>
    </row>
    <row r="131" spans="1:1">
      <c r="A131" s="84"/>
    </row>
    <row r="132" spans="1:1">
      <c r="A132" s="84"/>
    </row>
    <row r="133" spans="1:1">
      <c r="A133" s="84"/>
    </row>
    <row r="134" spans="1:1">
      <c r="A134" s="84"/>
    </row>
    <row r="135" spans="1:1">
      <c r="A135" s="84"/>
    </row>
    <row r="136" spans="1:1">
      <c r="A136" s="84"/>
    </row>
    <row r="137" spans="1:1">
      <c r="A137" s="84"/>
    </row>
    <row r="138" spans="1:1">
      <c r="A138" s="84"/>
    </row>
    <row r="139" spans="1:1">
      <c r="A139" s="84"/>
    </row>
    <row r="140" spans="1:1">
      <c r="A140" s="84"/>
    </row>
    <row r="141" spans="1:1">
      <c r="A141" s="84"/>
    </row>
    <row r="142" spans="1:1">
      <c r="A142" s="84"/>
    </row>
    <row r="143" spans="1:1">
      <c r="A143" s="84"/>
    </row>
    <row r="144" spans="1:1">
      <c r="A144" s="84"/>
    </row>
    <row r="145" spans="1:1">
      <c r="A145" s="84"/>
    </row>
    <row r="146" spans="1:1">
      <c r="A146" s="84"/>
    </row>
    <row r="147" spans="1:1">
      <c r="A147" s="84"/>
    </row>
    <row r="148" spans="1:1">
      <c r="A148" s="84"/>
    </row>
    <row r="149" spans="1:1">
      <c r="A149" s="84"/>
    </row>
    <row r="150" spans="1:1">
      <c r="A150" s="84"/>
    </row>
    <row r="151" spans="1:1">
      <c r="A151" s="84"/>
    </row>
    <row r="152" spans="1:1">
      <c r="A152" s="84"/>
    </row>
    <row r="153" spans="1:1">
      <c r="A153" s="84"/>
    </row>
    <row r="154" spans="1:1">
      <c r="A154" s="84"/>
    </row>
    <row r="155" spans="1:1">
      <c r="A155" s="84"/>
    </row>
    <row r="156" spans="1:1">
      <c r="A156" s="84"/>
    </row>
    <row r="157" spans="1:1">
      <c r="A157" s="84"/>
    </row>
    <row r="158" spans="1:1">
      <c r="A158" s="84"/>
    </row>
    <row r="159" spans="1:1">
      <c r="A159" s="84"/>
    </row>
    <row r="160" spans="1:1">
      <c r="A160" s="84"/>
    </row>
    <row r="161" spans="1:1">
      <c r="A161" s="84"/>
    </row>
    <row r="162" spans="1:1">
      <c r="A162" s="84"/>
    </row>
    <row r="163" spans="1:1">
      <c r="A163" s="84"/>
    </row>
    <row r="164" spans="1:1">
      <c r="A164" s="84"/>
    </row>
    <row r="165" spans="1:1">
      <c r="A165" s="84"/>
    </row>
    <row r="166" spans="1:1">
      <c r="A166" s="84"/>
    </row>
    <row r="167" spans="1:1">
      <c r="A167" s="84"/>
    </row>
    <row r="168" spans="1:1">
      <c r="A168" s="84"/>
    </row>
    <row r="169" spans="1:1">
      <c r="A169" s="84"/>
    </row>
    <row r="170" spans="1:1">
      <c r="A170" s="84"/>
    </row>
    <row r="171" spans="1:1">
      <c r="A171" s="84"/>
    </row>
    <row r="172" spans="1:1">
      <c r="A172" s="84"/>
    </row>
    <row r="173" spans="1:1">
      <c r="A173" s="84"/>
    </row>
    <row r="174" spans="1:1">
      <c r="A174" s="84"/>
    </row>
    <row r="175" spans="1:1">
      <c r="A175" s="84"/>
    </row>
    <row r="176" spans="1:1">
      <c r="A176" s="84"/>
    </row>
    <row r="177" spans="1:1">
      <c r="A177" s="84"/>
    </row>
    <row r="178" spans="1:1">
      <c r="A178" s="84"/>
    </row>
    <row r="179" spans="1:1">
      <c r="A179" s="84"/>
    </row>
    <row r="180" spans="1:1">
      <c r="A180" s="84"/>
    </row>
    <row r="181" spans="1:1">
      <c r="A181" s="84"/>
    </row>
    <row r="182" spans="1:1">
      <c r="A182" s="84"/>
    </row>
    <row r="183" spans="1:1">
      <c r="A183" s="84"/>
    </row>
    <row r="184" spans="1:1">
      <c r="A184" s="84"/>
    </row>
    <row r="185" spans="1:1">
      <c r="A185" s="84"/>
    </row>
    <row r="186" spans="1:1">
      <c r="A186" s="84"/>
    </row>
    <row r="187" spans="1:1">
      <c r="A187" s="84"/>
    </row>
    <row r="188" spans="1:1">
      <c r="A188" s="84"/>
    </row>
    <row r="189" spans="1:1">
      <c r="A189" s="84"/>
    </row>
    <row r="190" spans="1:1">
      <c r="A190" s="84"/>
    </row>
    <row r="191" spans="1:1">
      <c r="A191" s="84"/>
    </row>
    <row r="192" spans="1:1">
      <c r="A192" s="84"/>
    </row>
    <row r="193" spans="1:1">
      <c r="A193" s="84"/>
    </row>
    <row r="194" spans="1:1">
      <c r="A194" s="84"/>
    </row>
    <row r="195" spans="1:1">
      <c r="A195" s="84"/>
    </row>
    <row r="196" spans="1:1">
      <c r="A196" s="84"/>
    </row>
    <row r="197" spans="1:1">
      <c r="A197" s="84"/>
    </row>
    <row r="198" spans="1:1">
      <c r="A198" s="84"/>
    </row>
    <row r="199" spans="1:1">
      <c r="A199" s="84"/>
    </row>
    <row r="200" spans="1:1">
      <c r="A200" s="84"/>
    </row>
    <row r="201" spans="1:1">
      <c r="A201" s="84"/>
    </row>
    <row r="202" spans="1:1">
      <c r="A202" s="84"/>
    </row>
    <row r="203" spans="1:1">
      <c r="A203" s="84"/>
    </row>
    <row r="204" spans="1:1">
      <c r="A204" s="84"/>
    </row>
    <row r="205" spans="1:1">
      <c r="A205" s="84"/>
    </row>
    <row r="206" spans="1:1">
      <c r="A206" s="84"/>
    </row>
    <row r="207" spans="1:1">
      <c r="A207" s="84"/>
    </row>
    <row r="208" spans="1:1">
      <c r="A208" s="84"/>
    </row>
    <row r="209" spans="1:1">
      <c r="A209" s="84"/>
    </row>
    <row r="210" spans="1:1">
      <c r="A210" s="84"/>
    </row>
    <row r="211" spans="1:1">
      <c r="A211" s="84"/>
    </row>
    <row r="212" spans="1:1">
      <c r="A212" s="84"/>
    </row>
    <row r="213" spans="1:1">
      <c r="A213" s="84"/>
    </row>
    <row r="214" spans="1:1">
      <c r="A214" s="84"/>
    </row>
    <row r="215" spans="1:1">
      <c r="A215" s="84"/>
    </row>
    <row r="216" spans="1:1">
      <c r="A216" s="84"/>
    </row>
    <row r="217" spans="1:1">
      <c r="A217" s="84"/>
    </row>
    <row r="218" spans="1:1">
      <c r="A218" s="84"/>
    </row>
    <row r="219" spans="1:1">
      <c r="A219" s="84"/>
    </row>
    <row r="220" spans="1:1">
      <c r="A220" s="84"/>
    </row>
    <row r="221" spans="1:1">
      <c r="A221" s="84"/>
    </row>
    <row r="222" spans="1:1">
      <c r="A222" s="84"/>
    </row>
    <row r="223" spans="1:1">
      <c r="A223" s="84"/>
    </row>
    <row r="224" spans="1:1">
      <c r="A224" s="84"/>
    </row>
    <row r="225" spans="1:1">
      <c r="A225" s="84"/>
    </row>
    <row r="226" spans="1:1">
      <c r="A226" s="84"/>
    </row>
    <row r="227" spans="1:1">
      <c r="A227" s="84"/>
    </row>
    <row r="228" spans="1:1">
      <c r="A228" s="84"/>
    </row>
    <row r="229" spans="1:1">
      <c r="A229" s="84"/>
    </row>
    <row r="230" spans="1:1">
      <c r="A230" s="84"/>
    </row>
    <row r="231" spans="1:1">
      <c r="A231" s="84"/>
    </row>
    <row r="232" spans="1:1">
      <c r="A232" s="84"/>
    </row>
    <row r="233" spans="1:1">
      <c r="A233" s="84"/>
    </row>
    <row r="234" spans="1:1">
      <c r="A234" s="84"/>
    </row>
    <row r="235" spans="1:1">
      <c r="A235" s="84"/>
    </row>
    <row r="236" spans="1:1">
      <c r="A236" s="84"/>
    </row>
    <row r="237" spans="1:1">
      <c r="A237" s="84"/>
    </row>
    <row r="238" spans="1:1">
      <c r="A238" s="84"/>
    </row>
    <row r="239" spans="1:1">
      <c r="A239" s="84"/>
    </row>
    <row r="240" spans="1:1">
      <c r="A240" s="84"/>
    </row>
    <row r="241" spans="1:1">
      <c r="A241" s="84"/>
    </row>
    <row r="242" spans="1:1">
      <c r="A242" s="84"/>
    </row>
    <row r="243" spans="1:1">
      <c r="A243" s="84"/>
    </row>
    <row r="244" spans="1:1">
      <c r="A244" s="84"/>
    </row>
    <row r="245" spans="1:1">
      <c r="A245" s="84"/>
    </row>
    <row r="246" spans="1:1">
      <c r="A246" s="84"/>
    </row>
    <row r="247" spans="1:1">
      <c r="A247" s="84"/>
    </row>
    <row r="248" spans="1:1">
      <c r="A248" s="84"/>
    </row>
    <row r="249" spans="1:1">
      <c r="A249" s="84"/>
    </row>
    <row r="250" spans="1:1">
      <c r="A250" s="84"/>
    </row>
    <row r="251" spans="1:1">
      <c r="A251" s="84"/>
    </row>
    <row r="252" spans="1:1">
      <c r="A252" s="84"/>
    </row>
    <row r="253" spans="1:1">
      <c r="A253" s="84"/>
    </row>
    <row r="254" spans="1:1">
      <c r="A254" s="84"/>
    </row>
    <row r="255" spans="1:1">
      <c r="A255" s="84"/>
    </row>
    <row r="256" spans="1:1">
      <c r="A256" s="8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04DB-AE4D-4F97-9BCF-52171FD5C644}">
  <dimension ref="B2:J21"/>
  <sheetViews>
    <sheetView workbookViewId="0">
      <selection activeCell="I14" sqref="I14"/>
    </sheetView>
  </sheetViews>
  <sheetFormatPr defaultColWidth="9.1328125" defaultRowHeight="14.25"/>
  <cols>
    <col min="1" max="1" width="9.1328125" style="35"/>
    <col min="2" max="2" width="12.33203125" style="35" customWidth="1"/>
    <col min="3" max="3" width="16.33203125" style="39" customWidth="1"/>
    <col min="4" max="4" width="9.1328125" style="35"/>
    <col min="5" max="5" width="10.6640625" style="39" customWidth="1"/>
    <col min="6" max="6" width="7.86328125" style="35" customWidth="1"/>
    <col min="7" max="7" width="11.46484375" style="35" customWidth="1"/>
    <col min="8" max="8" width="18.33203125" style="35" customWidth="1"/>
    <col min="9" max="9" width="10.6640625" style="35" customWidth="1"/>
    <col min="10" max="10" width="17" style="35" customWidth="1"/>
    <col min="11" max="16384" width="9.1328125" style="35"/>
  </cols>
  <sheetData>
    <row r="2" spans="2:10">
      <c r="B2" s="31" t="s">
        <v>6</v>
      </c>
      <c r="C2" s="34"/>
      <c r="D2" s="31"/>
      <c r="E2" s="34"/>
      <c r="F2" s="33"/>
      <c r="G2" s="31"/>
      <c r="H2" s="34"/>
      <c r="I2" s="33"/>
      <c r="J2" s="34"/>
    </row>
    <row r="3" spans="2:10">
      <c r="B3" s="31"/>
      <c r="C3" s="34"/>
      <c r="D3" s="33"/>
      <c r="E3" s="34"/>
      <c r="F3" s="33"/>
      <c r="G3" s="31"/>
      <c r="H3" s="34"/>
      <c r="I3" s="33"/>
      <c r="J3" s="34"/>
    </row>
    <row r="4" spans="2:10">
      <c r="B4" s="31"/>
      <c r="C4" s="36" t="s">
        <v>7</v>
      </c>
      <c r="D4" s="31"/>
      <c r="E4" s="36" t="s">
        <v>8</v>
      </c>
      <c r="F4" s="31"/>
      <c r="G4" s="31"/>
      <c r="H4" s="36" t="s">
        <v>9</v>
      </c>
      <c r="I4" s="31"/>
      <c r="J4" s="36" t="s">
        <v>10</v>
      </c>
    </row>
    <row r="5" spans="2:10">
      <c r="B5" s="27" t="s">
        <v>11</v>
      </c>
      <c r="C5" s="28">
        <v>0.22</v>
      </c>
      <c r="D5" s="40" t="s">
        <v>15</v>
      </c>
      <c r="E5" s="37">
        <v>8.5000000000000006E-2</v>
      </c>
      <c r="F5" s="33"/>
      <c r="G5" s="27" t="s">
        <v>21</v>
      </c>
      <c r="H5" s="28">
        <v>0.28999999999999998</v>
      </c>
      <c r="I5" s="31" t="s">
        <v>21</v>
      </c>
      <c r="J5" s="37">
        <v>0.18</v>
      </c>
    </row>
    <row r="6" spans="2:10">
      <c r="B6" s="27" t="s">
        <v>12</v>
      </c>
      <c r="C6" s="28">
        <v>0.18</v>
      </c>
      <c r="D6" s="31" t="s">
        <v>17</v>
      </c>
      <c r="E6" s="37">
        <v>7.2999999999999995E-2</v>
      </c>
      <c r="F6" s="33"/>
      <c r="G6" s="27" t="s">
        <v>22</v>
      </c>
      <c r="H6" s="28">
        <v>0.2</v>
      </c>
      <c r="I6" s="31" t="s">
        <v>25</v>
      </c>
      <c r="J6" s="37">
        <v>0.12</v>
      </c>
    </row>
    <row r="7" spans="2:10">
      <c r="B7" s="31" t="s">
        <v>13</v>
      </c>
      <c r="C7" s="37">
        <v>5.5E-2</v>
      </c>
      <c r="D7" s="31" t="s">
        <v>18</v>
      </c>
      <c r="E7" s="37">
        <v>6.3E-2</v>
      </c>
      <c r="F7" s="33"/>
      <c r="G7" s="31" t="s">
        <v>23</v>
      </c>
      <c r="H7" s="37">
        <v>8.4000000000000005E-2</v>
      </c>
      <c r="I7" s="31" t="s">
        <v>22</v>
      </c>
      <c r="J7" s="37">
        <v>8.2000000000000003E-2</v>
      </c>
    </row>
    <row r="8" spans="2:10">
      <c r="B8" s="31" t="s">
        <v>14</v>
      </c>
      <c r="C8" s="37">
        <v>5.3999999999999999E-2</v>
      </c>
      <c r="D8" s="31" t="s">
        <v>19</v>
      </c>
      <c r="E8" s="37">
        <v>3.5999999999999997E-2</v>
      </c>
      <c r="F8" s="33"/>
      <c r="G8" s="31" t="s">
        <v>24</v>
      </c>
      <c r="H8" s="37">
        <v>5.2999999999999999E-2</v>
      </c>
      <c r="I8" s="31" t="s">
        <v>26</v>
      </c>
      <c r="J8" s="37">
        <v>5.6000000000000001E-2</v>
      </c>
    </row>
    <row r="9" spans="2:10">
      <c r="B9" s="40" t="s">
        <v>15</v>
      </c>
      <c r="C9" s="37">
        <v>4.4999999999999998E-2</v>
      </c>
      <c r="D9" s="31" t="s">
        <v>20</v>
      </c>
      <c r="E9" s="37">
        <v>3.4000000000000002E-2</v>
      </c>
      <c r="F9" s="33"/>
      <c r="G9" s="31" t="s">
        <v>25</v>
      </c>
      <c r="H9" s="37">
        <v>3.5999999999999997E-2</v>
      </c>
      <c r="I9" s="31" t="s">
        <v>27</v>
      </c>
      <c r="J9" s="37">
        <v>0.05</v>
      </c>
    </row>
    <row r="10" spans="2:10">
      <c r="B10" s="31"/>
      <c r="C10" s="37"/>
      <c r="D10" s="33"/>
      <c r="E10" s="37"/>
      <c r="F10" s="33"/>
      <c r="G10" s="31"/>
      <c r="H10" s="37"/>
      <c r="I10" s="33"/>
      <c r="J10" s="37"/>
    </row>
    <row r="11" spans="2:10">
      <c r="B11" s="31" t="s">
        <v>16</v>
      </c>
      <c r="C11" s="37">
        <f>SUM(C5:C10)</f>
        <v>0.55400000000000005</v>
      </c>
      <c r="D11" s="33"/>
      <c r="E11" s="37">
        <f>SUM(E5:E10)</f>
        <v>0.29100000000000004</v>
      </c>
      <c r="F11" s="33"/>
      <c r="G11" s="31" t="s">
        <v>16</v>
      </c>
      <c r="H11" s="37">
        <f>SUM(H5:H10)</f>
        <v>0.66300000000000003</v>
      </c>
      <c r="I11" s="33"/>
      <c r="J11" s="37">
        <f>SUM(J5:J10)</f>
        <v>0.48799999999999999</v>
      </c>
    </row>
    <row r="12" spans="2:10">
      <c r="B12" s="31"/>
      <c r="C12" s="34"/>
      <c r="D12" s="33"/>
      <c r="E12" s="34"/>
      <c r="F12" s="33"/>
      <c r="G12" s="31"/>
      <c r="H12" s="34"/>
      <c r="I12" s="33"/>
      <c r="J12" s="34"/>
    </row>
    <row r="13" spans="2:10">
      <c r="B13" s="31"/>
      <c r="C13" s="34"/>
      <c r="D13" s="33"/>
      <c r="F13" s="33"/>
      <c r="G13" s="31"/>
      <c r="H13" s="34"/>
      <c r="I13" s="33"/>
      <c r="J13" s="34"/>
    </row>
    <row r="14" spans="2:10">
      <c r="B14" s="31" t="s">
        <v>30</v>
      </c>
      <c r="C14" s="34"/>
      <c r="D14" s="38" t="s">
        <v>31</v>
      </c>
      <c r="F14" s="33"/>
      <c r="G14" s="31"/>
      <c r="H14" s="34"/>
      <c r="I14" s="38" t="s">
        <v>107</v>
      </c>
      <c r="J14" s="34"/>
    </row>
    <row r="15" spans="2:10">
      <c r="B15" s="31" t="s">
        <v>32</v>
      </c>
      <c r="C15" s="34"/>
      <c r="D15" s="38" t="s">
        <v>33</v>
      </c>
      <c r="F15" s="32"/>
      <c r="G15" s="31"/>
      <c r="H15" s="34"/>
      <c r="I15" s="33"/>
      <c r="J15" s="34"/>
    </row>
    <row r="16" spans="2:10">
      <c r="B16" s="31" t="s">
        <v>28</v>
      </c>
      <c r="C16" s="34"/>
      <c r="D16" s="38" t="s">
        <v>29</v>
      </c>
      <c r="F16" s="32"/>
      <c r="G16" s="31"/>
      <c r="H16" s="34"/>
      <c r="I16" s="33"/>
      <c r="J16" s="34"/>
    </row>
    <row r="17" spans="2:10">
      <c r="B17" s="31" t="s">
        <v>34</v>
      </c>
      <c r="C17" s="34"/>
      <c r="D17" s="38" t="s">
        <v>35</v>
      </c>
      <c r="F17" s="33"/>
      <c r="G17" s="31"/>
      <c r="H17" s="34"/>
      <c r="I17" s="33"/>
      <c r="J17" s="34"/>
    </row>
    <row r="19" spans="2:10">
      <c r="G19" s="98"/>
    </row>
    <row r="20" spans="2:10">
      <c r="D20" s="97"/>
      <c r="F20" s="39"/>
      <c r="G20" s="39"/>
    </row>
    <row r="21" spans="2:10">
      <c r="D21" s="97"/>
      <c r="F21" s="39"/>
      <c r="G21" s="39"/>
    </row>
  </sheetData>
  <hyperlinks>
    <hyperlink ref="D16" r:id="rId1" xr:uid="{2EC19217-1FDA-4D9B-A542-E318F11B51D3}"/>
    <hyperlink ref="D14" r:id="rId2" xr:uid="{E4575BC8-EE83-4C2F-9E3C-16EC1F6BB57C}"/>
    <hyperlink ref="D15" r:id="rId3" xr:uid="{222C195A-F745-448C-AEBF-DA3DFC351143}"/>
    <hyperlink ref="D17" r:id="rId4" xr:uid="{909D4FF9-5CC4-4473-B7A7-4CC5F3E5EEC1}"/>
    <hyperlink ref="I14" r:id="rId5" xr:uid="{4A6E94B5-CC88-4A9D-B261-2422DE5AE62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540E3-1428-4337-A026-BFE54497C5F6}">
  <dimension ref="A1:X468"/>
  <sheetViews>
    <sheetView topLeftCell="A7" workbookViewId="0">
      <selection activeCell="F36" sqref="F36"/>
    </sheetView>
  </sheetViews>
  <sheetFormatPr defaultColWidth="9.1328125" defaultRowHeight="15" customHeight="1"/>
  <cols>
    <col min="1" max="1" width="13.53125" style="7" customWidth="1"/>
    <col min="2" max="2" width="12.86328125" style="13" customWidth="1"/>
    <col min="3" max="4" width="9.1328125" style="4"/>
    <col min="5" max="5" width="11.46484375" style="4" customWidth="1"/>
    <col min="6" max="16384" width="9.1328125" style="1"/>
  </cols>
  <sheetData>
    <row r="1" spans="1:24" s="6" customFormat="1" ht="15" customHeight="1" thickBot="1">
      <c r="A1" s="7" t="s">
        <v>0</v>
      </c>
      <c r="B1" s="41" t="s">
        <v>36</v>
      </c>
      <c r="C1" s="7"/>
      <c r="D1" s="7" t="s">
        <v>11</v>
      </c>
      <c r="E1" s="7" t="s">
        <v>37</v>
      </c>
    </row>
    <row r="2" spans="1:24" s="2" customFormat="1" ht="15" customHeight="1" thickBot="1">
      <c r="A2" s="8">
        <v>38776</v>
      </c>
      <c r="B2" s="15">
        <v>0.74250000000000005</v>
      </c>
      <c r="C2" s="23">
        <v>38748</v>
      </c>
      <c r="D2" s="24">
        <v>67.2</v>
      </c>
      <c r="E2" s="4">
        <f>D2/100</f>
        <v>0.67200000000000004</v>
      </c>
    </row>
    <row r="3" spans="1:24" s="2" customFormat="1" ht="15" customHeight="1" thickBot="1">
      <c r="A3" s="8">
        <v>38807</v>
      </c>
      <c r="B3" s="15">
        <v>0.71630000000000005</v>
      </c>
      <c r="C3" s="23">
        <v>38776</v>
      </c>
      <c r="D3" s="24">
        <v>65.2</v>
      </c>
      <c r="E3" s="4">
        <f t="shared" ref="E3:E66" si="0">D3/100</f>
        <v>0.65200000000000002</v>
      </c>
    </row>
    <row r="4" spans="1:24" s="2" customFormat="1" ht="15" customHeight="1" thickBot="1">
      <c r="A4" s="8">
        <v>38837</v>
      </c>
      <c r="B4" s="15">
        <v>0.75770000000000004</v>
      </c>
      <c r="C4" s="23">
        <v>38807</v>
      </c>
      <c r="D4" s="24">
        <v>66.7</v>
      </c>
      <c r="E4" s="4">
        <f t="shared" si="0"/>
        <v>0.66700000000000004</v>
      </c>
    </row>
    <row r="5" spans="1:24" s="2" customFormat="1" ht="15" customHeight="1" thickBot="1">
      <c r="A5" s="8">
        <v>38868</v>
      </c>
      <c r="B5" s="15">
        <v>0.75239999999999996</v>
      </c>
      <c r="C5" s="23">
        <v>38837</v>
      </c>
      <c r="D5" s="24">
        <v>67.3</v>
      </c>
      <c r="E5" s="4">
        <f t="shared" si="0"/>
        <v>0.67299999999999993</v>
      </c>
      <c r="X5" s="26"/>
    </row>
    <row r="6" spans="1:24" s="2" customFormat="1" ht="15" customHeight="1" thickBot="1">
      <c r="A6" s="8">
        <v>38898</v>
      </c>
      <c r="B6" s="15">
        <v>0.74229999999999996</v>
      </c>
      <c r="C6" s="23">
        <v>38868</v>
      </c>
      <c r="D6" s="24">
        <v>67.3</v>
      </c>
      <c r="E6" s="4">
        <f t="shared" si="0"/>
        <v>0.67299999999999993</v>
      </c>
    </row>
    <row r="7" spans="1:24" s="2" customFormat="1" ht="15" customHeight="1" thickBot="1">
      <c r="A7" s="8">
        <v>38929</v>
      </c>
      <c r="B7" s="15">
        <v>0.76619999999999999</v>
      </c>
      <c r="C7" s="23">
        <v>38898</v>
      </c>
      <c r="D7" s="24">
        <v>69.3</v>
      </c>
      <c r="E7" s="4">
        <f t="shared" si="0"/>
        <v>0.69299999999999995</v>
      </c>
    </row>
    <row r="8" spans="1:24" s="2" customFormat="1" ht="15" customHeight="1" thickBot="1">
      <c r="A8" s="8">
        <v>38960</v>
      </c>
      <c r="B8" s="15">
        <v>0.76400000000000001</v>
      </c>
      <c r="C8" s="23">
        <v>38929</v>
      </c>
      <c r="D8" s="24">
        <v>70.5</v>
      </c>
      <c r="E8" s="4">
        <f t="shared" si="0"/>
        <v>0.70499999999999996</v>
      </c>
    </row>
    <row r="9" spans="1:24" s="2" customFormat="1" ht="15" customHeight="1" thickBot="1">
      <c r="A9" s="8">
        <v>38990</v>
      </c>
      <c r="B9" s="15">
        <v>0.74639999999999995</v>
      </c>
      <c r="C9" s="23">
        <v>38960</v>
      </c>
      <c r="D9" s="24">
        <v>69.8</v>
      </c>
      <c r="E9" s="4">
        <f t="shared" si="0"/>
        <v>0.69799999999999995</v>
      </c>
    </row>
    <row r="10" spans="1:24" s="2" customFormat="1" ht="15" customHeight="1" thickBot="1">
      <c r="A10" s="8">
        <v>39021</v>
      </c>
      <c r="B10" s="15">
        <v>0.7742</v>
      </c>
      <c r="C10" s="23">
        <v>38990</v>
      </c>
      <c r="D10" s="24">
        <v>70</v>
      </c>
      <c r="E10" s="4">
        <f t="shared" si="0"/>
        <v>0.7</v>
      </c>
    </row>
    <row r="11" spans="1:24" s="2" customFormat="1" ht="15" customHeight="1" thickBot="1">
      <c r="A11" s="8">
        <v>39051</v>
      </c>
      <c r="B11" s="15">
        <v>0.78849999999999998</v>
      </c>
      <c r="C11" s="23">
        <v>39021</v>
      </c>
      <c r="D11" s="24">
        <v>71.7</v>
      </c>
      <c r="E11" s="4">
        <f t="shared" si="0"/>
        <v>0.71700000000000008</v>
      </c>
    </row>
    <row r="12" spans="1:24" s="2" customFormat="1" ht="15" customHeight="1" thickBot="1">
      <c r="A12" s="8">
        <v>39082</v>
      </c>
      <c r="B12" s="15">
        <v>0.7893</v>
      </c>
      <c r="C12" s="23">
        <v>39051</v>
      </c>
      <c r="D12" s="24">
        <v>73.5</v>
      </c>
      <c r="E12" s="4">
        <f t="shared" si="0"/>
        <v>0.73499999999999999</v>
      </c>
    </row>
    <row r="13" spans="1:24" s="2" customFormat="1" ht="15" customHeight="1" thickBot="1">
      <c r="A13" s="8">
        <v>39113</v>
      </c>
      <c r="B13" s="15">
        <v>0.77680000000000005</v>
      </c>
      <c r="C13" s="23">
        <v>39082</v>
      </c>
      <c r="D13" s="24">
        <v>73.5</v>
      </c>
      <c r="E13" s="4">
        <f t="shared" si="0"/>
        <v>0.73499999999999999</v>
      </c>
    </row>
    <row r="14" spans="1:24" s="2" customFormat="1" ht="15" customHeight="1" thickBot="1">
      <c r="A14" s="8">
        <v>39141</v>
      </c>
      <c r="B14" s="15">
        <v>0.78810000000000002</v>
      </c>
      <c r="C14" s="23">
        <v>39113</v>
      </c>
      <c r="D14" s="24">
        <v>78.2</v>
      </c>
      <c r="E14" s="4">
        <f t="shared" si="0"/>
        <v>0.78200000000000003</v>
      </c>
    </row>
    <row r="15" spans="1:24" s="2" customFormat="1" ht="15" customHeight="1" thickBot="1">
      <c r="A15" s="8">
        <v>39172</v>
      </c>
      <c r="B15" s="15">
        <v>0.8085</v>
      </c>
      <c r="C15" s="23">
        <v>39141</v>
      </c>
      <c r="D15" s="24">
        <v>82.66</v>
      </c>
      <c r="E15" s="4">
        <f t="shared" si="0"/>
        <v>0.8266</v>
      </c>
    </row>
    <row r="16" spans="1:24" s="2" customFormat="1" ht="15" customHeight="1" thickBot="1">
      <c r="A16" s="8">
        <v>39202</v>
      </c>
      <c r="B16" s="15">
        <v>0.83069999999999999</v>
      </c>
      <c r="C16" s="23">
        <v>39172</v>
      </c>
      <c r="D16" s="24">
        <v>88.55</v>
      </c>
      <c r="E16" s="4">
        <f t="shared" si="0"/>
        <v>0.88549999999999995</v>
      </c>
    </row>
    <row r="17" spans="1:5" s="2" customFormat="1" ht="15" customHeight="1" thickBot="1">
      <c r="A17" s="8">
        <v>39233</v>
      </c>
      <c r="B17" s="15">
        <v>0.82769999999999999</v>
      </c>
      <c r="C17" s="23">
        <v>39202</v>
      </c>
      <c r="D17" s="24">
        <v>91.26</v>
      </c>
      <c r="E17" s="4">
        <f t="shared" si="0"/>
        <v>0.91260000000000008</v>
      </c>
    </row>
    <row r="18" spans="1:5" s="2" customFormat="1" ht="15" customHeight="1" thickBot="1">
      <c r="A18" s="8">
        <v>39263</v>
      </c>
      <c r="B18" s="15">
        <v>0.8488</v>
      </c>
      <c r="C18" s="23">
        <v>39233</v>
      </c>
      <c r="D18" s="24">
        <v>102.02</v>
      </c>
      <c r="E18" s="4">
        <f t="shared" si="0"/>
        <v>1.0202</v>
      </c>
    </row>
    <row r="19" spans="1:5" s="2" customFormat="1" ht="15" customHeight="1" thickBot="1">
      <c r="A19" s="8">
        <v>39294</v>
      </c>
      <c r="B19" s="15">
        <v>0.85099999999999998</v>
      </c>
      <c r="C19" s="23">
        <v>39263</v>
      </c>
      <c r="D19" s="24">
        <v>103.21</v>
      </c>
      <c r="E19" s="4">
        <f t="shared" si="0"/>
        <v>1.0321</v>
      </c>
    </row>
    <row r="20" spans="1:5" s="2" customFormat="1" ht="15" customHeight="1" thickBot="1">
      <c r="A20" s="8">
        <v>39325</v>
      </c>
      <c r="B20" s="15">
        <v>0.81769999999999998</v>
      </c>
      <c r="C20" s="23">
        <v>39294</v>
      </c>
      <c r="D20" s="24">
        <v>106.09</v>
      </c>
      <c r="E20" s="4">
        <f t="shared" si="0"/>
        <v>1.0609</v>
      </c>
    </row>
    <row r="21" spans="1:5" s="2" customFormat="1" ht="15" customHeight="1" thickBot="1">
      <c r="A21" s="8">
        <v>39355</v>
      </c>
      <c r="B21" s="15">
        <v>0.88729999999999998</v>
      </c>
      <c r="C21" s="23">
        <v>39325</v>
      </c>
      <c r="D21" s="24">
        <v>121.89</v>
      </c>
      <c r="E21" s="4">
        <f t="shared" si="0"/>
        <v>1.2189000000000001</v>
      </c>
    </row>
    <row r="22" spans="1:5" s="2" customFormat="1" ht="15" customHeight="1" thickBot="1">
      <c r="A22" s="8">
        <v>39386</v>
      </c>
      <c r="B22" s="15">
        <v>0.93230000000000002</v>
      </c>
      <c r="C22" s="23">
        <v>39355</v>
      </c>
      <c r="D22" s="24">
        <v>148.65</v>
      </c>
      <c r="E22" s="4">
        <f t="shared" si="0"/>
        <v>1.4865000000000002</v>
      </c>
    </row>
    <row r="23" spans="1:5" s="2" customFormat="1" ht="15" customHeight="1" thickBot="1">
      <c r="A23" s="8">
        <v>39416</v>
      </c>
      <c r="B23" s="15">
        <v>0.88419999999999999</v>
      </c>
      <c r="C23" s="23">
        <v>39386</v>
      </c>
      <c r="D23" s="24">
        <v>168.11</v>
      </c>
      <c r="E23" s="4">
        <f t="shared" si="0"/>
        <v>1.6811</v>
      </c>
    </row>
    <row r="24" spans="1:5" s="2" customFormat="1" ht="15" customHeight="1" thickBot="1">
      <c r="A24" s="8">
        <v>39447</v>
      </c>
      <c r="B24" s="15">
        <v>0.87590000000000001</v>
      </c>
      <c r="C24" s="23">
        <v>39416</v>
      </c>
      <c r="D24" s="24">
        <v>195.09</v>
      </c>
      <c r="E24" s="4">
        <f t="shared" si="0"/>
        <v>1.9509000000000001</v>
      </c>
    </row>
    <row r="25" spans="1:5" s="2" customFormat="1" ht="15" customHeight="1" thickBot="1">
      <c r="A25" s="8">
        <v>39478</v>
      </c>
      <c r="B25" s="15">
        <v>0.89610000000000001</v>
      </c>
      <c r="C25" s="23">
        <v>39447</v>
      </c>
      <c r="D25" s="24">
        <v>190.12</v>
      </c>
      <c r="E25" s="4">
        <f t="shared" si="0"/>
        <v>1.9012</v>
      </c>
    </row>
    <row r="26" spans="1:5" s="2" customFormat="1" ht="15" customHeight="1" thickBot="1">
      <c r="A26" s="8">
        <v>39507</v>
      </c>
      <c r="B26" s="15">
        <v>0.93149999999999999</v>
      </c>
      <c r="C26" s="23">
        <v>39478</v>
      </c>
      <c r="D26" s="24">
        <v>193.37</v>
      </c>
      <c r="E26" s="4">
        <f t="shared" si="0"/>
        <v>1.9337</v>
      </c>
    </row>
    <row r="27" spans="1:5" s="2" customFormat="1" ht="15" customHeight="1" thickBot="1">
      <c r="A27" s="8">
        <v>39538</v>
      </c>
      <c r="B27" s="15">
        <v>0.91269999999999996</v>
      </c>
      <c r="C27" s="23">
        <v>39507</v>
      </c>
      <c r="D27" s="24">
        <v>186.12</v>
      </c>
      <c r="E27" s="4">
        <f t="shared" si="0"/>
        <v>1.8612</v>
      </c>
    </row>
    <row r="28" spans="1:5" s="2" customFormat="1" ht="15" customHeight="1" thickBot="1">
      <c r="A28" s="8">
        <v>39568</v>
      </c>
      <c r="B28" s="15">
        <v>0.9425</v>
      </c>
      <c r="C28" s="23">
        <v>39538</v>
      </c>
      <c r="D28" s="24">
        <v>197.12</v>
      </c>
      <c r="E28" s="4">
        <f t="shared" si="0"/>
        <v>1.9712000000000001</v>
      </c>
    </row>
    <row r="29" spans="1:5" s="2" customFormat="1" ht="15" customHeight="1" thickBot="1">
      <c r="A29" s="8">
        <v>39599</v>
      </c>
      <c r="B29" s="15">
        <v>0.95589999999999997</v>
      </c>
      <c r="C29" s="23">
        <v>39568</v>
      </c>
      <c r="D29" s="24">
        <v>195.95</v>
      </c>
      <c r="E29" s="4">
        <f t="shared" si="0"/>
        <v>1.9594999999999998</v>
      </c>
    </row>
    <row r="30" spans="1:5" s="2" customFormat="1" ht="15" customHeight="1" thickBot="1">
      <c r="A30" s="8">
        <v>39629</v>
      </c>
      <c r="B30" s="15">
        <v>0.95789999999999997</v>
      </c>
      <c r="C30" s="23">
        <v>39599</v>
      </c>
      <c r="D30" s="24">
        <v>192.95</v>
      </c>
      <c r="E30" s="4">
        <f t="shared" si="0"/>
        <v>1.9295</v>
      </c>
    </row>
    <row r="31" spans="1:5" s="2" customFormat="1" ht="15" customHeight="1" thickBot="1">
      <c r="A31" s="8">
        <v>39660</v>
      </c>
      <c r="B31" s="15">
        <v>0.94179999999999997</v>
      </c>
      <c r="C31" s="23">
        <v>39629</v>
      </c>
      <c r="D31" s="24">
        <v>183.93</v>
      </c>
      <c r="E31" s="4">
        <f t="shared" si="0"/>
        <v>1.8393000000000002</v>
      </c>
    </row>
    <row r="32" spans="1:5" s="2" customFormat="1" ht="15" customHeight="1" thickBot="1">
      <c r="A32" s="8">
        <v>39691</v>
      </c>
      <c r="B32" s="15">
        <v>0.85819999999999996</v>
      </c>
      <c r="C32" s="23">
        <v>39660</v>
      </c>
      <c r="D32" s="24">
        <v>180.5</v>
      </c>
      <c r="E32" s="4">
        <f t="shared" si="0"/>
        <v>1.8049999999999999</v>
      </c>
    </row>
    <row r="33" spans="1:12" s="2" customFormat="1" ht="15" customHeight="1" thickBot="1">
      <c r="A33" s="8">
        <v>39721</v>
      </c>
      <c r="B33" s="15">
        <v>0.7944</v>
      </c>
      <c r="C33" s="23">
        <v>39691</v>
      </c>
      <c r="D33" s="24">
        <v>178.74</v>
      </c>
      <c r="E33" s="4">
        <f t="shared" si="0"/>
        <v>1.7874000000000001</v>
      </c>
    </row>
    <row r="34" spans="1:12" s="2" customFormat="1" ht="15" customHeight="1" thickBot="1">
      <c r="A34" s="8">
        <v>39752</v>
      </c>
      <c r="B34" s="15">
        <v>0.66790000000000005</v>
      </c>
      <c r="C34" s="23">
        <v>39721</v>
      </c>
      <c r="D34" s="24">
        <v>139.63999999999999</v>
      </c>
      <c r="E34" s="4">
        <f t="shared" si="0"/>
        <v>1.3963999999999999</v>
      </c>
      <c r="F34" s="26" t="s">
        <v>167</v>
      </c>
      <c r="L34" s="29" t="s">
        <v>168</v>
      </c>
    </row>
    <row r="35" spans="1:12" s="2" customFormat="1" ht="15" customHeight="1" thickBot="1">
      <c r="A35" s="8">
        <v>39782</v>
      </c>
      <c r="B35" s="15">
        <v>0.65510000000000002</v>
      </c>
      <c r="C35" s="23">
        <v>39752</v>
      </c>
      <c r="D35" s="24">
        <v>88.67</v>
      </c>
      <c r="E35" s="4">
        <f t="shared" si="0"/>
        <v>0.88670000000000004</v>
      </c>
    </row>
    <row r="36" spans="1:12" s="2" customFormat="1" ht="15" customHeight="1" thickBot="1">
      <c r="A36" s="8">
        <v>39813</v>
      </c>
      <c r="B36" s="15">
        <v>0.70760000000000001</v>
      </c>
      <c r="C36" s="23">
        <v>39782</v>
      </c>
      <c r="D36" s="24">
        <v>64.95</v>
      </c>
      <c r="E36" s="4">
        <f t="shared" si="0"/>
        <v>0.64950000000000008</v>
      </c>
    </row>
    <row r="37" spans="1:12" s="2" customFormat="1" ht="15" customHeight="1" thickBot="1">
      <c r="A37" s="8">
        <v>39844</v>
      </c>
      <c r="B37" s="15">
        <v>0.6351</v>
      </c>
      <c r="C37" s="23">
        <v>39813</v>
      </c>
      <c r="D37" s="24">
        <v>69.98</v>
      </c>
      <c r="E37" s="4">
        <f t="shared" si="0"/>
        <v>0.69980000000000009</v>
      </c>
    </row>
    <row r="38" spans="1:12" s="2" customFormat="1" ht="15" customHeight="1" thickBot="1">
      <c r="A38" s="8">
        <v>39872</v>
      </c>
      <c r="B38" s="15">
        <v>0.63990000000000002</v>
      </c>
      <c r="C38" s="23">
        <v>39844</v>
      </c>
      <c r="D38" s="24">
        <v>72.510000000000005</v>
      </c>
      <c r="E38" s="4">
        <f t="shared" si="0"/>
        <v>0.72510000000000008</v>
      </c>
    </row>
    <row r="39" spans="1:12" s="2" customFormat="1" ht="15" customHeight="1" thickBot="1">
      <c r="A39" s="8">
        <v>39903</v>
      </c>
      <c r="B39" s="15">
        <v>0.69220000000000004</v>
      </c>
      <c r="C39" s="23">
        <v>39872</v>
      </c>
      <c r="D39" s="24">
        <v>75.59</v>
      </c>
      <c r="E39" s="4">
        <f t="shared" si="0"/>
        <v>0.75590000000000002</v>
      </c>
    </row>
    <row r="40" spans="1:12" s="2" customFormat="1" ht="15" customHeight="1" thickBot="1">
      <c r="A40" s="8">
        <v>39933</v>
      </c>
      <c r="B40" s="15">
        <v>0.72519999999999996</v>
      </c>
      <c r="C40" s="23">
        <v>39903</v>
      </c>
      <c r="D40" s="24">
        <v>64.069999999999993</v>
      </c>
      <c r="E40" s="4">
        <f t="shared" si="0"/>
        <v>0.64069999999999994</v>
      </c>
    </row>
    <row r="41" spans="1:12" s="2" customFormat="1" ht="15" customHeight="1" thickBot="1">
      <c r="A41" s="8">
        <v>39964</v>
      </c>
      <c r="B41" s="15">
        <v>0.80120000000000002</v>
      </c>
      <c r="C41" s="23">
        <v>39933</v>
      </c>
      <c r="D41" s="24">
        <v>59.78</v>
      </c>
      <c r="E41" s="4">
        <f t="shared" si="0"/>
        <v>0.5978</v>
      </c>
    </row>
    <row r="42" spans="1:12" s="2" customFormat="1" ht="15" customHeight="1" thickBot="1">
      <c r="A42" s="8">
        <v>39994</v>
      </c>
      <c r="B42" s="15">
        <v>0.80689999999999995</v>
      </c>
      <c r="C42" s="23">
        <v>39964</v>
      </c>
      <c r="D42" s="24">
        <v>62.69</v>
      </c>
      <c r="E42" s="4">
        <f t="shared" si="0"/>
        <v>0.62690000000000001</v>
      </c>
    </row>
    <row r="43" spans="1:12" s="2" customFormat="1" ht="15" customHeight="1" thickBot="1">
      <c r="A43" s="8">
        <v>40025</v>
      </c>
      <c r="B43" s="15">
        <v>0.83540000000000003</v>
      </c>
      <c r="C43" s="23">
        <v>39994</v>
      </c>
      <c r="D43" s="24">
        <v>71.66</v>
      </c>
      <c r="E43" s="4">
        <f t="shared" si="0"/>
        <v>0.71660000000000001</v>
      </c>
    </row>
    <row r="44" spans="1:12" s="2" customFormat="1" ht="15" customHeight="1" thickBot="1">
      <c r="A44" s="8">
        <v>40056</v>
      </c>
      <c r="B44" s="15">
        <v>0.84450000000000003</v>
      </c>
      <c r="C44" s="23">
        <v>40025</v>
      </c>
      <c r="D44" s="24">
        <v>83.95</v>
      </c>
      <c r="E44" s="4">
        <f t="shared" si="0"/>
        <v>0.83950000000000002</v>
      </c>
    </row>
    <row r="45" spans="1:12" s="2" customFormat="1" ht="15" customHeight="1" thickBot="1">
      <c r="A45" s="8">
        <v>40086</v>
      </c>
      <c r="B45" s="15">
        <v>0.88370000000000004</v>
      </c>
      <c r="C45" s="23">
        <v>40056</v>
      </c>
      <c r="D45" s="24">
        <v>97.67</v>
      </c>
      <c r="E45" s="4">
        <f t="shared" si="0"/>
        <v>0.97670000000000001</v>
      </c>
    </row>
    <row r="46" spans="1:12" s="2" customFormat="1" ht="15" customHeight="1" thickBot="1">
      <c r="A46" s="8">
        <v>40117</v>
      </c>
      <c r="B46" s="15">
        <v>0.89929999999999999</v>
      </c>
      <c r="C46" s="23">
        <v>40086</v>
      </c>
      <c r="D46" s="24">
        <v>80.709999999999994</v>
      </c>
      <c r="E46" s="4">
        <f t="shared" si="0"/>
        <v>0.80709999999999993</v>
      </c>
    </row>
    <row r="47" spans="1:12" s="2" customFormat="1" ht="15" customHeight="1" thickBot="1">
      <c r="A47" s="8">
        <v>40147</v>
      </c>
      <c r="B47" s="15">
        <v>0.91510000000000002</v>
      </c>
      <c r="C47" s="23">
        <v>40117</v>
      </c>
      <c r="D47" s="24">
        <v>86.79</v>
      </c>
      <c r="E47" s="4">
        <f t="shared" si="0"/>
        <v>0.86790000000000012</v>
      </c>
    </row>
    <row r="48" spans="1:12" s="2" customFormat="1" ht="15" customHeight="1" thickBot="1">
      <c r="A48" s="8">
        <v>40178</v>
      </c>
      <c r="B48" s="15">
        <v>0.89729999999999999</v>
      </c>
      <c r="C48" s="23">
        <v>40147</v>
      </c>
      <c r="D48" s="24">
        <v>99.26</v>
      </c>
      <c r="E48" s="4">
        <f t="shared" si="0"/>
        <v>0.99260000000000004</v>
      </c>
    </row>
    <row r="49" spans="1:5" s="2" customFormat="1" ht="15" customHeight="1" thickBot="1">
      <c r="A49" s="8">
        <v>40209</v>
      </c>
      <c r="B49" s="15">
        <v>0.88470000000000004</v>
      </c>
      <c r="C49" s="23">
        <v>40178</v>
      </c>
      <c r="D49" s="24">
        <v>105.07</v>
      </c>
      <c r="E49" s="4">
        <f t="shared" si="0"/>
        <v>1.0507</v>
      </c>
    </row>
    <row r="50" spans="1:5" s="2" customFormat="1" ht="15" customHeight="1" thickBot="1">
      <c r="A50" s="8">
        <v>40237</v>
      </c>
      <c r="B50" s="15">
        <v>0.89510000000000001</v>
      </c>
      <c r="C50" s="23">
        <v>40209</v>
      </c>
      <c r="D50" s="24">
        <v>125.72</v>
      </c>
      <c r="E50" s="4">
        <f t="shared" si="0"/>
        <v>1.2572000000000001</v>
      </c>
    </row>
    <row r="51" spans="1:5" s="2" customFormat="1" ht="15" customHeight="1" thickBot="1">
      <c r="A51" s="8">
        <v>40268</v>
      </c>
      <c r="B51" s="15">
        <v>0.91669999999999996</v>
      </c>
      <c r="C51" s="23">
        <v>40237</v>
      </c>
      <c r="D51" s="24">
        <v>127.49</v>
      </c>
      <c r="E51" s="4">
        <f t="shared" si="0"/>
        <v>1.2748999999999999</v>
      </c>
    </row>
    <row r="52" spans="1:5" s="2" customFormat="1" ht="15" customHeight="1" thickBot="1">
      <c r="A52" s="8">
        <v>40298</v>
      </c>
      <c r="B52" s="15">
        <v>0.92459999999999998</v>
      </c>
      <c r="C52" s="23">
        <v>40268</v>
      </c>
      <c r="D52" s="24">
        <v>139.69</v>
      </c>
      <c r="E52" s="4">
        <f t="shared" si="0"/>
        <v>1.3969</v>
      </c>
    </row>
    <row r="53" spans="1:5" s="2" customFormat="1" ht="15" customHeight="1" thickBot="1">
      <c r="A53" s="8">
        <v>40329</v>
      </c>
      <c r="B53" s="15">
        <v>0.84660000000000002</v>
      </c>
      <c r="C53" s="23">
        <v>40298</v>
      </c>
      <c r="D53" s="24">
        <v>172.47</v>
      </c>
      <c r="E53" s="4">
        <f t="shared" si="0"/>
        <v>1.7246999999999999</v>
      </c>
    </row>
    <row r="54" spans="1:5" s="2" customFormat="1" ht="15" customHeight="1" thickBot="1">
      <c r="A54" s="8">
        <v>40359</v>
      </c>
      <c r="B54" s="15">
        <v>0.84</v>
      </c>
      <c r="C54" s="23">
        <v>40329</v>
      </c>
      <c r="D54" s="24">
        <v>161.35</v>
      </c>
      <c r="E54" s="4">
        <f t="shared" si="0"/>
        <v>1.6134999999999999</v>
      </c>
    </row>
    <row r="55" spans="1:5" s="2" customFormat="1" ht="15" customHeight="1" thickBot="1">
      <c r="A55" s="8">
        <v>40390</v>
      </c>
      <c r="B55" s="15">
        <v>0.9042</v>
      </c>
      <c r="C55" s="23">
        <v>40359</v>
      </c>
      <c r="D55" s="24">
        <v>143.63</v>
      </c>
      <c r="E55" s="4">
        <f t="shared" si="0"/>
        <v>1.4362999999999999</v>
      </c>
    </row>
    <row r="56" spans="1:5" s="2" customFormat="1" ht="15" customHeight="1" thickBot="1">
      <c r="A56" s="8">
        <v>40421</v>
      </c>
      <c r="B56" s="15">
        <v>0.89090000000000003</v>
      </c>
      <c r="C56" s="23">
        <v>40390</v>
      </c>
      <c r="D56" s="24">
        <v>126.36</v>
      </c>
      <c r="E56" s="4">
        <f t="shared" si="0"/>
        <v>1.2636000000000001</v>
      </c>
    </row>
    <row r="57" spans="1:5" s="2" customFormat="1" ht="15" customHeight="1" thickBot="1">
      <c r="A57" s="8">
        <v>40451</v>
      </c>
      <c r="B57" s="15">
        <v>0.96679999999999999</v>
      </c>
      <c r="C57" s="23">
        <v>40421</v>
      </c>
      <c r="D57" s="24">
        <v>145.34</v>
      </c>
      <c r="E57" s="4">
        <f t="shared" si="0"/>
        <v>1.4534</v>
      </c>
    </row>
    <row r="58" spans="1:5" s="2" customFormat="1" ht="15" customHeight="1" thickBot="1">
      <c r="A58" s="8">
        <v>40482</v>
      </c>
      <c r="B58" s="15">
        <v>0.98370000000000002</v>
      </c>
      <c r="C58" s="23">
        <v>40451</v>
      </c>
      <c r="D58" s="24">
        <v>140.62727000000001</v>
      </c>
      <c r="E58" s="4">
        <f t="shared" si="0"/>
        <v>1.4062727000000002</v>
      </c>
    </row>
    <row r="59" spans="1:5" s="2" customFormat="1" ht="15" customHeight="1" thickBot="1">
      <c r="A59" s="8">
        <v>40512</v>
      </c>
      <c r="B59" s="15">
        <v>0.9577</v>
      </c>
      <c r="C59" s="23">
        <v>40482</v>
      </c>
      <c r="D59" s="24">
        <v>148.48095000000001</v>
      </c>
      <c r="E59" s="4">
        <f t="shared" si="0"/>
        <v>1.4848095000000001</v>
      </c>
    </row>
    <row r="60" spans="1:5" s="2" customFormat="1" ht="15" customHeight="1" thickBot="1">
      <c r="A60" s="8">
        <v>40543</v>
      </c>
      <c r="B60" s="15">
        <v>1.0217000000000001</v>
      </c>
      <c r="C60" s="23">
        <v>40512</v>
      </c>
      <c r="D60" s="24">
        <v>156.1</v>
      </c>
      <c r="E60" s="4">
        <f t="shared" si="0"/>
        <v>1.5609999999999999</v>
      </c>
    </row>
    <row r="61" spans="1:5" s="2" customFormat="1" ht="15" customHeight="1" thickBot="1">
      <c r="A61" s="8">
        <v>40574</v>
      </c>
      <c r="B61" s="15">
        <v>0.99670000000000003</v>
      </c>
      <c r="C61" s="23">
        <v>40543</v>
      </c>
      <c r="D61" s="24">
        <v>163.1</v>
      </c>
      <c r="E61" s="4">
        <f t="shared" si="0"/>
        <v>1.631</v>
      </c>
    </row>
    <row r="62" spans="1:5" s="2" customFormat="1" ht="15" customHeight="1" thickBot="1">
      <c r="A62" s="8">
        <v>40602</v>
      </c>
      <c r="B62" s="15">
        <v>1.0185999999999999</v>
      </c>
      <c r="C62" s="23">
        <v>40574</v>
      </c>
      <c r="D62" s="24">
        <v>179.18</v>
      </c>
      <c r="E62" s="4">
        <f t="shared" si="0"/>
        <v>1.7918000000000001</v>
      </c>
    </row>
    <row r="63" spans="1:5" s="2" customFormat="1" ht="15" customHeight="1" thickBot="1">
      <c r="A63" s="8">
        <v>40633</v>
      </c>
      <c r="B63" s="15">
        <v>1.0327999999999999</v>
      </c>
      <c r="C63" s="23">
        <v>40602</v>
      </c>
      <c r="D63" s="24">
        <v>187.18</v>
      </c>
      <c r="E63" s="4">
        <f t="shared" si="0"/>
        <v>1.8718000000000001</v>
      </c>
    </row>
    <row r="64" spans="1:5" s="2" customFormat="1" ht="15" customHeight="1" thickBot="1">
      <c r="A64" s="8">
        <v>40663</v>
      </c>
      <c r="B64" s="15">
        <v>1.0967</v>
      </c>
      <c r="C64" s="23">
        <v>40633</v>
      </c>
      <c r="D64" s="24">
        <v>169.36</v>
      </c>
      <c r="E64" s="4">
        <f t="shared" si="0"/>
        <v>1.6936000000000002</v>
      </c>
    </row>
    <row r="65" spans="1:5" s="2" customFormat="1" ht="15" customHeight="1" thickBot="1">
      <c r="A65" s="8">
        <v>40694</v>
      </c>
      <c r="B65" s="15">
        <v>1.0670999999999999</v>
      </c>
      <c r="C65" s="23">
        <v>40663</v>
      </c>
      <c r="D65" s="24">
        <v>179.33</v>
      </c>
      <c r="E65" s="4">
        <f t="shared" si="0"/>
        <v>1.7933000000000001</v>
      </c>
    </row>
    <row r="66" spans="1:5" s="2" customFormat="1" ht="15" customHeight="1" thickBot="1">
      <c r="A66" s="8">
        <v>40724</v>
      </c>
      <c r="B66" s="15">
        <v>1.0722</v>
      </c>
      <c r="C66" s="23">
        <v>40694</v>
      </c>
      <c r="D66" s="24">
        <v>177.05</v>
      </c>
      <c r="E66" s="4">
        <f t="shared" si="0"/>
        <v>1.7705000000000002</v>
      </c>
    </row>
    <row r="67" spans="1:5" s="2" customFormat="1" ht="15" customHeight="1" thickBot="1">
      <c r="A67" s="8">
        <v>40755</v>
      </c>
      <c r="B67" s="15">
        <v>1.0994999999999999</v>
      </c>
      <c r="C67" s="23">
        <v>40724</v>
      </c>
      <c r="D67" s="24">
        <v>170.88</v>
      </c>
      <c r="E67" s="4">
        <f t="shared" ref="E67:E110" si="1">D67/100</f>
        <v>1.7087999999999999</v>
      </c>
    </row>
    <row r="68" spans="1:5" s="2" customFormat="1" ht="15" customHeight="1" thickBot="1">
      <c r="A68" s="8">
        <v>40786</v>
      </c>
      <c r="B68" s="15">
        <v>1.0702</v>
      </c>
      <c r="C68" s="23">
        <v>40755</v>
      </c>
      <c r="D68" s="24">
        <v>172.98</v>
      </c>
      <c r="E68" s="4">
        <f t="shared" si="1"/>
        <v>1.7298</v>
      </c>
    </row>
    <row r="69" spans="1:5" s="2" customFormat="1" ht="15" customHeight="1" thickBot="1">
      <c r="A69" s="8">
        <v>40816</v>
      </c>
      <c r="B69" s="15">
        <v>0.96640000000000004</v>
      </c>
      <c r="C69" s="23">
        <v>40786</v>
      </c>
      <c r="D69" s="24">
        <v>177.5</v>
      </c>
      <c r="E69" s="4">
        <f t="shared" si="1"/>
        <v>1.7749999999999999</v>
      </c>
    </row>
    <row r="70" spans="1:5" s="2" customFormat="1" ht="15" customHeight="1" thickBot="1">
      <c r="A70" s="8">
        <v>40847</v>
      </c>
      <c r="B70" s="15">
        <v>1.0536000000000001</v>
      </c>
      <c r="C70" s="23">
        <v>40816</v>
      </c>
      <c r="D70" s="24">
        <v>177.23</v>
      </c>
      <c r="E70" s="4">
        <f t="shared" si="1"/>
        <v>1.7723</v>
      </c>
    </row>
    <row r="71" spans="1:5" s="2" customFormat="1" ht="15" customHeight="1" thickBot="1">
      <c r="A71" s="8">
        <v>40877</v>
      </c>
      <c r="B71" s="15">
        <v>1.0276000000000001</v>
      </c>
      <c r="C71" s="23">
        <v>40847</v>
      </c>
      <c r="D71" s="24">
        <v>150.43</v>
      </c>
      <c r="E71" s="4">
        <f t="shared" si="1"/>
        <v>1.5043</v>
      </c>
    </row>
    <row r="72" spans="1:5" s="2" customFormat="1" ht="15" customHeight="1" thickBot="1">
      <c r="A72" s="8">
        <v>40908</v>
      </c>
      <c r="B72" s="15">
        <v>1.0227999999999999</v>
      </c>
      <c r="C72" s="23">
        <v>40877</v>
      </c>
      <c r="D72" s="24">
        <v>135.54</v>
      </c>
      <c r="E72" s="4">
        <f t="shared" si="1"/>
        <v>1.3553999999999999</v>
      </c>
    </row>
    <row r="73" spans="1:5" s="2" customFormat="1" ht="15" customHeight="1" thickBot="1">
      <c r="A73" s="8">
        <v>40939</v>
      </c>
      <c r="B73" s="15">
        <v>1.0616000000000001</v>
      </c>
      <c r="C73" s="23">
        <v>40908</v>
      </c>
      <c r="D73" s="24">
        <v>136.38999999999999</v>
      </c>
      <c r="E73" s="4">
        <f t="shared" si="1"/>
        <v>1.3638999999999999</v>
      </c>
    </row>
    <row r="74" spans="1:5" s="2" customFormat="1" ht="15" customHeight="1" thickBot="1">
      <c r="A74" s="8">
        <v>40968</v>
      </c>
      <c r="B74" s="15">
        <v>1.0731999999999999</v>
      </c>
      <c r="C74" s="23">
        <v>40939</v>
      </c>
      <c r="D74" s="24">
        <v>140.26</v>
      </c>
      <c r="E74" s="4">
        <f t="shared" si="1"/>
        <v>1.4025999999999998</v>
      </c>
    </row>
    <row r="75" spans="1:5" s="2" customFormat="1" ht="15" customHeight="1" thickBot="1">
      <c r="A75" s="8">
        <v>40999</v>
      </c>
      <c r="B75" s="15">
        <v>1.0346</v>
      </c>
      <c r="C75" s="23">
        <v>40968</v>
      </c>
      <c r="D75" s="24">
        <v>140.4</v>
      </c>
      <c r="E75" s="4">
        <f t="shared" si="1"/>
        <v>1.4040000000000001</v>
      </c>
    </row>
    <row r="76" spans="1:5" s="2" customFormat="1" ht="15" customHeight="1" thickBot="1">
      <c r="A76" s="8">
        <v>41029</v>
      </c>
      <c r="B76" s="15">
        <v>1.0426</v>
      </c>
      <c r="C76" s="23">
        <v>40999</v>
      </c>
      <c r="D76" s="24">
        <v>144.66</v>
      </c>
      <c r="E76" s="4">
        <f t="shared" si="1"/>
        <v>1.4465999999999999</v>
      </c>
    </row>
    <row r="77" spans="1:5" s="2" customFormat="1" ht="15" customHeight="1" thickBot="1">
      <c r="A77" s="8">
        <v>41060</v>
      </c>
      <c r="B77" s="15">
        <v>0.97289999999999999</v>
      </c>
      <c r="C77" s="23">
        <v>41029</v>
      </c>
      <c r="D77" s="24">
        <v>147.63999999999999</v>
      </c>
      <c r="E77" s="4">
        <f t="shared" si="1"/>
        <v>1.4763999999999999</v>
      </c>
    </row>
    <row r="78" spans="1:5" s="2" customFormat="1" ht="15" customHeight="1" thickBot="1">
      <c r="A78" s="8">
        <v>41090</v>
      </c>
      <c r="B78" s="15">
        <v>1.024</v>
      </c>
      <c r="C78" s="23">
        <v>41060</v>
      </c>
      <c r="D78" s="24">
        <v>136.61000000000001</v>
      </c>
      <c r="E78" s="4">
        <f t="shared" si="1"/>
        <v>1.3661000000000001</v>
      </c>
    </row>
    <row r="79" spans="1:5" s="2" customFormat="1" ht="15" customHeight="1" thickBot="1">
      <c r="A79" s="8">
        <v>41121</v>
      </c>
      <c r="B79" s="15">
        <v>1.0502</v>
      </c>
      <c r="C79" s="23">
        <v>41090</v>
      </c>
      <c r="D79" s="24">
        <v>134.66</v>
      </c>
      <c r="E79" s="4">
        <f t="shared" si="1"/>
        <v>1.3466</v>
      </c>
    </row>
    <row r="80" spans="1:5" s="2" customFormat="1" ht="15" customHeight="1" thickBot="1">
      <c r="A80" s="8">
        <v>41152</v>
      </c>
      <c r="B80" s="15">
        <v>1.0322</v>
      </c>
      <c r="C80" s="23">
        <v>41121</v>
      </c>
      <c r="D80" s="24">
        <v>127.94</v>
      </c>
      <c r="E80" s="4">
        <f t="shared" si="1"/>
        <v>1.2793999999999999</v>
      </c>
    </row>
    <row r="81" spans="1:5" s="2" customFormat="1" ht="15" customHeight="1" thickBot="1">
      <c r="A81" s="8">
        <v>41182</v>
      </c>
      <c r="B81" s="15">
        <v>1.0378000000000001</v>
      </c>
      <c r="C81" s="23">
        <v>41152</v>
      </c>
      <c r="D81" s="24">
        <v>107.5</v>
      </c>
      <c r="E81" s="4">
        <f t="shared" si="1"/>
        <v>1.075</v>
      </c>
    </row>
    <row r="82" spans="1:5" s="2" customFormat="1" ht="15" customHeight="1" thickBot="1">
      <c r="A82" s="8">
        <v>41213</v>
      </c>
      <c r="B82" s="15">
        <v>1.0375000000000001</v>
      </c>
      <c r="C82" s="23">
        <v>41182</v>
      </c>
      <c r="D82" s="24">
        <v>99.47</v>
      </c>
      <c r="E82" s="4">
        <f t="shared" si="1"/>
        <v>0.99470000000000003</v>
      </c>
    </row>
    <row r="83" spans="1:5" s="2" customFormat="1" ht="15" customHeight="1" thickBot="1">
      <c r="A83" s="8">
        <v>41243</v>
      </c>
      <c r="B83" s="15">
        <v>1.0427999999999999</v>
      </c>
      <c r="C83" s="23">
        <v>41213</v>
      </c>
      <c r="D83" s="24">
        <v>113.95</v>
      </c>
      <c r="E83" s="4">
        <f t="shared" si="1"/>
        <v>1.1395</v>
      </c>
    </row>
    <row r="84" spans="1:5" s="2" customFormat="1" ht="15" customHeight="1" thickBot="1">
      <c r="A84" s="8">
        <v>41274</v>
      </c>
      <c r="B84" s="15">
        <v>1.0394000000000001</v>
      </c>
      <c r="C84" s="23">
        <v>41243</v>
      </c>
      <c r="D84" s="24">
        <v>120.35</v>
      </c>
      <c r="E84" s="4">
        <f t="shared" si="1"/>
        <v>1.2035</v>
      </c>
    </row>
    <row r="85" spans="1:5" s="2" customFormat="1" ht="15" customHeight="1" thickBot="1">
      <c r="A85" s="8">
        <v>41305</v>
      </c>
      <c r="B85" s="15">
        <v>1.0424</v>
      </c>
      <c r="C85" s="23">
        <v>41274</v>
      </c>
      <c r="D85" s="24">
        <v>128.51111</v>
      </c>
      <c r="E85" s="4">
        <f t="shared" si="1"/>
        <v>1.2851111</v>
      </c>
    </row>
    <row r="86" spans="1:5" s="2" customFormat="1" ht="15" customHeight="1" thickBot="1">
      <c r="A86" s="8">
        <v>41333</v>
      </c>
      <c r="B86" s="15">
        <v>1.0214000000000001</v>
      </c>
      <c r="C86" s="23">
        <v>41305</v>
      </c>
      <c r="D86" s="24">
        <v>150.49091000000001</v>
      </c>
      <c r="E86" s="4">
        <f t="shared" si="1"/>
        <v>1.5049091000000001</v>
      </c>
    </row>
    <row r="87" spans="1:5" s="2" customFormat="1" ht="15" customHeight="1" thickBot="1">
      <c r="A87" s="8">
        <v>41364</v>
      </c>
      <c r="B87" s="15">
        <v>1.0419</v>
      </c>
      <c r="C87" s="23">
        <v>41333</v>
      </c>
      <c r="D87" s="24">
        <v>154.63889</v>
      </c>
      <c r="E87" s="4">
        <f t="shared" si="1"/>
        <v>1.5463889</v>
      </c>
    </row>
    <row r="88" spans="1:5" s="2" customFormat="1" ht="15" customHeight="1" thickBot="1">
      <c r="A88" s="8">
        <v>41394</v>
      </c>
      <c r="B88" s="15">
        <v>1.0370999999999999</v>
      </c>
      <c r="C88" s="23">
        <v>41364</v>
      </c>
      <c r="D88" s="24">
        <v>139.87</v>
      </c>
      <c r="E88" s="4">
        <f t="shared" si="1"/>
        <v>1.3987000000000001</v>
      </c>
    </row>
    <row r="89" spans="1:5" s="2" customFormat="1" ht="15" customHeight="1" thickBot="1">
      <c r="A89" s="8">
        <v>41425</v>
      </c>
      <c r="B89" s="15">
        <v>0.95730000000000004</v>
      </c>
      <c r="C89" s="23">
        <v>41394</v>
      </c>
      <c r="D89" s="24">
        <v>137.39090999999999</v>
      </c>
      <c r="E89" s="4">
        <f t="shared" si="1"/>
        <v>1.3739090999999999</v>
      </c>
    </row>
    <row r="90" spans="1:5" s="2" customFormat="1" ht="15" customHeight="1" thickBot="1">
      <c r="A90" s="8">
        <v>41455</v>
      </c>
      <c r="B90" s="15">
        <v>0.91369999999999996</v>
      </c>
      <c r="C90" s="23">
        <v>41425</v>
      </c>
      <c r="D90" s="24">
        <v>124.00951999999999</v>
      </c>
      <c r="E90" s="4">
        <f t="shared" si="1"/>
        <v>1.2400951999999998</v>
      </c>
    </row>
    <row r="91" spans="1:5" s="2" customFormat="1" ht="15" customHeight="1" thickBot="1">
      <c r="A91" s="8">
        <v>41486</v>
      </c>
      <c r="B91" s="15">
        <v>0.8982</v>
      </c>
      <c r="C91" s="23">
        <v>41455</v>
      </c>
      <c r="D91" s="24">
        <v>114.815</v>
      </c>
      <c r="E91" s="4">
        <f t="shared" si="1"/>
        <v>1.14815</v>
      </c>
    </row>
    <row r="92" spans="1:5" s="2" customFormat="1" ht="15" customHeight="1" thickBot="1">
      <c r="A92" s="8">
        <v>41517</v>
      </c>
      <c r="B92" s="15">
        <v>0.89</v>
      </c>
      <c r="C92" s="23">
        <v>41486</v>
      </c>
      <c r="D92" s="24">
        <v>127.1913</v>
      </c>
      <c r="E92" s="4">
        <f t="shared" si="1"/>
        <v>1.2719130000000001</v>
      </c>
    </row>
    <row r="93" spans="1:5" s="2" customFormat="1" ht="15" customHeight="1" thickBot="1">
      <c r="A93" s="8">
        <v>41547</v>
      </c>
      <c r="B93" s="15">
        <v>0.93169999999999997</v>
      </c>
      <c r="C93" s="23">
        <v>41517</v>
      </c>
      <c r="D93" s="24">
        <v>137.05500000000001</v>
      </c>
      <c r="E93" s="4">
        <f t="shared" si="1"/>
        <v>1.3705500000000002</v>
      </c>
    </row>
    <row r="94" spans="1:5" s="2" customFormat="1" ht="15" customHeight="1" thickBot="1">
      <c r="A94" s="8">
        <v>41578</v>
      </c>
      <c r="B94" s="15">
        <v>0.94589999999999996</v>
      </c>
      <c r="C94" s="23">
        <v>41547</v>
      </c>
      <c r="D94" s="24">
        <v>134.18571</v>
      </c>
      <c r="E94" s="4">
        <f t="shared" si="1"/>
        <v>1.3418570999999999</v>
      </c>
    </row>
    <row r="95" spans="1:5" s="2" customFormat="1" ht="15" customHeight="1" thickBot="1">
      <c r="A95" s="8">
        <v>41608</v>
      </c>
      <c r="B95" s="15">
        <v>0.91120000000000001</v>
      </c>
      <c r="C95" s="23">
        <v>41578</v>
      </c>
      <c r="D95" s="24">
        <v>132.57273000000001</v>
      </c>
      <c r="E95" s="4">
        <f t="shared" si="1"/>
        <v>1.3257273000000001</v>
      </c>
    </row>
    <row r="96" spans="1:5" s="2" customFormat="1" ht="15" customHeight="1" thickBot="1">
      <c r="A96" s="8">
        <v>41639</v>
      </c>
      <c r="B96" s="15">
        <v>0.89180000000000004</v>
      </c>
      <c r="C96" s="23">
        <v>41608</v>
      </c>
      <c r="D96" s="24">
        <v>136.32381000000001</v>
      </c>
      <c r="E96" s="4">
        <f t="shared" si="1"/>
        <v>1.3632381</v>
      </c>
    </row>
    <row r="97" spans="1:5" s="2" customFormat="1" ht="15" customHeight="1" thickBot="1">
      <c r="A97" s="8">
        <v>41670</v>
      </c>
      <c r="B97" s="15">
        <v>0.87560000000000004</v>
      </c>
      <c r="C97" s="23">
        <v>41639</v>
      </c>
      <c r="D97" s="24">
        <v>135.79048</v>
      </c>
      <c r="E97" s="4">
        <f t="shared" si="1"/>
        <v>1.3579048</v>
      </c>
    </row>
    <row r="98" spans="1:5" s="2" customFormat="1" ht="15" customHeight="1" thickBot="1">
      <c r="A98" s="8">
        <v>41698</v>
      </c>
      <c r="B98" s="15">
        <v>0.89290000000000003</v>
      </c>
      <c r="C98" s="23">
        <v>41670</v>
      </c>
      <c r="D98" s="24">
        <v>128.119</v>
      </c>
      <c r="E98" s="4">
        <f t="shared" si="1"/>
        <v>1.2811900000000001</v>
      </c>
    </row>
    <row r="99" spans="1:5" s="2" customFormat="1" ht="15" customHeight="1" thickBot="1">
      <c r="A99" s="8">
        <v>41729</v>
      </c>
      <c r="B99" s="15">
        <v>0.9264</v>
      </c>
      <c r="C99" s="23">
        <v>41698</v>
      </c>
      <c r="D99" s="24">
        <v>121.37</v>
      </c>
      <c r="E99" s="4">
        <f t="shared" si="1"/>
        <v>1.2137</v>
      </c>
    </row>
    <row r="100" spans="1:5" s="2" customFormat="1" ht="15" customHeight="1" thickBot="1">
      <c r="A100" s="8">
        <v>41759</v>
      </c>
      <c r="B100" s="15">
        <v>0.92879999999999996</v>
      </c>
      <c r="C100" s="23">
        <v>41729</v>
      </c>
      <c r="D100" s="24">
        <v>111.833</v>
      </c>
      <c r="E100" s="4">
        <f t="shared" si="1"/>
        <v>1.11833</v>
      </c>
    </row>
    <row r="101" spans="1:5" s="2" customFormat="1" ht="15" customHeight="1" thickBot="1">
      <c r="A101" s="8">
        <v>41790</v>
      </c>
      <c r="B101" s="15">
        <v>0.93120000000000003</v>
      </c>
      <c r="C101" s="23">
        <v>41759</v>
      </c>
      <c r="D101" s="24">
        <v>114.581</v>
      </c>
      <c r="E101" s="4">
        <f t="shared" si="1"/>
        <v>1.14581</v>
      </c>
    </row>
    <row r="102" spans="1:5" s="2" customFormat="1" ht="15" customHeight="1" thickBot="1">
      <c r="A102" s="8">
        <v>41820</v>
      </c>
      <c r="B102" s="15">
        <v>0.94320000000000004</v>
      </c>
      <c r="C102" s="23">
        <v>41790</v>
      </c>
      <c r="D102" s="24">
        <v>100.56</v>
      </c>
      <c r="E102" s="4">
        <f t="shared" si="1"/>
        <v>1.0056</v>
      </c>
    </row>
    <row r="103" spans="1:5" s="2" customFormat="1" ht="15" customHeight="1" thickBot="1">
      <c r="A103" s="8">
        <v>41851</v>
      </c>
      <c r="B103" s="15">
        <v>0.92959999999999998</v>
      </c>
      <c r="C103" s="23">
        <v>41820</v>
      </c>
      <c r="D103" s="24">
        <v>92.742999999999995</v>
      </c>
      <c r="E103" s="4">
        <f t="shared" si="1"/>
        <v>0.92742999999999998</v>
      </c>
    </row>
    <row r="104" spans="1:5" s="2" customFormat="1" ht="15" customHeight="1" thickBot="1">
      <c r="A104" s="8">
        <v>41882</v>
      </c>
      <c r="B104" s="15">
        <v>0.93379999999999996</v>
      </c>
      <c r="C104" s="23">
        <v>41851</v>
      </c>
      <c r="D104" s="24">
        <v>96.05</v>
      </c>
      <c r="E104" s="4">
        <f t="shared" si="1"/>
        <v>0.96050000000000002</v>
      </c>
    </row>
    <row r="105" spans="1:5" s="2" customFormat="1" ht="15" customHeight="1" thickBot="1">
      <c r="A105" s="8">
        <v>41912</v>
      </c>
      <c r="B105" s="15">
        <v>0.87460000000000004</v>
      </c>
      <c r="C105" s="23">
        <v>41882</v>
      </c>
      <c r="D105" s="24">
        <v>92.614000000000004</v>
      </c>
      <c r="E105" s="4">
        <f t="shared" si="1"/>
        <v>0.92614000000000007</v>
      </c>
    </row>
    <row r="106" spans="1:5" s="2" customFormat="1" ht="15" customHeight="1" thickBot="1">
      <c r="A106" s="8">
        <v>41943</v>
      </c>
      <c r="B106" s="15">
        <v>0.87980000000000003</v>
      </c>
      <c r="C106" s="23">
        <v>41912</v>
      </c>
      <c r="D106" s="24">
        <v>82.379549999999995</v>
      </c>
      <c r="E106" s="4">
        <f t="shared" si="1"/>
        <v>0.8237954999999999</v>
      </c>
    </row>
    <row r="107" spans="1:5" s="2" customFormat="1" ht="15" customHeight="1" thickBot="1">
      <c r="A107" s="8">
        <v>41973</v>
      </c>
      <c r="B107" s="15">
        <v>0.85099999999999998</v>
      </c>
      <c r="C107" s="23">
        <v>41943</v>
      </c>
      <c r="D107" s="24">
        <v>81</v>
      </c>
      <c r="E107" s="4">
        <f t="shared" si="1"/>
        <v>0.81</v>
      </c>
    </row>
    <row r="108" spans="1:5" s="2" customFormat="1" ht="15" customHeight="1" thickBot="1">
      <c r="A108" s="8">
        <v>42004</v>
      </c>
      <c r="B108" s="15">
        <v>0.81699999999999995</v>
      </c>
      <c r="C108" s="23">
        <v>41973</v>
      </c>
      <c r="D108" s="24">
        <v>74</v>
      </c>
      <c r="E108" s="4">
        <f t="shared" si="1"/>
        <v>0.74</v>
      </c>
    </row>
    <row r="109" spans="1:5" s="2" customFormat="1" ht="15" customHeight="1" thickBot="1">
      <c r="A109" s="8">
        <v>42035</v>
      </c>
      <c r="B109" s="15">
        <v>0.77690000000000003</v>
      </c>
      <c r="C109" s="23">
        <v>42004</v>
      </c>
      <c r="D109" s="24">
        <v>68</v>
      </c>
      <c r="E109" s="4">
        <f t="shared" si="1"/>
        <v>0.68</v>
      </c>
    </row>
    <row r="110" spans="1:5" s="2" customFormat="1" ht="15" customHeight="1">
      <c r="A110" s="8">
        <v>42063</v>
      </c>
      <c r="B110" s="15">
        <v>0.78120000000000001</v>
      </c>
      <c r="C110" s="23">
        <v>42035</v>
      </c>
      <c r="D110" s="24">
        <v>68</v>
      </c>
      <c r="E110" s="4">
        <f t="shared" si="1"/>
        <v>0.68</v>
      </c>
    </row>
    <row r="111" spans="1:5" s="2" customFormat="1" ht="15" customHeight="1">
      <c r="A111" s="8"/>
      <c r="B111" s="3"/>
      <c r="C111" s="4"/>
      <c r="D111" s="4"/>
      <c r="E111" s="4"/>
    </row>
    <row r="112" spans="1:5" s="2" customFormat="1" ht="15" customHeight="1">
      <c r="A112" s="8"/>
      <c r="B112" s="3"/>
      <c r="C112" s="4"/>
      <c r="D112" s="4"/>
      <c r="E112" s="4"/>
    </row>
    <row r="113" spans="1:5" s="2" customFormat="1" ht="15" customHeight="1">
      <c r="A113" s="8"/>
      <c r="B113" s="3"/>
      <c r="C113" s="4"/>
      <c r="D113" s="4"/>
      <c r="E113" s="4"/>
    </row>
    <row r="114" spans="1:5" s="2" customFormat="1" ht="15" customHeight="1">
      <c r="A114" s="8"/>
      <c r="B114" s="3"/>
      <c r="C114" s="4"/>
      <c r="D114" s="4"/>
      <c r="E114" s="4"/>
    </row>
    <row r="115" spans="1:5" s="2" customFormat="1" ht="15" customHeight="1">
      <c r="A115" s="8"/>
      <c r="B115" s="3"/>
      <c r="C115" s="4"/>
      <c r="D115" s="4"/>
      <c r="E115" s="4"/>
    </row>
    <row r="116" spans="1:5" s="2" customFormat="1" ht="15" customHeight="1">
      <c r="A116" s="8"/>
      <c r="B116" s="3"/>
      <c r="C116" s="4"/>
      <c r="D116" s="4"/>
      <c r="E116" s="4"/>
    </row>
    <row r="117" spans="1:5" s="2" customFormat="1" ht="15" customHeight="1">
      <c r="A117" s="8"/>
      <c r="B117" s="3"/>
      <c r="C117" s="4"/>
      <c r="D117" s="4"/>
      <c r="E117" s="4"/>
    </row>
    <row r="118" spans="1:5" s="2" customFormat="1" ht="15" customHeight="1">
      <c r="A118" s="8"/>
      <c r="B118" s="3"/>
      <c r="C118" s="4"/>
      <c r="D118" s="4"/>
      <c r="E118" s="4"/>
    </row>
    <row r="119" spans="1:5" s="2" customFormat="1" ht="15" customHeight="1">
      <c r="A119" s="8"/>
      <c r="B119" s="3"/>
      <c r="C119" s="4"/>
      <c r="D119" s="4"/>
      <c r="E119" s="4"/>
    </row>
    <row r="120" spans="1:5" s="2" customFormat="1" ht="15" customHeight="1">
      <c r="A120" s="8"/>
      <c r="B120" s="3"/>
      <c r="C120" s="4"/>
      <c r="D120" s="4"/>
      <c r="E120" s="4"/>
    </row>
    <row r="121" spans="1:5" s="2" customFormat="1" ht="15" customHeight="1">
      <c r="A121" s="8"/>
      <c r="B121" s="3"/>
      <c r="C121" s="4"/>
      <c r="D121" s="4"/>
      <c r="E121" s="4"/>
    </row>
    <row r="122" spans="1:5" s="2" customFormat="1" ht="15" customHeight="1">
      <c r="A122" s="8"/>
      <c r="B122" s="3"/>
      <c r="C122" s="4"/>
      <c r="D122" s="4"/>
      <c r="E122" s="4"/>
    </row>
    <row r="123" spans="1:5" s="2" customFormat="1" ht="15" customHeight="1">
      <c r="A123" s="8"/>
      <c r="B123" s="3"/>
      <c r="C123" s="4"/>
      <c r="D123" s="4"/>
      <c r="E123" s="4"/>
    </row>
    <row r="124" spans="1:5" s="2" customFormat="1" ht="15" customHeight="1">
      <c r="A124" s="8"/>
      <c r="B124" s="3"/>
      <c r="C124" s="4"/>
      <c r="D124" s="4"/>
      <c r="E124" s="4"/>
    </row>
    <row r="125" spans="1:5" s="2" customFormat="1" ht="15" customHeight="1">
      <c r="A125" s="8"/>
      <c r="B125" s="3"/>
      <c r="C125" s="4"/>
      <c r="D125" s="4"/>
      <c r="E125" s="4"/>
    </row>
    <row r="126" spans="1:5" s="2" customFormat="1" ht="15" customHeight="1">
      <c r="A126" s="8"/>
      <c r="B126" s="3"/>
      <c r="C126" s="4"/>
      <c r="D126" s="4"/>
      <c r="E126" s="4"/>
    </row>
    <row r="127" spans="1:5" s="2" customFormat="1" ht="15" customHeight="1">
      <c r="A127" s="8"/>
      <c r="B127" s="3"/>
      <c r="C127" s="4"/>
      <c r="D127" s="4"/>
      <c r="E127" s="4"/>
    </row>
    <row r="128" spans="1:5" s="2" customFormat="1" ht="15" customHeight="1">
      <c r="A128" s="8"/>
      <c r="B128" s="3"/>
      <c r="C128" s="4"/>
      <c r="D128" s="4"/>
      <c r="E128" s="4"/>
    </row>
    <row r="129" spans="1:5" s="2" customFormat="1" ht="15" customHeight="1">
      <c r="A129" s="8"/>
      <c r="B129" s="3"/>
      <c r="C129" s="4"/>
      <c r="D129" s="4"/>
      <c r="E129" s="4"/>
    </row>
    <row r="130" spans="1:5" s="2" customFormat="1" ht="15" customHeight="1">
      <c r="A130" s="8"/>
      <c r="B130" s="3"/>
      <c r="C130" s="4"/>
      <c r="D130" s="4"/>
      <c r="E130" s="4"/>
    </row>
    <row r="131" spans="1:5" s="2" customFormat="1" ht="15" customHeight="1">
      <c r="A131" s="8"/>
      <c r="B131" s="3"/>
      <c r="C131" s="4"/>
      <c r="D131" s="4"/>
      <c r="E131" s="4"/>
    </row>
    <row r="132" spans="1:5" s="2" customFormat="1" ht="15" customHeight="1">
      <c r="A132" s="8"/>
      <c r="B132" s="3"/>
      <c r="C132" s="4"/>
      <c r="D132" s="4"/>
      <c r="E132" s="4"/>
    </row>
    <row r="133" spans="1:5" s="2" customFormat="1" ht="15" customHeight="1">
      <c r="A133" s="8"/>
      <c r="B133" s="3"/>
      <c r="C133" s="4"/>
      <c r="D133" s="4"/>
      <c r="E133" s="4"/>
    </row>
    <row r="134" spans="1:5" s="2" customFormat="1" ht="15" customHeight="1">
      <c r="A134" s="8"/>
      <c r="B134" s="3"/>
      <c r="C134" s="4"/>
      <c r="D134" s="4"/>
      <c r="E134" s="4"/>
    </row>
    <row r="135" spans="1:5" s="2" customFormat="1" ht="15" customHeight="1">
      <c r="A135" s="8"/>
      <c r="B135" s="3"/>
      <c r="C135" s="4"/>
      <c r="D135" s="4"/>
      <c r="E135" s="4"/>
    </row>
    <row r="136" spans="1:5" s="2" customFormat="1" ht="15" customHeight="1">
      <c r="A136" s="8"/>
      <c r="B136" s="3"/>
      <c r="C136" s="4"/>
      <c r="D136" s="4"/>
      <c r="E136" s="4"/>
    </row>
    <row r="137" spans="1:5" s="2" customFormat="1" ht="15" customHeight="1">
      <c r="A137" s="8"/>
      <c r="B137" s="3"/>
      <c r="C137" s="4"/>
      <c r="D137" s="4"/>
      <c r="E137" s="4"/>
    </row>
    <row r="138" spans="1:5" s="2" customFormat="1" ht="15" customHeight="1">
      <c r="A138" s="8"/>
      <c r="B138" s="3"/>
      <c r="C138" s="4"/>
      <c r="D138" s="4"/>
      <c r="E138" s="4"/>
    </row>
    <row r="139" spans="1:5" s="2" customFormat="1" ht="15" customHeight="1">
      <c r="A139" s="8"/>
      <c r="B139" s="3"/>
      <c r="C139" s="4"/>
      <c r="D139" s="4"/>
      <c r="E139" s="4"/>
    </row>
    <row r="140" spans="1:5" s="2" customFormat="1" ht="15" customHeight="1">
      <c r="A140" s="8"/>
      <c r="B140" s="3"/>
      <c r="C140" s="4"/>
      <c r="D140" s="4"/>
      <c r="E140" s="4"/>
    </row>
    <row r="141" spans="1:5" s="2" customFormat="1" ht="15" customHeight="1">
      <c r="A141" s="8"/>
      <c r="B141" s="3"/>
      <c r="C141" s="4"/>
      <c r="D141" s="4"/>
      <c r="E141" s="4"/>
    </row>
    <row r="142" spans="1:5" s="2" customFormat="1" ht="15" customHeight="1">
      <c r="A142" s="8"/>
      <c r="B142" s="3"/>
      <c r="C142" s="4"/>
      <c r="D142" s="4"/>
      <c r="E142" s="4"/>
    </row>
    <row r="143" spans="1:5" s="2" customFormat="1" ht="15" customHeight="1">
      <c r="A143" s="8"/>
      <c r="B143" s="3"/>
      <c r="C143" s="4"/>
      <c r="D143" s="4"/>
      <c r="E143" s="4"/>
    </row>
    <row r="144" spans="1:5" s="2" customFormat="1" ht="15" customHeight="1">
      <c r="A144" s="8"/>
      <c r="B144" s="3"/>
      <c r="C144" s="4"/>
      <c r="D144" s="4"/>
      <c r="E144" s="4"/>
    </row>
    <row r="145" spans="1:5" s="2" customFormat="1" ht="15" customHeight="1">
      <c r="A145" s="8"/>
      <c r="B145" s="3"/>
      <c r="C145" s="4"/>
      <c r="D145" s="4"/>
      <c r="E145" s="4"/>
    </row>
    <row r="146" spans="1:5" s="2" customFormat="1" ht="15" customHeight="1">
      <c r="A146" s="8"/>
      <c r="B146" s="3"/>
      <c r="C146" s="4"/>
      <c r="D146" s="4"/>
      <c r="E146" s="4"/>
    </row>
    <row r="147" spans="1:5" s="2" customFormat="1" ht="15" customHeight="1">
      <c r="A147" s="8"/>
      <c r="B147" s="3"/>
      <c r="C147" s="4"/>
      <c r="D147" s="4"/>
      <c r="E147" s="4"/>
    </row>
    <row r="148" spans="1:5" s="2" customFormat="1" ht="15" customHeight="1">
      <c r="A148" s="8"/>
      <c r="B148" s="3"/>
      <c r="C148" s="4"/>
      <c r="D148" s="4"/>
      <c r="E148" s="4"/>
    </row>
    <row r="149" spans="1:5" s="2" customFormat="1" ht="15" customHeight="1">
      <c r="A149" s="8"/>
      <c r="B149" s="3"/>
      <c r="C149" s="4"/>
      <c r="D149" s="4"/>
      <c r="E149" s="4"/>
    </row>
    <row r="150" spans="1:5" s="2" customFormat="1" ht="15" customHeight="1">
      <c r="A150" s="8"/>
      <c r="B150" s="3"/>
      <c r="C150" s="4"/>
      <c r="D150" s="4"/>
      <c r="E150" s="4"/>
    </row>
    <row r="151" spans="1:5" s="2" customFormat="1" ht="15" customHeight="1">
      <c r="A151" s="8"/>
      <c r="B151" s="3"/>
      <c r="C151" s="4"/>
      <c r="D151" s="4"/>
      <c r="E151" s="4"/>
    </row>
    <row r="152" spans="1:5" s="2" customFormat="1" ht="15" customHeight="1">
      <c r="A152" s="8"/>
      <c r="B152" s="3"/>
      <c r="C152" s="4"/>
      <c r="D152" s="4"/>
      <c r="E152" s="4"/>
    </row>
    <row r="153" spans="1:5" s="2" customFormat="1" ht="15" customHeight="1">
      <c r="A153" s="8"/>
      <c r="B153" s="3"/>
      <c r="C153" s="4"/>
      <c r="D153" s="4"/>
      <c r="E153" s="4"/>
    </row>
    <row r="154" spans="1:5" s="2" customFormat="1" ht="15" customHeight="1">
      <c r="A154" s="8"/>
      <c r="B154" s="3"/>
      <c r="C154" s="4"/>
      <c r="D154" s="4"/>
      <c r="E154" s="4"/>
    </row>
    <row r="155" spans="1:5" s="2" customFormat="1" ht="15" customHeight="1">
      <c r="A155" s="8"/>
      <c r="B155" s="3"/>
      <c r="C155" s="4"/>
      <c r="D155" s="4"/>
      <c r="E155" s="4"/>
    </row>
    <row r="156" spans="1:5" s="2" customFormat="1" ht="15" customHeight="1">
      <c r="A156" s="8"/>
      <c r="B156" s="3"/>
      <c r="C156" s="4"/>
      <c r="D156" s="4"/>
      <c r="E156" s="4"/>
    </row>
    <row r="157" spans="1:5" s="2" customFormat="1" ht="15" customHeight="1">
      <c r="A157" s="8"/>
      <c r="B157" s="3"/>
      <c r="C157" s="4"/>
      <c r="D157" s="4"/>
      <c r="E157" s="4"/>
    </row>
    <row r="158" spans="1:5" s="2" customFormat="1" ht="15" customHeight="1">
      <c r="A158" s="8"/>
      <c r="B158" s="3"/>
      <c r="C158" s="4"/>
      <c r="D158" s="4"/>
      <c r="E158" s="4"/>
    </row>
    <row r="159" spans="1:5" s="2" customFormat="1" ht="15" customHeight="1">
      <c r="A159" s="8"/>
      <c r="B159" s="3"/>
      <c r="C159" s="4"/>
      <c r="D159" s="4"/>
      <c r="E159" s="4"/>
    </row>
    <row r="160" spans="1:5" s="2" customFormat="1" ht="15" customHeight="1">
      <c r="A160" s="8"/>
      <c r="B160" s="3"/>
      <c r="C160" s="4"/>
      <c r="D160" s="4"/>
      <c r="E160" s="4"/>
    </row>
    <row r="161" spans="1:5" s="2" customFormat="1" ht="15" customHeight="1">
      <c r="A161" s="8"/>
      <c r="B161" s="3"/>
      <c r="C161" s="4"/>
      <c r="D161" s="4"/>
      <c r="E161" s="4"/>
    </row>
    <row r="162" spans="1:5" s="2" customFormat="1" ht="15" customHeight="1">
      <c r="A162" s="8"/>
      <c r="B162" s="3"/>
      <c r="C162" s="4"/>
      <c r="D162" s="4"/>
      <c r="E162" s="4"/>
    </row>
    <row r="163" spans="1:5" s="2" customFormat="1" ht="15" customHeight="1">
      <c r="A163" s="8"/>
      <c r="B163" s="3"/>
      <c r="C163" s="4"/>
      <c r="D163" s="4"/>
      <c r="E163" s="4"/>
    </row>
    <row r="164" spans="1:5" s="2" customFormat="1" ht="15" customHeight="1">
      <c r="A164" s="8"/>
      <c r="B164" s="3"/>
      <c r="C164" s="4"/>
      <c r="D164" s="4"/>
      <c r="E164" s="4"/>
    </row>
    <row r="165" spans="1:5" s="2" customFormat="1" ht="15" customHeight="1">
      <c r="A165" s="8"/>
      <c r="B165" s="3"/>
      <c r="C165" s="4"/>
      <c r="D165" s="4"/>
      <c r="E165" s="4"/>
    </row>
    <row r="166" spans="1:5" s="2" customFormat="1" ht="15" customHeight="1">
      <c r="A166" s="8"/>
      <c r="B166" s="3"/>
      <c r="C166" s="4"/>
      <c r="D166" s="4"/>
      <c r="E166" s="4"/>
    </row>
    <row r="167" spans="1:5" s="2" customFormat="1" ht="15" customHeight="1">
      <c r="A167" s="8"/>
      <c r="B167" s="3"/>
      <c r="C167" s="4"/>
      <c r="D167" s="4"/>
      <c r="E167" s="4"/>
    </row>
    <row r="168" spans="1:5" s="2" customFormat="1" ht="15" customHeight="1">
      <c r="A168" s="8"/>
      <c r="B168" s="3"/>
      <c r="C168" s="4"/>
      <c r="D168" s="4"/>
      <c r="E168" s="4"/>
    </row>
    <row r="169" spans="1:5" s="2" customFormat="1" ht="15" customHeight="1">
      <c r="A169" s="8"/>
      <c r="B169" s="3"/>
      <c r="C169" s="4"/>
      <c r="D169" s="4"/>
      <c r="E169" s="4"/>
    </row>
    <row r="170" spans="1:5" s="2" customFormat="1" ht="15" customHeight="1">
      <c r="A170" s="8"/>
      <c r="B170" s="3"/>
      <c r="C170" s="4"/>
      <c r="D170" s="4"/>
      <c r="E170" s="4"/>
    </row>
    <row r="171" spans="1:5" s="2" customFormat="1" ht="15" customHeight="1">
      <c r="A171" s="8"/>
      <c r="B171" s="3"/>
      <c r="C171" s="4"/>
      <c r="D171" s="4"/>
      <c r="E171" s="4"/>
    </row>
    <row r="172" spans="1:5" s="2" customFormat="1" ht="15" customHeight="1">
      <c r="A172" s="8"/>
      <c r="B172" s="3"/>
      <c r="C172" s="4"/>
      <c r="D172" s="4"/>
      <c r="E172" s="4"/>
    </row>
    <row r="173" spans="1:5" s="2" customFormat="1" ht="15" customHeight="1">
      <c r="A173" s="8"/>
      <c r="B173" s="3"/>
      <c r="C173" s="4"/>
      <c r="D173" s="4"/>
      <c r="E173" s="4"/>
    </row>
    <row r="174" spans="1:5" s="2" customFormat="1" ht="15" customHeight="1">
      <c r="A174" s="8"/>
      <c r="B174" s="3"/>
      <c r="C174" s="4"/>
      <c r="D174" s="4"/>
      <c r="E174" s="4"/>
    </row>
    <row r="175" spans="1:5" s="2" customFormat="1" ht="15" customHeight="1">
      <c r="A175" s="8"/>
      <c r="B175" s="3"/>
      <c r="C175" s="4"/>
      <c r="D175" s="4"/>
      <c r="E175" s="4"/>
    </row>
    <row r="176" spans="1:5" s="2" customFormat="1" ht="15" customHeight="1">
      <c r="A176" s="8"/>
      <c r="B176" s="3"/>
      <c r="C176" s="4"/>
      <c r="D176" s="4"/>
      <c r="E176" s="4"/>
    </row>
    <row r="177" spans="1:5" s="2" customFormat="1" ht="15" customHeight="1">
      <c r="A177" s="8"/>
      <c r="B177" s="3"/>
      <c r="C177" s="4"/>
      <c r="D177" s="4"/>
      <c r="E177" s="4"/>
    </row>
    <row r="178" spans="1:5" s="2" customFormat="1" ht="15" customHeight="1">
      <c r="A178" s="8"/>
      <c r="B178" s="3"/>
      <c r="C178" s="4"/>
      <c r="D178" s="4"/>
      <c r="E178" s="4"/>
    </row>
    <row r="179" spans="1:5" s="2" customFormat="1" ht="15" customHeight="1">
      <c r="A179" s="8"/>
      <c r="B179" s="3"/>
      <c r="C179" s="4"/>
      <c r="D179" s="4"/>
      <c r="E179" s="4"/>
    </row>
    <row r="180" spans="1:5" s="2" customFormat="1" ht="15" customHeight="1">
      <c r="A180" s="8"/>
      <c r="B180" s="3"/>
      <c r="C180" s="4"/>
      <c r="D180" s="4"/>
      <c r="E180" s="4"/>
    </row>
    <row r="181" spans="1:5" s="2" customFormat="1" ht="15" customHeight="1">
      <c r="A181" s="8"/>
      <c r="B181" s="3"/>
      <c r="C181" s="4"/>
      <c r="D181" s="4"/>
      <c r="E181" s="4"/>
    </row>
    <row r="182" spans="1:5" s="2" customFormat="1" ht="15" customHeight="1">
      <c r="A182" s="8"/>
      <c r="B182" s="3"/>
      <c r="C182" s="4"/>
      <c r="D182" s="4"/>
      <c r="E182" s="4"/>
    </row>
    <row r="183" spans="1:5" s="2" customFormat="1" ht="15" customHeight="1">
      <c r="A183" s="8"/>
      <c r="B183" s="3"/>
      <c r="C183" s="4"/>
      <c r="D183" s="4"/>
      <c r="E183" s="4"/>
    </row>
    <row r="184" spans="1:5" s="2" customFormat="1" ht="15" customHeight="1">
      <c r="A184" s="8"/>
      <c r="B184" s="3"/>
      <c r="C184" s="4"/>
      <c r="D184" s="4"/>
      <c r="E184" s="4"/>
    </row>
    <row r="185" spans="1:5" s="2" customFormat="1" ht="15" customHeight="1">
      <c r="A185" s="8"/>
      <c r="B185" s="3"/>
      <c r="C185" s="4"/>
      <c r="D185" s="4"/>
      <c r="E185" s="4"/>
    </row>
    <row r="186" spans="1:5" s="2" customFormat="1" ht="15" customHeight="1">
      <c r="A186" s="8"/>
      <c r="B186" s="3"/>
      <c r="C186" s="4"/>
      <c r="D186" s="4"/>
      <c r="E186" s="4"/>
    </row>
    <row r="187" spans="1:5" s="2" customFormat="1" ht="15" customHeight="1">
      <c r="A187" s="8"/>
      <c r="B187" s="3"/>
      <c r="C187" s="4"/>
      <c r="D187" s="4"/>
      <c r="E187" s="4"/>
    </row>
    <row r="188" spans="1:5" s="2" customFormat="1" ht="15" customHeight="1">
      <c r="A188" s="8"/>
      <c r="B188" s="3"/>
      <c r="C188" s="4"/>
      <c r="D188" s="4"/>
      <c r="E188" s="4"/>
    </row>
    <row r="189" spans="1:5" s="2" customFormat="1" ht="15" customHeight="1">
      <c r="A189" s="8"/>
      <c r="B189" s="3"/>
      <c r="C189" s="4"/>
      <c r="D189" s="4"/>
      <c r="E189" s="4"/>
    </row>
    <row r="190" spans="1:5" s="2" customFormat="1" ht="15" customHeight="1">
      <c r="A190" s="8"/>
      <c r="B190" s="3"/>
      <c r="C190" s="4"/>
      <c r="D190" s="4"/>
      <c r="E190" s="4"/>
    </row>
    <row r="191" spans="1:5" s="2" customFormat="1" ht="15" customHeight="1">
      <c r="A191" s="8"/>
      <c r="B191" s="3"/>
      <c r="C191" s="4"/>
      <c r="D191" s="4"/>
      <c r="E191" s="4"/>
    </row>
    <row r="192" spans="1:5" s="2" customFormat="1" ht="15" customHeight="1">
      <c r="A192" s="8"/>
      <c r="B192" s="3"/>
      <c r="C192" s="4"/>
      <c r="D192" s="4"/>
      <c r="E192" s="4"/>
    </row>
    <row r="193" spans="1:5" s="2" customFormat="1" ht="15" customHeight="1">
      <c r="A193" s="8"/>
      <c r="B193" s="3"/>
      <c r="C193" s="4"/>
      <c r="D193" s="4"/>
      <c r="E193" s="4"/>
    </row>
    <row r="194" spans="1:5" s="2" customFormat="1" ht="15" customHeight="1">
      <c r="A194" s="8"/>
      <c r="B194" s="3"/>
      <c r="C194" s="4"/>
      <c r="D194" s="4"/>
      <c r="E194" s="4"/>
    </row>
    <row r="195" spans="1:5" s="2" customFormat="1" ht="15" customHeight="1">
      <c r="A195" s="8"/>
      <c r="B195" s="3"/>
      <c r="C195" s="4"/>
      <c r="D195" s="4"/>
      <c r="E195" s="4"/>
    </row>
    <row r="196" spans="1:5" s="2" customFormat="1" ht="15" customHeight="1">
      <c r="A196" s="8"/>
      <c r="B196" s="3"/>
      <c r="C196" s="4"/>
      <c r="D196" s="4"/>
      <c r="E196" s="4"/>
    </row>
    <row r="197" spans="1:5" s="2" customFormat="1" ht="15" customHeight="1">
      <c r="A197" s="8"/>
      <c r="B197" s="3"/>
      <c r="C197" s="4"/>
      <c r="D197" s="4"/>
      <c r="E197" s="4"/>
    </row>
    <row r="198" spans="1:5" s="2" customFormat="1" ht="15" customHeight="1">
      <c r="A198" s="8"/>
      <c r="B198" s="3"/>
      <c r="C198" s="4"/>
      <c r="D198" s="4"/>
      <c r="E198" s="4"/>
    </row>
    <row r="199" spans="1:5" s="2" customFormat="1" ht="15" customHeight="1">
      <c r="A199" s="8"/>
      <c r="B199" s="3"/>
      <c r="C199" s="4"/>
      <c r="D199" s="4"/>
      <c r="E199" s="4"/>
    </row>
    <row r="200" spans="1:5" s="2" customFormat="1" ht="15" customHeight="1">
      <c r="A200" s="8"/>
      <c r="B200" s="3"/>
      <c r="C200" s="4"/>
      <c r="D200" s="4"/>
      <c r="E200" s="4"/>
    </row>
    <row r="201" spans="1:5" s="2" customFormat="1" ht="15" customHeight="1">
      <c r="A201" s="8"/>
      <c r="B201" s="3"/>
      <c r="C201" s="4"/>
      <c r="D201" s="4"/>
      <c r="E201" s="4"/>
    </row>
    <row r="202" spans="1:5" s="2" customFormat="1" ht="15" customHeight="1">
      <c r="A202" s="8"/>
      <c r="B202" s="3"/>
      <c r="C202" s="4"/>
      <c r="D202" s="4"/>
      <c r="E202" s="4"/>
    </row>
    <row r="203" spans="1:5" s="2" customFormat="1" ht="15" customHeight="1">
      <c r="A203" s="8"/>
      <c r="B203" s="3"/>
      <c r="C203" s="4"/>
      <c r="D203" s="4"/>
      <c r="E203" s="4"/>
    </row>
    <row r="204" spans="1:5" s="2" customFormat="1" ht="15" customHeight="1">
      <c r="A204" s="8"/>
      <c r="B204" s="3"/>
      <c r="C204" s="4"/>
      <c r="D204" s="4"/>
      <c r="E204" s="4"/>
    </row>
    <row r="205" spans="1:5" s="2" customFormat="1" ht="15" customHeight="1">
      <c r="A205" s="8"/>
      <c r="B205" s="3"/>
      <c r="C205" s="4"/>
      <c r="D205" s="4"/>
      <c r="E205" s="4"/>
    </row>
    <row r="206" spans="1:5" s="2" customFormat="1" ht="15" customHeight="1">
      <c r="A206" s="8"/>
      <c r="B206" s="3"/>
      <c r="C206" s="4"/>
      <c r="D206" s="4"/>
      <c r="E206" s="4"/>
    </row>
    <row r="207" spans="1:5" s="2" customFormat="1" ht="15" customHeight="1">
      <c r="A207" s="8"/>
      <c r="B207" s="3"/>
      <c r="C207" s="4"/>
      <c r="D207" s="4"/>
      <c r="E207" s="4"/>
    </row>
    <row r="208" spans="1:5" s="2" customFormat="1" ht="15" customHeight="1">
      <c r="A208" s="8"/>
      <c r="B208" s="3"/>
      <c r="C208" s="4"/>
      <c r="D208" s="4"/>
      <c r="E208" s="4"/>
    </row>
    <row r="209" spans="1:5" s="2" customFormat="1" ht="15" customHeight="1">
      <c r="A209" s="8"/>
      <c r="B209" s="3"/>
      <c r="C209" s="4"/>
      <c r="D209" s="4"/>
      <c r="E209" s="4"/>
    </row>
    <row r="210" spans="1:5" s="2" customFormat="1" ht="15" customHeight="1">
      <c r="A210" s="8"/>
      <c r="B210" s="3"/>
      <c r="C210" s="4"/>
      <c r="D210" s="4"/>
      <c r="E210" s="4"/>
    </row>
    <row r="211" spans="1:5" s="2" customFormat="1" ht="15" customHeight="1">
      <c r="A211" s="8"/>
      <c r="B211" s="3"/>
      <c r="C211" s="4"/>
      <c r="D211" s="4"/>
      <c r="E211" s="4"/>
    </row>
    <row r="212" spans="1:5" s="2" customFormat="1" ht="15" customHeight="1">
      <c r="A212" s="8"/>
      <c r="B212" s="3"/>
      <c r="C212" s="4"/>
      <c r="D212" s="4"/>
      <c r="E212" s="4"/>
    </row>
    <row r="213" spans="1:5" s="2" customFormat="1" ht="15" customHeight="1">
      <c r="A213" s="8"/>
      <c r="B213" s="3"/>
      <c r="C213" s="4"/>
      <c r="D213" s="4"/>
      <c r="E213" s="4"/>
    </row>
    <row r="214" spans="1:5" s="2" customFormat="1" ht="15" customHeight="1">
      <c r="A214" s="8"/>
      <c r="B214" s="3"/>
      <c r="C214" s="4"/>
      <c r="D214" s="4"/>
      <c r="E214" s="4"/>
    </row>
    <row r="215" spans="1:5" s="2" customFormat="1" ht="15" customHeight="1">
      <c r="A215" s="8"/>
      <c r="B215" s="3"/>
      <c r="C215" s="4"/>
      <c r="D215" s="4"/>
      <c r="E215" s="4"/>
    </row>
    <row r="216" spans="1:5" s="2" customFormat="1" ht="15" customHeight="1">
      <c r="A216" s="8"/>
      <c r="B216" s="3"/>
      <c r="C216" s="4"/>
      <c r="D216" s="4"/>
      <c r="E216" s="4"/>
    </row>
    <row r="217" spans="1:5" s="2" customFormat="1" ht="15" customHeight="1">
      <c r="A217" s="8"/>
      <c r="B217" s="3"/>
      <c r="C217" s="4"/>
      <c r="D217" s="4"/>
      <c r="E217" s="4"/>
    </row>
    <row r="218" spans="1:5" s="2" customFormat="1" ht="15" customHeight="1">
      <c r="A218" s="8"/>
      <c r="B218" s="3"/>
      <c r="C218" s="4"/>
      <c r="D218" s="4"/>
      <c r="E218" s="4"/>
    </row>
    <row r="219" spans="1:5" s="2" customFormat="1" ht="15" customHeight="1">
      <c r="A219" s="8"/>
      <c r="B219" s="3"/>
      <c r="C219" s="4"/>
      <c r="D219" s="4"/>
      <c r="E219" s="4"/>
    </row>
    <row r="220" spans="1:5" s="2" customFormat="1" ht="15" customHeight="1">
      <c r="A220" s="8"/>
      <c r="B220" s="3"/>
      <c r="C220" s="4"/>
      <c r="D220" s="4"/>
      <c r="E220" s="4"/>
    </row>
    <row r="221" spans="1:5" s="2" customFormat="1" ht="15" customHeight="1">
      <c r="A221" s="8"/>
      <c r="B221" s="3"/>
      <c r="C221" s="4"/>
      <c r="D221" s="4"/>
      <c r="E221" s="4"/>
    </row>
    <row r="222" spans="1:5" s="2" customFormat="1" ht="15" customHeight="1">
      <c r="A222" s="8"/>
      <c r="B222" s="3"/>
      <c r="C222" s="4"/>
      <c r="D222" s="4"/>
      <c r="E222" s="4"/>
    </row>
    <row r="223" spans="1:5" s="2" customFormat="1" ht="15" customHeight="1">
      <c r="A223" s="8"/>
      <c r="B223" s="3"/>
      <c r="C223" s="4"/>
      <c r="D223" s="4"/>
      <c r="E223" s="4"/>
    </row>
    <row r="224" spans="1:5" s="2" customFormat="1" ht="15" customHeight="1">
      <c r="A224" s="8"/>
      <c r="B224" s="3"/>
      <c r="C224" s="4"/>
      <c r="D224" s="4"/>
      <c r="E224" s="4"/>
    </row>
    <row r="225" spans="1:5" s="2" customFormat="1" ht="15" customHeight="1">
      <c r="A225" s="8"/>
      <c r="B225" s="3"/>
      <c r="C225" s="4"/>
      <c r="D225" s="4"/>
      <c r="E225" s="4"/>
    </row>
    <row r="226" spans="1:5" s="2" customFormat="1" ht="15" customHeight="1">
      <c r="A226" s="8"/>
      <c r="B226" s="3"/>
      <c r="C226" s="4"/>
      <c r="D226" s="4"/>
      <c r="E226" s="4"/>
    </row>
    <row r="227" spans="1:5" s="2" customFormat="1" ht="15" customHeight="1">
      <c r="A227" s="8"/>
      <c r="B227" s="3"/>
      <c r="C227" s="4"/>
      <c r="D227" s="4"/>
      <c r="E227" s="4"/>
    </row>
    <row r="228" spans="1:5" s="2" customFormat="1" ht="15" customHeight="1">
      <c r="A228" s="8"/>
      <c r="B228" s="3"/>
      <c r="C228" s="4"/>
      <c r="D228" s="4"/>
      <c r="E228" s="4"/>
    </row>
    <row r="229" spans="1:5" s="2" customFormat="1" ht="15" customHeight="1">
      <c r="A229" s="8"/>
      <c r="B229" s="3"/>
      <c r="C229" s="4"/>
      <c r="D229" s="4"/>
      <c r="E229" s="4"/>
    </row>
    <row r="230" spans="1:5" s="2" customFormat="1" ht="15" customHeight="1">
      <c r="A230" s="8"/>
      <c r="B230" s="3"/>
      <c r="C230" s="4"/>
      <c r="D230" s="4"/>
      <c r="E230" s="4"/>
    </row>
    <row r="231" spans="1:5" s="2" customFormat="1" ht="15" customHeight="1">
      <c r="A231" s="8"/>
      <c r="B231" s="3"/>
      <c r="C231" s="4"/>
      <c r="D231" s="4"/>
      <c r="E231" s="4"/>
    </row>
    <row r="232" spans="1:5" s="2" customFormat="1" ht="15" customHeight="1">
      <c r="A232" s="8"/>
      <c r="B232" s="3"/>
      <c r="C232" s="4"/>
      <c r="D232" s="4"/>
      <c r="E232" s="4"/>
    </row>
    <row r="233" spans="1:5" s="2" customFormat="1" ht="15" customHeight="1">
      <c r="A233" s="8"/>
      <c r="B233" s="3"/>
      <c r="C233" s="4"/>
      <c r="D233" s="4"/>
      <c r="E233" s="4"/>
    </row>
    <row r="234" spans="1:5" s="2" customFormat="1" ht="15" customHeight="1">
      <c r="A234" s="8"/>
      <c r="B234" s="3"/>
      <c r="C234" s="4"/>
      <c r="D234" s="4"/>
      <c r="E234" s="4"/>
    </row>
    <row r="235" spans="1:5" s="2" customFormat="1" ht="15" customHeight="1">
      <c r="A235" s="8"/>
      <c r="B235" s="3"/>
      <c r="C235" s="4"/>
      <c r="D235" s="4"/>
      <c r="E235" s="4"/>
    </row>
    <row r="236" spans="1:5" s="2" customFormat="1" ht="15" customHeight="1">
      <c r="A236" s="8"/>
      <c r="B236" s="3"/>
      <c r="C236" s="4"/>
      <c r="D236" s="4"/>
      <c r="E236" s="4"/>
    </row>
    <row r="237" spans="1:5" s="2" customFormat="1" ht="15" customHeight="1">
      <c r="A237" s="8"/>
      <c r="B237" s="3"/>
      <c r="C237" s="4"/>
      <c r="D237" s="4"/>
      <c r="E237" s="4"/>
    </row>
    <row r="238" spans="1:5" s="2" customFormat="1" ht="15" customHeight="1">
      <c r="A238" s="8"/>
      <c r="B238" s="3"/>
      <c r="C238" s="4"/>
      <c r="D238" s="4"/>
      <c r="E238" s="4"/>
    </row>
    <row r="239" spans="1:5" s="2" customFormat="1" ht="15" customHeight="1">
      <c r="A239" s="8"/>
      <c r="B239" s="3"/>
      <c r="C239" s="4"/>
      <c r="D239" s="4"/>
      <c r="E239" s="4"/>
    </row>
    <row r="240" spans="1:5" s="2" customFormat="1" ht="15" customHeight="1">
      <c r="A240" s="8"/>
      <c r="B240" s="3"/>
      <c r="C240" s="4"/>
      <c r="D240" s="4"/>
      <c r="E240" s="4"/>
    </row>
    <row r="241" spans="1:5" s="2" customFormat="1" ht="15" customHeight="1">
      <c r="A241" s="8"/>
      <c r="B241" s="3"/>
      <c r="C241" s="4"/>
      <c r="D241" s="4"/>
      <c r="E241" s="4"/>
    </row>
    <row r="242" spans="1:5" s="2" customFormat="1" ht="15" customHeight="1">
      <c r="A242" s="8"/>
      <c r="B242" s="3"/>
      <c r="C242" s="4"/>
      <c r="D242" s="4"/>
      <c r="E242" s="4"/>
    </row>
    <row r="243" spans="1:5" s="2" customFormat="1" ht="15" customHeight="1">
      <c r="A243" s="8"/>
      <c r="B243" s="3"/>
      <c r="C243" s="4"/>
      <c r="D243" s="4"/>
      <c r="E243" s="4"/>
    </row>
    <row r="244" spans="1:5" s="2" customFormat="1" ht="15" customHeight="1">
      <c r="A244" s="8"/>
      <c r="B244" s="3"/>
      <c r="C244" s="4"/>
      <c r="D244" s="4"/>
      <c r="E244" s="4"/>
    </row>
    <row r="245" spans="1:5" s="2" customFormat="1" ht="15" customHeight="1">
      <c r="A245" s="8"/>
      <c r="B245" s="3"/>
      <c r="C245" s="4"/>
      <c r="D245" s="4"/>
      <c r="E245" s="4"/>
    </row>
    <row r="246" spans="1:5" s="2" customFormat="1" ht="15" customHeight="1">
      <c r="A246" s="8"/>
      <c r="B246" s="3"/>
      <c r="C246" s="4"/>
      <c r="D246" s="4"/>
      <c r="E246" s="4"/>
    </row>
    <row r="247" spans="1:5" s="2" customFormat="1" ht="15" customHeight="1">
      <c r="A247" s="8"/>
      <c r="B247" s="3"/>
      <c r="C247" s="4"/>
      <c r="D247" s="4"/>
      <c r="E247" s="4"/>
    </row>
    <row r="248" spans="1:5" s="2" customFormat="1" ht="15" customHeight="1">
      <c r="A248" s="8"/>
      <c r="B248" s="3"/>
      <c r="C248" s="4"/>
      <c r="D248" s="4"/>
      <c r="E248" s="4"/>
    </row>
    <row r="249" spans="1:5" s="2" customFormat="1" ht="15" customHeight="1">
      <c r="A249" s="8"/>
      <c r="B249" s="3"/>
      <c r="C249" s="4"/>
      <c r="D249" s="4"/>
      <c r="E249" s="4"/>
    </row>
    <row r="250" spans="1:5" s="2" customFormat="1" ht="15" customHeight="1">
      <c r="A250" s="8"/>
      <c r="B250" s="3"/>
      <c r="C250" s="4"/>
      <c r="D250" s="4"/>
      <c r="E250" s="4"/>
    </row>
    <row r="251" spans="1:5" s="2" customFormat="1" ht="15" customHeight="1">
      <c r="A251" s="8"/>
      <c r="B251" s="3"/>
      <c r="C251" s="4"/>
      <c r="D251" s="4"/>
      <c r="E251" s="4"/>
    </row>
    <row r="252" spans="1:5" s="2" customFormat="1" ht="15" customHeight="1">
      <c r="A252" s="8"/>
      <c r="B252" s="3"/>
      <c r="C252" s="4"/>
      <c r="D252" s="4"/>
      <c r="E252" s="4"/>
    </row>
    <row r="253" spans="1:5" s="2" customFormat="1" ht="15" customHeight="1">
      <c r="A253" s="8"/>
      <c r="B253" s="3"/>
      <c r="C253" s="4"/>
      <c r="D253" s="4"/>
      <c r="E253" s="4"/>
    </row>
    <row r="254" spans="1:5" s="2" customFormat="1" ht="15" customHeight="1">
      <c r="A254" s="8"/>
      <c r="B254" s="3"/>
      <c r="C254" s="4"/>
      <c r="D254" s="4"/>
      <c r="E254" s="4"/>
    </row>
    <row r="255" spans="1:5" s="2" customFormat="1" ht="15" customHeight="1">
      <c r="A255" s="8"/>
      <c r="B255" s="3"/>
      <c r="C255" s="4"/>
      <c r="D255" s="4"/>
      <c r="E255" s="4"/>
    </row>
    <row r="256" spans="1:5" s="2" customFormat="1" ht="15" customHeight="1">
      <c r="A256" s="8"/>
      <c r="B256" s="3"/>
      <c r="C256" s="4"/>
      <c r="D256" s="4"/>
      <c r="E256" s="4"/>
    </row>
    <row r="257" spans="1:5" s="2" customFormat="1" ht="15" customHeight="1">
      <c r="A257" s="8"/>
      <c r="B257" s="3"/>
      <c r="C257" s="4"/>
      <c r="D257" s="4"/>
      <c r="E257" s="4"/>
    </row>
    <row r="258" spans="1:5" s="2" customFormat="1" ht="15" customHeight="1">
      <c r="A258" s="8"/>
      <c r="B258" s="14"/>
      <c r="C258" s="4"/>
      <c r="D258" s="4"/>
      <c r="E258" s="4"/>
    </row>
    <row r="259" spans="1:5" s="2" customFormat="1" ht="15" customHeight="1" thickBot="1">
      <c r="A259" s="8"/>
      <c r="B259" s="14"/>
      <c r="C259" s="4"/>
      <c r="D259" s="4"/>
      <c r="E259" s="4"/>
    </row>
    <row r="260" spans="1:5" s="2" customFormat="1" ht="15" customHeight="1" thickBot="1">
      <c r="A260" s="8"/>
      <c r="B260" s="15"/>
      <c r="C260" s="4"/>
      <c r="D260" s="4"/>
      <c r="E260" s="4"/>
    </row>
    <row r="261" spans="1:5" s="2" customFormat="1" ht="15" customHeight="1" thickBot="1">
      <c r="A261" s="8"/>
      <c r="B261" s="15"/>
      <c r="C261" s="4"/>
      <c r="D261" s="4"/>
      <c r="E261" s="4"/>
    </row>
    <row r="262" spans="1:5" s="2" customFormat="1" ht="15" customHeight="1" thickBot="1">
      <c r="A262" s="8"/>
      <c r="B262" s="15"/>
      <c r="C262" s="4"/>
      <c r="D262" s="4"/>
      <c r="E262" s="4"/>
    </row>
    <row r="263" spans="1:5" s="2" customFormat="1" ht="15" customHeight="1" thickBot="1">
      <c r="A263" s="8"/>
      <c r="B263" s="15"/>
      <c r="C263" s="4"/>
      <c r="D263" s="4"/>
      <c r="E263" s="4"/>
    </row>
    <row r="264" spans="1:5" s="2" customFormat="1" ht="15" customHeight="1" thickBot="1">
      <c r="A264" s="8"/>
      <c r="B264" s="15"/>
      <c r="C264" s="4"/>
      <c r="D264" s="4"/>
      <c r="E264" s="4"/>
    </row>
    <row r="265" spans="1:5" s="2" customFormat="1" ht="15" customHeight="1" thickBot="1">
      <c r="A265" s="8"/>
      <c r="B265" s="15"/>
      <c r="C265" s="4"/>
      <c r="D265" s="4"/>
      <c r="E265" s="4"/>
    </row>
    <row r="266" spans="1:5" s="2" customFormat="1" ht="15" customHeight="1" thickBot="1">
      <c r="A266" s="8"/>
      <c r="B266" s="15"/>
      <c r="C266" s="4"/>
      <c r="D266" s="4"/>
      <c r="E266" s="4"/>
    </row>
    <row r="267" spans="1:5" s="2" customFormat="1" ht="15" customHeight="1" thickBot="1">
      <c r="A267" s="8"/>
      <c r="B267" s="15"/>
      <c r="C267" s="4"/>
      <c r="D267" s="4"/>
      <c r="E267" s="4"/>
    </row>
    <row r="268" spans="1:5" s="2" customFormat="1" ht="15" customHeight="1" thickBot="1">
      <c r="A268" s="8"/>
      <c r="B268" s="15"/>
      <c r="C268" s="4"/>
      <c r="D268" s="4"/>
      <c r="E268" s="4"/>
    </row>
    <row r="269" spans="1:5" s="2" customFormat="1" ht="15" customHeight="1" thickBot="1">
      <c r="A269" s="8"/>
      <c r="B269" s="15"/>
      <c r="C269" s="4"/>
      <c r="D269" s="4"/>
      <c r="E269" s="4"/>
    </row>
    <row r="270" spans="1:5" s="2" customFormat="1" ht="15" customHeight="1" thickBot="1">
      <c r="A270" s="8"/>
      <c r="B270" s="15"/>
      <c r="C270" s="4"/>
      <c r="D270" s="4"/>
      <c r="E270" s="4"/>
    </row>
    <row r="271" spans="1:5" s="2" customFormat="1" ht="15" customHeight="1" thickBot="1">
      <c r="A271" s="8"/>
      <c r="B271" s="15"/>
      <c r="C271" s="4"/>
      <c r="D271" s="4"/>
      <c r="E271" s="4"/>
    </row>
    <row r="272" spans="1:5" s="2" customFormat="1" ht="15" customHeight="1" thickBot="1">
      <c r="A272" s="8"/>
      <c r="B272" s="15"/>
      <c r="C272" s="4"/>
      <c r="D272" s="4"/>
      <c r="E272" s="4"/>
    </row>
    <row r="273" spans="1:5" s="2" customFormat="1" ht="15" customHeight="1" thickBot="1">
      <c r="A273" s="8"/>
      <c r="B273" s="15"/>
      <c r="C273" s="4"/>
      <c r="D273" s="4"/>
      <c r="E273" s="4"/>
    </row>
    <row r="274" spans="1:5" s="2" customFormat="1" ht="15" customHeight="1" thickBot="1">
      <c r="A274" s="8"/>
      <c r="B274" s="15"/>
      <c r="C274" s="4"/>
      <c r="D274" s="4"/>
      <c r="E274" s="4"/>
    </row>
    <row r="275" spans="1:5" s="2" customFormat="1" ht="15" customHeight="1" thickBot="1">
      <c r="A275" s="8"/>
      <c r="B275" s="15"/>
      <c r="C275" s="4"/>
      <c r="D275" s="4"/>
      <c r="E275" s="4"/>
    </row>
    <row r="276" spans="1:5" s="2" customFormat="1" ht="15" customHeight="1" thickBot="1">
      <c r="A276" s="8"/>
      <c r="B276" s="15"/>
      <c r="C276" s="4"/>
      <c r="D276" s="4"/>
      <c r="E276" s="4"/>
    </row>
    <row r="277" spans="1:5" s="2" customFormat="1" ht="15" customHeight="1" thickBot="1">
      <c r="A277" s="8"/>
      <c r="B277" s="15"/>
      <c r="C277" s="4"/>
      <c r="D277" s="4"/>
      <c r="E277" s="4"/>
    </row>
    <row r="278" spans="1:5" s="2" customFormat="1" ht="15" customHeight="1" thickBot="1">
      <c r="A278" s="8"/>
      <c r="B278" s="15"/>
      <c r="C278" s="4"/>
      <c r="D278" s="4"/>
      <c r="E278" s="4"/>
    </row>
    <row r="279" spans="1:5" s="2" customFormat="1" ht="15" customHeight="1" thickBot="1">
      <c r="A279" s="8"/>
      <c r="B279" s="15"/>
      <c r="C279" s="4"/>
      <c r="D279" s="4"/>
      <c r="E279" s="4"/>
    </row>
    <row r="280" spans="1:5" s="2" customFormat="1" ht="15" customHeight="1" thickBot="1">
      <c r="A280" s="8"/>
      <c r="B280" s="15"/>
      <c r="C280" s="4"/>
      <c r="D280" s="4"/>
      <c r="E280" s="4"/>
    </row>
    <row r="281" spans="1:5" s="2" customFormat="1" ht="15" customHeight="1" thickBot="1">
      <c r="A281" s="8"/>
      <c r="B281" s="15"/>
      <c r="C281" s="4"/>
      <c r="D281" s="4"/>
      <c r="E281" s="4"/>
    </row>
    <row r="282" spans="1:5" s="2" customFormat="1" ht="15" customHeight="1" thickBot="1">
      <c r="A282" s="8"/>
      <c r="B282" s="15"/>
      <c r="C282" s="4"/>
      <c r="D282" s="4"/>
      <c r="E282" s="4"/>
    </row>
    <row r="283" spans="1:5" s="2" customFormat="1" ht="15" customHeight="1" thickBot="1">
      <c r="A283" s="8"/>
      <c r="B283" s="15"/>
      <c r="C283" s="4"/>
      <c r="D283" s="4"/>
      <c r="E283" s="4"/>
    </row>
    <row r="284" spans="1:5" s="2" customFormat="1" ht="15" customHeight="1" thickBot="1">
      <c r="A284" s="8"/>
      <c r="B284" s="15"/>
      <c r="C284" s="4"/>
      <c r="D284" s="4"/>
      <c r="E284" s="4"/>
    </row>
    <row r="285" spans="1:5" s="2" customFormat="1" ht="15" customHeight="1" thickBot="1">
      <c r="A285" s="8"/>
      <c r="B285" s="15"/>
      <c r="C285" s="4"/>
      <c r="D285" s="4"/>
      <c r="E285" s="4"/>
    </row>
    <row r="286" spans="1:5" s="2" customFormat="1" ht="15" customHeight="1" thickBot="1">
      <c r="A286" s="8"/>
      <c r="B286" s="15"/>
      <c r="C286" s="4"/>
      <c r="D286" s="4"/>
      <c r="E286" s="4"/>
    </row>
    <row r="287" spans="1:5" s="2" customFormat="1" ht="15" customHeight="1" thickBot="1">
      <c r="A287" s="8"/>
      <c r="B287" s="15"/>
      <c r="C287" s="4"/>
      <c r="D287" s="4"/>
      <c r="E287" s="4"/>
    </row>
    <row r="288" spans="1:5" s="2" customFormat="1" ht="15" customHeight="1" thickBot="1">
      <c r="A288" s="8"/>
      <c r="B288" s="15"/>
      <c r="C288" s="4"/>
      <c r="D288" s="4"/>
      <c r="E288" s="4"/>
    </row>
    <row r="289" spans="1:5" s="2" customFormat="1" ht="15" customHeight="1" thickBot="1">
      <c r="A289" s="8"/>
      <c r="B289" s="15"/>
      <c r="C289" s="4"/>
      <c r="D289" s="4"/>
      <c r="E289" s="4"/>
    </row>
    <row r="290" spans="1:5" s="2" customFormat="1" ht="15" customHeight="1" thickBot="1">
      <c r="A290" s="8"/>
      <c r="B290" s="15"/>
      <c r="C290" s="4"/>
      <c r="D290" s="4"/>
      <c r="E290" s="4"/>
    </row>
    <row r="291" spans="1:5" s="2" customFormat="1" ht="15" customHeight="1" thickBot="1">
      <c r="A291" s="8"/>
      <c r="B291" s="15"/>
      <c r="C291" s="4"/>
      <c r="D291" s="4"/>
      <c r="E291" s="4"/>
    </row>
    <row r="292" spans="1:5" s="2" customFormat="1" ht="15" customHeight="1" thickBot="1">
      <c r="A292" s="8"/>
      <c r="B292" s="15"/>
      <c r="C292" s="4"/>
      <c r="D292" s="4"/>
      <c r="E292" s="4"/>
    </row>
    <row r="293" spans="1:5" s="2" customFormat="1" ht="15" customHeight="1" thickBot="1">
      <c r="A293" s="8"/>
      <c r="B293" s="15"/>
      <c r="C293" s="4"/>
      <c r="D293" s="4"/>
      <c r="E293" s="4"/>
    </row>
    <row r="294" spans="1:5" s="2" customFormat="1" ht="15" customHeight="1" thickBot="1">
      <c r="A294" s="8"/>
      <c r="B294" s="15"/>
      <c r="C294" s="4"/>
      <c r="D294" s="4"/>
      <c r="E294" s="4"/>
    </row>
    <row r="295" spans="1:5" s="2" customFormat="1" ht="15" customHeight="1" thickBot="1">
      <c r="A295" s="8"/>
      <c r="B295" s="15"/>
      <c r="C295" s="4"/>
      <c r="D295" s="4"/>
      <c r="E295" s="4"/>
    </row>
    <row r="296" spans="1:5" s="2" customFormat="1" ht="15" customHeight="1" thickBot="1">
      <c r="A296" s="8"/>
      <c r="B296" s="15"/>
      <c r="C296" s="4"/>
      <c r="D296" s="4"/>
      <c r="E296" s="4"/>
    </row>
    <row r="297" spans="1:5" s="2" customFormat="1" ht="15" customHeight="1" thickBot="1">
      <c r="A297" s="8"/>
      <c r="B297" s="15"/>
      <c r="C297" s="4"/>
      <c r="D297" s="4"/>
      <c r="E297" s="4"/>
    </row>
    <row r="298" spans="1:5" s="2" customFormat="1" ht="15" customHeight="1" thickBot="1">
      <c r="A298" s="8"/>
      <c r="B298" s="15"/>
      <c r="C298" s="4"/>
      <c r="D298" s="4"/>
      <c r="E298" s="4"/>
    </row>
    <row r="299" spans="1:5" s="2" customFormat="1" ht="15" customHeight="1" thickBot="1">
      <c r="A299" s="8"/>
      <c r="B299" s="15"/>
      <c r="C299" s="4"/>
      <c r="D299" s="4"/>
      <c r="E299" s="4"/>
    </row>
    <row r="300" spans="1:5" s="2" customFormat="1" ht="15" customHeight="1" thickBot="1">
      <c r="A300" s="8"/>
      <c r="B300" s="15"/>
      <c r="C300" s="4"/>
      <c r="D300" s="4"/>
      <c r="E300" s="4"/>
    </row>
    <row r="301" spans="1:5" s="2" customFormat="1" ht="15" customHeight="1" thickBot="1">
      <c r="A301" s="8"/>
      <c r="B301" s="15"/>
      <c r="C301" s="4"/>
      <c r="D301" s="4"/>
      <c r="E301" s="4"/>
    </row>
    <row r="302" spans="1:5" s="2" customFormat="1" ht="15" customHeight="1" thickBot="1">
      <c r="A302" s="8"/>
      <c r="B302" s="15"/>
      <c r="C302" s="4"/>
      <c r="D302" s="4"/>
      <c r="E302" s="4"/>
    </row>
    <row r="303" spans="1:5" s="2" customFormat="1" ht="15" customHeight="1" thickBot="1">
      <c r="A303" s="8"/>
      <c r="B303" s="15"/>
      <c r="C303" s="4"/>
      <c r="D303" s="4"/>
      <c r="E303" s="4"/>
    </row>
    <row r="304" spans="1:5" s="2" customFormat="1" ht="15" customHeight="1" thickBot="1">
      <c r="A304" s="8"/>
      <c r="B304" s="15"/>
      <c r="C304" s="4"/>
      <c r="D304" s="4"/>
      <c r="E304" s="4"/>
    </row>
    <row r="305" spans="1:5" s="2" customFormat="1" ht="15" customHeight="1" thickBot="1">
      <c r="A305" s="8"/>
      <c r="B305" s="15"/>
      <c r="C305" s="4"/>
      <c r="D305" s="4"/>
      <c r="E305" s="4"/>
    </row>
    <row r="306" spans="1:5" s="2" customFormat="1" ht="15" customHeight="1" thickBot="1">
      <c r="A306" s="8"/>
      <c r="B306" s="15"/>
      <c r="C306" s="4"/>
      <c r="D306" s="4"/>
      <c r="E306" s="4"/>
    </row>
    <row r="307" spans="1:5" s="2" customFormat="1" ht="15" customHeight="1" thickBot="1">
      <c r="A307" s="8"/>
      <c r="B307" s="15"/>
      <c r="C307" s="4"/>
      <c r="D307" s="4"/>
      <c r="E307" s="4"/>
    </row>
    <row r="308" spans="1:5" s="2" customFormat="1" ht="15" customHeight="1" thickBot="1">
      <c r="A308" s="8"/>
      <c r="B308" s="15"/>
      <c r="C308" s="4"/>
      <c r="D308" s="4"/>
      <c r="E308" s="4"/>
    </row>
    <row r="309" spans="1:5" s="2" customFormat="1" ht="15" customHeight="1" thickBot="1">
      <c r="A309" s="8"/>
      <c r="B309" s="15"/>
      <c r="C309" s="4"/>
      <c r="D309" s="4"/>
      <c r="E309" s="4"/>
    </row>
    <row r="310" spans="1:5" s="2" customFormat="1" ht="15" customHeight="1" thickBot="1">
      <c r="A310" s="8"/>
      <c r="B310" s="15"/>
      <c r="C310" s="4"/>
      <c r="D310" s="4"/>
      <c r="E310" s="4"/>
    </row>
    <row r="311" spans="1:5" s="2" customFormat="1" ht="15" customHeight="1" thickBot="1">
      <c r="A311" s="8"/>
      <c r="B311" s="15"/>
      <c r="C311" s="4"/>
      <c r="D311" s="4"/>
      <c r="E311" s="4"/>
    </row>
    <row r="312" spans="1:5" s="2" customFormat="1" ht="15" customHeight="1" thickBot="1">
      <c r="A312" s="8"/>
      <c r="B312" s="15"/>
      <c r="C312" s="4"/>
      <c r="D312" s="4"/>
      <c r="E312" s="4"/>
    </row>
    <row r="313" spans="1:5" s="2" customFormat="1" ht="15" customHeight="1" thickBot="1">
      <c r="A313" s="8"/>
      <c r="B313" s="15"/>
      <c r="C313" s="4"/>
      <c r="D313" s="4"/>
      <c r="E313" s="4"/>
    </row>
    <row r="314" spans="1:5" s="2" customFormat="1" ht="15" customHeight="1" thickBot="1">
      <c r="A314" s="8"/>
      <c r="B314" s="15"/>
      <c r="C314" s="4"/>
      <c r="D314" s="4"/>
      <c r="E314" s="4"/>
    </row>
    <row r="315" spans="1:5" s="2" customFormat="1" ht="15" customHeight="1" thickBot="1">
      <c r="A315" s="8"/>
      <c r="B315" s="15"/>
      <c r="C315" s="4"/>
      <c r="D315" s="4"/>
      <c r="E315" s="4"/>
    </row>
    <row r="316" spans="1:5" s="2" customFormat="1" ht="15" customHeight="1" thickBot="1">
      <c r="A316" s="8"/>
      <c r="B316" s="15"/>
      <c r="C316" s="4"/>
      <c r="D316" s="4"/>
      <c r="E316" s="4"/>
    </row>
    <row r="317" spans="1:5" s="2" customFormat="1" ht="15" customHeight="1" thickBot="1">
      <c r="A317" s="8"/>
      <c r="B317" s="15"/>
      <c r="C317" s="4"/>
      <c r="D317" s="4"/>
      <c r="E317" s="4"/>
    </row>
    <row r="318" spans="1:5" s="2" customFormat="1" ht="15" customHeight="1" thickBot="1">
      <c r="A318" s="8"/>
      <c r="B318" s="15"/>
      <c r="C318" s="4"/>
      <c r="D318" s="4"/>
      <c r="E318" s="4"/>
    </row>
    <row r="319" spans="1:5" s="2" customFormat="1" ht="15" customHeight="1" thickBot="1">
      <c r="A319" s="8"/>
      <c r="B319" s="15"/>
      <c r="C319" s="4"/>
      <c r="D319" s="4"/>
      <c r="E319" s="4"/>
    </row>
    <row r="320" spans="1:5" s="2" customFormat="1" ht="15" customHeight="1" thickBot="1">
      <c r="A320" s="8"/>
      <c r="B320" s="15"/>
      <c r="C320" s="4"/>
      <c r="D320" s="4"/>
      <c r="E320" s="4"/>
    </row>
    <row r="321" spans="1:5" s="2" customFormat="1" ht="15" customHeight="1" thickBot="1">
      <c r="A321" s="8"/>
      <c r="B321" s="15"/>
      <c r="C321" s="4"/>
      <c r="D321" s="4"/>
      <c r="E321" s="4"/>
    </row>
    <row r="322" spans="1:5" s="2" customFormat="1" ht="15" customHeight="1" thickBot="1">
      <c r="A322" s="8"/>
      <c r="B322" s="15"/>
      <c r="C322" s="4"/>
      <c r="D322" s="4"/>
      <c r="E322" s="4"/>
    </row>
    <row r="323" spans="1:5" s="2" customFormat="1" ht="15" customHeight="1" thickBot="1">
      <c r="A323" s="8"/>
      <c r="B323" s="15"/>
      <c r="C323" s="4"/>
      <c r="D323" s="4"/>
      <c r="E323" s="4"/>
    </row>
    <row r="324" spans="1:5" s="2" customFormat="1" ht="15" customHeight="1" thickBot="1">
      <c r="A324" s="8"/>
      <c r="B324" s="15"/>
      <c r="C324" s="4"/>
      <c r="D324" s="4"/>
      <c r="E324" s="4"/>
    </row>
    <row r="325" spans="1:5" s="2" customFormat="1" ht="15" customHeight="1" thickBot="1">
      <c r="A325" s="8"/>
      <c r="B325" s="15"/>
      <c r="C325" s="4"/>
      <c r="D325" s="4"/>
      <c r="E325" s="4"/>
    </row>
    <row r="326" spans="1:5" s="2" customFormat="1" ht="15" customHeight="1" thickBot="1">
      <c r="A326" s="8"/>
      <c r="B326" s="15"/>
      <c r="C326" s="4"/>
      <c r="D326" s="4"/>
      <c r="E326" s="4"/>
    </row>
    <row r="327" spans="1:5" s="2" customFormat="1" ht="15" customHeight="1" thickBot="1">
      <c r="A327" s="8"/>
      <c r="B327" s="15"/>
      <c r="C327" s="4"/>
      <c r="D327" s="4"/>
      <c r="E327" s="4"/>
    </row>
    <row r="328" spans="1:5" s="2" customFormat="1" ht="15" customHeight="1" thickBot="1">
      <c r="A328" s="8"/>
      <c r="B328" s="15"/>
      <c r="C328" s="4"/>
      <c r="D328" s="4"/>
      <c r="E328" s="4"/>
    </row>
    <row r="329" spans="1:5" s="2" customFormat="1" ht="15" customHeight="1" thickBot="1">
      <c r="A329" s="8"/>
      <c r="B329" s="15"/>
      <c r="C329" s="4"/>
      <c r="D329" s="4"/>
      <c r="E329" s="4"/>
    </row>
    <row r="330" spans="1:5" s="2" customFormat="1" ht="15" customHeight="1" thickBot="1">
      <c r="A330" s="8"/>
      <c r="B330" s="15"/>
      <c r="C330" s="4"/>
      <c r="D330" s="4"/>
      <c r="E330" s="4"/>
    </row>
    <row r="331" spans="1:5" s="2" customFormat="1" ht="15" customHeight="1" thickBot="1">
      <c r="A331" s="8"/>
      <c r="B331" s="15"/>
      <c r="C331" s="4"/>
      <c r="D331" s="4"/>
      <c r="E331" s="4"/>
    </row>
    <row r="332" spans="1:5" s="2" customFormat="1" ht="15" customHeight="1" thickBot="1">
      <c r="A332" s="8"/>
      <c r="B332" s="15"/>
      <c r="C332" s="4"/>
      <c r="D332" s="4"/>
      <c r="E332" s="4"/>
    </row>
    <row r="333" spans="1:5" s="2" customFormat="1" ht="15" customHeight="1" thickBot="1">
      <c r="A333" s="8"/>
      <c r="B333" s="15"/>
      <c r="C333" s="4"/>
      <c r="D333" s="4"/>
      <c r="E333" s="4"/>
    </row>
    <row r="334" spans="1:5" s="2" customFormat="1" ht="15" customHeight="1" thickBot="1">
      <c r="A334" s="8"/>
      <c r="B334" s="15"/>
      <c r="C334" s="4"/>
      <c r="D334" s="4"/>
      <c r="E334" s="4"/>
    </row>
    <row r="335" spans="1:5" s="2" customFormat="1" ht="15" customHeight="1" thickBot="1">
      <c r="A335" s="8"/>
      <c r="B335" s="15"/>
      <c r="C335" s="4"/>
      <c r="D335" s="4"/>
      <c r="E335" s="4"/>
    </row>
    <row r="336" spans="1:5" s="2" customFormat="1" ht="15" customHeight="1" thickBot="1">
      <c r="A336" s="8"/>
      <c r="B336" s="15"/>
      <c r="C336" s="4"/>
      <c r="D336" s="4"/>
      <c r="E336" s="4"/>
    </row>
    <row r="337" spans="1:5" s="2" customFormat="1" ht="15" customHeight="1" thickBot="1">
      <c r="A337" s="8"/>
      <c r="B337" s="15"/>
      <c r="C337" s="4"/>
      <c r="D337" s="4"/>
      <c r="E337" s="4"/>
    </row>
    <row r="338" spans="1:5" s="2" customFormat="1" ht="15" customHeight="1" thickBot="1">
      <c r="A338" s="8"/>
      <c r="B338" s="15"/>
      <c r="C338" s="4"/>
      <c r="D338" s="4"/>
      <c r="E338" s="4"/>
    </row>
    <row r="339" spans="1:5" s="2" customFormat="1" ht="15" customHeight="1" thickBot="1">
      <c r="A339" s="8"/>
      <c r="B339" s="15"/>
      <c r="C339" s="4"/>
      <c r="D339" s="4"/>
      <c r="E339" s="4"/>
    </row>
    <row r="340" spans="1:5" s="2" customFormat="1" ht="15" customHeight="1" thickBot="1">
      <c r="A340" s="8"/>
      <c r="B340" s="15"/>
      <c r="C340" s="4"/>
      <c r="D340" s="4"/>
      <c r="E340" s="4"/>
    </row>
    <row r="341" spans="1:5" s="2" customFormat="1" ht="15" customHeight="1" thickBot="1">
      <c r="A341" s="8"/>
      <c r="B341" s="15"/>
      <c r="C341" s="4"/>
      <c r="D341" s="4"/>
      <c r="E341" s="4"/>
    </row>
    <row r="342" spans="1:5" s="2" customFormat="1" ht="15" customHeight="1" thickBot="1">
      <c r="A342" s="8"/>
      <c r="B342" s="15"/>
      <c r="C342" s="4"/>
      <c r="D342" s="4"/>
      <c r="E342" s="4"/>
    </row>
    <row r="343" spans="1:5" s="2" customFormat="1" ht="15" customHeight="1" thickBot="1">
      <c r="A343" s="8"/>
      <c r="B343" s="15"/>
      <c r="C343" s="4"/>
      <c r="D343" s="4"/>
      <c r="E343" s="4"/>
    </row>
    <row r="344" spans="1:5" s="2" customFormat="1" ht="15" customHeight="1" thickBot="1">
      <c r="A344" s="8"/>
      <c r="B344" s="15"/>
      <c r="C344" s="4"/>
      <c r="D344" s="4"/>
      <c r="E344" s="4"/>
    </row>
    <row r="345" spans="1:5" s="2" customFormat="1" ht="15" customHeight="1" thickBot="1">
      <c r="A345" s="8"/>
      <c r="B345" s="15"/>
      <c r="C345" s="4"/>
      <c r="D345" s="4"/>
      <c r="E345" s="4"/>
    </row>
    <row r="346" spans="1:5" s="2" customFormat="1" ht="15" customHeight="1" thickBot="1">
      <c r="A346" s="8"/>
      <c r="B346" s="15"/>
      <c r="C346" s="4"/>
      <c r="D346" s="4"/>
      <c r="E346" s="4"/>
    </row>
    <row r="347" spans="1:5" s="2" customFormat="1" ht="15" customHeight="1" thickBot="1">
      <c r="A347" s="8"/>
      <c r="B347" s="15"/>
      <c r="C347" s="4"/>
      <c r="D347" s="4"/>
      <c r="E347" s="4"/>
    </row>
    <row r="348" spans="1:5" s="2" customFormat="1" ht="15" customHeight="1" thickBot="1">
      <c r="A348" s="8"/>
      <c r="B348" s="15"/>
      <c r="C348" s="4"/>
      <c r="D348" s="4"/>
      <c r="E348" s="4"/>
    </row>
    <row r="349" spans="1:5" s="2" customFormat="1" ht="15" customHeight="1" thickBot="1">
      <c r="A349" s="8"/>
      <c r="B349" s="15"/>
      <c r="C349" s="4"/>
      <c r="D349" s="4"/>
      <c r="E349" s="4"/>
    </row>
    <row r="350" spans="1:5" s="2" customFormat="1" ht="15" customHeight="1" thickBot="1">
      <c r="A350" s="8"/>
      <c r="B350" s="15"/>
      <c r="C350" s="4"/>
      <c r="D350" s="4"/>
      <c r="E350" s="4"/>
    </row>
    <row r="351" spans="1:5" s="2" customFormat="1" ht="15" customHeight="1" thickBot="1">
      <c r="A351" s="8"/>
      <c r="B351" s="15"/>
      <c r="C351" s="4"/>
      <c r="D351" s="4"/>
      <c r="E351" s="4"/>
    </row>
    <row r="352" spans="1:5" s="2" customFormat="1" ht="15" customHeight="1" thickBot="1">
      <c r="A352" s="8"/>
      <c r="B352" s="15"/>
      <c r="C352" s="4"/>
      <c r="D352" s="4"/>
      <c r="E352" s="4"/>
    </row>
    <row r="353" spans="1:5" s="2" customFormat="1" ht="15" customHeight="1" thickBot="1">
      <c r="A353" s="8"/>
      <c r="B353" s="15"/>
      <c r="C353" s="4"/>
      <c r="D353" s="4"/>
      <c r="E353" s="4"/>
    </row>
    <row r="354" spans="1:5" s="2" customFormat="1" ht="15" customHeight="1" thickBot="1">
      <c r="A354" s="8"/>
      <c r="B354" s="15"/>
      <c r="C354" s="4"/>
      <c r="D354" s="4"/>
      <c r="E354" s="4"/>
    </row>
    <row r="355" spans="1:5" s="2" customFormat="1" ht="15" customHeight="1" thickBot="1">
      <c r="A355" s="8"/>
      <c r="B355" s="15"/>
      <c r="C355" s="4"/>
      <c r="D355" s="4"/>
      <c r="E355" s="4"/>
    </row>
    <row r="356" spans="1:5" s="2" customFormat="1" ht="15" customHeight="1" thickBot="1">
      <c r="A356" s="8"/>
      <c r="B356" s="15"/>
      <c r="C356" s="4"/>
      <c r="D356" s="4"/>
      <c r="E356" s="4"/>
    </row>
    <row r="357" spans="1:5" s="2" customFormat="1" ht="15" customHeight="1" thickBot="1">
      <c r="A357" s="8"/>
      <c r="B357" s="15"/>
      <c r="C357" s="4"/>
      <c r="D357" s="4"/>
      <c r="E357" s="4"/>
    </row>
    <row r="358" spans="1:5" s="2" customFormat="1" ht="15" customHeight="1">
      <c r="A358" s="8"/>
      <c r="B358" s="15"/>
      <c r="C358" s="21"/>
      <c r="D358" s="22"/>
      <c r="E358" s="4"/>
    </row>
    <row r="359" spans="1:5" s="2" customFormat="1" ht="15" customHeight="1">
      <c r="A359" s="4"/>
      <c r="B359" s="4"/>
      <c r="C359" s="4"/>
      <c r="D359" s="4"/>
      <c r="E359" s="4"/>
    </row>
    <row r="360" spans="1:5" s="2" customFormat="1" ht="15" customHeight="1">
      <c r="A360" s="4"/>
      <c r="B360" s="4"/>
      <c r="C360" s="4"/>
      <c r="D360" s="4"/>
      <c r="E360" s="4"/>
    </row>
    <row r="361" spans="1:5" s="2" customFormat="1" ht="15" customHeight="1">
      <c r="A361" s="4"/>
      <c r="B361" s="4"/>
      <c r="C361" s="4"/>
      <c r="D361" s="4"/>
      <c r="E361" s="4"/>
    </row>
    <row r="362" spans="1:5" s="2" customFormat="1" ht="15" customHeight="1">
      <c r="A362" s="4"/>
      <c r="B362" s="4"/>
      <c r="C362" s="4"/>
      <c r="D362" s="4"/>
      <c r="E362" s="4"/>
    </row>
    <row r="363" spans="1:5" s="2" customFormat="1" ht="15" customHeight="1">
      <c r="A363" s="4"/>
      <c r="B363" s="4"/>
      <c r="C363" s="4"/>
      <c r="D363" s="4"/>
      <c r="E363" s="4"/>
    </row>
    <row r="364" spans="1:5" s="2" customFormat="1" ht="15" customHeight="1">
      <c r="A364" s="4"/>
      <c r="B364" s="4"/>
      <c r="C364" s="4"/>
      <c r="D364" s="4"/>
      <c r="E364" s="4"/>
    </row>
    <row r="365" spans="1:5" s="2" customFormat="1" ht="15" customHeight="1">
      <c r="A365" s="4"/>
      <c r="B365" s="4"/>
      <c r="C365" s="4"/>
      <c r="D365" s="4"/>
      <c r="E365" s="4"/>
    </row>
    <row r="366" spans="1:5" s="2" customFormat="1" ht="15" customHeight="1">
      <c r="A366" s="4"/>
      <c r="B366" s="4"/>
      <c r="C366" s="4"/>
      <c r="D366" s="4"/>
      <c r="E366" s="4"/>
    </row>
    <row r="367" spans="1:5" s="2" customFormat="1" ht="15" customHeight="1">
      <c r="A367" s="4"/>
      <c r="B367" s="4"/>
      <c r="C367" s="4"/>
      <c r="D367" s="4"/>
      <c r="E367" s="4"/>
    </row>
    <row r="368" spans="1:5" s="2" customFormat="1" ht="15" customHeight="1">
      <c r="A368" s="4"/>
      <c r="B368" s="4"/>
      <c r="C368" s="4"/>
      <c r="D368" s="4"/>
      <c r="E368" s="4"/>
    </row>
    <row r="369" spans="1:5" s="2" customFormat="1" ht="15" customHeight="1">
      <c r="A369" s="4"/>
      <c r="B369" s="4"/>
      <c r="C369" s="4"/>
      <c r="D369" s="4"/>
      <c r="E369" s="4"/>
    </row>
    <row r="370" spans="1:5" s="2" customFormat="1" ht="15" customHeight="1">
      <c r="A370" s="4"/>
      <c r="B370" s="4"/>
      <c r="C370" s="4"/>
      <c r="D370" s="4"/>
      <c r="E370" s="4"/>
    </row>
    <row r="371" spans="1:5" s="2" customFormat="1" ht="15" customHeight="1">
      <c r="A371" s="4"/>
      <c r="B371" s="4"/>
      <c r="C371" s="4"/>
      <c r="D371" s="4"/>
      <c r="E371" s="4"/>
    </row>
    <row r="372" spans="1:5" s="2" customFormat="1" ht="15" customHeight="1">
      <c r="A372" s="4"/>
      <c r="B372" s="4"/>
      <c r="C372" s="4"/>
      <c r="D372" s="4"/>
      <c r="E372" s="4"/>
    </row>
    <row r="373" spans="1:5" s="2" customFormat="1" ht="15" customHeight="1">
      <c r="A373" s="4"/>
      <c r="B373" s="4"/>
      <c r="C373" s="4"/>
      <c r="D373" s="4"/>
      <c r="E373" s="4"/>
    </row>
    <row r="374" spans="1:5" s="2" customFormat="1" ht="15" customHeight="1">
      <c r="A374" s="4"/>
      <c r="B374" s="4"/>
      <c r="C374" s="4"/>
      <c r="D374" s="4"/>
      <c r="E374" s="4"/>
    </row>
    <row r="375" spans="1:5" s="2" customFormat="1" ht="15" customHeight="1">
      <c r="A375" s="4"/>
      <c r="B375" s="4"/>
      <c r="C375" s="4"/>
      <c r="D375" s="4"/>
      <c r="E375" s="4"/>
    </row>
    <row r="376" spans="1:5" s="2" customFormat="1" ht="15" customHeight="1">
      <c r="A376" s="4"/>
      <c r="B376" s="4"/>
      <c r="C376" s="4"/>
      <c r="D376" s="4"/>
      <c r="E376" s="4"/>
    </row>
    <row r="377" spans="1:5" s="2" customFormat="1" ht="15" customHeight="1">
      <c r="A377" s="4"/>
      <c r="B377" s="4"/>
      <c r="C377" s="4"/>
      <c r="D377" s="4"/>
      <c r="E377" s="4"/>
    </row>
    <row r="378" spans="1:5" s="2" customFormat="1" ht="15" customHeight="1">
      <c r="A378" s="4"/>
      <c r="B378" s="4"/>
      <c r="C378" s="4"/>
      <c r="D378" s="4"/>
      <c r="E378" s="4"/>
    </row>
    <row r="379" spans="1:5" s="2" customFormat="1" ht="15" customHeight="1">
      <c r="A379" s="4"/>
      <c r="B379" s="4"/>
      <c r="C379" s="4"/>
      <c r="D379" s="4"/>
      <c r="E379" s="4"/>
    </row>
    <row r="380" spans="1:5" s="2" customFormat="1" ht="15" customHeight="1">
      <c r="A380" s="4"/>
      <c r="B380" s="4"/>
      <c r="C380" s="4"/>
      <c r="D380" s="4"/>
      <c r="E380" s="4"/>
    </row>
    <row r="381" spans="1:5" s="2" customFormat="1" ht="15" customHeight="1">
      <c r="A381" s="4"/>
      <c r="B381" s="4"/>
      <c r="C381" s="4"/>
      <c r="D381" s="4"/>
      <c r="E381" s="4"/>
    </row>
    <row r="382" spans="1:5" s="2" customFormat="1" ht="15" customHeight="1">
      <c r="A382" s="4"/>
      <c r="B382" s="4"/>
      <c r="C382" s="4"/>
      <c r="D382" s="4"/>
      <c r="E382" s="4"/>
    </row>
    <row r="383" spans="1:5" s="2" customFormat="1" ht="15" customHeight="1">
      <c r="A383" s="4"/>
      <c r="B383" s="4"/>
      <c r="C383" s="4"/>
      <c r="D383" s="4"/>
      <c r="E383" s="4"/>
    </row>
    <row r="384" spans="1:5" s="2" customFormat="1" ht="15" customHeight="1">
      <c r="A384" s="4"/>
      <c r="B384" s="4"/>
      <c r="C384" s="4"/>
      <c r="D384" s="4"/>
      <c r="E384" s="4"/>
    </row>
    <row r="385" spans="1:5" s="2" customFormat="1" ht="15" customHeight="1">
      <c r="A385" s="4"/>
      <c r="B385" s="4"/>
      <c r="C385" s="4"/>
      <c r="D385" s="4"/>
      <c r="E385" s="4"/>
    </row>
    <row r="386" spans="1:5" s="2" customFormat="1" ht="15" customHeight="1">
      <c r="A386" s="4"/>
      <c r="B386" s="4"/>
      <c r="C386" s="4"/>
      <c r="D386" s="4"/>
      <c r="E386" s="4"/>
    </row>
    <row r="387" spans="1:5" s="2" customFormat="1" ht="15" customHeight="1">
      <c r="A387" s="4"/>
      <c r="B387" s="4"/>
      <c r="C387" s="4"/>
      <c r="D387" s="4"/>
      <c r="E387" s="4"/>
    </row>
    <row r="388" spans="1:5" s="2" customFormat="1" ht="15" customHeight="1">
      <c r="A388" s="4"/>
      <c r="B388" s="4"/>
      <c r="C388" s="4"/>
      <c r="D388" s="4"/>
      <c r="E388" s="4"/>
    </row>
    <row r="389" spans="1:5" s="2" customFormat="1" ht="15" customHeight="1">
      <c r="A389" s="4"/>
      <c r="B389" s="4"/>
      <c r="C389" s="4"/>
      <c r="D389" s="4"/>
      <c r="E389" s="4"/>
    </row>
    <row r="390" spans="1:5" s="2" customFormat="1" ht="15" customHeight="1">
      <c r="A390" s="4"/>
      <c r="B390" s="4"/>
      <c r="C390" s="4"/>
      <c r="D390" s="4"/>
      <c r="E390" s="4"/>
    </row>
    <row r="391" spans="1:5" s="2" customFormat="1" ht="15" customHeight="1">
      <c r="A391" s="4"/>
      <c r="B391" s="4"/>
      <c r="C391" s="4"/>
      <c r="D391" s="4"/>
      <c r="E391" s="4"/>
    </row>
    <row r="392" spans="1:5" s="2" customFormat="1" ht="15" customHeight="1">
      <c r="A392" s="4"/>
      <c r="B392" s="4"/>
      <c r="C392" s="4"/>
      <c r="D392" s="4"/>
      <c r="E392" s="4"/>
    </row>
    <row r="393" spans="1:5" s="2" customFormat="1" ht="15" customHeight="1">
      <c r="A393" s="4"/>
      <c r="B393" s="4"/>
      <c r="C393" s="4"/>
      <c r="D393" s="4"/>
      <c r="E393" s="4"/>
    </row>
    <row r="394" spans="1:5" s="2" customFormat="1" ht="15" customHeight="1">
      <c r="A394" s="4"/>
      <c r="B394" s="4"/>
      <c r="C394" s="4"/>
      <c r="D394" s="4"/>
      <c r="E394" s="4"/>
    </row>
    <row r="395" spans="1:5" s="2" customFormat="1" ht="15" customHeight="1">
      <c r="A395" s="4"/>
      <c r="B395" s="4"/>
      <c r="C395" s="4"/>
      <c r="D395" s="4"/>
      <c r="E395" s="4"/>
    </row>
    <row r="396" spans="1:5" s="2" customFormat="1" ht="15" customHeight="1">
      <c r="A396" s="4"/>
      <c r="B396" s="4"/>
      <c r="C396" s="4"/>
      <c r="D396" s="4"/>
      <c r="E396" s="4"/>
    </row>
    <row r="397" spans="1:5" s="2" customFormat="1" ht="15" customHeight="1">
      <c r="A397" s="4"/>
      <c r="B397" s="4"/>
      <c r="C397" s="4"/>
      <c r="D397" s="4"/>
      <c r="E397" s="4"/>
    </row>
    <row r="398" spans="1:5" s="2" customFormat="1" ht="15" customHeight="1">
      <c r="A398" s="4"/>
      <c r="B398" s="4"/>
      <c r="C398" s="4"/>
      <c r="D398" s="4"/>
      <c r="E398" s="4"/>
    </row>
    <row r="399" spans="1:5" s="2" customFormat="1" ht="15" customHeight="1">
      <c r="A399" s="4"/>
      <c r="B399" s="4"/>
      <c r="C399" s="4"/>
      <c r="D399" s="4"/>
      <c r="E399" s="4"/>
    </row>
    <row r="400" spans="1:5" s="2" customFormat="1" ht="15" customHeight="1">
      <c r="A400" s="4"/>
      <c r="B400" s="4"/>
      <c r="C400" s="4"/>
      <c r="D400" s="4"/>
      <c r="E400" s="4"/>
    </row>
    <row r="401" spans="1:5" s="2" customFormat="1" ht="15" customHeight="1">
      <c r="A401" s="4"/>
      <c r="B401" s="4"/>
      <c r="C401" s="4"/>
      <c r="D401" s="4"/>
      <c r="E401" s="4"/>
    </row>
    <row r="402" spans="1:5" s="2" customFormat="1" ht="15" customHeight="1">
      <c r="A402" s="4"/>
      <c r="B402" s="4"/>
      <c r="C402" s="4"/>
      <c r="D402" s="4"/>
      <c r="E402" s="4"/>
    </row>
    <row r="403" spans="1:5" s="2" customFormat="1" ht="15" customHeight="1">
      <c r="A403" s="4"/>
      <c r="B403" s="4"/>
      <c r="C403" s="4"/>
      <c r="D403" s="4"/>
      <c r="E403" s="4"/>
    </row>
    <row r="404" spans="1:5" s="2" customFormat="1" ht="15" customHeight="1">
      <c r="A404" s="4"/>
      <c r="B404" s="4"/>
      <c r="C404" s="4"/>
      <c r="D404" s="4"/>
      <c r="E404" s="4"/>
    </row>
    <row r="405" spans="1:5" s="2" customFormat="1" ht="15" customHeight="1">
      <c r="A405" s="4"/>
      <c r="B405" s="4"/>
      <c r="C405" s="4"/>
      <c r="D405" s="4"/>
      <c r="E405" s="4"/>
    </row>
    <row r="406" spans="1:5" s="2" customFormat="1" ht="15" customHeight="1">
      <c r="A406" s="4"/>
      <c r="B406" s="4"/>
      <c r="C406" s="4"/>
      <c r="D406" s="4"/>
      <c r="E406" s="4"/>
    </row>
    <row r="407" spans="1:5" s="2" customFormat="1" ht="15" customHeight="1">
      <c r="A407" s="4"/>
      <c r="B407" s="4"/>
      <c r="C407" s="4"/>
      <c r="D407" s="4"/>
      <c r="E407" s="4"/>
    </row>
    <row r="408" spans="1:5" s="2" customFormat="1" ht="15" customHeight="1">
      <c r="A408" s="4"/>
      <c r="B408" s="4"/>
      <c r="C408" s="4"/>
      <c r="D408" s="4"/>
      <c r="E408" s="4"/>
    </row>
    <row r="409" spans="1:5" s="2" customFormat="1" ht="15" customHeight="1">
      <c r="A409" s="4"/>
      <c r="B409" s="4"/>
      <c r="C409" s="4"/>
      <c r="D409" s="4"/>
      <c r="E409" s="4"/>
    </row>
    <row r="410" spans="1:5" s="2" customFormat="1" ht="15" customHeight="1">
      <c r="A410" s="4"/>
      <c r="B410" s="4"/>
      <c r="C410" s="4"/>
      <c r="D410" s="4"/>
      <c r="E410" s="4"/>
    </row>
    <row r="411" spans="1:5" s="2" customFormat="1" ht="15" customHeight="1">
      <c r="A411" s="4"/>
      <c r="B411" s="4"/>
      <c r="C411" s="4"/>
      <c r="D411" s="4"/>
      <c r="E411" s="4"/>
    </row>
    <row r="412" spans="1:5" s="2" customFormat="1" ht="15" customHeight="1">
      <c r="A412" s="4"/>
      <c r="B412" s="4"/>
      <c r="C412" s="4"/>
      <c r="D412" s="4"/>
      <c r="E412" s="4"/>
    </row>
    <row r="413" spans="1:5" s="2" customFormat="1" ht="15" customHeight="1">
      <c r="A413" s="4"/>
      <c r="B413" s="4"/>
      <c r="C413" s="4"/>
      <c r="D413" s="4"/>
      <c r="E413" s="4"/>
    </row>
    <row r="414" spans="1:5" s="2" customFormat="1" ht="15" customHeight="1">
      <c r="A414" s="4"/>
      <c r="B414" s="4"/>
      <c r="C414" s="4"/>
      <c r="D414" s="4"/>
      <c r="E414" s="4"/>
    </row>
    <row r="415" spans="1:5" s="2" customFormat="1" ht="15" customHeight="1">
      <c r="A415" s="4"/>
      <c r="B415" s="4"/>
      <c r="C415" s="4"/>
      <c r="D415" s="4"/>
      <c r="E415" s="4"/>
    </row>
    <row r="416" spans="1:5" s="2" customFormat="1" ht="15" customHeight="1">
      <c r="A416" s="4"/>
      <c r="B416" s="4"/>
      <c r="C416" s="4"/>
      <c r="D416" s="4"/>
      <c r="E416" s="4"/>
    </row>
    <row r="417" spans="1:5" s="2" customFormat="1" ht="15" customHeight="1">
      <c r="A417" s="4"/>
      <c r="B417" s="4"/>
      <c r="C417" s="4"/>
      <c r="D417" s="4"/>
      <c r="E417" s="4"/>
    </row>
    <row r="418" spans="1:5" s="2" customFormat="1" ht="15" customHeight="1">
      <c r="A418" s="4"/>
      <c r="B418" s="4"/>
      <c r="C418" s="4"/>
      <c r="D418" s="4"/>
      <c r="E418" s="4"/>
    </row>
    <row r="419" spans="1:5" s="2" customFormat="1" ht="15" customHeight="1">
      <c r="A419" s="4"/>
      <c r="B419" s="4"/>
      <c r="C419" s="4"/>
      <c r="D419" s="4"/>
      <c r="E419" s="4"/>
    </row>
    <row r="420" spans="1:5" s="2" customFormat="1" ht="15" customHeight="1">
      <c r="A420" s="4"/>
      <c r="B420" s="4"/>
      <c r="C420" s="4"/>
      <c r="D420" s="4"/>
      <c r="E420" s="4"/>
    </row>
    <row r="421" spans="1:5" s="2" customFormat="1" ht="15" customHeight="1">
      <c r="A421" s="4"/>
      <c r="B421" s="4"/>
      <c r="C421" s="4"/>
      <c r="D421" s="4"/>
      <c r="E421" s="4"/>
    </row>
    <row r="422" spans="1:5" s="2" customFormat="1" ht="15" customHeight="1">
      <c r="A422" s="4"/>
      <c r="B422" s="4"/>
      <c r="C422" s="4"/>
      <c r="D422" s="4"/>
      <c r="E422" s="4"/>
    </row>
    <row r="423" spans="1:5" s="2" customFormat="1" ht="15" customHeight="1">
      <c r="A423" s="4"/>
      <c r="B423" s="4"/>
      <c r="C423" s="4"/>
      <c r="D423" s="4"/>
      <c r="E423" s="4"/>
    </row>
    <row r="424" spans="1:5" s="2" customFormat="1" ht="15" customHeight="1">
      <c r="A424" s="4"/>
      <c r="B424" s="4"/>
      <c r="C424" s="4"/>
      <c r="D424" s="4"/>
      <c r="E424" s="4"/>
    </row>
    <row r="425" spans="1:5" s="2" customFormat="1" ht="15" customHeight="1">
      <c r="A425" s="4"/>
      <c r="B425" s="4"/>
      <c r="C425" s="4"/>
      <c r="D425" s="4"/>
      <c r="E425" s="4"/>
    </row>
    <row r="426" spans="1:5" s="2" customFormat="1" ht="15" customHeight="1">
      <c r="A426" s="4"/>
      <c r="B426" s="4"/>
      <c r="C426" s="4"/>
      <c r="D426" s="4"/>
      <c r="E426" s="4"/>
    </row>
    <row r="427" spans="1:5" s="2" customFormat="1" ht="15" customHeight="1">
      <c r="A427" s="4"/>
      <c r="B427" s="4"/>
      <c r="C427" s="4"/>
      <c r="D427" s="4"/>
      <c r="E427" s="4"/>
    </row>
    <row r="428" spans="1:5" s="2" customFormat="1" ht="15" customHeight="1">
      <c r="A428" s="4"/>
      <c r="B428" s="4"/>
      <c r="C428" s="4"/>
      <c r="D428" s="4"/>
      <c r="E428" s="4"/>
    </row>
    <row r="429" spans="1:5" s="2" customFormat="1" ht="15" customHeight="1">
      <c r="A429" s="4"/>
      <c r="B429" s="4"/>
      <c r="C429" s="4"/>
      <c r="D429" s="4"/>
      <c r="E429" s="4"/>
    </row>
    <row r="430" spans="1:5" s="2" customFormat="1" ht="15" customHeight="1">
      <c r="A430" s="4"/>
      <c r="B430" s="4"/>
      <c r="C430" s="4"/>
      <c r="D430" s="4"/>
      <c r="E430" s="4"/>
    </row>
    <row r="431" spans="1:5" s="2" customFormat="1" ht="15" customHeight="1">
      <c r="A431" s="4"/>
      <c r="B431" s="4"/>
      <c r="C431" s="4"/>
      <c r="D431" s="4"/>
      <c r="E431" s="4"/>
    </row>
    <row r="432" spans="1:5" s="2" customFormat="1" ht="15" customHeight="1">
      <c r="A432" s="4"/>
      <c r="B432" s="4"/>
      <c r="C432" s="4"/>
      <c r="D432" s="4"/>
      <c r="E432" s="4"/>
    </row>
    <row r="433" spans="1:5" s="2" customFormat="1" ht="15" customHeight="1">
      <c r="A433" s="4"/>
      <c r="B433" s="4"/>
      <c r="C433" s="4"/>
      <c r="D433" s="4"/>
      <c r="E433" s="4"/>
    </row>
    <row r="434" spans="1:5" s="2" customFormat="1" ht="15" customHeight="1">
      <c r="A434" s="4"/>
      <c r="B434" s="4"/>
      <c r="C434" s="4"/>
      <c r="D434" s="4"/>
      <c r="E434" s="4"/>
    </row>
    <row r="435" spans="1:5" s="2" customFormat="1" ht="15" customHeight="1">
      <c r="A435" s="4"/>
      <c r="B435" s="4"/>
      <c r="C435" s="4"/>
      <c r="D435" s="4"/>
      <c r="E435" s="4"/>
    </row>
    <row r="436" spans="1:5" s="2" customFormat="1" ht="15" customHeight="1">
      <c r="A436" s="4"/>
      <c r="B436" s="4"/>
      <c r="C436" s="4"/>
      <c r="D436" s="4"/>
      <c r="E436" s="4"/>
    </row>
    <row r="437" spans="1:5" s="2" customFormat="1" ht="15" customHeight="1">
      <c r="A437" s="4"/>
      <c r="B437" s="4"/>
      <c r="C437" s="4"/>
      <c r="D437" s="4"/>
      <c r="E437" s="4"/>
    </row>
    <row r="438" spans="1:5" s="2" customFormat="1" ht="15" customHeight="1">
      <c r="A438" s="4"/>
      <c r="B438" s="4"/>
      <c r="C438" s="4"/>
      <c r="D438" s="4"/>
      <c r="E438" s="4"/>
    </row>
    <row r="439" spans="1:5" s="2" customFormat="1" ht="15" customHeight="1">
      <c r="A439" s="4"/>
      <c r="B439" s="4"/>
      <c r="C439" s="4"/>
      <c r="D439" s="4"/>
      <c r="E439" s="4"/>
    </row>
    <row r="440" spans="1:5" s="2" customFormat="1" ht="15" customHeight="1">
      <c r="A440" s="4"/>
      <c r="B440" s="4"/>
      <c r="C440" s="4"/>
      <c r="D440" s="4"/>
      <c r="E440" s="4"/>
    </row>
    <row r="441" spans="1:5" s="2" customFormat="1" ht="15" customHeight="1">
      <c r="A441" s="4"/>
      <c r="B441" s="4"/>
      <c r="C441" s="4"/>
      <c r="D441" s="4"/>
      <c r="E441" s="4"/>
    </row>
    <row r="442" spans="1:5" s="2" customFormat="1" ht="15" customHeight="1">
      <c r="A442" s="4"/>
      <c r="B442" s="4"/>
      <c r="C442" s="4"/>
      <c r="D442" s="4"/>
      <c r="E442" s="4"/>
    </row>
    <row r="443" spans="1:5" s="2" customFormat="1" ht="15" customHeight="1">
      <c r="A443" s="4"/>
      <c r="B443" s="4"/>
      <c r="C443" s="4"/>
      <c r="D443" s="4"/>
      <c r="E443" s="4"/>
    </row>
    <row r="444" spans="1:5" s="2" customFormat="1" ht="15" customHeight="1">
      <c r="A444" s="4"/>
      <c r="B444" s="4"/>
      <c r="C444" s="4"/>
      <c r="D444" s="4"/>
      <c r="E444" s="4"/>
    </row>
    <row r="445" spans="1:5" s="2" customFormat="1" ht="15" customHeight="1">
      <c r="A445" s="4"/>
      <c r="B445" s="4"/>
      <c r="C445" s="4"/>
      <c r="D445" s="4"/>
      <c r="E445" s="4"/>
    </row>
    <row r="446" spans="1:5" s="2" customFormat="1" ht="15" customHeight="1">
      <c r="A446" s="4"/>
      <c r="B446" s="4"/>
      <c r="C446" s="4"/>
      <c r="D446" s="4"/>
      <c r="E446" s="4"/>
    </row>
    <row r="447" spans="1:5" s="2" customFormat="1" ht="15" customHeight="1">
      <c r="A447" s="4"/>
      <c r="B447" s="4"/>
      <c r="C447" s="4"/>
      <c r="D447" s="4"/>
      <c r="E447" s="4"/>
    </row>
    <row r="448" spans="1:5" s="2" customFormat="1" ht="15" customHeight="1">
      <c r="A448" s="4"/>
      <c r="B448" s="4"/>
      <c r="C448" s="4"/>
      <c r="D448" s="4"/>
      <c r="E448" s="4"/>
    </row>
    <row r="449" spans="1:5" s="2" customFormat="1" ht="15" customHeight="1">
      <c r="A449" s="4"/>
      <c r="B449" s="4"/>
      <c r="C449" s="4"/>
      <c r="D449" s="4"/>
      <c r="E449" s="4"/>
    </row>
    <row r="450" spans="1:5" s="2" customFormat="1" ht="15" customHeight="1">
      <c r="A450" s="4"/>
      <c r="B450" s="4"/>
      <c r="C450" s="4"/>
      <c r="D450" s="4"/>
      <c r="E450" s="4"/>
    </row>
    <row r="451" spans="1:5" s="2" customFormat="1" ht="15" customHeight="1">
      <c r="A451" s="4"/>
      <c r="B451" s="4"/>
      <c r="C451" s="4"/>
      <c r="D451" s="4"/>
      <c r="E451" s="4"/>
    </row>
    <row r="452" spans="1:5" s="2" customFormat="1" ht="15" customHeight="1">
      <c r="A452" s="4"/>
      <c r="B452" s="4"/>
      <c r="C452" s="4"/>
      <c r="D452" s="4"/>
      <c r="E452" s="4"/>
    </row>
    <row r="453" spans="1:5" s="2" customFormat="1" ht="15" customHeight="1">
      <c r="A453" s="4"/>
      <c r="B453" s="4"/>
      <c r="C453" s="4"/>
      <c r="D453" s="4"/>
      <c r="E453" s="4"/>
    </row>
    <row r="454" spans="1:5" s="2" customFormat="1" ht="15" customHeight="1">
      <c r="A454" s="4"/>
      <c r="B454" s="4"/>
      <c r="C454" s="4"/>
      <c r="D454" s="4"/>
      <c r="E454" s="4"/>
    </row>
    <row r="455" spans="1:5" s="2" customFormat="1" ht="15" customHeight="1">
      <c r="A455" s="4"/>
      <c r="B455" s="4"/>
      <c r="C455" s="4"/>
      <c r="D455" s="4"/>
      <c r="E455" s="4"/>
    </row>
    <row r="456" spans="1:5" s="2" customFormat="1" ht="15" customHeight="1">
      <c r="A456" s="4"/>
      <c r="B456" s="4"/>
      <c r="C456" s="4"/>
      <c r="D456" s="4"/>
      <c r="E456" s="4"/>
    </row>
    <row r="457" spans="1:5" s="2" customFormat="1" ht="15" customHeight="1">
      <c r="A457" s="4"/>
      <c r="B457" s="4"/>
      <c r="C457" s="4"/>
      <c r="D457" s="4"/>
      <c r="E457" s="4"/>
    </row>
    <row r="458" spans="1:5" s="2" customFormat="1" ht="15" customHeight="1">
      <c r="A458" s="4"/>
      <c r="B458" s="4"/>
      <c r="C458" s="4"/>
      <c r="D458" s="4"/>
      <c r="E458" s="4"/>
    </row>
    <row r="459" spans="1:5" s="2" customFormat="1" ht="15" customHeight="1">
      <c r="A459" s="4"/>
      <c r="B459" s="4"/>
      <c r="C459" s="4"/>
      <c r="D459" s="4"/>
      <c r="E459" s="4"/>
    </row>
    <row r="460" spans="1:5" ht="15" customHeight="1">
      <c r="A460" s="4"/>
      <c r="B460" s="4"/>
    </row>
    <row r="461" spans="1:5" ht="15" customHeight="1">
      <c r="A461" s="4"/>
      <c r="B461" s="4"/>
    </row>
    <row r="462" spans="1:5" ht="15" customHeight="1">
      <c r="A462" s="4"/>
      <c r="B462" s="4"/>
    </row>
    <row r="463" spans="1:5" ht="15" customHeight="1">
      <c r="A463" s="4"/>
      <c r="B463" s="4"/>
    </row>
    <row r="464" spans="1:5" ht="15" customHeight="1">
      <c r="A464" s="4"/>
      <c r="B464" s="4"/>
    </row>
    <row r="465" spans="1:4" ht="15" customHeight="1">
      <c r="A465" s="4"/>
      <c r="B465" s="4"/>
    </row>
    <row r="466" spans="1:4" ht="15" customHeight="1">
      <c r="A466" s="4"/>
      <c r="B466" s="4"/>
    </row>
    <row r="467" spans="1:4" ht="15" customHeight="1">
      <c r="A467" s="4"/>
      <c r="B467" s="4"/>
    </row>
    <row r="468" spans="1:4" ht="15" customHeight="1">
      <c r="C468" s="23"/>
      <c r="D468" s="24"/>
    </row>
  </sheetData>
  <hyperlinks>
    <hyperlink ref="L34" r:id="rId1" xr:uid="{F502A45C-B850-4826-BB6A-CA9BE29E42A5}"/>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25FC-25E1-4099-9B8D-4F1FF71E266B}">
  <dimension ref="A1:T121"/>
  <sheetViews>
    <sheetView zoomScale="80" zoomScaleNormal="80" workbookViewId="0">
      <selection activeCell="B115" sqref="B115:B121"/>
    </sheetView>
  </sheetViews>
  <sheetFormatPr defaultRowHeight="14.25"/>
  <cols>
    <col min="1" max="1" width="15.46484375" style="100" customWidth="1"/>
    <col min="2" max="2" width="14.46484375" style="24" customWidth="1"/>
    <col min="3" max="3" width="12.1328125" style="106" customWidth="1"/>
    <col min="4" max="4" width="4.6640625" customWidth="1"/>
    <col min="5" max="5" width="14" customWidth="1"/>
    <col min="8" max="8" width="10.86328125" customWidth="1"/>
    <col min="9" max="9" width="17" customWidth="1"/>
    <col min="10" max="10" width="16.1328125" customWidth="1"/>
    <col min="11" max="11" width="20" customWidth="1"/>
    <col min="12" max="12" width="14.1328125" style="24" customWidth="1"/>
    <col min="13" max="13" width="20.1328125" customWidth="1"/>
    <col min="14" max="14" width="21.1328125" customWidth="1"/>
    <col min="15" max="15" width="7.46484375" customWidth="1"/>
    <col min="17" max="17" width="11" bestFit="1" customWidth="1"/>
    <col min="18" max="18" width="10.53125" bestFit="1" customWidth="1"/>
    <col min="19" max="19" width="10.46484375" customWidth="1"/>
    <col min="20" max="20" width="10.53125" customWidth="1"/>
  </cols>
  <sheetData>
    <row r="1" spans="1:20">
      <c r="A1" s="113" t="s">
        <v>166</v>
      </c>
    </row>
    <row r="2" spans="1:20">
      <c r="J2" s="101"/>
      <c r="K2" s="101"/>
      <c r="L2" s="49" t="s">
        <v>152</v>
      </c>
      <c r="M2" s="49" t="s">
        <v>153</v>
      </c>
      <c r="N2" s="49" t="s">
        <v>154</v>
      </c>
      <c r="P2" s="108" t="s">
        <v>155</v>
      </c>
      <c r="Q2" s="49">
        <v>1</v>
      </c>
      <c r="R2" s="49">
        <v>2</v>
      </c>
      <c r="S2" s="49">
        <v>3</v>
      </c>
      <c r="T2" s="24"/>
    </row>
    <row r="3" spans="1:20">
      <c r="J3" s="108" t="s">
        <v>156</v>
      </c>
      <c r="K3" s="107">
        <v>7.1039590089407981E-2</v>
      </c>
      <c r="L3" s="50">
        <v>58</v>
      </c>
      <c r="M3" s="112">
        <f>L3/$N$26</f>
        <v>0.5321100917431193</v>
      </c>
      <c r="N3" s="112">
        <f>K3*M3</f>
        <v>3.7800882799868471E-2</v>
      </c>
      <c r="P3" s="108" t="s">
        <v>157</v>
      </c>
      <c r="Q3" s="107">
        <f>N14+N18</f>
        <v>0.10133658167322683</v>
      </c>
      <c r="R3" s="107">
        <f>N14+(2*N18)</f>
        <v>0.19837385143487138</v>
      </c>
      <c r="S3" s="107">
        <f>N14+(3*N18)</f>
        <v>0.29541112119651597</v>
      </c>
      <c r="T3" s="104"/>
    </row>
    <row r="4" spans="1:20">
      <c r="G4" s="108" t="s">
        <v>158</v>
      </c>
      <c r="H4" s="107">
        <f>SUBTOTAL(1,C13:C121)</f>
        <v>4.2993119115822638E-3</v>
      </c>
      <c r="J4" s="108" t="s">
        <v>159</v>
      </c>
      <c r="K4" s="107">
        <v>-7.6076483892149924E-2</v>
      </c>
      <c r="L4" s="50">
        <v>48</v>
      </c>
      <c r="M4" s="112">
        <f>L4/$N$26</f>
        <v>0.44036697247706424</v>
      </c>
      <c r="N4" s="112">
        <f>K4*M4</f>
        <v>-3.350157088828621E-2</v>
      </c>
      <c r="P4" s="108" t="s">
        <v>160</v>
      </c>
      <c r="Q4" s="107">
        <f>N14-N18</f>
        <v>-9.2737957850062294E-2</v>
      </c>
      <c r="R4" s="107">
        <f>N14-(2*N18)</f>
        <v>-0.18977522761170687</v>
      </c>
      <c r="S4" s="107">
        <f>N14-(3*N18)</f>
        <v>-0.2868124973733514</v>
      </c>
      <c r="T4" s="104"/>
    </row>
    <row r="5" spans="1:20">
      <c r="G5" s="108" t="s">
        <v>150</v>
      </c>
      <c r="H5" s="50">
        <f>SUBTOTAL(2,C13:C121)</f>
        <v>109</v>
      </c>
      <c r="J5" s="108" t="s">
        <v>161</v>
      </c>
      <c r="K5" s="107">
        <v>0</v>
      </c>
      <c r="L5" s="50">
        <v>3</v>
      </c>
      <c r="M5" s="112">
        <f>L5/$N$26</f>
        <v>2.7522935779816515E-2</v>
      </c>
      <c r="N5" s="112">
        <f>K5*L5</f>
        <v>0</v>
      </c>
      <c r="Q5" s="104"/>
      <c r="R5" s="104"/>
      <c r="S5" s="104"/>
      <c r="T5" s="104"/>
    </row>
    <row r="6" spans="1:20">
      <c r="J6" s="108"/>
      <c r="K6" s="107"/>
      <c r="L6" s="109">
        <f>SUM(L3:L5)</f>
        <v>109</v>
      </c>
      <c r="M6" s="109"/>
      <c r="N6" s="109"/>
      <c r="P6" s="108" t="s">
        <v>155</v>
      </c>
      <c r="Q6" s="114" t="s">
        <v>162</v>
      </c>
      <c r="R6" s="114" t="s">
        <v>163</v>
      </c>
      <c r="S6" s="114" t="s">
        <v>164</v>
      </c>
      <c r="T6" s="114" t="s">
        <v>165</v>
      </c>
    </row>
    <row r="7" spans="1:20">
      <c r="L7"/>
      <c r="P7" s="50">
        <v>1</v>
      </c>
      <c r="Q7" s="111">
        <v>79</v>
      </c>
      <c r="R7" s="111">
        <f>T7*$N$26</f>
        <v>74.338000000000008</v>
      </c>
      <c r="S7" s="112">
        <f>Q7/$N$26</f>
        <v>0.72477064220183485</v>
      </c>
      <c r="T7" s="112">
        <v>0.68200000000000005</v>
      </c>
    </row>
    <row r="8" spans="1:20">
      <c r="L8"/>
      <c r="P8" s="110">
        <v>2</v>
      </c>
      <c r="Q8" s="111">
        <v>104</v>
      </c>
      <c r="R8" s="111">
        <f>T8*$N$26</f>
        <v>103.98599999999999</v>
      </c>
      <c r="S8" s="112">
        <f>Q8/$N$26</f>
        <v>0.95412844036697253</v>
      </c>
      <c r="T8" s="112">
        <v>0.95399999999999996</v>
      </c>
    </row>
    <row r="9" spans="1:20">
      <c r="L9"/>
      <c r="P9" s="50">
        <v>3</v>
      </c>
      <c r="Q9" s="111">
        <v>108</v>
      </c>
      <c r="R9" s="111">
        <f>T9*$N$26</f>
        <v>108.782</v>
      </c>
      <c r="S9" s="112">
        <f>Q9/$N$26</f>
        <v>0.99082568807339455</v>
      </c>
      <c r="T9" s="112">
        <v>0.998</v>
      </c>
    </row>
    <row r="10" spans="1:20">
      <c r="A10" s="99"/>
      <c r="B10" s="22"/>
      <c r="C10" s="117"/>
    </row>
    <row r="11" spans="1:20">
      <c r="A11" s="99" t="s">
        <v>127</v>
      </c>
      <c r="B11" s="22" t="s">
        <v>128</v>
      </c>
      <c r="C11" s="117" t="s">
        <v>138</v>
      </c>
    </row>
    <row r="12" spans="1:20">
      <c r="A12" s="100">
        <v>38748</v>
      </c>
      <c r="B12" s="24">
        <v>67.2</v>
      </c>
      <c r="E12" s="22" t="s">
        <v>129</v>
      </c>
      <c r="G12" s="102" t="s">
        <v>130</v>
      </c>
      <c r="H12" s="102" t="s">
        <v>109</v>
      </c>
      <c r="I12" s="49" t="s">
        <v>132</v>
      </c>
      <c r="J12" s="49" t="s">
        <v>151</v>
      </c>
      <c r="K12" s="49" t="s">
        <v>176</v>
      </c>
      <c r="M12" s="115" t="s">
        <v>170</v>
      </c>
      <c r="N12" s="116"/>
    </row>
    <row r="13" spans="1:20">
      <c r="A13" s="100">
        <v>38776</v>
      </c>
      <c r="B13" s="24">
        <v>65.2</v>
      </c>
      <c r="C13" s="106">
        <f>(B13-B12)/B12</f>
        <v>-2.976190476190476E-2</v>
      </c>
      <c r="E13" s="24">
        <v>-0.2</v>
      </c>
      <c r="G13" s="50">
        <v>-0.2</v>
      </c>
      <c r="H13" s="50">
        <v>3</v>
      </c>
      <c r="I13" s="103" t="s">
        <v>133</v>
      </c>
      <c r="J13" s="107">
        <f>H13/$N$26</f>
        <v>2.7522935779816515E-2</v>
      </c>
      <c r="K13" s="107">
        <f>J13</f>
        <v>2.7522935779816515E-2</v>
      </c>
      <c r="M13" s="101"/>
      <c r="N13" s="101"/>
    </row>
    <row r="14" spans="1:20">
      <c r="A14" s="100">
        <v>38807</v>
      </c>
      <c r="B14" s="24">
        <v>66.7</v>
      </c>
      <c r="C14" s="106">
        <f t="shared" ref="C14:C77" si="0">(B14-B13)/B13</f>
        <v>2.3006134969325152E-2</v>
      </c>
      <c r="E14" s="24">
        <v>-0.15</v>
      </c>
      <c r="G14" s="50">
        <v>-0.15</v>
      </c>
      <c r="H14" s="50">
        <v>4</v>
      </c>
      <c r="I14" s="103" t="s">
        <v>134</v>
      </c>
      <c r="J14" s="107">
        <f t="shared" ref="J14:J22" si="1">H14/$N$26</f>
        <v>3.669724770642202E-2</v>
      </c>
      <c r="K14" s="107">
        <f>K13+J14</f>
        <v>6.4220183486238536E-2</v>
      </c>
      <c r="M14" s="101" t="s">
        <v>139</v>
      </c>
      <c r="N14" s="107">
        <v>4.2993119115822638E-3</v>
      </c>
    </row>
    <row r="15" spans="1:20">
      <c r="A15" s="100">
        <v>38837</v>
      </c>
      <c r="B15" s="24">
        <v>67.3</v>
      </c>
      <c r="C15" s="106">
        <f t="shared" si="0"/>
        <v>8.9955022488754765E-3</v>
      </c>
      <c r="E15" s="24">
        <v>-0.1</v>
      </c>
      <c r="G15" s="50">
        <v>-0.1</v>
      </c>
      <c r="H15" s="50">
        <v>4</v>
      </c>
      <c r="I15" s="103" t="s">
        <v>135</v>
      </c>
      <c r="J15" s="107">
        <f t="shared" si="1"/>
        <v>3.669724770642202E-2</v>
      </c>
      <c r="K15" s="107">
        <f t="shared" ref="K15:K22" si="2">K14+J15</f>
        <v>0.10091743119266056</v>
      </c>
      <c r="M15" s="101" t="s">
        <v>140</v>
      </c>
      <c r="N15" s="50">
        <v>9.2944847623798767E-3</v>
      </c>
    </row>
    <row r="16" spans="1:20">
      <c r="A16" s="100">
        <v>38868</v>
      </c>
      <c r="B16" s="24">
        <v>67.3</v>
      </c>
      <c r="C16" s="106">
        <f t="shared" si="0"/>
        <v>0</v>
      </c>
      <c r="E16" s="24">
        <v>-0.05</v>
      </c>
      <c r="G16" s="50">
        <v>-0.05</v>
      </c>
      <c r="H16" s="50">
        <v>16</v>
      </c>
      <c r="I16" s="103" t="s">
        <v>136</v>
      </c>
      <c r="J16" s="107">
        <f t="shared" si="1"/>
        <v>0.14678899082568808</v>
      </c>
      <c r="K16" s="107">
        <f t="shared" si="2"/>
        <v>0.24770642201834864</v>
      </c>
      <c r="M16" s="101" t="s">
        <v>141</v>
      </c>
      <c r="N16" s="107">
        <v>8.9955022488754765E-3</v>
      </c>
      <c r="O16" s="105"/>
    </row>
    <row r="17" spans="1:14">
      <c r="A17" s="100">
        <v>38898</v>
      </c>
      <c r="B17" s="24">
        <v>69.3</v>
      </c>
      <c r="C17" s="106">
        <f t="shared" si="0"/>
        <v>2.9717682020802379E-2</v>
      </c>
      <c r="E17" s="24">
        <v>0</v>
      </c>
      <c r="G17" s="50">
        <v>0</v>
      </c>
      <c r="H17" s="50">
        <v>24</v>
      </c>
      <c r="I17" s="103" t="s">
        <v>171</v>
      </c>
      <c r="J17" s="107">
        <f t="shared" si="1"/>
        <v>0.22018348623853212</v>
      </c>
      <c r="K17" s="107">
        <f t="shared" si="2"/>
        <v>0.46788990825688076</v>
      </c>
      <c r="M17" s="101" t="s">
        <v>142</v>
      </c>
      <c r="N17" s="50">
        <v>0</v>
      </c>
    </row>
    <row r="18" spans="1:14">
      <c r="A18" s="100">
        <v>38929</v>
      </c>
      <c r="B18" s="24">
        <v>70.5</v>
      </c>
      <c r="C18" s="106">
        <f t="shared" si="0"/>
        <v>1.7316017316017358E-2</v>
      </c>
      <c r="E18" s="24">
        <v>0.05</v>
      </c>
      <c r="G18" s="50">
        <v>0.05</v>
      </c>
      <c r="H18" s="50">
        <v>28</v>
      </c>
      <c r="I18" s="103" t="s">
        <v>172</v>
      </c>
      <c r="J18" s="107">
        <f t="shared" si="1"/>
        <v>0.25688073394495414</v>
      </c>
      <c r="K18" s="107">
        <f t="shared" si="2"/>
        <v>0.72477064220183496</v>
      </c>
      <c r="M18" s="101" t="s">
        <v>143</v>
      </c>
      <c r="N18" s="112">
        <v>9.7037269761644562E-2</v>
      </c>
    </row>
    <row r="19" spans="1:14">
      <c r="A19" s="100">
        <v>38960</v>
      </c>
      <c r="B19" s="24">
        <v>69.8</v>
      </c>
      <c r="C19" s="106">
        <f t="shared" si="0"/>
        <v>-9.9290780141844375E-3</v>
      </c>
      <c r="E19" s="24">
        <v>0.1</v>
      </c>
      <c r="G19" s="50">
        <v>0.1</v>
      </c>
      <c r="H19" s="50">
        <v>15</v>
      </c>
      <c r="I19" s="103" t="s">
        <v>173</v>
      </c>
      <c r="J19" s="107">
        <f t="shared" si="1"/>
        <v>0.13761467889908258</v>
      </c>
      <c r="K19" s="107">
        <f t="shared" si="2"/>
        <v>0.86238532110091759</v>
      </c>
      <c r="M19" s="101" t="s">
        <v>144</v>
      </c>
      <c r="N19" s="50">
        <v>9.4162317227941775E-3</v>
      </c>
    </row>
    <row r="20" spans="1:14">
      <c r="A20" s="100">
        <v>38990</v>
      </c>
      <c r="B20" s="24">
        <v>70</v>
      </c>
      <c r="C20" s="106">
        <f t="shared" si="0"/>
        <v>2.8653295128940235E-3</v>
      </c>
      <c r="E20" s="24">
        <v>0.15</v>
      </c>
      <c r="G20" s="50">
        <v>0.15</v>
      </c>
      <c r="H20" s="50">
        <v>7</v>
      </c>
      <c r="I20" s="103" t="s">
        <v>174</v>
      </c>
      <c r="J20" s="107">
        <f t="shared" si="1"/>
        <v>6.4220183486238536E-2</v>
      </c>
      <c r="K20" s="107">
        <f t="shared" si="2"/>
        <v>0.92660550458715618</v>
      </c>
      <c r="M20" s="101" t="s">
        <v>145</v>
      </c>
      <c r="N20" s="50">
        <v>1.6864622640967348</v>
      </c>
    </row>
    <row r="21" spans="1:14">
      <c r="A21" s="100">
        <v>39021</v>
      </c>
      <c r="B21" s="24">
        <v>71.7</v>
      </c>
      <c r="C21" s="106">
        <f t="shared" si="0"/>
        <v>2.4285714285714327E-2</v>
      </c>
      <c r="E21" s="24">
        <v>0.2</v>
      </c>
      <c r="G21" s="50">
        <v>0.2</v>
      </c>
      <c r="H21" s="50">
        <v>6</v>
      </c>
      <c r="I21" s="103" t="s">
        <v>175</v>
      </c>
      <c r="J21" s="107">
        <f t="shared" si="1"/>
        <v>5.5045871559633031E-2</v>
      </c>
      <c r="K21" s="107">
        <f t="shared" si="2"/>
        <v>0.98165137614678921</v>
      </c>
      <c r="M21" s="101" t="s">
        <v>146</v>
      </c>
      <c r="N21" s="50">
        <v>-0.47593186648319602</v>
      </c>
    </row>
    <row r="22" spans="1:14">
      <c r="A22" s="100">
        <v>39051</v>
      </c>
      <c r="B22" s="24">
        <v>73.5</v>
      </c>
      <c r="C22" s="106">
        <f t="shared" si="0"/>
        <v>2.5104602510460209E-2</v>
      </c>
      <c r="E22" s="24"/>
      <c r="G22" s="50" t="s">
        <v>131</v>
      </c>
      <c r="H22" s="50">
        <v>2</v>
      </c>
      <c r="I22" s="103" t="s">
        <v>137</v>
      </c>
      <c r="J22" s="107">
        <f t="shared" si="1"/>
        <v>1.834862385321101E-2</v>
      </c>
      <c r="K22" s="107">
        <f t="shared" si="2"/>
        <v>1.0000000000000002</v>
      </c>
      <c r="M22" s="101" t="s">
        <v>132</v>
      </c>
      <c r="N22" s="50">
        <v>0.59967249267155143</v>
      </c>
    </row>
    <row r="23" spans="1:14">
      <c r="A23" s="100">
        <v>39082</v>
      </c>
      <c r="B23" s="24">
        <v>73.5</v>
      </c>
      <c r="C23" s="106">
        <f t="shared" si="0"/>
        <v>0</v>
      </c>
      <c r="M23" s="101" t="s">
        <v>147</v>
      </c>
      <c r="N23" s="112">
        <v>-0.36501002578057856</v>
      </c>
    </row>
    <row r="24" spans="1:14">
      <c r="A24" s="100">
        <v>39113</v>
      </c>
      <c r="B24" s="24">
        <v>78.2</v>
      </c>
      <c r="C24" s="106">
        <f t="shared" si="0"/>
        <v>6.3945578231292557E-2</v>
      </c>
      <c r="M24" s="101" t="s">
        <v>148</v>
      </c>
      <c r="N24" s="112">
        <v>0.23466246689097289</v>
      </c>
    </row>
    <row r="25" spans="1:14">
      <c r="A25" s="100">
        <v>39141</v>
      </c>
      <c r="B25" s="24">
        <v>82.66</v>
      </c>
      <c r="C25" s="106">
        <f t="shared" si="0"/>
        <v>5.7033248081841348E-2</v>
      </c>
      <c r="M25" s="101" t="s">
        <v>149</v>
      </c>
      <c r="N25" s="50">
        <v>0.46862499836246679</v>
      </c>
    </row>
    <row r="26" spans="1:14">
      <c r="A26" s="100">
        <v>39172</v>
      </c>
      <c r="B26" s="24">
        <v>88.55</v>
      </c>
      <c r="C26" s="106">
        <f t="shared" si="0"/>
        <v>7.1255746431163808E-2</v>
      </c>
      <c r="M26" s="101" t="s">
        <v>150</v>
      </c>
      <c r="N26" s="50">
        <v>109</v>
      </c>
    </row>
    <row r="27" spans="1:14">
      <c r="A27" s="100">
        <v>39202</v>
      </c>
      <c r="B27" s="24">
        <v>91.26</v>
      </c>
      <c r="C27" s="106">
        <f t="shared" si="0"/>
        <v>3.0604178430265479E-2</v>
      </c>
      <c r="F27" s="24"/>
    </row>
    <row r="28" spans="1:14">
      <c r="A28" s="100">
        <v>39233</v>
      </c>
      <c r="B28" s="24">
        <v>102.02</v>
      </c>
      <c r="C28" s="106">
        <f t="shared" si="0"/>
        <v>0.11790488713565626</v>
      </c>
      <c r="F28" s="24"/>
    </row>
    <row r="29" spans="1:14">
      <c r="A29" s="100">
        <v>39263</v>
      </c>
      <c r="B29" s="24">
        <v>103.21</v>
      </c>
      <c r="C29" s="106">
        <f t="shared" si="0"/>
        <v>1.1664379533424796E-2</v>
      </c>
      <c r="F29" s="24"/>
    </row>
    <row r="30" spans="1:14">
      <c r="A30" s="100">
        <v>39294</v>
      </c>
      <c r="B30" s="24">
        <v>106.09</v>
      </c>
      <c r="C30" s="106">
        <f t="shared" si="0"/>
        <v>2.7904272841778991E-2</v>
      </c>
    </row>
    <row r="31" spans="1:14">
      <c r="A31" s="100">
        <v>39325</v>
      </c>
      <c r="B31" s="24">
        <v>121.89</v>
      </c>
      <c r="C31" s="106">
        <f t="shared" si="0"/>
        <v>0.14893015364313317</v>
      </c>
    </row>
    <row r="32" spans="1:14">
      <c r="A32" s="100">
        <v>39355</v>
      </c>
      <c r="B32" s="24">
        <v>148.65</v>
      </c>
      <c r="C32" s="106">
        <f t="shared" si="0"/>
        <v>0.21954221018951517</v>
      </c>
    </row>
    <row r="33" spans="1:3">
      <c r="A33" s="100">
        <v>39386</v>
      </c>
      <c r="B33" s="24">
        <v>168.11</v>
      </c>
      <c r="C33" s="106">
        <f t="shared" si="0"/>
        <v>0.13091153716784398</v>
      </c>
    </row>
    <row r="34" spans="1:3">
      <c r="A34" s="100">
        <v>39416</v>
      </c>
      <c r="B34" s="24">
        <v>195.09</v>
      </c>
      <c r="C34" s="106">
        <f t="shared" si="0"/>
        <v>0.1604901552554874</v>
      </c>
    </row>
    <row r="35" spans="1:3">
      <c r="A35" s="100">
        <v>39447</v>
      </c>
      <c r="B35" s="24">
        <v>190.12</v>
      </c>
      <c r="C35" s="106">
        <f t="shared" si="0"/>
        <v>-2.547542160028704E-2</v>
      </c>
    </row>
    <row r="36" spans="1:3">
      <c r="A36" s="100">
        <v>39478</v>
      </c>
      <c r="B36" s="24">
        <v>193.37</v>
      </c>
      <c r="C36" s="106">
        <f t="shared" si="0"/>
        <v>1.7094466652640437E-2</v>
      </c>
    </row>
    <row r="37" spans="1:3">
      <c r="A37" s="100">
        <v>39507</v>
      </c>
      <c r="B37" s="24">
        <v>186.12</v>
      </c>
      <c r="C37" s="106">
        <f t="shared" si="0"/>
        <v>-3.7492889279619385E-2</v>
      </c>
    </row>
    <row r="38" spans="1:3">
      <c r="A38" s="100">
        <v>39538</v>
      </c>
      <c r="B38" s="24">
        <v>197.12</v>
      </c>
      <c r="C38" s="106">
        <f t="shared" si="0"/>
        <v>5.9101654846335692E-2</v>
      </c>
    </row>
    <row r="39" spans="1:3">
      <c r="A39" s="100">
        <v>39568</v>
      </c>
      <c r="B39" s="24">
        <v>195.95</v>
      </c>
      <c r="C39" s="106">
        <f t="shared" si="0"/>
        <v>-5.9354707792208597E-3</v>
      </c>
    </row>
    <row r="40" spans="1:3">
      <c r="A40" s="100">
        <v>39599</v>
      </c>
      <c r="B40" s="24">
        <v>192.95</v>
      </c>
      <c r="C40" s="106">
        <f t="shared" si="0"/>
        <v>-1.5310028068384792E-2</v>
      </c>
    </row>
    <row r="41" spans="1:3">
      <c r="A41" s="100">
        <v>39629</v>
      </c>
      <c r="B41" s="24">
        <v>183.93</v>
      </c>
      <c r="C41" s="106">
        <f t="shared" si="0"/>
        <v>-4.6747862140450805E-2</v>
      </c>
    </row>
    <row r="42" spans="1:3">
      <c r="A42" s="100">
        <v>39660</v>
      </c>
      <c r="B42" s="24">
        <v>180.5</v>
      </c>
      <c r="C42" s="106">
        <f t="shared" si="0"/>
        <v>-1.8648398847387629E-2</v>
      </c>
    </row>
    <row r="43" spans="1:3">
      <c r="A43" s="100">
        <v>39691</v>
      </c>
      <c r="B43" s="24">
        <v>178.74</v>
      </c>
      <c r="C43" s="106">
        <f t="shared" si="0"/>
        <v>-9.7506925207755737E-3</v>
      </c>
    </row>
    <row r="44" spans="1:3">
      <c r="A44" s="100">
        <v>39721</v>
      </c>
      <c r="B44" s="24">
        <v>139.63999999999999</v>
      </c>
      <c r="C44" s="106">
        <f t="shared" si="0"/>
        <v>-0.21875349669911615</v>
      </c>
    </row>
    <row r="45" spans="1:3">
      <c r="A45" s="100">
        <v>39752</v>
      </c>
      <c r="B45" s="24">
        <v>88.67</v>
      </c>
      <c r="C45" s="106">
        <f t="shared" si="0"/>
        <v>-0.36501002578057856</v>
      </c>
    </row>
    <row r="46" spans="1:3">
      <c r="A46" s="100">
        <v>39782</v>
      </c>
      <c r="B46" s="24">
        <v>64.95</v>
      </c>
      <c r="C46" s="106">
        <f t="shared" si="0"/>
        <v>-0.26750874027292204</v>
      </c>
    </row>
    <row r="47" spans="1:3">
      <c r="A47" s="100">
        <v>39813</v>
      </c>
      <c r="B47" s="24">
        <v>69.98</v>
      </c>
      <c r="C47" s="106">
        <f t="shared" si="0"/>
        <v>7.7444187836797546E-2</v>
      </c>
    </row>
    <row r="48" spans="1:3">
      <c r="A48" s="100">
        <v>39844</v>
      </c>
      <c r="B48" s="24">
        <v>72.510000000000005</v>
      </c>
      <c r="C48" s="106">
        <f t="shared" si="0"/>
        <v>3.6153186624749943E-2</v>
      </c>
    </row>
    <row r="49" spans="1:9">
      <c r="A49" s="100">
        <v>39872</v>
      </c>
      <c r="B49" s="24">
        <v>75.59</v>
      </c>
      <c r="C49" s="106">
        <f t="shared" si="0"/>
        <v>4.2476899737967151E-2</v>
      </c>
      <c r="E49" t="s">
        <v>222</v>
      </c>
    </row>
    <row r="50" spans="1:9">
      <c r="A50" s="100">
        <v>39903</v>
      </c>
      <c r="B50" s="24">
        <v>64.069999999999993</v>
      </c>
      <c r="C50" s="106">
        <f t="shared" si="0"/>
        <v>-0.15240111125810304</v>
      </c>
      <c r="E50" t="s">
        <v>177</v>
      </c>
    </row>
    <row r="51" spans="1:9">
      <c r="A51" s="100">
        <v>39933</v>
      </c>
      <c r="B51" s="24">
        <v>59.78</v>
      </c>
      <c r="C51" s="106">
        <f t="shared" si="0"/>
        <v>-6.6958014671452987E-2</v>
      </c>
      <c r="E51" t="s">
        <v>178</v>
      </c>
    </row>
    <row r="52" spans="1:9">
      <c r="A52" s="100">
        <v>39964</v>
      </c>
      <c r="B52" s="24">
        <v>62.69</v>
      </c>
      <c r="C52" s="106">
        <f t="shared" si="0"/>
        <v>4.8678487788557989E-2</v>
      </c>
    </row>
    <row r="53" spans="1:9">
      <c r="A53" s="100">
        <v>39994</v>
      </c>
      <c r="B53" s="24">
        <v>71.66</v>
      </c>
      <c r="C53" s="106">
        <f t="shared" si="0"/>
        <v>0.14308502153453501</v>
      </c>
    </row>
    <row r="54" spans="1:9">
      <c r="A54" s="100">
        <v>40025</v>
      </c>
      <c r="B54" s="24">
        <v>83.95</v>
      </c>
      <c r="C54" s="106">
        <f t="shared" si="0"/>
        <v>0.17150432598381254</v>
      </c>
      <c r="E54" s="49" t="s">
        <v>190</v>
      </c>
      <c r="F54" s="49" t="s">
        <v>93</v>
      </c>
    </row>
    <row r="55" spans="1:9">
      <c r="A55" s="100">
        <v>40056</v>
      </c>
      <c r="B55" s="24">
        <v>97.67</v>
      </c>
      <c r="C55" s="106">
        <f t="shared" si="0"/>
        <v>0.16343061346039306</v>
      </c>
      <c r="E55" s="50" t="s">
        <v>184</v>
      </c>
      <c r="F55" s="51">
        <v>10</v>
      </c>
    </row>
    <row r="56" spans="1:9">
      <c r="A56" s="100">
        <v>40086</v>
      </c>
      <c r="B56" s="24">
        <v>80.709999999999994</v>
      </c>
      <c r="C56" s="106">
        <f t="shared" si="0"/>
        <v>-0.17364595065014854</v>
      </c>
      <c r="E56" s="50" t="s">
        <v>182</v>
      </c>
      <c r="F56" s="51">
        <v>8</v>
      </c>
    </row>
    <row r="57" spans="1:9">
      <c r="A57" s="100">
        <v>40117</v>
      </c>
      <c r="B57" s="24">
        <v>86.79</v>
      </c>
      <c r="C57" s="106">
        <f t="shared" si="0"/>
        <v>7.5331433527444092E-2</v>
      </c>
      <c r="E57" s="50" t="s">
        <v>183</v>
      </c>
      <c r="F57" s="51">
        <v>6</v>
      </c>
      <c r="H57" s="120" t="s">
        <v>191</v>
      </c>
      <c r="I57" s="30"/>
    </row>
    <row r="58" spans="1:9">
      <c r="A58" s="100">
        <v>40147</v>
      </c>
      <c r="B58" s="24">
        <v>99.26</v>
      </c>
      <c r="C58" s="106">
        <f t="shared" si="0"/>
        <v>0.14368014748242883</v>
      </c>
      <c r="E58" s="50" t="s">
        <v>180</v>
      </c>
      <c r="F58" s="51">
        <v>4</v>
      </c>
    </row>
    <row r="59" spans="1:9">
      <c r="A59" s="100">
        <v>40178</v>
      </c>
      <c r="B59" s="24">
        <v>105.07</v>
      </c>
      <c r="C59" s="106">
        <f t="shared" si="0"/>
        <v>5.8533145275035135E-2</v>
      </c>
      <c r="E59" s="50" t="s">
        <v>179</v>
      </c>
      <c r="F59" s="51">
        <v>2</v>
      </c>
    </row>
    <row r="60" spans="1:9">
      <c r="A60" s="100">
        <v>40209</v>
      </c>
      <c r="B60" s="24">
        <v>125.72</v>
      </c>
      <c r="C60" s="106">
        <f t="shared" si="0"/>
        <v>0.19653564290473025</v>
      </c>
      <c r="E60" s="50">
        <v>0</v>
      </c>
      <c r="F60" s="52">
        <v>0</v>
      </c>
    </row>
    <row r="61" spans="1:9">
      <c r="A61" s="100">
        <v>40237</v>
      </c>
      <c r="B61" s="24">
        <v>127.49</v>
      </c>
      <c r="C61" s="106">
        <f t="shared" si="0"/>
        <v>1.4078905504295228E-2</v>
      </c>
      <c r="E61" s="50" t="s">
        <v>179</v>
      </c>
      <c r="F61" s="53">
        <v>-2</v>
      </c>
    </row>
    <row r="62" spans="1:9">
      <c r="A62" s="100">
        <v>40268</v>
      </c>
      <c r="B62" s="24">
        <v>139.69</v>
      </c>
      <c r="C62" s="106">
        <f t="shared" si="0"/>
        <v>9.5693779904306248E-2</v>
      </c>
      <c r="E62" s="50" t="s">
        <v>185</v>
      </c>
      <c r="F62" s="53">
        <v>-4</v>
      </c>
    </row>
    <row r="63" spans="1:9">
      <c r="A63" s="100">
        <v>40298</v>
      </c>
      <c r="B63" s="24">
        <v>172.47</v>
      </c>
      <c r="C63" s="106">
        <f t="shared" si="0"/>
        <v>0.23466246689097289</v>
      </c>
      <c r="E63" s="50" t="s">
        <v>181</v>
      </c>
      <c r="F63" s="53">
        <v>-6</v>
      </c>
      <c r="H63" s="119" t="s">
        <v>188</v>
      </c>
      <c r="I63" s="118"/>
    </row>
    <row r="64" spans="1:9">
      <c r="A64" s="100">
        <v>40329</v>
      </c>
      <c r="B64" s="24">
        <v>161.35</v>
      </c>
      <c r="C64" s="106">
        <f t="shared" si="0"/>
        <v>-6.4474981156143127E-2</v>
      </c>
      <c r="E64" s="50" t="s">
        <v>186</v>
      </c>
      <c r="F64" s="53">
        <v>-8</v>
      </c>
    </row>
    <row r="65" spans="1:9">
      <c r="A65" s="100">
        <v>40359</v>
      </c>
      <c r="B65" s="24">
        <v>143.63</v>
      </c>
      <c r="C65" s="106">
        <f t="shared" si="0"/>
        <v>-0.10982336535481871</v>
      </c>
      <c r="E65" s="50" t="s">
        <v>187</v>
      </c>
      <c r="F65" s="53">
        <v>-10</v>
      </c>
    </row>
    <row r="66" spans="1:9">
      <c r="A66" s="100">
        <v>40390</v>
      </c>
      <c r="B66" s="24">
        <v>126.36</v>
      </c>
      <c r="C66" s="106">
        <f t="shared" si="0"/>
        <v>-0.12023950428183525</v>
      </c>
      <c r="H66" s="42" t="s">
        <v>192</v>
      </c>
      <c r="I66" s="24"/>
    </row>
    <row r="67" spans="1:9">
      <c r="A67" s="100">
        <v>40421</v>
      </c>
      <c r="B67" s="24">
        <v>145.34</v>
      </c>
      <c r="C67" s="106">
        <f t="shared" si="0"/>
        <v>0.15020576131687247</v>
      </c>
    </row>
    <row r="68" spans="1:9">
      <c r="A68" s="100">
        <v>40451</v>
      </c>
      <c r="B68" s="24">
        <v>140.62727000000001</v>
      </c>
      <c r="C68" s="106">
        <f t="shared" si="0"/>
        <v>-3.2425553873675475E-2</v>
      </c>
    </row>
    <row r="69" spans="1:9">
      <c r="A69" s="100">
        <v>40482</v>
      </c>
      <c r="B69" s="24">
        <v>148.48095000000001</v>
      </c>
      <c r="C69" s="106">
        <f t="shared" si="0"/>
        <v>5.5847489608523274E-2</v>
      </c>
    </row>
    <row r="70" spans="1:9">
      <c r="A70" s="100">
        <v>40512</v>
      </c>
      <c r="B70" s="24">
        <v>156.1</v>
      </c>
      <c r="C70" s="106">
        <f t="shared" si="0"/>
        <v>5.1313316624119032E-2</v>
      </c>
    </row>
    <row r="71" spans="1:9">
      <c r="A71" s="100">
        <v>40543</v>
      </c>
      <c r="B71" s="24">
        <v>163.1</v>
      </c>
      <c r="C71" s="106">
        <f t="shared" si="0"/>
        <v>4.4843049327354265E-2</v>
      </c>
    </row>
    <row r="72" spans="1:9">
      <c r="A72" s="100">
        <v>40574</v>
      </c>
      <c r="B72" s="24">
        <v>179.18</v>
      </c>
      <c r="C72" s="106">
        <f t="shared" si="0"/>
        <v>9.858982219497249E-2</v>
      </c>
    </row>
    <row r="73" spans="1:9">
      <c r="A73" s="100">
        <v>40602</v>
      </c>
      <c r="B73" s="24">
        <v>187.18</v>
      </c>
      <c r="C73" s="106">
        <f t="shared" si="0"/>
        <v>4.464784016073222E-2</v>
      </c>
    </row>
    <row r="74" spans="1:9">
      <c r="A74" s="100">
        <v>40633</v>
      </c>
      <c r="B74" s="24">
        <v>169.36</v>
      </c>
      <c r="C74" s="106">
        <f t="shared" si="0"/>
        <v>-9.5202478897318046E-2</v>
      </c>
    </row>
    <row r="75" spans="1:9">
      <c r="A75" s="100">
        <v>40663</v>
      </c>
      <c r="B75" s="24">
        <v>179.33</v>
      </c>
      <c r="C75" s="106">
        <f t="shared" si="0"/>
        <v>5.8868682097307501E-2</v>
      </c>
    </row>
    <row r="76" spans="1:9">
      <c r="A76" s="100">
        <v>40694</v>
      </c>
      <c r="B76" s="24">
        <v>177.05</v>
      </c>
      <c r="C76" s="106">
        <f t="shared" si="0"/>
        <v>-1.2713990966374844E-2</v>
      </c>
    </row>
    <row r="77" spans="1:9">
      <c r="A77" s="100">
        <v>40724</v>
      </c>
      <c r="B77" s="24">
        <v>170.88</v>
      </c>
      <c r="C77" s="106">
        <f t="shared" si="0"/>
        <v>-3.4848912736515199E-2</v>
      </c>
    </row>
    <row r="78" spans="1:9">
      <c r="A78" s="100">
        <v>40755</v>
      </c>
      <c r="B78" s="24">
        <v>172.98</v>
      </c>
      <c r="C78" s="106">
        <f t="shared" ref="C78:C88" si="3">(B78-B77)/B77</f>
        <v>1.2289325842696597E-2</v>
      </c>
    </row>
    <row r="79" spans="1:9">
      <c r="A79" s="100">
        <v>40786</v>
      </c>
      <c r="B79" s="24">
        <v>177.5</v>
      </c>
      <c r="C79" s="106">
        <f t="shared" si="3"/>
        <v>2.6130188461093828E-2</v>
      </c>
    </row>
    <row r="80" spans="1:9">
      <c r="A80" s="100">
        <v>40816</v>
      </c>
      <c r="B80" s="24">
        <v>177.23</v>
      </c>
      <c r="C80" s="106">
        <f t="shared" si="3"/>
        <v>-1.521126760563438E-3</v>
      </c>
    </row>
    <row r="81" spans="1:3">
      <c r="A81" s="100">
        <v>40847</v>
      </c>
      <c r="B81" s="24">
        <v>150.43</v>
      </c>
      <c r="C81" s="106">
        <f t="shared" si="3"/>
        <v>-0.15121593409693609</v>
      </c>
    </row>
    <row r="82" spans="1:3">
      <c r="A82" s="100">
        <v>40877</v>
      </c>
      <c r="B82" s="24">
        <v>135.54</v>
      </c>
      <c r="C82" s="106">
        <f t="shared" si="3"/>
        <v>-9.898291564182686E-2</v>
      </c>
    </row>
    <row r="83" spans="1:3">
      <c r="A83" s="100">
        <v>40908</v>
      </c>
      <c r="B83" s="24">
        <v>136.38999999999999</v>
      </c>
      <c r="C83" s="106">
        <f t="shared" si="3"/>
        <v>6.2712114504942778E-3</v>
      </c>
    </row>
    <row r="84" spans="1:3">
      <c r="A84" s="100">
        <v>40939</v>
      </c>
      <c r="B84" s="24">
        <v>140.26</v>
      </c>
      <c r="C84" s="106">
        <f t="shared" si="3"/>
        <v>2.8374514260576324E-2</v>
      </c>
    </row>
    <row r="85" spans="1:3">
      <c r="A85" s="100">
        <v>40968</v>
      </c>
      <c r="B85" s="24">
        <v>140.4</v>
      </c>
      <c r="C85" s="106">
        <f t="shared" si="3"/>
        <v>9.9814629972917995E-4</v>
      </c>
    </row>
    <row r="86" spans="1:3">
      <c r="A86" s="100">
        <v>40999</v>
      </c>
      <c r="B86" s="24">
        <v>144.66</v>
      </c>
      <c r="C86" s="106">
        <f t="shared" si="3"/>
        <v>3.0341880341880276E-2</v>
      </c>
    </row>
    <row r="87" spans="1:3">
      <c r="A87" s="100">
        <v>41029</v>
      </c>
      <c r="B87" s="24">
        <v>147.63999999999999</v>
      </c>
      <c r="C87" s="106">
        <f t="shared" si="3"/>
        <v>2.0600027651043757E-2</v>
      </c>
    </row>
    <row r="88" spans="1:3">
      <c r="A88" s="100">
        <v>41060</v>
      </c>
      <c r="B88" s="24">
        <v>136.61000000000001</v>
      </c>
      <c r="C88" s="106">
        <f t="shared" si="3"/>
        <v>-7.4708751015984648E-2</v>
      </c>
    </row>
    <row r="89" spans="1:3">
      <c r="A89" s="100">
        <v>41090</v>
      </c>
      <c r="B89" s="24">
        <v>134.66</v>
      </c>
      <c r="C89" s="106">
        <f>(B89-B88)/B88</f>
        <v>-1.4274211258326747E-2</v>
      </c>
    </row>
    <row r="90" spans="1:3">
      <c r="A90" s="100">
        <v>41121</v>
      </c>
      <c r="B90" s="24">
        <v>127.94</v>
      </c>
      <c r="C90" s="106">
        <f t="shared" ref="C90:C121" si="4">(B90-B89)/B89</f>
        <v>-4.9903460567354813E-2</v>
      </c>
    </row>
    <row r="91" spans="1:3">
      <c r="A91" s="100">
        <v>41152</v>
      </c>
      <c r="B91" s="24">
        <v>107.5</v>
      </c>
      <c r="C91" s="106">
        <f t="shared" si="4"/>
        <v>-0.15976238861966546</v>
      </c>
    </row>
    <row r="92" spans="1:3">
      <c r="A92" s="100">
        <v>41182</v>
      </c>
      <c r="B92" s="24">
        <v>99.47</v>
      </c>
      <c r="C92" s="106">
        <f t="shared" si="4"/>
        <v>-7.4697674418604657E-2</v>
      </c>
    </row>
    <row r="93" spans="1:3">
      <c r="A93" s="100">
        <v>41213</v>
      </c>
      <c r="B93" s="24">
        <v>113.95</v>
      </c>
      <c r="C93" s="106">
        <f t="shared" si="4"/>
        <v>0.14557152910425258</v>
      </c>
    </row>
    <row r="94" spans="1:3">
      <c r="A94" s="100">
        <v>41243</v>
      </c>
      <c r="B94" s="24">
        <v>120.35</v>
      </c>
      <c r="C94" s="106">
        <f t="shared" si="4"/>
        <v>5.6164984642386936E-2</v>
      </c>
    </row>
    <row r="95" spans="1:3">
      <c r="A95" s="100">
        <v>41274</v>
      </c>
      <c r="B95" s="24">
        <v>128.51111</v>
      </c>
      <c r="C95" s="106">
        <f t="shared" si="4"/>
        <v>6.781146655587876E-2</v>
      </c>
    </row>
    <row r="96" spans="1:3">
      <c r="A96" s="100">
        <v>41305</v>
      </c>
      <c r="B96" s="24">
        <v>150.49091000000001</v>
      </c>
      <c r="C96" s="106">
        <f t="shared" si="4"/>
        <v>0.17103423976339485</v>
      </c>
    </row>
    <row r="97" spans="1:3">
      <c r="A97" s="100">
        <v>41333</v>
      </c>
      <c r="B97" s="24">
        <v>154.63889</v>
      </c>
      <c r="C97" s="106">
        <f t="shared" si="4"/>
        <v>2.756299367184363E-2</v>
      </c>
    </row>
    <row r="98" spans="1:3">
      <c r="A98" s="100">
        <v>41364</v>
      </c>
      <c r="B98" s="24">
        <v>139.87</v>
      </c>
      <c r="C98" s="106">
        <f t="shared" si="4"/>
        <v>-9.550566484278307E-2</v>
      </c>
    </row>
    <row r="99" spans="1:3">
      <c r="A99" s="100">
        <v>41394</v>
      </c>
      <c r="B99" s="24">
        <v>137.39090999999999</v>
      </c>
      <c r="C99" s="106">
        <f t="shared" si="4"/>
        <v>-1.772424394080227E-2</v>
      </c>
    </row>
    <row r="100" spans="1:3">
      <c r="A100" s="100">
        <v>41425</v>
      </c>
      <c r="B100" s="24">
        <v>124.00951999999999</v>
      </c>
      <c r="C100" s="106">
        <f t="shared" si="4"/>
        <v>-9.7396472590508334E-2</v>
      </c>
    </row>
    <row r="101" spans="1:3">
      <c r="A101" s="100">
        <v>41455</v>
      </c>
      <c r="B101" s="24">
        <v>114.815</v>
      </c>
      <c r="C101" s="106">
        <f t="shared" si="4"/>
        <v>-7.4143662518813047E-2</v>
      </c>
    </row>
    <row r="102" spans="1:3">
      <c r="A102" s="100">
        <v>41486</v>
      </c>
      <c r="B102" s="24">
        <v>127.1913</v>
      </c>
      <c r="C102" s="106">
        <f t="shared" si="4"/>
        <v>0.10779340678482777</v>
      </c>
    </row>
    <row r="103" spans="1:3">
      <c r="A103" s="100">
        <v>41517</v>
      </c>
      <c r="B103" s="24">
        <v>137.05500000000001</v>
      </c>
      <c r="C103" s="106">
        <f t="shared" si="4"/>
        <v>7.7550115456010038E-2</v>
      </c>
    </row>
    <row r="104" spans="1:3">
      <c r="A104" s="100">
        <v>41547</v>
      </c>
      <c r="B104" s="24">
        <v>134.18571</v>
      </c>
      <c r="C104" s="106">
        <f t="shared" si="4"/>
        <v>-2.0935317938054112E-2</v>
      </c>
    </row>
    <row r="105" spans="1:3">
      <c r="A105" s="100">
        <v>41578</v>
      </c>
      <c r="B105" s="24">
        <v>132.57273000000001</v>
      </c>
      <c r="C105" s="106">
        <f t="shared" si="4"/>
        <v>-1.2020505015027258E-2</v>
      </c>
    </row>
    <row r="106" spans="1:3">
      <c r="A106" s="100">
        <v>41608</v>
      </c>
      <c r="B106" s="24">
        <v>136.32381000000001</v>
      </c>
      <c r="C106" s="106">
        <f t="shared" si="4"/>
        <v>2.8294506720952354E-2</v>
      </c>
    </row>
    <row r="107" spans="1:3">
      <c r="A107" s="100">
        <v>41639</v>
      </c>
      <c r="B107" s="24">
        <v>135.79048</v>
      </c>
      <c r="C107" s="106">
        <f t="shared" si="4"/>
        <v>-3.9122292723479963E-3</v>
      </c>
    </row>
    <row r="108" spans="1:3">
      <c r="A108" s="100">
        <v>41670</v>
      </c>
      <c r="B108" s="24">
        <v>128.119</v>
      </c>
      <c r="C108" s="106">
        <f t="shared" si="4"/>
        <v>-5.6494976672886069E-2</v>
      </c>
    </row>
    <row r="109" spans="1:3">
      <c r="A109" s="100">
        <v>41698</v>
      </c>
      <c r="B109" s="24">
        <v>121.37</v>
      </c>
      <c r="C109" s="106">
        <f t="shared" si="4"/>
        <v>-5.2677588804158598E-2</v>
      </c>
    </row>
    <row r="110" spans="1:3">
      <c r="A110" s="100">
        <v>41729</v>
      </c>
      <c r="B110" s="24">
        <v>111.833</v>
      </c>
      <c r="C110" s="106">
        <f t="shared" si="4"/>
        <v>-7.8577902282277387E-2</v>
      </c>
    </row>
    <row r="111" spans="1:3">
      <c r="A111" s="100">
        <v>41759</v>
      </c>
      <c r="B111" s="24">
        <v>114.581</v>
      </c>
      <c r="C111" s="106">
        <f t="shared" si="4"/>
        <v>2.4572353419831397E-2</v>
      </c>
    </row>
    <row r="112" spans="1:3">
      <c r="A112" s="100">
        <v>41790</v>
      </c>
      <c r="B112" s="24">
        <v>100.56</v>
      </c>
      <c r="C112" s="106">
        <f t="shared" si="4"/>
        <v>-0.12236758275804889</v>
      </c>
    </row>
    <row r="113" spans="1:3">
      <c r="A113" s="100">
        <v>41820</v>
      </c>
      <c r="B113" s="24">
        <v>92.742999999999995</v>
      </c>
      <c r="C113" s="106">
        <f t="shared" si="4"/>
        <v>-7.77346857597455E-2</v>
      </c>
    </row>
    <row r="114" spans="1:3">
      <c r="A114" s="100">
        <v>41851</v>
      </c>
      <c r="B114" s="24">
        <v>96.05</v>
      </c>
      <c r="C114" s="106">
        <f t="shared" si="4"/>
        <v>3.5657677668395484E-2</v>
      </c>
    </row>
    <row r="115" spans="1:3">
      <c r="A115" s="100">
        <v>41882</v>
      </c>
      <c r="B115" s="24">
        <v>92.614000000000004</v>
      </c>
      <c r="C115" s="106">
        <f t="shared" si="4"/>
        <v>-3.5773034877667809E-2</v>
      </c>
    </row>
    <row r="116" spans="1:3">
      <c r="A116" s="100">
        <v>41912</v>
      </c>
      <c r="B116" s="24">
        <v>82.379549999999995</v>
      </c>
      <c r="C116" s="106">
        <f t="shared" si="4"/>
        <v>-0.11050651089468125</v>
      </c>
    </row>
    <row r="117" spans="1:3">
      <c r="A117" s="100">
        <v>41943</v>
      </c>
      <c r="B117" s="24">
        <v>81</v>
      </c>
      <c r="C117" s="106">
        <f t="shared" si="4"/>
        <v>-1.6746267732707872E-2</v>
      </c>
    </row>
    <row r="118" spans="1:3">
      <c r="A118" s="100">
        <v>41973</v>
      </c>
      <c r="B118" s="24">
        <v>74</v>
      </c>
      <c r="C118" s="106">
        <f t="shared" si="4"/>
        <v>-8.6419753086419748E-2</v>
      </c>
    </row>
    <row r="119" spans="1:3">
      <c r="A119" s="100">
        <v>42004</v>
      </c>
      <c r="B119" s="24">
        <v>68</v>
      </c>
      <c r="C119" s="106">
        <f t="shared" si="4"/>
        <v>-8.1081081081081086E-2</v>
      </c>
    </row>
    <row r="120" spans="1:3">
      <c r="A120" s="100">
        <v>42035</v>
      </c>
      <c r="B120" s="24">
        <v>68</v>
      </c>
      <c r="C120" s="106">
        <f t="shared" si="4"/>
        <v>0</v>
      </c>
    </row>
    <row r="121" spans="1:3">
      <c r="A121" s="100">
        <v>42063</v>
      </c>
      <c r="B121" s="24">
        <v>63</v>
      </c>
      <c r="C121" s="106">
        <f t="shared" si="4"/>
        <v>-7.3529411764705885E-2</v>
      </c>
    </row>
  </sheetData>
  <autoFilter ref="A11:C121" xr:uid="{0591AFA3-B348-43E3-B4E6-B79F50F2608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94EE-F251-46C2-81A6-3B18DAC64D2F}">
  <dimension ref="A1:S510"/>
  <sheetViews>
    <sheetView workbookViewId="0">
      <selection activeCell="T4" sqref="T4"/>
    </sheetView>
  </sheetViews>
  <sheetFormatPr defaultColWidth="9.1328125" defaultRowHeight="14.25"/>
  <cols>
    <col min="1" max="1" width="14.6640625" style="24" customWidth="1"/>
    <col min="2" max="2" width="9.53125" style="94" customWidth="1"/>
    <col min="3" max="3" width="9.1328125" style="94"/>
    <col min="4" max="4" width="14" customWidth="1"/>
    <col min="5" max="5" width="11.86328125" style="5" customWidth="1"/>
    <col min="18" max="18" width="12.46484375" customWidth="1"/>
  </cols>
  <sheetData>
    <row r="1" spans="1:19" s="42" customFormat="1">
      <c r="A1" s="22" t="s">
        <v>0</v>
      </c>
      <c r="B1" s="69" t="s">
        <v>193</v>
      </c>
      <c r="C1" s="69" t="s">
        <v>82</v>
      </c>
      <c r="D1" s="22" t="s">
        <v>83</v>
      </c>
      <c r="E1" s="46" t="s">
        <v>84</v>
      </c>
    </row>
    <row r="2" spans="1:19">
      <c r="A2" s="43" t="s">
        <v>80</v>
      </c>
      <c r="B2" s="55">
        <v>1.2709999999999999</v>
      </c>
      <c r="C2" s="56">
        <v>-1.6999999999999999E-3</v>
      </c>
      <c r="D2" s="24">
        <v>198.92420000000001</v>
      </c>
      <c r="Q2" s="23"/>
      <c r="R2" s="24"/>
      <c r="S2" s="24"/>
    </row>
    <row r="3" spans="1:19">
      <c r="A3" s="43" t="s">
        <v>79</v>
      </c>
      <c r="B3" s="55">
        <v>1.4850000000000001</v>
      </c>
      <c r="C3" s="56">
        <v>1.6999999999999999E-3</v>
      </c>
      <c r="D3" s="24">
        <v>201.81058999999999</v>
      </c>
      <c r="E3" s="5">
        <f t="shared" ref="E3:E43" si="0">(D3-D2)/D2</f>
        <v>1.4509999286160142E-2</v>
      </c>
      <c r="Q3" s="23"/>
      <c r="R3" s="24"/>
      <c r="S3" s="24"/>
    </row>
    <row r="4" spans="1:19">
      <c r="A4" s="43" t="s">
        <v>78</v>
      </c>
      <c r="B4" s="55">
        <v>1.3383</v>
      </c>
      <c r="C4" s="56">
        <v>1.04E-2</v>
      </c>
      <c r="D4" s="24">
        <v>199.92024000000001</v>
      </c>
      <c r="E4" s="5">
        <f t="shared" si="0"/>
        <v>-9.3669514568090004E-3</v>
      </c>
      <c r="Q4" s="23"/>
      <c r="R4" s="24"/>
      <c r="S4" s="24"/>
    </row>
    <row r="5" spans="1:19">
      <c r="A5" s="43" t="s">
        <v>77</v>
      </c>
      <c r="B5" s="55">
        <v>1.2587999999999999</v>
      </c>
      <c r="C5" s="56">
        <v>1.2999999999999999E-3</v>
      </c>
      <c r="D5" s="24">
        <v>225.24395000000001</v>
      </c>
      <c r="E5" s="5">
        <f t="shared" si="0"/>
        <v>0.12666906562337063</v>
      </c>
      <c r="Q5" s="23"/>
      <c r="R5" s="24"/>
      <c r="S5" s="24"/>
    </row>
    <row r="6" spans="1:19">
      <c r="A6" s="43" t="s">
        <v>76</v>
      </c>
      <c r="B6" s="55">
        <v>1.087</v>
      </c>
      <c r="C6" s="56">
        <v>-2.9999999999999997E-4</v>
      </c>
      <c r="D6" s="24">
        <v>231.09949</v>
      </c>
      <c r="E6" s="5">
        <f t="shared" si="0"/>
        <v>2.5996436308278158E-2</v>
      </c>
      <c r="Q6" s="23"/>
      <c r="R6" s="24"/>
      <c r="S6" s="24"/>
    </row>
    <row r="7" spans="1:19">
      <c r="A7" s="43" t="s">
        <v>75</v>
      </c>
      <c r="B7" s="55">
        <v>1.1382000000000001</v>
      </c>
      <c r="C7" s="56">
        <v>-2.8E-3</v>
      </c>
      <c r="D7" s="24">
        <v>254.07426000000001</v>
      </c>
      <c r="E7" s="5">
        <f t="shared" si="0"/>
        <v>9.9415061452537201E-2</v>
      </c>
      <c r="Q7" s="23"/>
      <c r="R7" s="24"/>
      <c r="S7" s="24"/>
    </row>
    <row r="8" spans="1:19">
      <c r="A8" s="43" t="s">
        <v>74</v>
      </c>
      <c r="B8" s="55">
        <v>1.1326000000000001</v>
      </c>
      <c r="C8" s="56">
        <v>-1.5100000000000001E-2</v>
      </c>
      <c r="D8" s="24">
        <v>281.01447999999999</v>
      </c>
      <c r="E8" s="5">
        <f t="shared" si="0"/>
        <v>0.10603285826750014</v>
      </c>
      <c r="Q8" s="23"/>
      <c r="R8" s="24"/>
      <c r="S8" s="24"/>
    </row>
    <row r="9" spans="1:19">
      <c r="A9" s="43" t="s">
        <v>73</v>
      </c>
      <c r="B9" s="55">
        <v>1.1071</v>
      </c>
      <c r="C9" s="56">
        <v>5.0000000000000001E-4</v>
      </c>
      <c r="D9" s="24">
        <v>290.82803000000001</v>
      </c>
      <c r="E9" s="5">
        <f t="shared" si="0"/>
        <v>3.4921865947975424E-2</v>
      </c>
      <c r="Q9" s="23"/>
      <c r="R9" s="24"/>
      <c r="S9" s="24"/>
    </row>
    <row r="10" spans="1:19">
      <c r="A10" s="43" t="s">
        <v>72</v>
      </c>
      <c r="B10" s="55">
        <v>1.1684000000000001</v>
      </c>
      <c r="C10" s="56">
        <v>-1.0800000000000001E-2</v>
      </c>
      <c r="D10" s="24">
        <v>304.88526999999999</v>
      </c>
      <c r="E10" s="5">
        <f t="shared" si="0"/>
        <v>4.8335230961059628E-2</v>
      </c>
      <c r="Q10" s="23"/>
      <c r="R10" s="24"/>
      <c r="S10" s="24"/>
    </row>
    <row r="11" spans="1:19">
      <c r="A11" s="43" t="s">
        <v>71</v>
      </c>
      <c r="B11" s="55">
        <v>1.099</v>
      </c>
      <c r="C11" s="56">
        <v>-2.5399999999999999E-2</v>
      </c>
      <c r="D11" s="24">
        <v>302.25054999999998</v>
      </c>
      <c r="E11" s="5">
        <f t="shared" si="0"/>
        <v>-8.6416769166972728E-3</v>
      </c>
      <c r="Q11" s="23"/>
      <c r="R11" s="24"/>
      <c r="S11" s="24"/>
    </row>
    <row r="12" spans="1:19">
      <c r="A12" s="43" t="s">
        <v>70</v>
      </c>
      <c r="B12" s="55">
        <v>0.9677</v>
      </c>
      <c r="C12" s="56">
        <v>-1.26E-2</v>
      </c>
      <c r="D12" s="24">
        <v>320.14841000000001</v>
      </c>
      <c r="E12" s="5">
        <f t="shared" si="0"/>
        <v>5.921530994732694E-2</v>
      </c>
      <c r="Q12" s="23"/>
      <c r="R12" s="24"/>
      <c r="S12" s="24"/>
    </row>
    <row r="13" spans="1:19">
      <c r="A13" s="43" t="s">
        <v>69</v>
      </c>
      <c r="B13" s="55">
        <v>0.91720000000000002</v>
      </c>
      <c r="C13" s="56">
        <v>2.3099999999999999E-2</v>
      </c>
      <c r="D13" s="24">
        <v>343.42345</v>
      </c>
      <c r="E13" s="5">
        <f t="shared" si="0"/>
        <v>7.2700782740104788E-2</v>
      </c>
      <c r="Q13" s="23"/>
      <c r="R13" s="24"/>
      <c r="S13" s="24"/>
    </row>
    <row r="14" spans="1:19">
      <c r="A14" s="43" t="s">
        <v>68</v>
      </c>
      <c r="B14" s="55">
        <v>0.81379999999999997</v>
      </c>
      <c r="C14" s="56">
        <v>-1.3599999999999999E-2</v>
      </c>
      <c r="D14" s="24">
        <v>374.94121000000001</v>
      </c>
      <c r="E14" s="5">
        <f t="shared" si="0"/>
        <v>9.1775212205223639E-2</v>
      </c>
      <c r="Q14" s="23"/>
      <c r="R14" s="24"/>
      <c r="S14" s="24"/>
    </row>
    <row r="15" spans="1:19">
      <c r="A15" s="43" t="s">
        <v>67</v>
      </c>
      <c r="B15" s="55">
        <v>0.71379999999999999</v>
      </c>
      <c r="C15" s="56">
        <v>4.6899999999999997E-2</v>
      </c>
      <c r="D15" s="24">
        <v>399.79838999999998</v>
      </c>
      <c r="E15" s="5">
        <f t="shared" si="0"/>
        <v>6.6296206810662311E-2</v>
      </c>
      <c r="Q15" s="23"/>
      <c r="R15" s="24"/>
      <c r="S15" s="24"/>
    </row>
    <row r="16" spans="1:19">
      <c r="A16" s="43" t="s">
        <v>66</v>
      </c>
      <c r="B16" s="55">
        <v>0.65900000000000003</v>
      </c>
      <c r="C16" s="56">
        <v>-9.4999999999999998E-3</v>
      </c>
      <c r="D16" s="24">
        <v>422.12290999999999</v>
      </c>
      <c r="E16" s="5">
        <f t="shared" si="0"/>
        <v>5.5839444476002038E-2</v>
      </c>
      <c r="Q16" s="23"/>
      <c r="R16" s="24"/>
      <c r="S16" s="24"/>
    </row>
    <row r="17" spans="1:19">
      <c r="A17" s="43" t="s">
        <v>65</v>
      </c>
      <c r="B17" s="55">
        <v>0.70669999999999999</v>
      </c>
      <c r="C17" s="56">
        <v>-2.1299999999999999E-2</v>
      </c>
      <c r="D17" s="24">
        <v>455.65794</v>
      </c>
      <c r="E17" s="5">
        <f t="shared" si="0"/>
        <v>7.9443757269654011E-2</v>
      </c>
      <c r="Q17" s="23"/>
      <c r="R17" s="24"/>
      <c r="S17" s="24"/>
    </row>
    <row r="18" spans="1:19">
      <c r="A18" s="43" t="s">
        <v>64</v>
      </c>
      <c r="B18" s="55">
        <v>0.88660000000000005</v>
      </c>
      <c r="C18" s="56">
        <v>3.8899999999999997E-2</v>
      </c>
      <c r="D18" s="24">
        <v>496.77</v>
      </c>
      <c r="E18" s="5">
        <f t="shared" si="0"/>
        <v>9.0225707468194208E-2</v>
      </c>
      <c r="Q18" s="23"/>
      <c r="R18" s="24"/>
      <c r="S18" s="24"/>
    </row>
    <row r="19" spans="1:19">
      <c r="A19" s="43" t="s">
        <v>63</v>
      </c>
      <c r="B19" s="55">
        <v>0.7712</v>
      </c>
      <c r="C19" s="56">
        <v>-2.1899999999999999E-2</v>
      </c>
      <c r="D19" s="24">
        <v>517.13499999999999</v>
      </c>
      <c r="E19" s="5">
        <f t="shared" si="0"/>
        <v>4.0994826579704914E-2</v>
      </c>
      <c r="Q19" s="23"/>
      <c r="R19" s="24"/>
      <c r="S19" s="24"/>
    </row>
    <row r="20" spans="1:19">
      <c r="A20" s="43" t="s">
        <v>62</v>
      </c>
      <c r="B20" s="55">
        <v>0.78249999999999997</v>
      </c>
      <c r="C20" s="56">
        <v>1.23E-2</v>
      </c>
      <c r="D20" s="24">
        <v>509.303</v>
      </c>
      <c r="E20" s="5">
        <f t="shared" si="0"/>
        <v>-1.5144981484525305E-2</v>
      </c>
      <c r="Q20" s="23"/>
      <c r="R20" s="24"/>
      <c r="S20" s="24"/>
    </row>
    <row r="21" spans="1:19">
      <c r="A21" s="43" t="s">
        <v>61</v>
      </c>
      <c r="B21" s="55">
        <v>0.75070000000000003</v>
      </c>
      <c r="C21" s="56">
        <v>-1.17E-2</v>
      </c>
      <c r="D21" s="24">
        <v>527.2405</v>
      </c>
      <c r="E21" s="5">
        <f t="shared" si="0"/>
        <v>3.5219702220485642E-2</v>
      </c>
      <c r="Q21" s="23"/>
      <c r="R21" s="24"/>
      <c r="S21" s="24"/>
    </row>
    <row r="22" spans="1:19">
      <c r="A22" s="43" t="s">
        <v>60</v>
      </c>
      <c r="B22" s="55">
        <v>0.67849999999999999</v>
      </c>
      <c r="C22" s="56">
        <v>-1.6E-2</v>
      </c>
      <c r="D22" s="24">
        <v>545.15700000000004</v>
      </c>
      <c r="E22" s="5">
        <f t="shared" si="0"/>
        <v>3.3981645947153229E-2</v>
      </c>
      <c r="Q22" s="23"/>
      <c r="R22" s="24"/>
      <c r="S22" s="24"/>
    </row>
    <row r="23" spans="1:19">
      <c r="A23" s="43" t="s">
        <v>59</v>
      </c>
      <c r="B23" s="55">
        <v>0.70899999999999996</v>
      </c>
      <c r="C23" s="56">
        <v>4.3700000000000003E-2</v>
      </c>
      <c r="D23" s="24">
        <v>574.33600000000001</v>
      </c>
      <c r="E23" s="5">
        <f t="shared" si="0"/>
        <v>5.3524030692075807E-2</v>
      </c>
      <c r="Q23" s="23"/>
      <c r="R23" s="24"/>
      <c r="S23" s="24"/>
    </row>
    <row r="24" spans="1:19">
      <c r="A24" s="43" t="s">
        <v>58</v>
      </c>
      <c r="B24" s="55">
        <v>0.75680000000000003</v>
      </c>
      <c r="C24" s="56">
        <v>-2.4500000000000001E-2</v>
      </c>
      <c r="D24" s="24">
        <v>612.024</v>
      </c>
      <c r="E24" s="5">
        <f t="shared" si="0"/>
        <v>6.5620124804992172E-2</v>
      </c>
      <c r="Q24" s="23"/>
      <c r="R24" s="24"/>
      <c r="S24" s="24"/>
    </row>
    <row r="25" spans="1:19">
      <c r="A25" s="43" t="s">
        <v>57</v>
      </c>
      <c r="B25" s="55">
        <v>0.74650000000000005</v>
      </c>
      <c r="C25" s="56">
        <v>3.2000000000000002E-3</v>
      </c>
      <c r="D25" s="24">
        <v>663.49</v>
      </c>
      <c r="E25" s="5">
        <f t="shared" si="0"/>
        <v>8.4091473536985498E-2</v>
      </c>
      <c r="Q25" s="23"/>
      <c r="R25" s="24"/>
      <c r="S25" s="24"/>
    </row>
    <row r="26" spans="1:19">
      <c r="A26" s="43" t="s">
        <v>56</v>
      </c>
      <c r="B26" s="55">
        <v>0.76229999999999998</v>
      </c>
      <c r="C26" s="56">
        <v>-4.1000000000000002E-2</v>
      </c>
      <c r="D26" s="24">
        <v>677.37649999999996</v>
      </c>
      <c r="E26" s="5">
        <f t="shared" si="0"/>
        <v>2.0929478967279019E-2</v>
      </c>
      <c r="Q26" s="23"/>
      <c r="R26" s="24"/>
      <c r="S26" s="24"/>
    </row>
    <row r="27" spans="1:19">
      <c r="A27" s="43" t="s">
        <v>55</v>
      </c>
      <c r="B27" s="55">
        <v>0.68300000000000005</v>
      </c>
      <c r="C27" s="56">
        <v>4.8000000000000001E-2</v>
      </c>
      <c r="D27" s="24">
        <v>672.62339999999995</v>
      </c>
      <c r="E27" s="5">
        <f t="shared" si="0"/>
        <v>-7.0169248564129665E-3</v>
      </c>
      <c r="Q27" s="23"/>
      <c r="R27" s="24"/>
      <c r="S27" s="24"/>
    </row>
    <row r="28" spans="1:19">
      <c r="A28" s="43" t="s">
        <v>54</v>
      </c>
      <c r="B28" s="55">
        <v>0.63049999999999995</v>
      </c>
      <c r="C28" s="56">
        <v>3.09E-2</v>
      </c>
      <c r="D28" s="24">
        <v>652.00104999999996</v>
      </c>
      <c r="E28" s="5">
        <f t="shared" si="0"/>
        <v>-3.0659578599257747E-2</v>
      </c>
      <c r="Q28" s="23"/>
      <c r="R28" s="24"/>
      <c r="S28" s="24"/>
    </row>
    <row r="29" spans="1:19">
      <c r="A29" s="43" t="s">
        <v>53</v>
      </c>
      <c r="B29" s="55">
        <v>0.63729999999999998</v>
      </c>
      <c r="C29" s="56">
        <v>-3.0700000000000002E-2</v>
      </c>
      <c r="D29" s="24">
        <v>672.79150000000004</v>
      </c>
      <c r="E29" s="5">
        <f t="shared" si="0"/>
        <v>3.1887141899541539E-2</v>
      </c>
      <c r="Q29" s="23"/>
      <c r="R29" s="24"/>
      <c r="S29" s="24"/>
    </row>
    <row r="30" spans="1:19">
      <c r="A30" s="43" t="s">
        <v>52</v>
      </c>
      <c r="B30" s="55">
        <v>0.55000000000000004</v>
      </c>
      <c r="C30" s="56">
        <v>-1.61E-2</v>
      </c>
      <c r="D30" s="24">
        <v>679.17274999999995</v>
      </c>
      <c r="E30" s="5">
        <f t="shared" si="0"/>
        <v>9.4847363559139915E-3</v>
      </c>
      <c r="Q30" s="23"/>
      <c r="R30" s="24"/>
      <c r="S30" s="24"/>
    </row>
    <row r="31" spans="1:19">
      <c r="A31" s="43" t="s">
        <v>51</v>
      </c>
      <c r="B31" s="55">
        <v>0.50800000000000001</v>
      </c>
      <c r="C31" s="56">
        <v>-2E-3</v>
      </c>
      <c r="D31" s="24">
        <v>692.76300000000003</v>
      </c>
      <c r="E31" s="5">
        <f t="shared" si="0"/>
        <v>2.0010004818361873E-2</v>
      </c>
      <c r="Q31" s="23"/>
      <c r="R31" s="24"/>
      <c r="S31" s="24"/>
    </row>
    <row r="32" spans="1:19">
      <c r="A32" s="43" t="s">
        <v>50</v>
      </c>
      <c r="B32" s="55">
        <v>0.58720000000000006</v>
      </c>
      <c r="C32" s="56">
        <v>4.5999999999999999E-2</v>
      </c>
      <c r="D32" s="24">
        <v>728.35789999999997</v>
      </c>
      <c r="E32" s="5">
        <f t="shared" si="0"/>
        <v>5.1381063942502615E-2</v>
      </c>
      <c r="Q32" s="23"/>
      <c r="R32" s="24"/>
      <c r="S32" s="24"/>
    </row>
    <row r="33" spans="1:19">
      <c r="A33" s="43" t="s">
        <v>49</v>
      </c>
      <c r="B33" s="55">
        <v>0.76419999999999999</v>
      </c>
      <c r="C33" s="56">
        <v>1.54E-2</v>
      </c>
      <c r="D33" s="24">
        <v>868.18505000000005</v>
      </c>
      <c r="E33" s="5">
        <f t="shared" si="0"/>
        <v>0.19197588163731055</v>
      </c>
      <c r="Q33" s="23"/>
      <c r="R33" s="24"/>
      <c r="S33" s="24"/>
    </row>
    <row r="34" spans="1:19">
      <c r="A34" s="43" t="s">
        <v>48</v>
      </c>
      <c r="B34" s="55">
        <v>0.7752</v>
      </c>
      <c r="C34" s="56">
        <v>-8.8999999999999999E-3</v>
      </c>
      <c r="D34" s="24">
        <v>1019.88867</v>
      </c>
      <c r="E34" s="5">
        <f t="shared" si="0"/>
        <v>0.17473650346778027</v>
      </c>
      <c r="Q34" s="23"/>
      <c r="R34" s="24"/>
      <c r="S34" s="24"/>
    </row>
    <row r="35" spans="1:19">
      <c r="A35" s="43" t="s">
        <v>47</v>
      </c>
      <c r="B35" s="55">
        <v>0.75870000000000004</v>
      </c>
      <c r="C35" s="56">
        <v>3.4200000000000001E-2</v>
      </c>
      <c r="D35" s="24">
        <v>1128.3203100000001</v>
      </c>
      <c r="E35" s="5">
        <f t="shared" si="0"/>
        <v>0.10631713361420125</v>
      </c>
      <c r="Q35" s="23"/>
      <c r="R35" s="24"/>
      <c r="S35" s="24"/>
    </row>
    <row r="36" spans="1:19">
      <c r="A36" s="43" t="s">
        <v>46</v>
      </c>
      <c r="B36" s="55">
        <v>0.77680000000000005</v>
      </c>
      <c r="C36" s="56">
        <v>-1.5800000000000002E-2</v>
      </c>
      <c r="D36" s="24">
        <v>1250.39589</v>
      </c>
      <c r="E36" s="5">
        <f t="shared" si="0"/>
        <v>0.10819230932748161</v>
      </c>
      <c r="Q36" s="23"/>
      <c r="R36" s="24"/>
      <c r="S36" s="24"/>
    </row>
    <row r="37" spans="1:19">
      <c r="A37" s="43" t="s">
        <v>45</v>
      </c>
      <c r="B37" s="55">
        <v>0.89610000000000001</v>
      </c>
      <c r="C37" s="56">
        <v>2.3099999999999999E-2</v>
      </c>
      <c r="D37" s="24">
        <v>1320.25845</v>
      </c>
      <c r="E37" s="5">
        <f t="shared" si="0"/>
        <v>5.5872352555477477E-2</v>
      </c>
      <c r="Q37" s="23"/>
      <c r="R37" s="24"/>
      <c r="S37" s="24"/>
    </row>
    <row r="38" spans="1:19">
      <c r="A38" s="43" t="s">
        <v>44</v>
      </c>
      <c r="B38" s="55">
        <v>0.6351</v>
      </c>
      <c r="C38" s="56">
        <v>-0.10249999999999999</v>
      </c>
      <c r="D38" s="24">
        <v>1369.16932</v>
      </c>
      <c r="E38" s="5">
        <f t="shared" si="0"/>
        <v>3.7046435870188847E-2</v>
      </c>
      <c r="Q38" s="23"/>
      <c r="R38" s="24"/>
      <c r="S38" s="24"/>
    </row>
    <row r="39" spans="1:19">
      <c r="A39" s="43" t="s">
        <v>43</v>
      </c>
      <c r="B39" s="55">
        <v>0.88470000000000004</v>
      </c>
      <c r="C39" s="56">
        <v>-1.4E-2</v>
      </c>
      <c r="D39" s="24">
        <v>1470.65255</v>
      </c>
      <c r="E39" s="5">
        <f t="shared" si="0"/>
        <v>7.4120292149111297E-2</v>
      </c>
      <c r="Q39" s="23"/>
      <c r="R39" s="24"/>
      <c r="S39" s="24"/>
    </row>
    <row r="40" spans="1:19">
      <c r="A40" s="43" t="s">
        <v>42</v>
      </c>
      <c r="B40" s="55">
        <v>0.99670000000000003</v>
      </c>
      <c r="C40" s="56">
        <v>-2.4500000000000001E-2</v>
      </c>
      <c r="D40" s="24">
        <v>1609.7407499999999</v>
      </c>
      <c r="E40" s="5">
        <f t="shared" si="0"/>
        <v>9.4575839820221247E-2</v>
      </c>
      <c r="Q40" s="23"/>
      <c r="R40" s="24"/>
      <c r="S40" s="24"/>
    </row>
    <row r="41" spans="1:19">
      <c r="A41" s="43" t="s">
        <v>41</v>
      </c>
      <c r="B41" s="55">
        <v>1.0616000000000001</v>
      </c>
      <c r="C41" s="56">
        <v>3.7900000000000003E-2</v>
      </c>
      <c r="D41" s="24">
        <v>1760.79197</v>
      </c>
      <c r="E41" s="5">
        <f t="shared" si="0"/>
        <v>9.3835743426387175E-2</v>
      </c>
      <c r="Q41" s="23"/>
      <c r="R41" s="24"/>
      <c r="S41" s="24"/>
    </row>
    <row r="42" spans="1:19">
      <c r="A42" s="43" t="s">
        <v>40</v>
      </c>
      <c r="B42" s="55">
        <v>1.0424</v>
      </c>
      <c r="C42" s="56">
        <v>3.0000000000000001E-3</v>
      </c>
      <c r="D42" s="24">
        <v>1856.39734</v>
      </c>
      <c r="E42" s="5">
        <f t="shared" si="0"/>
        <v>5.4296800319915128E-2</v>
      </c>
      <c r="Q42" s="23"/>
      <c r="R42" s="24"/>
      <c r="S42" s="24"/>
    </row>
    <row r="43" spans="1:19">
      <c r="A43" s="43" t="s">
        <v>39</v>
      </c>
      <c r="B43" s="55">
        <v>0.87560000000000004</v>
      </c>
      <c r="C43" s="56">
        <v>-1.8200000000000001E-2</v>
      </c>
      <c r="D43" s="24">
        <v>1925.2972199999999</v>
      </c>
      <c r="E43" s="5">
        <f t="shared" si="0"/>
        <v>3.7114834478269583E-2</v>
      </c>
      <c r="Q43" s="23"/>
      <c r="R43" s="24"/>
    </row>
    <row r="44" spans="1:19">
      <c r="A44" s="43" t="s">
        <v>38</v>
      </c>
      <c r="B44" s="55">
        <v>0.77690000000000003</v>
      </c>
      <c r="C44" s="56">
        <v>-4.9099999999999998E-2</v>
      </c>
    </row>
    <row r="45" spans="1:19">
      <c r="A45" s="43"/>
      <c r="B45" s="55"/>
      <c r="C45" s="56"/>
    </row>
    <row r="46" spans="1:19">
      <c r="A46" s="43"/>
      <c r="B46" s="55"/>
      <c r="C46" s="56"/>
    </row>
    <row r="47" spans="1:19">
      <c r="A47" s="43"/>
      <c r="B47" s="55"/>
      <c r="C47" s="56"/>
    </row>
    <row r="48" spans="1:19">
      <c r="A48" s="43"/>
      <c r="B48" s="55"/>
      <c r="C48" s="56"/>
    </row>
    <row r="49" spans="1:3">
      <c r="A49" s="43"/>
      <c r="B49" s="55"/>
      <c r="C49" s="56"/>
    </row>
    <row r="50" spans="1:3">
      <c r="A50" s="43"/>
      <c r="B50" s="55"/>
      <c r="C50" s="56"/>
    </row>
    <row r="51" spans="1:3">
      <c r="A51" s="43"/>
      <c r="B51" s="55"/>
      <c r="C51" s="56"/>
    </row>
    <row r="52" spans="1:3">
      <c r="A52" s="43"/>
      <c r="B52" s="55"/>
      <c r="C52" s="56"/>
    </row>
    <row r="53" spans="1:3">
      <c r="A53" s="43"/>
      <c r="B53" s="55"/>
      <c r="C53" s="56"/>
    </row>
    <row r="54" spans="1:3">
      <c r="A54" s="43"/>
      <c r="B54" s="55"/>
      <c r="C54" s="56"/>
    </row>
    <row r="55" spans="1:3">
      <c r="A55" s="43"/>
      <c r="B55" s="55"/>
      <c r="C55" s="56"/>
    </row>
    <row r="56" spans="1:3">
      <c r="A56" s="43"/>
      <c r="B56" s="55"/>
      <c r="C56" s="56"/>
    </row>
    <row r="57" spans="1:3">
      <c r="A57" s="43"/>
      <c r="B57" s="55"/>
      <c r="C57" s="56"/>
    </row>
    <row r="58" spans="1:3">
      <c r="A58" s="43"/>
      <c r="B58" s="55"/>
      <c r="C58" s="56"/>
    </row>
    <row r="59" spans="1:3">
      <c r="A59" s="43"/>
      <c r="B59" s="55"/>
      <c r="C59" s="56"/>
    </row>
    <row r="60" spans="1:3">
      <c r="A60" s="43"/>
      <c r="B60" s="55"/>
      <c r="C60" s="56"/>
    </row>
    <row r="61" spans="1:3">
      <c r="A61" s="43"/>
      <c r="B61" s="55"/>
      <c r="C61" s="56"/>
    </row>
    <row r="62" spans="1:3">
      <c r="A62" s="43"/>
      <c r="B62" s="55"/>
      <c r="C62" s="56"/>
    </row>
    <row r="63" spans="1:3">
      <c r="A63" s="43"/>
      <c r="B63" s="55"/>
      <c r="C63" s="56"/>
    </row>
    <row r="64" spans="1:3">
      <c r="A64" s="43"/>
      <c r="B64" s="55"/>
      <c r="C64" s="56"/>
    </row>
    <row r="65" spans="1:3">
      <c r="A65" s="43"/>
      <c r="B65" s="55"/>
      <c r="C65" s="56"/>
    </row>
    <row r="66" spans="1:3">
      <c r="A66" s="43"/>
      <c r="B66" s="55"/>
      <c r="C66" s="56"/>
    </row>
    <row r="67" spans="1:3">
      <c r="A67" s="43"/>
      <c r="B67" s="55"/>
      <c r="C67" s="56"/>
    </row>
    <row r="68" spans="1:3">
      <c r="A68" s="43"/>
      <c r="B68" s="55"/>
      <c r="C68" s="56"/>
    </row>
    <row r="69" spans="1:3">
      <c r="A69" s="43"/>
      <c r="B69" s="55"/>
      <c r="C69" s="56"/>
    </row>
    <row r="70" spans="1:3">
      <c r="A70" s="43"/>
      <c r="B70" s="55"/>
      <c r="C70" s="56"/>
    </row>
    <row r="71" spans="1:3">
      <c r="A71" s="43"/>
      <c r="B71" s="55"/>
      <c r="C71" s="56"/>
    </row>
    <row r="72" spans="1:3">
      <c r="A72" s="43"/>
      <c r="B72" s="55"/>
      <c r="C72" s="56"/>
    </row>
    <row r="73" spans="1:3">
      <c r="A73" s="43"/>
      <c r="B73" s="55"/>
      <c r="C73" s="56"/>
    </row>
    <row r="74" spans="1:3">
      <c r="A74" s="43"/>
      <c r="B74" s="55"/>
      <c r="C74" s="56"/>
    </row>
    <row r="75" spans="1:3">
      <c r="A75" s="43"/>
      <c r="B75" s="55"/>
      <c r="C75" s="56"/>
    </row>
    <row r="76" spans="1:3">
      <c r="A76" s="43"/>
      <c r="B76" s="55"/>
      <c r="C76" s="56"/>
    </row>
    <row r="77" spans="1:3">
      <c r="A77" s="43"/>
      <c r="B77" s="55"/>
      <c r="C77" s="56"/>
    </row>
    <row r="78" spans="1:3">
      <c r="A78" s="43"/>
      <c r="B78" s="55"/>
      <c r="C78" s="56"/>
    </row>
    <row r="79" spans="1:3">
      <c r="A79" s="43"/>
      <c r="B79" s="55"/>
      <c r="C79" s="56"/>
    </row>
    <row r="80" spans="1:3">
      <c r="A80" s="43"/>
      <c r="B80" s="55"/>
      <c r="C80" s="56"/>
    </row>
    <row r="81" spans="1:3">
      <c r="A81" s="43"/>
      <c r="B81" s="55"/>
      <c r="C81" s="56"/>
    </row>
    <row r="82" spans="1:3">
      <c r="A82" s="43"/>
      <c r="B82" s="55"/>
      <c r="C82" s="56"/>
    </row>
    <row r="83" spans="1:3">
      <c r="A83" s="43"/>
      <c r="B83" s="55"/>
      <c r="C83" s="56"/>
    </row>
    <row r="84" spans="1:3">
      <c r="A84" s="43"/>
      <c r="B84" s="55"/>
      <c r="C84" s="56"/>
    </row>
    <row r="85" spans="1:3">
      <c r="A85" s="43"/>
      <c r="B85" s="55"/>
      <c r="C85" s="56"/>
    </row>
    <row r="86" spans="1:3">
      <c r="A86" s="43"/>
      <c r="B86" s="55"/>
      <c r="C86" s="56"/>
    </row>
    <row r="87" spans="1:3">
      <c r="A87" s="43"/>
      <c r="B87" s="55"/>
      <c r="C87" s="56"/>
    </row>
    <row r="88" spans="1:3">
      <c r="A88" s="43"/>
      <c r="B88" s="55"/>
      <c r="C88" s="56"/>
    </row>
    <row r="89" spans="1:3">
      <c r="A89" s="43"/>
      <c r="B89" s="55"/>
      <c r="C89" s="56"/>
    </row>
    <row r="90" spans="1:3">
      <c r="A90" s="43"/>
      <c r="B90" s="55"/>
      <c r="C90" s="56"/>
    </row>
    <row r="91" spans="1:3">
      <c r="A91" s="43"/>
      <c r="B91" s="55"/>
      <c r="C91" s="56"/>
    </row>
    <row r="92" spans="1:3">
      <c r="A92" s="43"/>
      <c r="B92" s="55"/>
      <c r="C92" s="56"/>
    </row>
    <row r="93" spans="1:3">
      <c r="A93" s="43"/>
      <c r="B93" s="55"/>
      <c r="C93" s="56"/>
    </row>
    <row r="94" spans="1:3">
      <c r="A94" s="43"/>
      <c r="B94" s="55"/>
      <c r="C94" s="56"/>
    </row>
    <row r="95" spans="1:3">
      <c r="A95" s="43"/>
      <c r="B95" s="55"/>
      <c r="C95" s="56"/>
    </row>
    <row r="96" spans="1:3">
      <c r="A96" s="43"/>
      <c r="B96" s="55"/>
      <c r="C96" s="56"/>
    </row>
    <row r="97" spans="1:3">
      <c r="A97" s="43"/>
      <c r="B97" s="55"/>
      <c r="C97" s="56"/>
    </row>
    <row r="98" spans="1:3">
      <c r="A98" s="43"/>
      <c r="B98" s="55"/>
      <c r="C98" s="56"/>
    </row>
    <row r="99" spans="1:3">
      <c r="A99" s="43"/>
      <c r="B99" s="55"/>
      <c r="C99" s="56"/>
    </row>
    <row r="100" spans="1:3">
      <c r="A100" s="43"/>
      <c r="B100" s="55"/>
      <c r="C100" s="56"/>
    </row>
    <row r="101" spans="1:3">
      <c r="A101" s="43"/>
      <c r="B101" s="55"/>
      <c r="C101" s="56"/>
    </row>
    <row r="102" spans="1:3">
      <c r="A102" s="43"/>
      <c r="B102" s="55"/>
      <c r="C102" s="56"/>
    </row>
    <row r="103" spans="1:3">
      <c r="A103" s="43"/>
      <c r="B103" s="55"/>
      <c r="C103" s="56"/>
    </row>
    <row r="104" spans="1:3">
      <c r="A104" s="43"/>
      <c r="B104" s="55"/>
      <c r="C104" s="56"/>
    </row>
    <row r="105" spans="1:3">
      <c r="A105" s="43"/>
      <c r="B105" s="55"/>
      <c r="C105" s="56"/>
    </row>
    <row r="106" spans="1:3">
      <c r="A106" s="43"/>
      <c r="B106" s="55"/>
      <c r="C106" s="56"/>
    </row>
    <row r="107" spans="1:3">
      <c r="A107" s="43"/>
      <c r="B107" s="55"/>
      <c r="C107" s="56"/>
    </row>
    <row r="108" spans="1:3">
      <c r="A108" s="43"/>
      <c r="B108" s="55"/>
      <c r="C108" s="56"/>
    </row>
    <row r="109" spans="1:3">
      <c r="A109" s="43"/>
      <c r="B109" s="55"/>
      <c r="C109" s="56"/>
    </row>
    <row r="110" spans="1:3">
      <c r="A110" s="43"/>
      <c r="B110" s="55"/>
      <c r="C110" s="56"/>
    </row>
    <row r="111" spans="1:3">
      <c r="A111" s="43"/>
      <c r="B111" s="55"/>
      <c r="C111" s="56"/>
    </row>
    <row r="112" spans="1:3">
      <c r="A112" s="43"/>
      <c r="B112" s="55"/>
      <c r="C112" s="56"/>
    </row>
    <row r="113" spans="1:3">
      <c r="A113" s="43"/>
      <c r="B113" s="55"/>
      <c r="C113" s="56"/>
    </row>
    <row r="114" spans="1:3">
      <c r="A114" s="43"/>
      <c r="B114" s="55"/>
      <c r="C114" s="56"/>
    </row>
    <row r="115" spans="1:3">
      <c r="A115" s="43"/>
      <c r="B115" s="55"/>
      <c r="C115" s="56"/>
    </row>
    <row r="116" spans="1:3">
      <c r="A116" s="43"/>
      <c r="B116" s="55"/>
      <c r="C116" s="56"/>
    </row>
    <row r="117" spans="1:3">
      <c r="A117" s="43"/>
      <c r="B117" s="55"/>
      <c r="C117" s="56"/>
    </row>
    <row r="118" spans="1:3">
      <c r="A118" s="43"/>
      <c r="B118" s="55"/>
      <c r="C118" s="56"/>
    </row>
    <row r="119" spans="1:3">
      <c r="A119" s="43"/>
      <c r="B119" s="55"/>
      <c r="C119" s="56"/>
    </row>
    <row r="120" spans="1:3">
      <c r="A120" s="43"/>
      <c r="B120" s="55"/>
      <c r="C120" s="56"/>
    </row>
    <row r="121" spans="1:3">
      <c r="A121" s="43"/>
      <c r="B121" s="55"/>
      <c r="C121" s="56"/>
    </row>
    <row r="122" spans="1:3">
      <c r="A122" s="43"/>
      <c r="B122" s="55"/>
      <c r="C122" s="56"/>
    </row>
    <row r="123" spans="1:3">
      <c r="A123" s="43"/>
      <c r="B123" s="55"/>
      <c r="C123" s="56"/>
    </row>
    <row r="124" spans="1:3">
      <c r="A124" s="43"/>
      <c r="B124" s="55"/>
      <c r="C124" s="56"/>
    </row>
    <row r="125" spans="1:3">
      <c r="A125" s="43"/>
      <c r="B125" s="55"/>
      <c r="C125" s="56"/>
    </row>
    <row r="126" spans="1:3">
      <c r="A126" s="43"/>
      <c r="B126" s="55"/>
      <c r="C126" s="56"/>
    </row>
    <row r="127" spans="1:3">
      <c r="A127" s="43"/>
      <c r="B127" s="55"/>
      <c r="C127" s="56"/>
    </row>
    <row r="128" spans="1:3">
      <c r="A128" s="43"/>
      <c r="B128" s="55"/>
      <c r="C128" s="56"/>
    </row>
    <row r="129" spans="1:3">
      <c r="A129" s="43"/>
      <c r="B129" s="55"/>
      <c r="C129" s="56"/>
    </row>
    <row r="130" spans="1:3">
      <c r="A130" s="43"/>
      <c r="B130" s="55"/>
      <c r="C130" s="56"/>
    </row>
    <row r="131" spans="1:3">
      <c r="A131" s="43"/>
      <c r="B131" s="55"/>
      <c r="C131" s="56"/>
    </row>
    <row r="132" spans="1:3">
      <c r="A132" s="43"/>
      <c r="B132" s="55"/>
      <c r="C132" s="56"/>
    </row>
    <row r="133" spans="1:3">
      <c r="A133" s="43"/>
      <c r="B133" s="55"/>
      <c r="C133" s="56"/>
    </row>
    <row r="134" spans="1:3">
      <c r="A134" s="43"/>
      <c r="B134" s="55"/>
      <c r="C134" s="56"/>
    </row>
    <row r="135" spans="1:3">
      <c r="A135" s="43"/>
      <c r="B135" s="55"/>
      <c r="C135" s="56"/>
    </row>
    <row r="136" spans="1:3">
      <c r="A136" s="43"/>
      <c r="B136" s="55"/>
      <c r="C136" s="56"/>
    </row>
    <row r="137" spans="1:3">
      <c r="A137" s="43"/>
      <c r="B137" s="55"/>
      <c r="C137" s="56"/>
    </row>
    <row r="138" spans="1:3">
      <c r="A138" s="43"/>
      <c r="B138" s="55"/>
      <c r="C138" s="56"/>
    </row>
    <row r="139" spans="1:3">
      <c r="A139" s="43"/>
      <c r="B139" s="55"/>
      <c r="C139" s="56"/>
    </row>
    <row r="140" spans="1:3">
      <c r="A140" s="43"/>
      <c r="B140" s="55"/>
      <c r="C140" s="56"/>
    </row>
    <row r="141" spans="1:3">
      <c r="A141" s="43"/>
      <c r="B141" s="55"/>
      <c r="C141" s="56"/>
    </row>
    <row r="142" spans="1:3">
      <c r="A142" s="43"/>
      <c r="B142" s="55"/>
      <c r="C142" s="56"/>
    </row>
    <row r="143" spans="1:3">
      <c r="A143" s="43"/>
      <c r="B143" s="55"/>
      <c r="C143" s="56"/>
    </row>
    <row r="144" spans="1:3">
      <c r="A144" s="43"/>
      <c r="B144" s="55"/>
      <c r="C144" s="56"/>
    </row>
    <row r="145" spans="1:3">
      <c r="A145" s="43"/>
      <c r="B145" s="55"/>
      <c r="C145" s="56"/>
    </row>
    <row r="146" spans="1:3">
      <c r="A146" s="43"/>
      <c r="B146" s="55"/>
      <c r="C146" s="56"/>
    </row>
    <row r="147" spans="1:3">
      <c r="A147" s="43"/>
      <c r="B147" s="55"/>
      <c r="C147" s="56"/>
    </row>
    <row r="148" spans="1:3">
      <c r="A148" s="43"/>
      <c r="B148" s="55"/>
      <c r="C148" s="56"/>
    </row>
    <row r="149" spans="1:3">
      <c r="A149" s="43"/>
      <c r="B149" s="55"/>
      <c r="C149" s="56"/>
    </row>
    <row r="150" spans="1:3">
      <c r="A150" s="43"/>
      <c r="B150" s="55"/>
      <c r="C150" s="56"/>
    </row>
    <row r="151" spans="1:3">
      <c r="A151" s="43"/>
      <c r="B151" s="55"/>
      <c r="C151" s="56"/>
    </row>
    <row r="152" spans="1:3">
      <c r="A152" s="43"/>
      <c r="B152" s="55"/>
      <c r="C152" s="56"/>
    </row>
    <row r="153" spans="1:3">
      <c r="A153" s="43"/>
      <c r="B153" s="55"/>
      <c r="C153" s="56"/>
    </row>
    <row r="154" spans="1:3">
      <c r="A154" s="43"/>
      <c r="B154" s="55"/>
      <c r="C154" s="56"/>
    </row>
    <row r="155" spans="1:3">
      <c r="A155" s="43"/>
      <c r="B155" s="55"/>
      <c r="C155" s="56"/>
    </row>
    <row r="156" spans="1:3">
      <c r="A156" s="43"/>
      <c r="B156" s="55"/>
      <c r="C156" s="56"/>
    </row>
    <row r="157" spans="1:3">
      <c r="A157" s="43"/>
      <c r="B157" s="55"/>
      <c r="C157" s="56"/>
    </row>
    <row r="158" spans="1:3">
      <c r="A158" s="43"/>
      <c r="B158" s="55"/>
      <c r="C158" s="56"/>
    </row>
    <row r="159" spans="1:3">
      <c r="A159" s="43"/>
      <c r="B159" s="55"/>
      <c r="C159" s="56"/>
    </row>
    <row r="160" spans="1:3">
      <c r="A160" s="43"/>
      <c r="B160" s="55"/>
      <c r="C160" s="56"/>
    </row>
    <row r="161" spans="1:3">
      <c r="A161" s="43"/>
      <c r="B161" s="55"/>
      <c r="C161" s="56"/>
    </row>
    <row r="162" spans="1:3">
      <c r="A162" s="43"/>
      <c r="B162" s="55"/>
      <c r="C162" s="56"/>
    </row>
    <row r="163" spans="1:3">
      <c r="A163" s="43"/>
      <c r="B163" s="55"/>
      <c r="C163" s="56"/>
    </row>
    <row r="164" spans="1:3">
      <c r="A164" s="43"/>
      <c r="B164" s="55"/>
      <c r="C164" s="56"/>
    </row>
    <row r="165" spans="1:3">
      <c r="A165" s="43"/>
      <c r="B165" s="55"/>
      <c r="C165" s="56"/>
    </row>
    <row r="166" spans="1:3">
      <c r="A166" s="43"/>
      <c r="B166" s="55"/>
      <c r="C166" s="56"/>
    </row>
    <row r="167" spans="1:3">
      <c r="A167" s="43"/>
      <c r="B167" s="55"/>
      <c r="C167" s="56"/>
    </row>
    <row r="168" spans="1:3">
      <c r="A168" s="43"/>
      <c r="B168" s="55"/>
      <c r="C168" s="56"/>
    </row>
    <row r="169" spans="1:3">
      <c r="A169" s="43"/>
      <c r="B169" s="55"/>
      <c r="C169" s="56"/>
    </row>
    <row r="170" spans="1:3">
      <c r="A170" s="43"/>
      <c r="B170" s="55"/>
      <c r="C170" s="56"/>
    </row>
    <row r="171" spans="1:3">
      <c r="A171" s="43"/>
      <c r="B171" s="55"/>
      <c r="C171" s="56"/>
    </row>
    <row r="172" spans="1:3">
      <c r="A172" s="43"/>
      <c r="B172" s="55"/>
      <c r="C172" s="56"/>
    </row>
    <row r="173" spans="1:3">
      <c r="A173" s="43"/>
      <c r="B173" s="55"/>
      <c r="C173" s="56"/>
    </row>
    <row r="174" spans="1:3">
      <c r="A174" s="43"/>
      <c r="B174" s="55"/>
      <c r="C174" s="56"/>
    </row>
    <row r="175" spans="1:3">
      <c r="A175" s="43"/>
      <c r="B175" s="55"/>
      <c r="C175" s="56"/>
    </row>
    <row r="176" spans="1:3">
      <c r="A176" s="43"/>
      <c r="B176" s="55"/>
      <c r="C176" s="56"/>
    </row>
    <row r="177" spans="1:3">
      <c r="A177" s="43"/>
      <c r="B177" s="55"/>
      <c r="C177" s="56"/>
    </row>
    <row r="178" spans="1:3">
      <c r="A178" s="43"/>
      <c r="B178" s="55"/>
      <c r="C178" s="56"/>
    </row>
    <row r="179" spans="1:3">
      <c r="A179" s="43"/>
      <c r="B179" s="55"/>
      <c r="C179" s="56"/>
    </row>
    <row r="180" spans="1:3">
      <c r="A180" s="43"/>
      <c r="B180" s="55"/>
      <c r="C180" s="56"/>
    </row>
    <row r="181" spans="1:3">
      <c r="A181" s="43"/>
      <c r="B181" s="55"/>
      <c r="C181" s="56"/>
    </row>
    <row r="182" spans="1:3">
      <c r="A182" s="43"/>
      <c r="B182" s="55"/>
      <c r="C182" s="56"/>
    </row>
    <row r="183" spans="1:3">
      <c r="A183" s="43"/>
      <c r="B183" s="55"/>
      <c r="C183" s="56"/>
    </row>
    <row r="184" spans="1:3">
      <c r="A184" s="43"/>
      <c r="B184" s="55"/>
      <c r="C184" s="56"/>
    </row>
    <row r="185" spans="1:3">
      <c r="A185" s="43"/>
      <c r="B185" s="55"/>
      <c r="C185" s="56"/>
    </row>
    <row r="186" spans="1:3">
      <c r="A186" s="43"/>
      <c r="B186" s="55"/>
      <c r="C186" s="56"/>
    </row>
    <row r="187" spans="1:3">
      <c r="A187" s="43"/>
      <c r="B187" s="55"/>
      <c r="C187" s="56"/>
    </row>
    <row r="188" spans="1:3">
      <c r="A188" s="43"/>
      <c r="B188" s="55"/>
      <c r="C188" s="56"/>
    </row>
    <row r="189" spans="1:3">
      <c r="A189" s="43"/>
      <c r="B189" s="55"/>
      <c r="C189" s="56"/>
    </row>
    <row r="190" spans="1:3">
      <c r="A190" s="43"/>
      <c r="B190" s="55"/>
      <c r="C190" s="56"/>
    </row>
    <row r="191" spans="1:3">
      <c r="A191" s="43"/>
      <c r="B191" s="55"/>
      <c r="C191" s="56"/>
    </row>
    <row r="192" spans="1:3">
      <c r="A192" s="43"/>
      <c r="B192" s="55"/>
      <c r="C192" s="56"/>
    </row>
    <row r="193" spans="1:3">
      <c r="A193" s="43"/>
      <c r="B193" s="55"/>
      <c r="C193" s="56"/>
    </row>
    <row r="194" spans="1:3">
      <c r="A194" s="43"/>
      <c r="B194" s="55"/>
      <c r="C194" s="56"/>
    </row>
    <row r="195" spans="1:3">
      <c r="A195" s="43"/>
      <c r="B195" s="55"/>
      <c r="C195" s="56"/>
    </row>
    <row r="196" spans="1:3">
      <c r="A196" s="43"/>
      <c r="B196" s="55"/>
      <c r="C196" s="56"/>
    </row>
    <row r="197" spans="1:3">
      <c r="A197" s="43"/>
      <c r="B197" s="55"/>
      <c r="C197" s="56"/>
    </row>
    <row r="198" spans="1:3">
      <c r="A198" s="43"/>
      <c r="B198" s="55"/>
      <c r="C198" s="56"/>
    </row>
    <row r="199" spans="1:3">
      <c r="A199" s="43"/>
      <c r="B199" s="55"/>
      <c r="C199" s="56"/>
    </row>
    <row r="200" spans="1:3">
      <c r="A200" s="43"/>
      <c r="B200" s="55"/>
      <c r="C200" s="56"/>
    </row>
    <row r="201" spans="1:3">
      <c r="A201" s="43"/>
      <c r="B201" s="55"/>
      <c r="C201" s="56"/>
    </row>
    <row r="202" spans="1:3">
      <c r="A202" s="43"/>
      <c r="B202" s="55"/>
      <c r="C202" s="56"/>
    </row>
    <row r="203" spans="1:3">
      <c r="A203" s="43"/>
      <c r="B203" s="55"/>
      <c r="C203" s="56"/>
    </row>
    <row r="204" spans="1:3">
      <c r="A204" s="43"/>
      <c r="B204" s="55"/>
      <c r="C204" s="56"/>
    </row>
    <row r="205" spans="1:3">
      <c r="A205" s="43"/>
      <c r="B205" s="55"/>
      <c r="C205" s="56"/>
    </row>
    <row r="206" spans="1:3">
      <c r="A206" s="43"/>
      <c r="B206" s="55"/>
      <c r="C206" s="56"/>
    </row>
    <row r="207" spans="1:3">
      <c r="A207" s="43"/>
      <c r="B207" s="55"/>
      <c r="C207" s="56"/>
    </row>
    <row r="208" spans="1:3">
      <c r="A208" s="43"/>
      <c r="B208" s="55"/>
      <c r="C208" s="56"/>
    </row>
    <row r="209" spans="1:3">
      <c r="A209" s="43"/>
      <c r="B209" s="55"/>
      <c r="C209" s="56"/>
    </row>
    <row r="210" spans="1:3">
      <c r="A210" s="43"/>
      <c r="B210" s="55"/>
      <c r="C210" s="56"/>
    </row>
    <row r="211" spans="1:3">
      <c r="A211" s="43"/>
      <c r="B211" s="55"/>
      <c r="C211" s="56"/>
    </row>
    <row r="212" spans="1:3">
      <c r="A212" s="43"/>
      <c r="B212" s="55"/>
      <c r="C212" s="56"/>
    </row>
    <row r="213" spans="1:3">
      <c r="A213" s="43"/>
      <c r="B213" s="55"/>
      <c r="C213" s="56"/>
    </row>
    <row r="214" spans="1:3">
      <c r="A214" s="43"/>
      <c r="B214" s="55"/>
      <c r="C214" s="56"/>
    </row>
    <row r="215" spans="1:3">
      <c r="A215" s="43"/>
      <c r="B215" s="55"/>
      <c r="C215" s="56"/>
    </row>
    <row r="216" spans="1:3">
      <c r="A216" s="43"/>
      <c r="B216" s="55"/>
      <c r="C216" s="56"/>
    </row>
    <row r="217" spans="1:3">
      <c r="A217" s="43"/>
      <c r="B217" s="55"/>
      <c r="C217" s="56"/>
    </row>
    <row r="218" spans="1:3">
      <c r="A218" s="43"/>
      <c r="B218" s="55"/>
      <c r="C218" s="56"/>
    </row>
    <row r="219" spans="1:3">
      <c r="A219" s="43"/>
      <c r="B219" s="55"/>
      <c r="C219" s="56"/>
    </row>
    <row r="220" spans="1:3">
      <c r="A220" s="43"/>
      <c r="B220" s="55"/>
      <c r="C220" s="56"/>
    </row>
    <row r="221" spans="1:3">
      <c r="A221" s="43"/>
      <c r="B221" s="55"/>
      <c r="C221" s="56"/>
    </row>
    <row r="222" spans="1:3">
      <c r="A222" s="43"/>
      <c r="B222" s="55"/>
      <c r="C222" s="56"/>
    </row>
    <row r="223" spans="1:3">
      <c r="A223" s="43"/>
      <c r="B223" s="55"/>
      <c r="C223" s="56"/>
    </row>
    <row r="224" spans="1:3">
      <c r="A224" s="43"/>
      <c r="B224" s="55"/>
      <c r="C224" s="56"/>
    </row>
    <row r="225" spans="1:3">
      <c r="A225" s="43"/>
      <c r="B225" s="55"/>
      <c r="C225" s="56"/>
    </row>
    <row r="226" spans="1:3">
      <c r="A226" s="43"/>
      <c r="B226" s="55"/>
      <c r="C226" s="56"/>
    </row>
    <row r="227" spans="1:3">
      <c r="A227" s="43"/>
      <c r="B227" s="55"/>
      <c r="C227" s="56"/>
    </row>
    <row r="228" spans="1:3">
      <c r="A228" s="43"/>
      <c r="B228" s="55"/>
      <c r="C228" s="56"/>
    </row>
    <row r="229" spans="1:3">
      <c r="A229" s="43"/>
      <c r="B229" s="55"/>
      <c r="C229" s="56"/>
    </row>
    <row r="230" spans="1:3">
      <c r="A230" s="43"/>
      <c r="B230" s="55"/>
      <c r="C230" s="56"/>
    </row>
    <row r="231" spans="1:3">
      <c r="A231" s="43"/>
      <c r="B231" s="55"/>
      <c r="C231" s="56"/>
    </row>
    <row r="232" spans="1:3">
      <c r="A232" s="43"/>
      <c r="B232" s="55"/>
      <c r="C232" s="56"/>
    </row>
    <row r="233" spans="1:3">
      <c r="A233" s="43"/>
      <c r="B233" s="55"/>
      <c r="C233" s="56"/>
    </row>
    <row r="234" spans="1:3">
      <c r="A234" s="43"/>
      <c r="B234" s="55"/>
      <c r="C234" s="56"/>
    </row>
    <row r="235" spans="1:3">
      <c r="A235" s="43"/>
      <c r="B235" s="55"/>
      <c r="C235" s="56"/>
    </row>
    <row r="236" spans="1:3">
      <c r="A236" s="43"/>
      <c r="B236" s="55"/>
      <c r="C236" s="56"/>
    </row>
    <row r="237" spans="1:3">
      <c r="A237" s="43"/>
      <c r="B237" s="55"/>
      <c r="C237" s="56"/>
    </row>
    <row r="238" spans="1:3">
      <c r="A238" s="43"/>
      <c r="B238" s="55"/>
      <c r="C238" s="56"/>
    </row>
    <row r="239" spans="1:3">
      <c r="A239" s="43"/>
      <c r="B239" s="55"/>
      <c r="C239" s="56"/>
    </row>
    <row r="240" spans="1:3">
      <c r="A240" s="43"/>
      <c r="B240" s="55"/>
      <c r="C240" s="56"/>
    </row>
    <row r="241" spans="1:3">
      <c r="A241" s="43"/>
      <c r="B241" s="55"/>
      <c r="C241" s="56"/>
    </row>
    <row r="242" spans="1:3">
      <c r="A242" s="43"/>
      <c r="B242" s="55"/>
      <c r="C242" s="56"/>
    </row>
    <row r="243" spans="1:3">
      <c r="A243" s="43"/>
      <c r="B243" s="55"/>
      <c r="C243" s="56"/>
    </row>
    <row r="244" spans="1:3">
      <c r="A244" s="43"/>
      <c r="B244" s="55"/>
      <c r="C244" s="56"/>
    </row>
    <row r="245" spans="1:3">
      <c r="A245" s="43"/>
      <c r="B245" s="55"/>
      <c r="C245" s="56"/>
    </row>
    <row r="246" spans="1:3">
      <c r="A246" s="43"/>
      <c r="B246" s="55"/>
      <c r="C246" s="56"/>
    </row>
    <row r="247" spans="1:3">
      <c r="A247" s="43"/>
      <c r="B247" s="55"/>
      <c r="C247" s="56"/>
    </row>
    <row r="248" spans="1:3">
      <c r="A248" s="43"/>
      <c r="B248" s="55"/>
      <c r="C248" s="56"/>
    </row>
    <row r="249" spans="1:3">
      <c r="A249" s="43"/>
      <c r="B249" s="55"/>
      <c r="C249" s="56"/>
    </row>
    <row r="250" spans="1:3">
      <c r="A250" s="43"/>
      <c r="B250" s="55"/>
      <c r="C250" s="56"/>
    </row>
    <row r="251" spans="1:3">
      <c r="A251" s="43"/>
      <c r="B251" s="55"/>
      <c r="C251" s="56"/>
    </row>
    <row r="252" spans="1:3">
      <c r="A252" s="43"/>
      <c r="B252" s="55"/>
      <c r="C252" s="56"/>
    </row>
    <row r="253" spans="1:3">
      <c r="A253" s="43"/>
      <c r="B253" s="55"/>
      <c r="C253" s="56"/>
    </row>
    <row r="254" spans="1:3">
      <c r="A254" s="43"/>
      <c r="B254" s="55"/>
      <c r="C254" s="56"/>
    </row>
    <row r="255" spans="1:3">
      <c r="A255" s="43"/>
      <c r="B255" s="55"/>
      <c r="C255" s="56"/>
    </row>
    <row r="256" spans="1:3">
      <c r="A256" s="43"/>
      <c r="B256" s="55"/>
      <c r="C256" s="56"/>
    </row>
    <row r="257" spans="1:3">
      <c r="A257" s="43"/>
      <c r="B257" s="55"/>
      <c r="C257" s="56"/>
    </row>
    <row r="258" spans="1:3">
      <c r="A258" s="43"/>
      <c r="B258" s="55"/>
      <c r="C258" s="56"/>
    </row>
    <row r="259" spans="1:3">
      <c r="A259" s="43"/>
      <c r="B259" s="55"/>
      <c r="C259" s="56"/>
    </row>
    <row r="260" spans="1:3">
      <c r="A260" s="43"/>
      <c r="B260" s="55"/>
      <c r="C260" s="56"/>
    </row>
    <row r="261" spans="1:3">
      <c r="A261" s="43"/>
      <c r="B261" s="55"/>
      <c r="C261" s="56"/>
    </row>
    <row r="262" spans="1:3">
      <c r="A262" s="43"/>
      <c r="B262" s="55"/>
      <c r="C262" s="56"/>
    </row>
    <row r="263" spans="1:3">
      <c r="A263" s="43"/>
      <c r="B263" s="55"/>
      <c r="C263" s="56"/>
    </row>
    <row r="264" spans="1:3">
      <c r="A264" s="43"/>
      <c r="B264" s="55"/>
      <c r="C264" s="56"/>
    </row>
    <row r="265" spans="1:3">
      <c r="A265" s="43"/>
      <c r="B265" s="55"/>
      <c r="C265" s="56"/>
    </row>
    <row r="266" spans="1:3">
      <c r="A266" s="43"/>
      <c r="B266" s="55"/>
      <c r="C266" s="56"/>
    </row>
    <row r="267" spans="1:3">
      <c r="A267" s="43"/>
      <c r="B267" s="55"/>
      <c r="C267" s="56"/>
    </row>
    <row r="268" spans="1:3">
      <c r="A268" s="43"/>
      <c r="B268" s="55"/>
      <c r="C268" s="56"/>
    </row>
    <row r="269" spans="1:3">
      <c r="A269" s="43"/>
      <c r="B269" s="55"/>
      <c r="C269" s="56"/>
    </row>
    <row r="270" spans="1:3">
      <c r="A270" s="43"/>
      <c r="B270" s="55"/>
      <c r="C270" s="56"/>
    </row>
    <row r="271" spans="1:3">
      <c r="A271" s="43"/>
      <c r="B271" s="55"/>
      <c r="C271" s="56"/>
    </row>
    <row r="272" spans="1:3">
      <c r="A272" s="43"/>
      <c r="B272" s="55"/>
      <c r="C272" s="56"/>
    </row>
    <row r="273" spans="1:3">
      <c r="A273" s="43"/>
      <c r="B273" s="55"/>
      <c r="C273" s="56"/>
    </row>
    <row r="274" spans="1:3">
      <c r="A274" s="43"/>
      <c r="B274" s="55"/>
      <c r="C274" s="56"/>
    </row>
    <row r="275" spans="1:3">
      <c r="A275" s="43"/>
      <c r="B275" s="55"/>
      <c r="C275" s="56"/>
    </row>
    <row r="276" spans="1:3">
      <c r="A276" s="43"/>
      <c r="B276" s="55"/>
      <c r="C276" s="56"/>
    </row>
    <row r="277" spans="1:3">
      <c r="A277" s="43"/>
      <c r="B277" s="55"/>
      <c r="C277" s="56"/>
    </row>
    <row r="278" spans="1:3">
      <c r="A278" s="43"/>
      <c r="B278" s="55"/>
      <c r="C278" s="56"/>
    </row>
    <row r="279" spans="1:3">
      <c r="A279" s="43"/>
      <c r="B279" s="55"/>
      <c r="C279" s="56"/>
    </row>
    <row r="280" spans="1:3">
      <c r="A280" s="43"/>
      <c r="B280" s="55"/>
      <c r="C280" s="56"/>
    </row>
    <row r="281" spans="1:3">
      <c r="A281" s="43"/>
      <c r="B281" s="55"/>
      <c r="C281" s="56"/>
    </row>
    <row r="282" spans="1:3">
      <c r="A282" s="43"/>
      <c r="B282" s="55"/>
      <c r="C282" s="56"/>
    </row>
    <row r="283" spans="1:3">
      <c r="A283" s="43"/>
      <c r="B283" s="55"/>
      <c r="C283" s="56"/>
    </row>
    <row r="284" spans="1:3">
      <c r="A284" s="43"/>
      <c r="B284" s="55"/>
      <c r="C284" s="56"/>
    </row>
    <row r="285" spans="1:3">
      <c r="A285" s="43"/>
      <c r="B285" s="55"/>
      <c r="C285" s="56"/>
    </row>
    <row r="286" spans="1:3">
      <c r="A286" s="43"/>
      <c r="B286" s="55"/>
      <c r="C286" s="56"/>
    </row>
    <row r="287" spans="1:3">
      <c r="A287" s="43"/>
      <c r="B287" s="55"/>
      <c r="C287" s="56"/>
    </row>
    <row r="288" spans="1:3">
      <c r="A288" s="43"/>
      <c r="B288" s="55"/>
      <c r="C288" s="56"/>
    </row>
    <row r="289" spans="1:3">
      <c r="A289" s="43"/>
      <c r="B289" s="55"/>
      <c r="C289" s="56"/>
    </row>
    <row r="290" spans="1:3">
      <c r="A290" s="43"/>
      <c r="B290" s="55"/>
      <c r="C290" s="56"/>
    </row>
    <row r="291" spans="1:3">
      <c r="A291" s="43"/>
      <c r="B291" s="55"/>
      <c r="C291" s="56"/>
    </row>
    <row r="292" spans="1:3">
      <c r="A292" s="43"/>
      <c r="B292" s="55"/>
      <c r="C292" s="56"/>
    </row>
    <row r="293" spans="1:3">
      <c r="A293" s="43"/>
      <c r="B293" s="55"/>
      <c r="C293" s="56"/>
    </row>
    <row r="294" spans="1:3">
      <c r="A294" s="43"/>
      <c r="B294" s="55"/>
      <c r="C294" s="56"/>
    </row>
    <row r="295" spans="1:3">
      <c r="A295" s="43"/>
      <c r="B295" s="55"/>
      <c r="C295" s="56"/>
    </row>
    <row r="296" spans="1:3">
      <c r="A296" s="43"/>
      <c r="B296" s="55"/>
      <c r="C296" s="56"/>
    </row>
    <row r="297" spans="1:3">
      <c r="A297" s="43"/>
      <c r="B297" s="55"/>
      <c r="C297" s="56"/>
    </row>
    <row r="298" spans="1:3">
      <c r="A298" s="43"/>
      <c r="B298" s="55"/>
      <c r="C298" s="56"/>
    </row>
    <row r="299" spans="1:3">
      <c r="A299" s="43"/>
      <c r="B299" s="55"/>
      <c r="C299" s="56"/>
    </row>
    <row r="300" spans="1:3">
      <c r="A300" s="43"/>
      <c r="B300" s="55"/>
      <c r="C300" s="56"/>
    </row>
    <row r="301" spans="1:3">
      <c r="A301" s="43"/>
      <c r="B301" s="55"/>
      <c r="C301" s="56"/>
    </row>
    <row r="302" spans="1:3">
      <c r="A302" s="43"/>
      <c r="B302" s="55"/>
      <c r="C302" s="56"/>
    </row>
    <row r="303" spans="1:3">
      <c r="A303" s="43"/>
      <c r="B303" s="55"/>
      <c r="C303" s="56"/>
    </row>
    <row r="304" spans="1:3">
      <c r="A304" s="43"/>
      <c r="B304" s="55"/>
      <c r="C304" s="56"/>
    </row>
    <row r="305" spans="1:3">
      <c r="A305" s="43"/>
      <c r="B305" s="55"/>
      <c r="C305" s="56"/>
    </row>
    <row r="306" spans="1:3">
      <c r="A306" s="43"/>
      <c r="B306" s="55"/>
      <c r="C306" s="56"/>
    </row>
    <row r="307" spans="1:3">
      <c r="A307" s="43"/>
      <c r="B307" s="55"/>
      <c r="C307" s="56"/>
    </row>
    <row r="308" spans="1:3">
      <c r="A308" s="43"/>
      <c r="B308" s="55"/>
      <c r="C308" s="56"/>
    </row>
    <row r="309" spans="1:3">
      <c r="A309" s="43"/>
      <c r="B309" s="55"/>
      <c r="C309" s="56"/>
    </row>
    <row r="310" spans="1:3">
      <c r="A310" s="43"/>
      <c r="B310" s="55"/>
      <c r="C310" s="56"/>
    </row>
    <row r="311" spans="1:3">
      <c r="A311" s="43"/>
      <c r="B311" s="55"/>
      <c r="C311" s="56"/>
    </row>
    <row r="312" spans="1:3">
      <c r="A312" s="43"/>
      <c r="B312" s="55"/>
      <c r="C312" s="56"/>
    </row>
    <row r="313" spans="1:3">
      <c r="A313" s="43"/>
      <c r="B313" s="55"/>
      <c r="C313" s="56"/>
    </row>
    <row r="314" spans="1:3">
      <c r="A314" s="43"/>
      <c r="B314" s="55"/>
      <c r="C314" s="56"/>
    </row>
    <row r="315" spans="1:3">
      <c r="A315" s="43"/>
      <c r="B315" s="55"/>
      <c r="C315" s="56"/>
    </row>
    <row r="316" spans="1:3">
      <c r="A316" s="43"/>
      <c r="B316" s="55"/>
      <c r="C316" s="56"/>
    </row>
    <row r="317" spans="1:3">
      <c r="A317" s="43"/>
      <c r="B317" s="55"/>
      <c r="C317" s="56"/>
    </row>
    <row r="318" spans="1:3">
      <c r="A318" s="43"/>
      <c r="B318" s="55"/>
      <c r="C318" s="56"/>
    </row>
    <row r="319" spans="1:3">
      <c r="A319" s="43"/>
      <c r="B319" s="55"/>
      <c r="C319" s="56"/>
    </row>
    <row r="320" spans="1:3">
      <c r="A320" s="43"/>
      <c r="B320" s="55"/>
      <c r="C320" s="56"/>
    </row>
    <row r="321" spans="1:3">
      <c r="A321" s="43"/>
      <c r="B321" s="55"/>
      <c r="C321" s="56"/>
    </row>
    <row r="322" spans="1:3">
      <c r="A322" s="43"/>
      <c r="B322" s="55"/>
      <c r="C322" s="56"/>
    </row>
    <row r="323" spans="1:3">
      <c r="A323" s="43"/>
      <c r="B323" s="55"/>
      <c r="C323" s="56"/>
    </row>
    <row r="324" spans="1:3">
      <c r="A324" s="43"/>
      <c r="B324" s="55"/>
      <c r="C324" s="56"/>
    </row>
    <row r="325" spans="1:3">
      <c r="A325" s="43"/>
      <c r="B325" s="55"/>
      <c r="C325" s="56"/>
    </row>
    <row r="326" spans="1:3">
      <c r="A326" s="43"/>
      <c r="B326" s="55"/>
      <c r="C326" s="56"/>
    </row>
    <row r="327" spans="1:3">
      <c r="A327" s="43"/>
      <c r="B327" s="55"/>
      <c r="C327" s="56"/>
    </row>
    <row r="328" spans="1:3">
      <c r="A328" s="43"/>
      <c r="B328" s="55"/>
      <c r="C328" s="56"/>
    </row>
    <row r="329" spans="1:3">
      <c r="A329" s="43"/>
      <c r="B329" s="55"/>
      <c r="C329" s="56"/>
    </row>
    <row r="330" spans="1:3">
      <c r="A330" s="43"/>
      <c r="B330" s="55"/>
      <c r="C330" s="56"/>
    </row>
    <row r="331" spans="1:3">
      <c r="A331" s="43"/>
      <c r="B331" s="55"/>
      <c r="C331" s="56"/>
    </row>
    <row r="332" spans="1:3">
      <c r="A332" s="43"/>
      <c r="B332" s="55"/>
      <c r="C332" s="56"/>
    </row>
    <row r="333" spans="1:3">
      <c r="A333" s="43"/>
      <c r="B333" s="55"/>
      <c r="C333" s="56"/>
    </row>
    <row r="334" spans="1:3">
      <c r="A334" s="43"/>
      <c r="B334" s="55"/>
      <c r="C334" s="56"/>
    </row>
    <row r="335" spans="1:3">
      <c r="A335" s="43"/>
      <c r="B335" s="55"/>
      <c r="C335" s="56"/>
    </row>
    <row r="336" spans="1:3">
      <c r="A336" s="43"/>
      <c r="B336" s="55"/>
      <c r="C336" s="56"/>
    </row>
    <row r="337" spans="1:3">
      <c r="A337" s="43"/>
      <c r="B337" s="55"/>
      <c r="C337" s="56"/>
    </row>
    <row r="338" spans="1:3">
      <c r="A338" s="43"/>
      <c r="B338" s="55"/>
      <c r="C338" s="56"/>
    </row>
    <row r="339" spans="1:3">
      <c r="A339" s="43"/>
      <c r="B339" s="55"/>
      <c r="C339" s="56"/>
    </row>
    <row r="340" spans="1:3">
      <c r="A340" s="43"/>
      <c r="B340" s="55"/>
      <c r="C340" s="56"/>
    </row>
    <row r="341" spans="1:3">
      <c r="A341" s="43"/>
      <c r="B341" s="55"/>
      <c r="C341" s="56"/>
    </row>
    <row r="342" spans="1:3">
      <c r="A342" s="43"/>
      <c r="B342" s="55"/>
      <c r="C342" s="56"/>
    </row>
    <row r="343" spans="1:3">
      <c r="A343" s="43"/>
      <c r="B343" s="55"/>
      <c r="C343" s="56"/>
    </row>
    <row r="344" spans="1:3">
      <c r="A344" s="43"/>
      <c r="B344" s="55"/>
      <c r="C344" s="56"/>
    </row>
    <row r="345" spans="1:3">
      <c r="A345" s="43"/>
      <c r="B345" s="55"/>
      <c r="C345" s="56"/>
    </row>
    <row r="346" spans="1:3">
      <c r="A346" s="43"/>
      <c r="B346" s="55"/>
      <c r="C346" s="56"/>
    </row>
    <row r="347" spans="1:3">
      <c r="A347" s="43"/>
      <c r="B347" s="55"/>
      <c r="C347" s="56"/>
    </row>
    <row r="348" spans="1:3">
      <c r="A348" s="43"/>
      <c r="B348" s="55"/>
      <c r="C348" s="56"/>
    </row>
    <row r="349" spans="1:3">
      <c r="A349" s="43"/>
      <c r="B349" s="55"/>
      <c r="C349" s="56"/>
    </row>
    <row r="350" spans="1:3">
      <c r="A350" s="43"/>
      <c r="B350" s="55"/>
      <c r="C350" s="56"/>
    </row>
    <row r="351" spans="1:3">
      <c r="A351" s="43"/>
      <c r="B351" s="55"/>
      <c r="C351" s="56"/>
    </row>
    <row r="352" spans="1:3">
      <c r="A352" s="43"/>
      <c r="B352" s="55"/>
      <c r="C352" s="56"/>
    </row>
    <row r="353" spans="1:3">
      <c r="A353" s="43"/>
      <c r="B353" s="55"/>
      <c r="C353" s="56"/>
    </row>
    <row r="354" spans="1:3">
      <c r="A354" s="43"/>
      <c r="B354" s="55"/>
      <c r="C354" s="56"/>
    </row>
    <row r="355" spans="1:3">
      <c r="A355" s="43"/>
      <c r="B355" s="55"/>
      <c r="C355" s="56"/>
    </row>
    <row r="356" spans="1:3">
      <c r="A356" s="43"/>
      <c r="B356" s="55"/>
      <c r="C356" s="56"/>
    </row>
    <row r="357" spans="1:3">
      <c r="A357" s="43"/>
      <c r="B357" s="55"/>
      <c r="C357" s="56"/>
    </row>
    <row r="358" spans="1:3">
      <c r="A358" s="43"/>
      <c r="B358" s="55"/>
      <c r="C358" s="56"/>
    </row>
    <row r="359" spans="1:3">
      <c r="A359" s="43"/>
      <c r="B359" s="55"/>
      <c r="C359" s="56"/>
    </row>
    <row r="360" spans="1:3">
      <c r="A360" s="43"/>
      <c r="B360" s="55"/>
      <c r="C360" s="56"/>
    </row>
    <row r="361" spans="1:3">
      <c r="A361" s="43"/>
      <c r="B361" s="55"/>
      <c r="C361" s="56"/>
    </row>
    <row r="362" spans="1:3">
      <c r="A362" s="43"/>
      <c r="B362" s="55"/>
      <c r="C362" s="56"/>
    </row>
    <row r="363" spans="1:3">
      <c r="A363" s="43"/>
      <c r="B363" s="55"/>
      <c r="C363" s="56"/>
    </row>
    <row r="364" spans="1:3">
      <c r="A364" s="43"/>
      <c r="B364" s="55"/>
      <c r="C364" s="56"/>
    </row>
    <row r="365" spans="1:3">
      <c r="A365" s="43"/>
      <c r="B365" s="55"/>
      <c r="C365" s="56"/>
    </row>
    <row r="366" spans="1:3">
      <c r="A366" s="43"/>
      <c r="B366" s="55"/>
      <c r="C366" s="56"/>
    </row>
    <row r="367" spans="1:3">
      <c r="A367" s="43"/>
      <c r="B367" s="55"/>
      <c r="C367" s="56"/>
    </row>
    <row r="368" spans="1:3">
      <c r="A368" s="43"/>
      <c r="B368" s="55"/>
      <c r="C368" s="56"/>
    </row>
    <row r="369" spans="1:3">
      <c r="A369" s="43"/>
      <c r="B369" s="55"/>
      <c r="C369" s="56"/>
    </row>
    <row r="370" spans="1:3">
      <c r="A370" s="43"/>
      <c r="B370" s="55"/>
      <c r="C370" s="56"/>
    </row>
    <row r="371" spans="1:3">
      <c r="A371" s="43"/>
      <c r="B371" s="55"/>
      <c r="C371" s="56"/>
    </row>
    <row r="372" spans="1:3">
      <c r="A372" s="43"/>
      <c r="B372" s="55"/>
      <c r="C372" s="56"/>
    </row>
    <row r="373" spans="1:3">
      <c r="A373" s="43"/>
      <c r="B373" s="55"/>
      <c r="C373" s="56"/>
    </row>
    <row r="374" spans="1:3">
      <c r="A374" s="43"/>
      <c r="B374" s="55"/>
      <c r="C374" s="56"/>
    </row>
    <row r="375" spans="1:3">
      <c r="A375" s="43"/>
      <c r="B375" s="55"/>
      <c r="C375" s="56"/>
    </row>
    <row r="376" spans="1:3">
      <c r="A376" s="43"/>
      <c r="B376" s="55"/>
      <c r="C376" s="56"/>
    </row>
    <row r="377" spans="1:3">
      <c r="A377" s="43"/>
      <c r="B377" s="55"/>
      <c r="C377" s="56"/>
    </row>
    <row r="378" spans="1:3">
      <c r="A378" s="43"/>
      <c r="B378" s="55"/>
      <c r="C378" s="56"/>
    </row>
    <row r="379" spans="1:3">
      <c r="A379" s="43"/>
      <c r="B379" s="55"/>
      <c r="C379" s="56"/>
    </row>
    <row r="380" spans="1:3">
      <c r="A380" s="43"/>
      <c r="B380" s="55"/>
      <c r="C380" s="56"/>
    </row>
    <row r="381" spans="1:3">
      <c r="A381" s="43"/>
      <c r="B381" s="55"/>
      <c r="C381" s="56"/>
    </row>
    <row r="382" spans="1:3">
      <c r="A382" s="43"/>
      <c r="B382" s="55"/>
      <c r="C382" s="56"/>
    </row>
    <row r="383" spans="1:3">
      <c r="A383" s="43"/>
      <c r="B383" s="55"/>
      <c r="C383" s="56"/>
    </row>
    <row r="384" spans="1:3">
      <c r="A384" s="43"/>
      <c r="B384" s="55"/>
      <c r="C384" s="56"/>
    </row>
    <row r="385" spans="1:3">
      <c r="A385" s="43"/>
      <c r="B385" s="55"/>
      <c r="C385" s="56"/>
    </row>
    <row r="386" spans="1:3">
      <c r="A386" s="43"/>
      <c r="B386" s="55"/>
      <c r="C386" s="56"/>
    </row>
    <row r="387" spans="1:3">
      <c r="A387" s="43"/>
      <c r="B387" s="55"/>
      <c r="C387" s="56"/>
    </row>
    <row r="388" spans="1:3">
      <c r="A388" s="43"/>
      <c r="B388" s="55"/>
      <c r="C388" s="56"/>
    </row>
    <row r="389" spans="1:3">
      <c r="A389" s="43"/>
      <c r="B389" s="55"/>
      <c r="C389" s="56"/>
    </row>
    <row r="390" spans="1:3">
      <c r="A390" s="43"/>
      <c r="B390" s="55"/>
      <c r="C390" s="56"/>
    </row>
    <row r="391" spans="1:3">
      <c r="A391" s="43"/>
      <c r="B391" s="55"/>
      <c r="C391" s="56"/>
    </row>
    <row r="392" spans="1:3">
      <c r="A392" s="43"/>
      <c r="B392" s="55"/>
      <c r="C392" s="56"/>
    </row>
    <row r="393" spans="1:3">
      <c r="A393" s="43"/>
      <c r="B393" s="55"/>
      <c r="C393" s="56"/>
    </row>
    <row r="394" spans="1:3">
      <c r="A394" s="43"/>
      <c r="B394" s="55"/>
      <c r="C394" s="56"/>
    </row>
    <row r="395" spans="1:3">
      <c r="A395" s="43"/>
      <c r="B395" s="55"/>
      <c r="C395" s="56"/>
    </row>
    <row r="396" spans="1:3">
      <c r="A396" s="43"/>
      <c r="B396" s="55"/>
      <c r="C396" s="56"/>
    </row>
    <row r="397" spans="1:3">
      <c r="A397" s="43"/>
      <c r="B397" s="55"/>
      <c r="C397" s="56"/>
    </row>
    <row r="398" spans="1:3">
      <c r="A398" s="43"/>
      <c r="B398" s="55"/>
      <c r="C398" s="56"/>
    </row>
    <row r="399" spans="1:3">
      <c r="A399" s="43"/>
      <c r="B399" s="55"/>
      <c r="C399" s="56"/>
    </row>
    <row r="400" spans="1:3">
      <c r="A400" s="43"/>
      <c r="B400" s="55"/>
      <c r="C400" s="56"/>
    </row>
    <row r="401" spans="1:3">
      <c r="A401" s="43"/>
      <c r="B401" s="55"/>
      <c r="C401" s="56"/>
    </row>
    <row r="402" spans="1:3">
      <c r="A402" s="43"/>
      <c r="B402" s="55"/>
      <c r="C402" s="56"/>
    </row>
    <row r="403" spans="1:3">
      <c r="A403" s="43"/>
      <c r="B403" s="55"/>
      <c r="C403" s="56"/>
    </row>
    <row r="404" spans="1:3">
      <c r="A404" s="43"/>
      <c r="B404" s="55"/>
      <c r="C404" s="56"/>
    </row>
    <row r="405" spans="1:3">
      <c r="A405" s="43"/>
      <c r="B405" s="55"/>
      <c r="C405" s="56"/>
    </row>
    <row r="406" spans="1:3">
      <c r="A406" s="43"/>
      <c r="B406" s="55"/>
      <c r="C406" s="56"/>
    </row>
    <row r="407" spans="1:3">
      <c r="A407" s="43"/>
      <c r="B407" s="55"/>
      <c r="C407" s="56"/>
    </row>
    <row r="408" spans="1:3">
      <c r="A408" s="43"/>
      <c r="B408" s="55"/>
      <c r="C408" s="56"/>
    </row>
    <row r="409" spans="1:3">
      <c r="A409" s="43"/>
      <c r="B409" s="55"/>
      <c r="C409" s="56"/>
    </row>
    <row r="410" spans="1:3">
      <c r="A410" s="43"/>
      <c r="B410" s="55"/>
      <c r="C410" s="56"/>
    </row>
    <row r="411" spans="1:3">
      <c r="A411" s="43"/>
      <c r="B411" s="55"/>
      <c r="C411" s="56"/>
    </row>
    <row r="412" spans="1:3">
      <c r="A412" s="43"/>
      <c r="B412" s="55"/>
      <c r="C412" s="56"/>
    </row>
    <row r="413" spans="1:3">
      <c r="A413" s="43"/>
      <c r="B413" s="55"/>
      <c r="C413" s="56"/>
    </row>
    <row r="414" spans="1:3">
      <c r="A414" s="43"/>
      <c r="B414" s="55"/>
      <c r="C414" s="56"/>
    </row>
    <row r="415" spans="1:3">
      <c r="A415" s="43"/>
      <c r="B415" s="55"/>
      <c r="C415" s="56"/>
    </row>
    <row r="416" spans="1:3">
      <c r="A416" s="43"/>
      <c r="B416" s="55"/>
      <c r="C416" s="56"/>
    </row>
    <row r="417" spans="1:3">
      <c r="A417" s="43"/>
      <c r="B417" s="55"/>
      <c r="C417" s="56"/>
    </row>
    <row r="418" spans="1:3">
      <c r="A418" s="43"/>
      <c r="B418" s="55"/>
      <c r="C418" s="56"/>
    </row>
    <row r="419" spans="1:3">
      <c r="A419" s="43"/>
      <c r="B419" s="55"/>
      <c r="C419" s="56"/>
    </row>
    <row r="420" spans="1:3">
      <c r="A420" s="43"/>
      <c r="B420" s="55"/>
      <c r="C420" s="56"/>
    </row>
    <row r="421" spans="1:3">
      <c r="A421" s="43"/>
      <c r="B421" s="55"/>
      <c r="C421" s="56"/>
    </row>
    <row r="422" spans="1:3">
      <c r="A422" s="43"/>
      <c r="B422" s="55"/>
      <c r="C422" s="56"/>
    </row>
    <row r="423" spans="1:3">
      <c r="A423" s="43"/>
      <c r="B423" s="55"/>
      <c r="C423" s="56"/>
    </row>
    <row r="424" spans="1:3">
      <c r="A424" s="43"/>
      <c r="B424" s="55"/>
      <c r="C424" s="56"/>
    </row>
    <row r="425" spans="1:3">
      <c r="A425" s="43"/>
      <c r="B425" s="55"/>
      <c r="C425" s="56"/>
    </row>
    <row r="426" spans="1:3">
      <c r="A426" s="43"/>
      <c r="B426" s="55"/>
      <c r="C426" s="56"/>
    </row>
    <row r="427" spans="1:3">
      <c r="A427" s="43"/>
      <c r="B427" s="55"/>
      <c r="C427" s="56"/>
    </row>
    <row r="428" spans="1:3">
      <c r="A428" s="43"/>
      <c r="B428" s="55"/>
      <c r="C428" s="56"/>
    </row>
    <row r="429" spans="1:3">
      <c r="A429" s="43"/>
      <c r="B429" s="55"/>
      <c r="C429" s="56"/>
    </row>
    <row r="430" spans="1:3">
      <c r="A430" s="43"/>
      <c r="B430" s="55"/>
      <c r="C430" s="56"/>
    </row>
    <row r="431" spans="1:3">
      <c r="A431" s="43"/>
      <c r="B431" s="55"/>
      <c r="C431" s="56"/>
    </row>
    <row r="432" spans="1:3">
      <c r="A432" s="43"/>
      <c r="B432" s="55"/>
      <c r="C432" s="56"/>
    </row>
    <row r="433" spans="1:3">
      <c r="A433" s="43"/>
      <c r="B433" s="55"/>
      <c r="C433" s="56"/>
    </row>
    <row r="434" spans="1:3">
      <c r="A434" s="43"/>
      <c r="B434" s="55"/>
      <c r="C434" s="56"/>
    </row>
    <row r="435" spans="1:3">
      <c r="A435" s="43"/>
      <c r="B435" s="55"/>
      <c r="C435" s="56"/>
    </row>
    <row r="436" spans="1:3">
      <c r="A436" s="43"/>
      <c r="B436" s="55"/>
      <c r="C436" s="56"/>
    </row>
    <row r="437" spans="1:3">
      <c r="A437" s="43"/>
      <c r="B437" s="55"/>
      <c r="C437" s="56"/>
    </row>
    <row r="438" spans="1:3">
      <c r="A438" s="43"/>
      <c r="B438" s="55"/>
      <c r="C438" s="56"/>
    </row>
    <row r="439" spans="1:3">
      <c r="A439" s="43"/>
      <c r="B439" s="55"/>
      <c r="C439" s="56"/>
    </row>
    <row r="440" spans="1:3">
      <c r="A440" s="43"/>
      <c r="B440" s="55"/>
      <c r="C440" s="56"/>
    </row>
    <row r="441" spans="1:3">
      <c r="A441" s="43"/>
      <c r="B441" s="55"/>
      <c r="C441" s="56"/>
    </row>
    <row r="442" spans="1:3">
      <c r="A442" s="43"/>
      <c r="B442" s="55"/>
      <c r="C442" s="56"/>
    </row>
    <row r="443" spans="1:3">
      <c r="A443" s="43"/>
      <c r="B443" s="55"/>
      <c r="C443" s="56"/>
    </row>
    <row r="444" spans="1:3">
      <c r="A444" s="43"/>
      <c r="B444" s="55"/>
      <c r="C444" s="56"/>
    </row>
    <row r="445" spans="1:3">
      <c r="A445" s="43"/>
      <c r="B445" s="55"/>
      <c r="C445" s="56"/>
    </row>
    <row r="446" spans="1:3">
      <c r="A446" s="43"/>
      <c r="B446" s="55"/>
      <c r="C446" s="56"/>
    </row>
    <row r="447" spans="1:3">
      <c r="A447" s="43"/>
      <c r="B447" s="55"/>
      <c r="C447" s="56"/>
    </row>
    <row r="448" spans="1:3">
      <c r="A448" s="43"/>
      <c r="B448" s="55"/>
      <c r="C448" s="56"/>
    </row>
    <row r="449" spans="1:3">
      <c r="A449" s="43"/>
      <c r="B449" s="55"/>
      <c r="C449" s="56"/>
    </row>
    <row r="450" spans="1:3">
      <c r="A450" s="43"/>
      <c r="B450" s="55"/>
      <c r="C450" s="56"/>
    </row>
    <row r="451" spans="1:3">
      <c r="A451" s="43"/>
      <c r="B451" s="55"/>
      <c r="C451" s="56"/>
    </row>
    <row r="452" spans="1:3">
      <c r="A452" s="43"/>
      <c r="B452" s="55"/>
      <c r="C452" s="56"/>
    </row>
    <row r="453" spans="1:3">
      <c r="A453" s="43"/>
      <c r="B453" s="55"/>
      <c r="C453" s="56"/>
    </row>
    <row r="454" spans="1:3">
      <c r="A454" s="43"/>
      <c r="B454" s="55"/>
      <c r="C454" s="56"/>
    </row>
    <row r="455" spans="1:3">
      <c r="A455" s="43"/>
      <c r="B455" s="55"/>
      <c r="C455" s="56"/>
    </row>
    <row r="456" spans="1:3">
      <c r="A456" s="43"/>
      <c r="B456" s="55"/>
      <c r="C456" s="56"/>
    </row>
    <row r="457" spans="1:3">
      <c r="A457" s="43"/>
      <c r="B457" s="55"/>
      <c r="C457" s="56"/>
    </row>
    <row r="458" spans="1:3">
      <c r="A458" s="43"/>
      <c r="B458" s="55"/>
      <c r="C458" s="56"/>
    </row>
    <row r="459" spans="1:3">
      <c r="A459" s="43"/>
      <c r="B459" s="55"/>
      <c r="C459" s="56"/>
    </row>
    <row r="460" spans="1:3">
      <c r="A460" s="43"/>
      <c r="B460" s="55"/>
      <c r="C460" s="56"/>
    </row>
    <row r="461" spans="1:3">
      <c r="A461" s="43"/>
      <c r="B461" s="55"/>
      <c r="C461" s="56"/>
    </row>
    <row r="462" spans="1:3">
      <c r="A462" s="43"/>
      <c r="B462" s="55"/>
      <c r="C462" s="56"/>
    </row>
    <row r="463" spans="1:3">
      <c r="A463" s="43"/>
      <c r="B463" s="55"/>
      <c r="C463" s="56"/>
    </row>
    <row r="464" spans="1:3">
      <c r="A464" s="43"/>
      <c r="B464" s="55"/>
      <c r="C464" s="56"/>
    </row>
    <row r="465" spans="1:3">
      <c r="A465" s="43"/>
      <c r="B465" s="55"/>
      <c r="C465" s="56"/>
    </row>
    <row r="466" spans="1:3">
      <c r="A466" s="43"/>
      <c r="B466" s="55"/>
      <c r="C466" s="56"/>
    </row>
    <row r="467" spans="1:3">
      <c r="A467" s="43"/>
      <c r="B467" s="55"/>
      <c r="C467" s="56"/>
    </row>
    <row r="468" spans="1:3">
      <c r="A468" s="43"/>
      <c r="B468" s="55"/>
      <c r="C468" s="56"/>
    </row>
    <row r="469" spans="1:3">
      <c r="A469" s="43"/>
      <c r="B469" s="55"/>
      <c r="C469" s="56"/>
    </row>
    <row r="470" spans="1:3">
      <c r="A470" s="43"/>
      <c r="B470" s="55"/>
      <c r="C470" s="56"/>
    </row>
    <row r="471" spans="1:3">
      <c r="A471" s="43"/>
      <c r="B471" s="55"/>
      <c r="C471" s="56"/>
    </row>
    <row r="472" spans="1:3">
      <c r="A472" s="43"/>
      <c r="B472" s="55"/>
      <c r="C472" s="56"/>
    </row>
    <row r="473" spans="1:3">
      <c r="A473" s="43"/>
      <c r="B473" s="55"/>
      <c r="C473" s="56"/>
    </row>
    <row r="474" spans="1:3">
      <c r="A474" s="43"/>
      <c r="B474" s="55"/>
      <c r="C474" s="56"/>
    </row>
    <row r="475" spans="1:3">
      <c r="A475" s="43"/>
      <c r="B475" s="55"/>
      <c r="C475" s="56"/>
    </row>
    <row r="476" spans="1:3">
      <c r="A476" s="43"/>
      <c r="B476" s="55"/>
      <c r="C476" s="56"/>
    </row>
    <row r="477" spans="1:3">
      <c r="A477" s="43"/>
      <c r="B477" s="55"/>
      <c r="C477" s="56"/>
    </row>
    <row r="478" spans="1:3">
      <c r="A478" s="43"/>
      <c r="B478" s="55"/>
      <c r="C478" s="56"/>
    </row>
    <row r="479" spans="1:3">
      <c r="A479" s="43"/>
      <c r="B479" s="55"/>
      <c r="C479" s="56"/>
    </row>
    <row r="480" spans="1:3">
      <c r="A480" s="43"/>
      <c r="B480" s="55"/>
      <c r="C480" s="56"/>
    </row>
    <row r="481" spans="1:3">
      <c r="A481" s="43"/>
      <c r="B481" s="55"/>
      <c r="C481" s="56"/>
    </row>
    <row r="482" spans="1:3">
      <c r="A482" s="43"/>
      <c r="B482" s="55"/>
      <c r="C482" s="56"/>
    </row>
    <row r="483" spans="1:3">
      <c r="A483" s="43"/>
      <c r="B483" s="55"/>
      <c r="C483" s="56"/>
    </row>
    <row r="484" spans="1:3">
      <c r="A484" s="43"/>
      <c r="B484" s="55"/>
      <c r="C484" s="56"/>
    </row>
    <row r="485" spans="1:3">
      <c r="A485" s="43"/>
      <c r="B485" s="55"/>
      <c r="C485" s="56"/>
    </row>
    <row r="486" spans="1:3">
      <c r="A486" s="43"/>
      <c r="B486" s="55"/>
      <c r="C486" s="56"/>
    </row>
    <row r="487" spans="1:3">
      <c r="A487" s="43"/>
      <c r="B487" s="55"/>
      <c r="C487" s="56"/>
    </row>
    <row r="488" spans="1:3">
      <c r="A488" s="43"/>
      <c r="B488" s="55"/>
      <c r="C488" s="56"/>
    </row>
    <row r="489" spans="1:3">
      <c r="A489" s="43"/>
      <c r="B489" s="55"/>
      <c r="C489" s="56"/>
    </row>
    <row r="490" spans="1:3">
      <c r="A490" s="43"/>
      <c r="B490" s="55"/>
      <c r="C490" s="56"/>
    </row>
    <row r="491" spans="1:3">
      <c r="A491" s="43"/>
      <c r="B491" s="55"/>
      <c r="C491" s="56"/>
    </row>
    <row r="492" spans="1:3">
      <c r="A492" s="43"/>
      <c r="B492" s="55"/>
      <c r="C492" s="56"/>
    </row>
    <row r="493" spans="1:3">
      <c r="A493" s="43"/>
      <c r="B493" s="55"/>
      <c r="C493" s="56"/>
    </row>
    <row r="494" spans="1:3">
      <c r="A494" s="43"/>
      <c r="B494" s="55"/>
      <c r="C494" s="56"/>
    </row>
    <row r="495" spans="1:3">
      <c r="A495" s="43"/>
      <c r="B495" s="55"/>
      <c r="C495" s="56"/>
    </row>
    <row r="496" spans="1:3">
      <c r="A496" s="43"/>
      <c r="B496" s="55"/>
      <c r="C496" s="56"/>
    </row>
    <row r="497" spans="1:3">
      <c r="A497" s="43"/>
      <c r="B497" s="55"/>
      <c r="C497" s="56"/>
    </row>
    <row r="498" spans="1:3">
      <c r="A498" s="43"/>
      <c r="B498" s="55"/>
      <c r="C498" s="56"/>
    </row>
    <row r="499" spans="1:3">
      <c r="A499" s="43"/>
      <c r="B499" s="55"/>
      <c r="C499" s="56"/>
    </row>
    <row r="500" spans="1:3">
      <c r="A500" s="43"/>
      <c r="B500" s="55"/>
      <c r="C500" s="56"/>
    </row>
    <row r="501" spans="1:3">
      <c r="A501" s="43"/>
      <c r="B501" s="55"/>
      <c r="C501" s="56"/>
    </row>
    <row r="502" spans="1:3">
      <c r="A502" s="43"/>
      <c r="B502" s="55"/>
      <c r="C502" s="56"/>
    </row>
    <row r="503" spans="1:3">
      <c r="A503" s="43"/>
      <c r="B503" s="55"/>
      <c r="C503" s="56"/>
    </row>
    <row r="504" spans="1:3">
      <c r="A504" s="43"/>
      <c r="B504" s="55"/>
      <c r="C504" s="56"/>
    </row>
    <row r="505" spans="1:3">
      <c r="A505" s="43"/>
      <c r="B505" s="55"/>
      <c r="C505" s="56"/>
    </row>
    <row r="506" spans="1:3">
      <c r="A506" s="43"/>
      <c r="B506" s="55"/>
      <c r="C506" s="56"/>
    </row>
    <row r="507" spans="1:3">
      <c r="A507" s="43"/>
      <c r="B507" s="55"/>
      <c r="C507" s="56"/>
    </row>
    <row r="508" spans="1:3">
      <c r="A508" s="43"/>
      <c r="B508" s="55"/>
      <c r="C508" s="56"/>
    </row>
    <row r="509" spans="1:3">
      <c r="A509" s="43"/>
      <c r="B509" s="55"/>
      <c r="C509" s="56"/>
    </row>
    <row r="510" spans="1:3">
      <c r="A510" s="43"/>
      <c r="B510" s="55"/>
      <c r="C510" s="56"/>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7A06-43D5-4D7D-990B-F73C9100F240}">
  <dimension ref="A1:S510"/>
  <sheetViews>
    <sheetView workbookViewId="0">
      <selection activeCell="U3" sqref="U3"/>
    </sheetView>
  </sheetViews>
  <sheetFormatPr defaultColWidth="9.1328125" defaultRowHeight="14.25"/>
  <cols>
    <col min="1" max="1" width="14.6640625" style="24" customWidth="1"/>
    <col min="2" max="3" width="9.1328125" style="94"/>
    <col min="4" max="4" width="14" customWidth="1"/>
    <col min="5" max="5" width="11.86328125" style="5" customWidth="1"/>
    <col min="18" max="18" width="12.46484375" customWidth="1"/>
  </cols>
  <sheetData>
    <row r="1" spans="1:19" s="42" customFormat="1">
      <c r="A1" s="22" t="s">
        <v>0</v>
      </c>
      <c r="B1" s="69" t="s">
        <v>81</v>
      </c>
      <c r="C1" s="69" t="s">
        <v>82</v>
      </c>
      <c r="D1" s="22" t="s">
        <v>83</v>
      </c>
      <c r="E1" s="46" t="s">
        <v>84</v>
      </c>
    </row>
    <row r="2" spans="1:19">
      <c r="A2" s="43" t="s">
        <v>80</v>
      </c>
      <c r="B2" s="55">
        <v>1.2709999999999999</v>
      </c>
      <c r="C2" s="56">
        <v>-1.6999999999999999E-3</v>
      </c>
      <c r="D2" s="24">
        <v>53.667999999999999</v>
      </c>
      <c r="Q2" s="23"/>
      <c r="R2" s="24"/>
      <c r="S2" s="24"/>
    </row>
    <row r="3" spans="1:19">
      <c r="A3" s="43" t="s">
        <v>79</v>
      </c>
      <c r="B3" s="55">
        <v>1.4850000000000001</v>
      </c>
      <c r="C3" s="56">
        <v>1.6999999999999999E-3</v>
      </c>
      <c r="D3" s="24">
        <v>57.338000000000001</v>
      </c>
      <c r="E3" s="5">
        <f>(D3-D2)/D2</f>
        <v>6.8383394201386338E-2</v>
      </c>
      <c r="Q3" s="23"/>
      <c r="R3" s="24"/>
      <c r="S3" s="24"/>
    </row>
    <row r="4" spans="1:19">
      <c r="A4" s="43" t="s">
        <v>78</v>
      </c>
      <c r="B4" s="55">
        <v>1.3383</v>
      </c>
      <c r="C4" s="56">
        <v>1.04E-2</v>
      </c>
      <c r="D4" s="24">
        <v>54.44</v>
      </c>
      <c r="E4" s="5">
        <f t="shared" ref="E4:E42" si="0">(D4-D3)/D3</f>
        <v>-5.0542397711814208E-2</v>
      </c>
      <c r="Q4" s="23"/>
      <c r="R4" s="24"/>
      <c r="S4" s="24"/>
    </row>
    <row r="5" spans="1:19">
      <c r="A5" s="43" t="s">
        <v>77</v>
      </c>
      <c r="B5" s="55">
        <v>1.2587999999999999</v>
      </c>
      <c r="C5" s="56">
        <v>1.2999999999999999E-3</v>
      </c>
      <c r="D5" s="24">
        <v>52.527000000000001</v>
      </c>
      <c r="E5" s="5">
        <f t="shared" si="0"/>
        <v>-3.5139603232916913E-2</v>
      </c>
      <c r="Q5" s="23"/>
      <c r="R5" s="24"/>
      <c r="S5" s="24"/>
    </row>
    <row r="6" spans="1:19">
      <c r="A6" s="43" t="s">
        <v>76</v>
      </c>
      <c r="B6" s="55">
        <v>1.087</v>
      </c>
      <c r="C6" s="56">
        <v>-2.9999999999999997E-4</v>
      </c>
      <c r="D6" s="24">
        <v>52.481999999999999</v>
      </c>
      <c r="E6" s="5">
        <f t="shared" si="0"/>
        <v>-8.5670226740536682E-4</v>
      </c>
      <c r="Q6" s="23"/>
      <c r="R6" s="24"/>
      <c r="S6" s="24"/>
    </row>
    <row r="7" spans="1:19">
      <c r="A7" s="43" t="s">
        <v>75</v>
      </c>
      <c r="B7" s="55">
        <v>1.1382000000000001</v>
      </c>
      <c r="C7" s="56">
        <v>-2.8E-3</v>
      </c>
      <c r="D7" s="24">
        <v>46.466000000000001</v>
      </c>
      <c r="E7" s="5">
        <f t="shared" si="0"/>
        <v>-0.11462977782858881</v>
      </c>
      <c r="Q7" s="23"/>
      <c r="R7" s="24"/>
      <c r="S7" s="24"/>
    </row>
    <row r="8" spans="1:19">
      <c r="A8" s="43" t="s">
        <v>74</v>
      </c>
      <c r="B8" s="55">
        <v>1.1326000000000001</v>
      </c>
      <c r="C8" s="56">
        <v>-1.5100000000000001E-2</v>
      </c>
      <c r="D8" s="24">
        <v>50.435000000000002</v>
      </c>
      <c r="E8" s="5">
        <f t="shared" si="0"/>
        <v>8.5417294365772847E-2</v>
      </c>
      <c r="Q8" s="23"/>
      <c r="R8" s="24"/>
      <c r="S8" s="24"/>
    </row>
    <row r="9" spans="1:19">
      <c r="A9" s="43" t="s">
        <v>73</v>
      </c>
      <c r="B9" s="55">
        <v>1.1071</v>
      </c>
      <c r="C9" s="56">
        <v>5.0000000000000001E-4</v>
      </c>
      <c r="D9" s="24">
        <v>57.603999999999999</v>
      </c>
      <c r="E9" s="5">
        <f t="shared" si="0"/>
        <v>0.14214335283037566</v>
      </c>
      <c r="Q9" s="23"/>
      <c r="R9" s="24"/>
      <c r="S9" s="24"/>
    </row>
    <row r="10" spans="1:19">
      <c r="A10" s="43" t="s">
        <v>72</v>
      </c>
      <c r="B10" s="55">
        <v>1.1684000000000001</v>
      </c>
      <c r="C10" s="56">
        <v>-1.0800000000000001E-2</v>
      </c>
      <c r="D10" s="24">
        <v>63.585000000000001</v>
      </c>
      <c r="E10" s="5">
        <f t="shared" si="0"/>
        <v>0.10382959516700233</v>
      </c>
      <c r="Q10" s="23"/>
      <c r="R10" s="24"/>
      <c r="S10" s="24"/>
    </row>
    <row r="11" spans="1:19">
      <c r="A11" s="43" t="s">
        <v>71</v>
      </c>
      <c r="B11" s="55">
        <v>1.099</v>
      </c>
      <c r="C11" s="56">
        <v>-2.5399999999999999E-2</v>
      </c>
      <c r="D11" s="24">
        <v>62</v>
      </c>
      <c r="E11" s="5">
        <f t="shared" si="0"/>
        <v>-2.4927262719194793E-2</v>
      </c>
      <c r="Q11" s="23"/>
      <c r="R11" s="24"/>
      <c r="S11" s="24"/>
    </row>
    <row r="12" spans="1:19">
      <c r="A12" s="43" t="s">
        <v>70</v>
      </c>
      <c r="B12" s="55">
        <v>0.9677</v>
      </c>
      <c r="C12" s="56">
        <v>-1.26E-2</v>
      </c>
      <c r="D12" s="24">
        <v>63</v>
      </c>
      <c r="E12" s="5">
        <f t="shared" si="0"/>
        <v>1.6129032258064516E-2</v>
      </c>
      <c r="Q12" s="23"/>
      <c r="R12" s="24"/>
      <c r="S12" s="24"/>
    </row>
    <row r="13" spans="1:19">
      <c r="A13" s="43" t="s">
        <v>69</v>
      </c>
      <c r="B13" s="55">
        <v>0.91720000000000002</v>
      </c>
      <c r="C13" s="56">
        <v>2.3099999999999999E-2</v>
      </c>
      <c r="D13" s="24">
        <v>69.89</v>
      </c>
      <c r="E13" s="5">
        <f t="shared" si="0"/>
        <v>0.10936507936507937</v>
      </c>
      <c r="Q13" s="23"/>
      <c r="R13" s="24"/>
      <c r="S13" s="24"/>
    </row>
    <row r="14" spans="1:19">
      <c r="A14" s="43" t="s">
        <v>68</v>
      </c>
      <c r="B14" s="55">
        <v>0.81379999999999997</v>
      </c>
      <c r="C14" s="56">
        <v>-1.3599999999999999E-2</v>
      </c>
      <c r="D14" s="24">
        <v>73.747</v>
      </c>
      <c r="E14" s="5">
        <f t="shared" si="0"/>
        <v>5.5186721991701236E-2</v>
      </c>
      <c r="Q14" s="23"/>
      <c r="R14" s="24"/>
      <c r="S14" s="24"/>
    </row>
    <row r="15" spans="1:19">
      <c r="A15" s="43" t="s">
        <v>67</v>
      </c>
      <c r="B15" s="55">
        <v>0.71379999999999999</v>
      </c>
      <c r="C15" s="56">
        <v>4.6899999999999997E-2</v>
      </c>
      <c r="D15" s="24">
        <v>69.549000000000007</v>
      </c>
      <c r="E15" s="5">
        <f t="shared" si="0"/>
        <v>-5.6924349465062897E-2</v>
      </c>
      <c r="Q15" s="23"/>
      <c r="R15" s="24"/>
      <c r="S15" s="24"/>
    </row>
    <row r="16" spans="1:19">
      <c r="A16" s="43" t="s">
        <v>66</v>
      </c>
      <c r="B16" s="55">
        <v>0.65900000000000003</v>
      </c>
      <c r="C16" s="56">
        <v>-9.4999999999999998E-3</v>
      </c>
      <c r="D16" s="24">
        <v>69.370999999999995</v>
      </c>
      <c r="E16" s="5">
        <f t="shared" si="0"/>
        <v>-2.5593466476874068E-3</v>
      </c>
      <c r="Q16" s="23"/>
      <c r="R16" s="24"/>
      <c r="S16" s="24"/>
    </row>
    <row r="17" spans="1:19">
      <c r="A17" s="43" t="s">
        <v>65</v>
      </c>
      <c r="B17" s="55">
        <v>0.70669999999999999</v>
      </c>
      <c r="C17" s="56">
        <v>-2.1299999999999999E-2</v>
      </c>
      <c r="D17" s="24">
        <v>76.206999999999994</v>
      </c>
      <c r="E17" s="5">
        <f t="shared" si="0"/>
        <v>9.8542618673509094E-2</v>
      </c>
      <c r="Q17" s="23"/>
      <c r="R17" s="24"/>
      <c r="S17" s="24"/>
    </row>
    <row r="18" spans="1:19">
      <c r="A18" s="43" t="s">
        <v>64</v>
      </c>
      <c r="B18" s="55">
        <v>0.88660000000000005</v>
      </c>
      <c r="C18" s="56">
        <v>3.8899999999999997E-2</v>
      </c>
      <c r="D18" s="24">
        <v>75.617999999999995</v>
      </c>
      <c r="E18" s="5">
        <f t="shared" si="0"/>
        <v>-7.7289487842324023E-3</v>
      </c>
      <c r="Q18" s="23"/>
      <c r="R18" s="24"/>
      <c r="S18" s="24"/>
    </row>
    <row r="19" spans="1:19">
      <c r="A19" s="43" t="s">
        <v>63</v>
      </c>
      <c r="B19" s="55">
        <v>0.7712</v>
      </c>
      <c r="C19" s="56">
        <v>-2.1899999999999999E-2</v>
      </c>
      <c r="D19" s="24">
        <v>75.960999999999999</v>
      </c>
      <c r="E19" s="5">
        <f t="shared" si="0"/>
        <v>4.5359570472639256E-3</v>
      </c>
      <c r="Q19" s="23"/>
      <c r="R19" s="24"/>
      <c r="S19" s="24"/>
    </row>
    <row r="20" spans="1:19">
      <c r="A20" s="43" t="s">
        <v>62</v>
      </c>
      <c r="B20" s="55">
        <v>0.78249999999999997</v>
      </c>
      <c r="C20" s="56">
        <v>1.23E-2</v>
      </c>
      <c r="D20" s="24">
        <v>79.004000000000005</v>
      </c>
      <c r="E20" s="5">
        <f t="shared" si="0"/>
        <v>4.0060030805281741E-2</v>
      </c>
      <c r="Q20" s="23"/>
      <c r="R20" s="24"/>
      <c r="S20" s="24"/>
    </row>
    <row r="21" spans="1:19">
      <c r="A21" s="43" t="s">
        <v>61</v>
      </c>
      <c r="B21" s="55">
        <v>0.75070000000000003</v>
      </c>
      <c r="C21" s="56">
        <v>-1.17E-2</v>
      </c>
      <c r="D21" s="24">
        <v>77.988</v>
      </c>
      <c r="E21" s="5">
        <f t="shared" si="0"/>
        <v>-1.2860108348944424E-2</v>
      </c>
      <c r="Q21" s="23"/>
      <c r="R21" s="24"/>
      <c r="S21" s="24"/>
    </row>
    <row r="22" spans="1:19">
      <c r="A22" s="43" t="s">
        <v>60</v>
      </c>
      <c r="B22" s="55">
        <v>0.67849999999999999</v>
      </c>
      <c r="C22" s="56">
        <v>-1.6E-2</v>
      </c>
      <c r="D22" s="24">
        <v>79.171999999999997</v>
      </c>
      <c r="E22" s="5">
        <f t="shared" si="0"/>
        <v>1.5181822844540154E-2</v>
      </c>
      <c r="Q22" s="23"/>
      <c r="R22" s="24"/>
      <c r="S22" s="24"/>
    </row>
    <row r="23" spans="1:19">
      <c r="A23" s="43" t="s">
        <v>59</v>
      </c>
      <c r="B23" s="55">
        <v>0.70899999999999996</v>
      </c>
      <c r="C23" s="56">
        <v>4.3700000000000003E-2</v>
      </c>
      <c r="D23" s="24">
        <v>82.025999999999996</v>
      </c>
      <c r="E23" s="5">
        <f t="shared" si="0"/>
        <v>3.6048097812357897E-2</v>
      </c>
      <c r="Q23" s="23"/>
      <c r="R23" s="24"/>
      <c r="S23" s="24"/>
    </row>
    <row r="24" spans="1:19">
      <c r="A24" s="43" t="s">
        <v>58</v>
      </c>
      <c r="B24" s="55">
        <v>0.75680000000000003</v>
      </c>
      <c r="C24" s="56">
        <v>-2.4500000000000001E-2</v>
      </c>
      <c r="D24" s="24">
        <v>86.198999999999998</v>
      </c>
      <c r="E24" s="5">
        <f t="shared" si="0"/>
        <v>5.0874113086094679E-2</v>
      </c>
      <c r="Q24" s="23"/>
      <c r="R24" s="24"/>
      <c r="S24" s="24"/>
    </row>
    <row r="25" spans="1:19">
      <c r="A25" s="43" t="s">
        <v>57</v>
      </c>
      <c r="B25" s="55">
        <v>0.74650000000000005</v>
      </c>
      <c r="C25" s="56">
        <v>3.2000000000000002E-3</v>
      </c>
      <c r="D25" s="24">
        <v>88.275000000000006</v>
      </c>
      <c r="E25" s="5">
        <f t="shared" si="0"/>
        <v>2.408380607663671E-2</v>
      </c>
      <c r="Q25" s="23"/>
      <c r="R25" s="24"/>
      <c r="S25" s="24"/>
    </row>
    <row r="26" spans="1:19">
      <c r="A26" s="43" t="s">
        <v>56</v>
      </c>
      <c r="B26" s="55">
        <v>0.76229999999999998</v>
      </c>
      <c r="C26" s="56">
        <v>-4.1000000000000002E-2</v>
      </c>
      <c r="D26" s="24">
        <v>89.787999999999997</v>
      </c>
      <c r="E26" s="5">
        <f t="shared" si="0"/>
        <v>1.7139620504106383E-2</v>
      </c>
      <c r="Q26" s="23"/>
      <c r="R26" s="24"/>
      <c r="S26" s="24"/>
    </row>
    <row r="27" spans="1:19">
      <c r="A27" s="43" t="s">
        <v>55</v>
      </c>
      <c r="B27" s="55">
        <v>0.68300000000000005</v>
      </c>
      <c r="C27" s="56">
        <v>4.8000000000000001E-2</v>
      </c>
      <c r="D27" s="24">
        <v>88.447000000000003</v>
      </c>
      <c r="E27" s="5">
        <f t="shared" si="0"/>
        <v>-1.4935180647747962E-2</v>
      </c>
      <c r="Q27" s="23"/>
      <c r="R27" s="24"/>
      <c r="S27" s="24"/>
    </row>
    <row r="28" spans="1:19">
      <c r="A28" s="43" t="s">
        <v>54</v>
      </c>
      <c r="B28" s="55">
        <v>0.63049999999999995</v>
      </c>
      <c r="C28" s="56">
        <v>3.09E-2</v>
      </c>
      <c r="D28" s="24">
        <v>91.477000000000004</v>
      </c>
      <c r="E28" s="5">
        <f t="shared" si="0"/>
        <v>3.4257804108675266E-2</v>
      </c>
      <c r="Q28" s="23"/>
      <c r="R28" s="24"/>
      <c r="S28" s="24"/>
    </row>
    <row r="29" spans="1:19">
      <c r="A29" s="43" t="s">
        <v>53</v>
      </c>
      <c r="B29" s="55">
        <v>0.63729999999999998</v>
      </c>
      <c r="C29" s="56">
        <v>-3.0700000000000002E-2</v>
      </c>
      <c r="D29" s="24">
        <v>98.870999999999995</v>
      </c>
      <c r="E29" s="5">
        <f t="shared" si="0"/>
        <v>8.0829060856827298E-2</v>
      </c>
      <c r="Q29" s="23"/>
      <c r="R29" s="24"/>
      <c r="S29" s="24"/>
    </row>
    <row r="30" spans="1:19">
      <c r="A30" s="43" t="s">
        <v>52</v>
      </c>
      <c r="B30" s="55">
        <v>0.55000000000000004</v>
      </c>
      <c r="C30" s="56">
        <v>-1.61E-2</v>
      </c>
      <c r="D30" s="24">
        <v>103.047</v>
      </c>
      <c r="E30" s="5">
        <f t="shared" si="0"/>
        <v>4.2236854082592493E-2</v>
      </c>
      <c r="Q30" s="23"/>
      <c r="R30" s="24"/>
      <c r="S30" s="24"/>
    </row>
    <row r="31" spans="1:19">
      <c r="A31" s="43" t="s">
        <v>51</v>
      </c>
      <c r="B31" s="55">
        <v>0.50800000000000001</v>
      </c>
      <c r="C31" s="56">
        <v>-2E-3</v>
      </c>
      <c r="D31" s="24">
        <v>106.604</v>
      </c>
      <c r="E31" s="5">
        <f t="shared" si="0"/>
        <v>3.4518229545741283E-2</v>
      </c>
      <c r="Q31" s="23"/>
      <c r="R31" s="24"/>
      <c r="S31" s="24"/>
    </row>
    <row r="32" spans="1:19">
      <c r="A32" s="43" t="s">
        <v>50</v>
      </c>
      <c r="B32" s="55">
        <v>0.58720000000000006</v>
      </c>
      <c r="C32" s="56">
        <v>4.5999999999999999E-2</v>
      </c>
      <c r="D32" s="24">
        <v>112.187</v>
      </c>
      <c r="E32" s="5">
        <f t="shared" si="0"/>
        <v>5.2371393193501169E-2</v>
      </c>
      <c r="Q32" s="23"/>
      <c r="R32" s="24"/>
      <c r="S32" s="24"/>
    </row>
    <row r="33" spans="1:19">
      <c r="A33" s="43" t="s">
        <v>49</v>
      </c>
      <c r="B33" s="55">
        <v>0.76419999999999999</v>
      </c>
      <c r="C33" s="56">
        <v>1.54E-2</v>
      </c>
      <c r="D33" s="24">
        <v>120.782</v>
      </c>
      <c r="E33" s="5">
        <f t="shared" si="0"/>
        <v>7.6613154821859916E-2</v>
      </c>
      <c r="Q33" s="23"/>
      <c r="R33" s="24"/>
      <c r="S33" s="24"/>
    </row>
    <row r="34" spans="1:19">
      <c r="A34" s="43" t="s">
        <v>48</v>
      </c>
      <c r="B34" s="55">
        <v>0.7752</v>
      </c>
      <c r="C34" s="56">
        <v>-8.8999999999999999E-3</v>
      </c>
      <c r="D34" s="24">
        <v>121.282</v>
      </c>
      <c r="E34" s="5">
        <f t="shared" si="0"/>
        <v>4.1396896888609234E-3</v>
      </c>
      <c r="Q34" s="23"/>
      <c r="R34" s="24"/>
      <c r="S34" s="24"/>
    </row>
    <row r="35" spans="1:19">
      <c r="A35" s="43" t="s">
        <v>47</v>
      </c>
      <c r="B35" s="55">
        <v>0.75870000000000004</v>
      </c>
      <c r="C35" s="56">
        <v>3.4200000000000001E-2</v>
      </c>
      <c r="D35" s="24">
        <v>119.10527999999999</v>
      </c>
      <c r="E35" s="5">
        <f t="shared" si="0"/>
        <v>-1.7947593212513012E-2</v>
      </c>
      <c r="Q35" s="23"/>
      <c r="R35" s="24"/>
      <c r="S35" s="24"/>
    </row>
    <row r="36" spans="1:19">
      <c r="A36" s="43" t="s">
        <v>46</v>
      </c>
      <c r="B36" s="55">
        <v>0.77680000000000005</v>
      </c>
      <c r="C36" s="56">
        <v>-1.5800000000000002E-2</v>
      </c>
      <c r="D36" s="24">
        <v>125.33531000000001</v>
      </c>
      <c r="E36" s="5">
        <f t="shared" si="0"/>
        <v>5.2306917040117903E-2</v>
      </c>
      <c r="Q36" s="23"/>
      <c r="R36" s="24"/>
      <c r="S36" s="24"/>
    </row>
    <row r="37" spans="1:19">
      <c r="A37" s="43" t="s">
        <v>45</v>
      </c>
      <c r="B37" s="55">
        <v>0.89610000000000001</v>
      </c>
      <c r="C37" s="56">
        <v>2.3099999999999999E-2</v>
      </c>
      <c r="D37" s="24">
        <v>128.66358</v>
      </c>
      <c r="E37" s="5">
        <f t="shared" si="0"/>
        <v>2.6554926939583019E-2</v>
      </c>
      <c r="Q37" s="23"/>
      <c r="R37" s="24"/>
      <c r="S37" s="24"/>
    </row>
    <row r="38" spans="1:19">
      <c r="A38" s="43" t="s">
        <v>44</v>
      </c>
      <c r="B38" s="55">
        <v>0.6351</v>
      </c>
      <c r="C38" s="56">
        <v>-0.10249999999999999</v>
      </c>
      <c r="D38" s="24">
        <v>108.78201</v>
      </c>
      <c r="E38" s="5">
        <f t="shared" si="0"/>
        <v>-0.15452368106032802</v>
      </c>
      <c r="Q38" s="23"/>
      <c r="R38" s="24"/>
      <c r="S38" s="24"/>
    </row>
    <row r="39" spans="1:19">
      <c r="A39" s="43" t="s">
        <v>43</v>
      </c>
      <c r="B39" s="55">
        <v>0.88470000000000004</v>
      </c>
      <c r="C39" s="56">
        <v>-1.4E-2</v>
      </c>
      <c r="D39" s="24">
        <v>123.71285</v>
      </c>
      <c r="E39" s="5">
        <f t="shared" si="0"/>
        <v>0.13725468025457521</v>
      </c>
      <c r="Q39" s="23"/>
      <c r="R39" s="24"/>
      <c r="S39" s="24"/>
    </row>
    <row r="40" spans="1:19">
      <c r="A40" s="43" t="s">
        <v>42</v>
      </c>
      <c r="B40" s="55">
        <v>0.99670000000000003</v>
      </c>
      <c r="C40" s="56">
        <v>-2.4500000000000001E-2</v>
      </c>
      <c r="D40" s="24">
        <v>117.73251</v>
      </c>
      <c r="E40" s="5">
        <f t="shared" si="0"/>
        <v>-4.8340491711249059E-2</v>
      </c>
      <c r="Q40" s="23"/>
      <c r="R40" s="24"/>
      <c r="S40" s="24"/>
    </row>
    <row r="41" spans="1:19">
      <c r="A41" s="43" t="s">
        <v>41</v>
      </c>
      <c r="B41" s="55">
        <v>1.0616000000000001</v>
      </c>
      <c r="C41" s="56">
        <v>3.7900000000000003E-2</v>
      </c>
      <c r="D41" s="24">
        <v>124.37765</v>
      </c>
      <c r="E41" s="5">
        <f t="shared" si="0"/>
        <v>5.6442693696074242E-2</v>
      </c>
      <c r="Q41" s="23"/>
      <c r="R41" s="24"/>
      <c r="S41" s="24"/>
    </row>
    <row r="42" spans="1:19">
      <c r="A42" s="43" t="s">
        <v>40</v>
      </c>
      <c r="B42" s="55">
        <v>1.0424</v>
      </c>
      <c r="C42" s="56">
        <v>3.0000000000000001E-3</v>
      </c>
      <c r="D42" s="24">
        <v>128.56255999999999</v>
      </c>
      <c r="E42" s="5">
        <f t="shared" si="0"/>
        <v>3.3646800691281654E-2</v>
      </c>
      <c r="Q42" s="23"/>
      <c r="R42" s="24"/>
      <c r="S42" s="24"/>
    </row>
    <row r="43" spans="1:19">
      <c r="A43" s="43" t="s">
        <v>39</v>
      </c>
      <c r="B43" s="55">
        <v>0.87560000000000004</v>
      </c>
      <c r="C43" s="56">
        <v>-1.8200000000000001E-2</v>
      </c>
      <c r="D43" s="24"/>
      <c r="Q43" s="23"/>
      <c r="R43" s="24"/>
    </row>
    <row r="44" spans="1:19">
      <c r="A44" s="43" t="s">
        <v>38</v>
      </c>
      <c r="B44" s="55">
        <v>0.77690000000000003</v>
      </c>
      <c r="C44" s="56">
        <v>-4.9099999999999998E-2</v>
      </c>
    </row>
    <row r="45" spans="1:19">
      <c r="A45" s="43"/>
      <c r="B45" s="55"/>
      <c r="C45" s="56"/>
    </row>
    <row r="46" spans="1:19">
      <c r="A46" s="43"/>
      <c r="B46" s="55"/>
      <c r="C46" s="56"/>
    </row>
    <row r="47" spans="1:19">
      <c r="A47" s="43"/>
      <c r="B47" s="55"/>
      <c r="C47" s="56"/>
    </row>
    <row r="48" spans="1:19">
      <c r="A48" s="43"/>
      <c r="B48" s="55"/>
      <c r="C48" s="56"/>
    </row>
    <row r="49" spans="1:3">
      <c r="A49" s="43"/>
      <c r="B49" s="55"/>
      <c r="C49" s="56"/>
    </row>
    <row r="50" spans="1:3">
      <c r="A50" s="43"/>
      <c r="B50" s="55"/>
      <c r="C50" s="56"/>
    </row>
    <row r="51" spans="1:3">
      <c r="A51" s="43"/>
      <c r="B51" s="55"/>
      <c r="C51" s="56"/>
    </row>
    <row r="52" spans="1:3">
      <c r="A52" s="43"/>
      <c r="B52" s="55"/>
      <c r="C52" s="56"/>
    </row>
    <row r="53" spans="1:3">
      <c r="A53" s="43"/>
      <c r="B53" s="55"/>
      <c r="C53" s="56"/>
    </row>
    <row r="54" spans="1:3">
      <c r="A54" s="43"/>
      <c r="B54" s="55"/>
      <c r="C54" s="56"/>
    </row>
    <row r="55" spans="1:3">
      <c r="A55" s="43"/>
      <c r="B55" s="55"/>
      <c r="C55" s="56"/>
    </row>
    <row r="56" spans="1:3">
      <c r="A56" s="43"/>
      <c r="B56" s="55"/>
      <c r="C56" s="56"/>
    </row>
    <row r="57" spans="1:3">
      <c r="A57" s="43"/>
      <c r="B57" s="55"/>
      <c r="C57" s="56"/>
    </row>
    <row r="58" spans="1:3">
      <c r="A58" s="43"/>
      <c r="B58" s="55"/>
      <c r="C58" s="56"/>
    </row>
    <row r="59" spans="1:3">
      <c r="A59" s="43"/>
      <c r="B59" s="55"/>
      <c r="C59" s="56"/>
    </row>
    <row r="60" spans="1:3">
      <c r="A60" s="43"/>
      <c r="B60" s="55"/>
      <c r="C60" s="56"/>
    </row>
    <row r="61" spans="1:3">
      <c r="A61" s="43"/>
      <c r="B61" s="55"/>
      <c r="C61" s="56"/>
    </row>
    <row r="62" spans="1:3">
      <c r="A62" s="43"/>
      <c r="B62" s="55"/>
      <c r="C62" s="56"/>
    </row>
    <row r="63" spans="1:3">
      <c r="A63" s="43"/>
      <c r="B63" s="55"/>
      <c r="C63" s="56"/>
    </row>
    <row r="64" spans="1:3">
      <c r="A64" s="43"/>
      <c r="B64" s="55"/>
      <c r="C64" s="56"/>
    </row>
    <row r="65" spans="1:3">
      <c r="A65" s="43"/>
      <c r="B65" s="55"/>
      <c r="C65" s="56"/>
    </row>
    <row r="66" spans="1:3">
      <c r="A66" s="43"/>
      <c r="B66" s="55"/>
      <c r="C66" s="56"/>
    </row>
    <row r="67" spans="1:3">
      <c r="A67" s="43"/>
      <c r="B67" s="55"/>
      <c r="C67" s="56"/>
    </row>
    <row r="68" spans="1:3">
      <c r="A68" s="43"/>
      <c r="B68" s="55"/>
      <c r="C68" s="56"/>
    </row>
    <row r="69" spans="1:3">
      <c r="A69" s="43"/>
      <c r="B69" s="55"/>
      <c r="C69" s="56"/>
    </row>
    <row r="70" spans="1:3">
      <c r="A70" s="43"/>
      <c r="B70" s="55"/>
      <c r="C70" s="56"/>
    </row>
    <row r="71" spans="1:3">
      <c r="A71" s="43"/>
      <c r="B71" s="55"/>
      <c r="C71" s="56"/>
    </row>
    <row r="72" spans="1:3">
      <c r="A72" s="43"/>
      <c r="B72" s="55"/>
      <c r="C72" s="56"/>
    </row>
    <row r="73" spans="1:3">
      <c r="A73" s="43"/>
      <c r="B73" s="55"/>
      <c r="C73" s="56"/>
    </row>
    <row r="74" spans="1:3">
      <c r="A74" s="43"/>
      <c r="B74" s="55"/>
      <c r="C74" s="56"/>
    </row>
    <row r="75" spans="1:3">
      <c r="A75" s="43"/>
      <c r="B75" s="55"/>
      <c r="C75" s="56"/>
    </row>
    <row r="76" spans="1:3">
      <c r="A76" s="43"/>
      <c r="B76" s="55"/>
      <c r="C76" s="56"/>
    </row>
    <row r="77" spans="1:3">
      <c r="A77" s="43"/>
      <c r="B77" s="55"/>
      <c r="C77" s="56"/>
    </row>
    <row r="78" spans="1:3">
      <c r="A78" s="43"/>
      <c r="B78" s="55"/>
      <c r="C78" s="56"/>
    </row>
    <row r="79" spans="1:3">
      <c r="A79" s="43"/>
      <c r="B79" s="55"/>
      <c r="C79" s="56"/>
    </row>
    <row r="80" spans="1:3">
      <c r="A80" s="43"/>
      <c r="B80" s="55"/>
      <c r="C80" s="56"/>
    </row>
    <row r="81" spans="1:3">
      <c r="A81" s="43"/>
      <c r="B81" s="55"/>
      <c r="C81" s="56"/>
    </row>
    <row r="82" spans="1:3">
      <c r="A82" s="43"/>
      <c r="B82" s="55"/>
      <c r="C82" s="56"/>
    </row>
    <row r="83" spans="1:3">
      <c r="A83" s="43"/>
      <c r="B83" s="55"/>
      <c r="C83" s="56"/>
    </row>
    <row r="84" spans="1:3">
      <c r="A84" s="43"/>
      <c r="B84" s="55"/>
      <c r="C84" s="56"/>
    </row>
    <row r="85" spans="1:3">
      <c r="A85" s="43"/>
      <c r="B85" s="55"/>
      <c r="C85" s="56"/>
    </row>
    <row r="86" spans="1:3">
      <c r="A86" s="43"/>
      <c r="B86" s="55"/>
      <c r="C86" s="56"/>
    </row>
    <row r="87" spans="1:3">
      <c r="A87" s="43"/>
      <c r="B87" s="55"/>
      <c r="C87" s="56"/>
    </row>
    <row r="88" spans="1:3">
      <c r="A88" s="43"/>
      <c r="B88" s="55"/>
      <c r="C88" s="56"/>
    </row>
    <row r="89" spans="1:3">
      <c r="A89" s="43"/>
      <c r="B89" s="55"/>
      <c r="C89" s="56"/>
    </row>
    <row r="90" spans="1:3">
      <c r="A90" s="43"/>
      <c r="B90" s="55"/>
      <c r="C90" s="56"/>
    </row>
    <row r="91" spans="1:3">
      <c r="A91" s="43"/>
      <c r="B91" s="55"/>
      <c r="C91" s="56"/>
    </row>
    <row r="92" spans="1:3">
      <c r="A92" s="43"/>
      <c r="B92" s="55"/>
      <c r="C92" s="56"/>
    </row>
    <row r="93" spans="1:3">
      <c r="A93" s="43"/>
      <c r="B93" s="55"/>
      <c r="C93" s="56"/>
    </row>
    <row r="94" spans="1:3">
      <c r="A94" s="43"/>
      <c r="B94" s="55"/>
      <c r="C94" s="56"/>
    </row>
    <row r="95" spans="1:3">
      <c r="A95" s="43"/>
      <c r="B95" s="55"/>
      <c r="C95" s="56"/>
    </row>
    <row r="96" spans="1:3">
      <c r="A96" s="43"/>
      <c r="B96" s="55"/>
      <c r="C96" s="56"/>
    </row>
    <row r="97" spans="1:3">
      <c r="A97" s="43"/>
      <c r="B97" s="55"/>
      <c r="C97" s="56"/>
    </row>
    <row r="98" spans="1:3">
      <c r="A98" s="43"/>
      <c r="B98" s="55"/>
      <c r="C98" s="56"/>
    </row>
    <row r="99" spans="1:3">
      <c r="A99" s="43"/>
      <c r="B99" s="55"/>
      <c r="C99" s="56"/>
    </row>
    <row r="100" spans="1:3">
      <c r="A100" s="43"/>
      <c r="B100" s="55"/>
      <c r="C100" s="56"/>
    </row>
    <row r="101" spans="1:3">
      <c r="A101" s="43"/>
      <c r="B101" s="55"/>
      <c r="C101" s="56"/>
    </row>
    <row r="102" spans="1:3">
      <c r="A102" s="43"/>
      <c r="B102" s="55"/>
      <c r="C102" s="56"/>
    </row>
    <row r="103" spans="1:3">
      <c r="A103" s="43"/>
      <c r="B103" s="55"/>
      <c r="C103" s="56"/>
    </row>
    <row r="104" spans="1:3">
      <c r="A104" s="43"/>
      <c r="B104" s="55"/>
      <c r="C104" s="56"/>
    </row>
    <row r="105" spans="1:3">
      <c r="A105" s="43"/>
      <c r="B105" s="55"/>
      <c r="C105" s="56"/>
    </row>
    <row r="106" spans="1:3">
      <c r="A106" s="43"/>
      <c r="B106" s="55"/>
      <c r="C106" s="56"/>
    </row>
    <row r="107" spans="1:3">
      <c r="A107" s="43"/>
      <c r="B107" s="55"/>
      <c r="C107" s="56"/>
    </row>
    <row r="108" spans="1:3">
      <c r="A108" s="43"/>
      <c r="B108" s="55"/>
      <c r="C108" s="56"/>
    </row>
    <row r="109" spans="1:3">
      <c r="A109" s="43"/>
      <c r="B109" s="55"/>
      <c r="C109" s="56"/>
    </row>
    <row r="110" spans="1:3">
      <c r="A110" s="43"/>
      <c r="B110" s="55"/>
      <c r="C110" s="56"/>
    </row>
    <row r="111" spans="1:3">
      <c r="A111" s="43"/>
      <c r="B111" s="55"/>
      <c r="C111" s="56"/>
    </row>
    <row r="112" spans="1:3">
      <c r="A112" s="43"/>
      <c r="B112" s="55"/>
      <c r="C112" s="56"/>
    </row>
    <row r="113" spans="1:3">
      <c r="A113" s="43"/>
      <c r="B113" s="55"/>
      <c r="C113" s="56"/>
    </row>
    <row r="114" spans="1:3">
      <c r="A114" s="43"/>
      <c r="B114" s="55"/>
      <c r="C114" s="56"/>
    </row>
    <row r="115" spans="1:3">
      <c r="A115" s="43"/>
      <c r="B115" s="55"/>
      <c r="C115" s="56"/>
    </row>
    <row r="116" spans="1:3">
      <c r="A116" s="43"/>
      <c r="B116" s="55"/>
      <c r="C116" s="56"/>
    </row>
    <row r="117" spans="1:3">
      <c r="A117" s="43"/>
      <c r="B117" s="55"/>
      <c r="C117" s="56"/>
    </row>
    <row r="118" spans="1:3">
      <c r="A118" s="43"/>
      <c r="B118" s="55"/>
      <c r="C118" s="56"/>
    </row>
    <row r="119" spans="1:3">
      <c r="A119" s="43"/>
      <c r="B119" s="55"/>
      <c r="C119" s="56"/>
    </row>
    <row r="120" spans="1:3">
      <c r="A120" s="43"/>
      <c r="B120" s="55"/>
      <c r="C120" s="56"/>
    </row>
    <row r="121" spans="1:3">
      <c r="A121" s="43"/>
      <c r="B121" s="55"/>
      <c r="C121" s="56"/>
    </row>
    <row r="122" spans="1:3">
      <c r="A122" s="43"/>
      <c r="B122" s="55"/>
      <c r="C122" s="56"/>
    </row>
    <row r="123" spans="1:3">
      <c r="A123" s="43"/>
      <c r="B123" s="55"/>
      <c r="C123" s="56"/>
    </row>
    <row r="124" spans="1:3">
      <c r="A124" s="43"/>
      <c r="B124" s="55"/>
      <c r="C124" s="56"/>
    </row>
    <row r="125" spans="1:3">
      <c r="A125" s="43"/>
      <c r="B125" s="55"/>
      <c r="C125" s="56"/>
    </row>
    <row r="126" spans="1:3">
      <c r="A126" s="43"/>
      <c r="B126" s="55"/>
      <c r="C126" s="56"/>
    </row>
    <row r="127" spans="1:3">
      <c r="A127" s="43"/>
      <c r="B127" s="55"/>
      <c r="C127" s="56"/>
    </row>
    <row r="128" spans="1:3">
      <c r="A128" s="43"/>
      <c r="B128" s="55"/>
      <c r="C128" s="56"/>
    </row>
    <row r="129" spans="1:3">
      <c r="A129" s="43"/>
      <c r="B129" s="55"/>
      <c r="C129" s="56"/>
    </row>
    <row r="130" spans="1:3">
      <c r="A130" s="43"/>
      <c r="B130" s="55"/>
      <c r="C130" s="56"/>
    </row>
    <row r="131" spans="1:3">
      <c r="A131" s="43"/>
      <c r="B131" s="55"/>
      <c r="C131" s="56"/>
    </row>
    <row r="132" spans="1:3">
      <c r="A132" s="43"/>
      <c r="B132" s="55"/>
      <c r="C132" s="56"/>
    </row>
    <row r="133" spans="1:3">
      <c r="A133" s="43"/>
      <c r="B133" s="55"/>
      <c r="C133" s="56"/>
    </row>
    <row r="134" spans="1:3">
      <c r="A134" s="43"/>
      <c r="B134" s="55"/>
      <c r="C134" s="56"/>
    </row>
    <row r="135" spans="1:3">
      <c r="A135" s="43"/>
      <c r="B135" s="55"/>
      <c r="C135" s="56"/>
    </row>
    <row r="136" spans="1:3">
      <c r="A136" s="43"/>
      <c r="B136" s="55"/>
      <c r="C136" s="56"/>
    </row>
    <row r="137" spans="1:3">
      <c r="A137" s="43"/>
      <c r="B137" s="55"/>
      <c r="C137" s="56"/>
    </row>
    <row r="138" spans="1:3">
      <c r="A138" s="43"/>
      <c r="B138" s="55"/>
      <c r="C138" s="56"/>
    </row>
    <row r="139" spans="1:3">
      <c r="A139" s="43"/>
      <c r="B139" s="55"/>
      <c r="C139" s="56"/>
    </row>
    <row r="140" spans="1:3">
      <c r="A140" s="43"/>
      <c r="B140" s="55"/>
      <c r="C140" s="56"/>
    </row>
    <row r="141" spans="1:3">
      <c r="A141" s="43"/>
      <c r="B141" s="55"/>
      <c r="C141" s="56"/>
    </row>
    <row r="142" spans="1:3">
      <c r="A142" s="43"/>
      <c r="B142" s="55"/>
      <c r="C142" s="56"/>
    </row>
    <row r="143" spans="1:3">
      <c r="A143" s="43"/>
      <c r="B143" s="55"/>
      <c r="C143" s="56"/>
    </row>
    <row r="144" spans="1:3">
      <c r="A144" s="43"/>
      <c r="B144" s="55"/>
      <c r="C144" s="56"/>
    </row>
    <row r="145" spans="1:3">
      <c r="A145" s="43"/>
      <c r="B145" s="55"/>
      <c r="C145" s="56"/>
    </row>
    <row r="146" spans="1:3">
      <c r="A146" s="43"/>
      <c r="B146" s="55"/>
      <c r="C146" s="56"/>
    </row>
    <row r="147" spans="1:3">
      <c r="A147" s="43"/>
      <c r="B147" s="55"/>
      <c r="C147" s="56"/>
    </row>
    <row r="148" spans="1:3">
      <c r="A148" s="43"/>
      <c r="B148" s="55"/>
      <c r="C148" s="56"/>
    </row>
    <row r="149" spans="1:3">
      <c r="A149" s="43"/>
      <c r="B149" s="55"/>
      <c r="C149" s="56"/>
    </row>
    <row r="150" spans="1:3">
      <c r="A150" s="43"/>
      <c r="B150" s="55"/>
      <c r="C150" s="56"/>
    </row>
    <row r="151" spans="1:3">
      <c r="A151" s="43"/>
      <c r="B151" s="55"/>
      <c r="C151" s="56"/>
    </row>
    <row r="152" spans="1:3">
      <c r="A152" s="43"/>
      <c r="B152" s="55"/>
      <c r="C152" s="56"/>
    </row>
    <row r="153" spans="1:3">
      <c r="A153" s="43"/>
      <c r="B153" s="55"/>
      <c r="C153" s="56"/>
    </row>
    <row r="154" spans="1:3">
      <c r="A154" s="43"/>
      <c r="B154" s="55"/>
      <c r="C154" s="56"/>
    </row>
    <row r="155" spans="1:3">
      <c r="A155" s="43"/>
      <c r="B155" s="55"/>
      <c r="C155" s="56"/>
    </row>
    <row r="156" spans="1:3">
      <c r="A156" s="43"/>
      <c r="B156" s="55"/>
      <c r="C156" s="56"/>
    </row>
    <row r="157" spans="1:3">
      <c r="A157" s="43"/>
      <c r="B157" s="55"/>
      <c r="C157" s="56"/>
    </row>
    <row r="158" spans="1:3">
      <c r="A158" s="43"/>
      <c r="B158" s="55"/>
      <c r="C158" s="56"/>
    </row>
    <row r="159" spans="1:3">
      <c r="A159" s="43"/>
      <c r="B159" s="55"/>
      <c r="C159" s="56"/>
    </row>
    <row r="160" spans="1:3">
      <c r="A160" s="43"/>
      <c r="B160" s="55"/>
      <c r="C160" s="56"/>
    </row>
    <row r="161" spans="1:3">
      <c r="A161" s="43"/>
      <c r="B161" s="55"/>
      <c r="C161" s="56"/>
    </row>
    <row r="162" spans="1:3">
      <c r="A162" s="43"/>
      <c r="B162" s="55"/>
      <c r="C162" s="56"/>
    </row>
    <row r="163" spans="1:3">
      <c r="A163" s="43"/>
      <c r="B163" s="55"/>
      <c r="C163" s="56"/>
    </row>
    <row r="164" spans="1:3">
      <c r="A164" s="43"/>
      <c r="B164" s="55"/>
      <c r="C164" s="56"/>
    </row>
    <row r="165" spans="1:3">
      <c r="A165" s="43"/>
      <c r="B165" s="55"/>
      <c r="C165" s="56"/>
    </row>
    <row r="166" spans="1:3">
      <c r="A166" s="43"/>
      <c r="B166" s="55"/>
      <c r="C166" s="56"/>
    </row>
    <row r="167" spans="1:3">
      <c r="A167" s="43"/>
      <c r="B167" s="55"/>
      <c r="C167" s="56"/>
    </row>
    <row r="168" spans="1:3">
      <c r="A168" s="43"/>
      <c r="B168" s="55"/>
      <c r="C168" s="56"/>
    </row>
    <row r="169" spans="1:3">
      <c r="A169" s="43"/>
      <c r="B169" s="55"/>
      <c r="C169" s="56"/>
    </row>
    <row r="170" spans="1:3">
      <c r="A170" s="43"/>
      <c r="B170" s="55"/>
      <c r="C170" s="56"/>
    </row>
    <row r="171" spans="1:3">
      <c r="A171" s="43"/>
      <c r="B171" s="55"/>
      <c r="C171" s="56"/>
    </row>
    <row r="172" spans="1:3">
      <c r="A172" s="43"/>
      <c r="B172" s="55"/>
      <c r="C172" s="56"/>
    </row>
    <row r="173" spans="1:3">
      <c r="A173" s="43"/>
      <c r="B173" s="55"/>
      <c r="C173" s="56"/>
    </row>
    <row r="174" spans="1:3">
      <c r="A174" s="43"/>
      <c r="B174" s="55"/>
      <c r="C174" s="56"/>
    </row>
    <row r="175" spans="1:3">
      <c r="A175" s="43"/>
      <c r="B175" s="55"/>
      <c r="C175" s="56"/>
    </row>
    <row r="176" spans="1:3">
      <c r="A176" s="43"/>
      <c r="B176" s="55"/>
      <c r="C176" s="56"/>
    </row>
    <row r="177" spans="1:3">
      <c r="A177" s="43"/>
      <c r="B177" s="55"/>
      <c r="C177" s="56"/>
    </row>
    <row r="178" spans="1:3">
      <c r="A178" s="43"/>
      <c r="B178" s="55"/>
      <c r="C178" s="56"/>
    </row>
    <row r="179" spans="1:3">
      <c r="A179" s="43"/>
      <c r="B179" s="55"/>
      <c r="C179" s="56"/>
    </row>
    <row r="180" spans="1:3">
      <c r="A180" s="43"/>
      <c r="B180" s="55"/>
      <c r="C180" s="56"/>
    </row>
    <row r="181" spans="1:3">
      <c r="A181" s="43"/>
      <c r="B181" s="55"/>
      <c r="C181" s="56"/>
    </row>
    <row r="182" spans="1:3">
      <c r="A182" s="43"/>
      <c r="B182" s="55"/>
      <c r="C182" s="56"/>
    </row>
    <row r="183" spans="1:3">
      <c r="A183" s="43"/>
      <c r="B183" s="55"/>
      <c r="C183" s="56"/>
    </row>
    <row r="184" spans="1:3">
      <c r="A184" s="43"/>
      <c r="B184" s="55"/>
      <c r="C184" s="56"/>
    </row>
    <row r="185" spans="1:3">
      <c r="A185" s="43"/>
      <c r="B185" s="55"/>
      <c r="C185" s="56"/>
    </row>
    <row r="186" spans="1:3">
      <c r="A186" s="43"/>
      <c r="B186" s="55"/>
      <c r="C186" s="56"/>
    </row>
    <row r="187" spans="1:3">
      <c r="A187" s="43"/>
      <c r="B187" s="55"/>
      <c r="C187" s="56"/>
    </row>
    <row r="188" spans="1:3">
      <c r="A188" s="43"/>
      <c r="B188" s="55"/>
      <c r="C188" s="56"/>
    </row>
    <row r="189" spans="1:3">
      <c r="A189" s="43"/>
      <c r="B189" s="55"/>
      <c r="C189" s="56"/>
    </row>
    <row r="190" spans="1:3">
      <c r="A190" s="43"/>
      <c r="B190" s="55"/>
      <c r="C190" s="56"/>
    </row>
    <row r="191" spans="1:3">
      <c r="A191" s="43"/>
      <c r="B191" s="55"/>
      <c r="C191" s="56"/>
    </row>
    <row r="192" spans="1:3">
      <c r="A192" s="43"/>
      <c r="B192" s="55"/>
      <c r="C192" s="56"/>
    </row>
    <row r="193" spans="1:3">
      <c r="A193" s="43"/>
      <c r="B193" s="55"/>
      <c r="C193" s="56"/>
    </row>
    <row r="194" spans="1:3">
      <c r="A194" s="43"/>
      <c r="B194" s="55"/>
      <c r="C194" s="56"/>
    </row>
    <row r="195" spans="1:3">
      <c r="A195" s="43"/>
      <c r="B195" s="55"/>
      <c r="C195" s="56"/>
    </row>
    <row r="196" spans="1:3">
      <c r="A196" s="43"/>
      <c r="B196" s="55"/>
      <c r="C196" s="56"/>
    </row>
    <row r="197" spans="1:3">
      <c r="A197" s="43"/>
      <c r="B197" s="55"/>
      <c r="C197" s="56"/>
    </row>
    <row r="198" spans="1:3">
      <c r="A198" s="43"/>
      <c r="B198" s="55"/>
      <c r="C198" s="56"/>
    </row>
    <row r="199" spans="1:3">
      <c r="A199" s="43"/>
      <c r="B199" s="55"/>
      <c r="C199" s="56"/>
    </row>
    <row r="200" spans="1:3">
      <c r="A200" s="43"/>
      <c r="B200" s="55"/>
      <c r="C200" s="56"/>
    </row>
    <row r="201" spans="1:3">
      <c r="A201" s="43"/>
      <c r="B201" s="55"/>
      <c r="C201" s="56"/>
    </row>
    <row r="202" spans="1:3">
      <c r="A202" s="43"/>
      <c r="B202" s="55"/>
      <c r="C202" s="56"/>
    </row>
    <row r="203" spans="1:3">
      <c r="A203" s="43"/>
      <c r="B203" s="55"/>
      <c r="C203" s="56"/>
    </row>
    <row r="204" spans="1:3">
      <c r="A204" s="43"/>
      <c r="B204" s="55"/>
      <c r="C204" s="56"/>
    </row>
    <row r="205" spans="1:3">
      <c r="A205" s="43"/>
      <c r="B205" s="55"/>
      <c r="C205" s="56"/>
    </row>
    <row r="206" spans="1:3">
      <c r="A206" s="43"/>
      <c r="B206" s="55"/>
      <c r="C206" s="56"/>
    </row>
    <row r="207" spans="1:3">
      <c r="A207" s="43"/>
      <c r="B207" s="55"/>
      <c r="C207" s="56"/>
    </row>
    <row r="208" spans="1:3">
      <c r="A208" s="43"/>
      <c r="B208" s="55"/>
      <c r="C208" s="56"/>
    </row>
    <row r="209" spans="1:3">
      <c r="A209" s="43"/>
      <c r="B209" s="55"/>
      <c r="C209" s="56"/>
    </row>
    <row r="210" spans="1:3">
      <c r="A210" s="43"/>
      <c r="B210" s="55"/>
      <c r="C210" s="56"/>
    </row>
    <row r="211" spans="1:3">
      <c r="A211" s="43"/>
      <c r="B211" s="55"/>
      <c r="C211" s="56"/>
    </row>
    <row r="212" spans="1:3">
      <c r="A212" s="43"/>
      <c r="B212" s="55"/>
      <c r="C212" s="56"/>
    </row>
    <row r="213" spans="1:3">
      <c r="A213" s="43"/>
      <c r="B213" s="55"/>
      <c r="C213" s="56"/>
    </row>
    <row r="214" spans="1:3">
      <c r="A214" s="43"/>
      <c r="B214" s="55"/>
      <c r="C214" s="56"/>
    </row>
    <row r="215" spans="1:3">
      <c r="A215" s="43"/>
      <c r="B215" s="55"/>
      <c r="C215" s="56"/>
    </row>
    <row r="216" spans="1:3">
      <c r="A216" s="43"/>
      <c r="B216" s="55"/>
      <c r="C216" s="56"/>
    </row>
    <row r="217" spans="1:3">
      <c r="A217" s="43"/>
      <c r="B217" s="55"/>
      <c r="C217" s="56"/>
    </row>
    <row r="218" spans="1:3">
      <c r="A218" s="43"/>
      <c r="B218" s="55"/>
      <c r="C218" s="56"/>
    </row>
    <row r="219" spans="1:3">
      <c r="A219" s="43"/>
      <c r="B219" s="55"/>
      <c r="C219" s="56"/>
    </row>
    <row r="220" spans="1:3">
      <c r="A220" s="43"/>
      <c r="B220" s="55"/>
      <c r="C220" s="56"/>
    </row>
    <row r="221" spans="1:3">
      <c r="A221" s="43"/>
      <c r="B221" s="55"/>
      <c r="C221" s="56"/>
    </row>
    <row r="222" spans="1:3">
      <c r="A222" s="43"/>
      <c r="B222" s="55"/>
      <c r="C222" s="56"/>
    </row>
    <row r="223" spans="1:3">
      <c r="A223" s="43"/>
      <c r="B223" s="55"/>
      <c r="C223" s="56"/>
    </row>
    <row r="224" spans="1:3">
      <c r="A224" s="43"/>
      <c r="B224" s="55"/>
      <c r="C224" s="56"/>
    </row>
    <row r="225" spans="1:3">
      <c r="A225" s="43"/>
      <c r="B225" s="55"/>
      <c r="C225" s="56"/>
    </row>
    <row r="226" spans="1:3">
      <c r="A226" s="43"/>
      <c r="B226" s="55"/>
      <c r="C226" s="56"/>
    </row>
    <row r="227" spans="1:3">
      <c r="A227" s="43"/>
      <c r="B227" s="55"/>
      <c r="C227" s="56"/>
    </row>
    <row r="228" spans="1:3">
      <c r="A228" s="43"/>
      <c r="B228" s="55"/>
      <c r="C228" s="56"/>
    </row>
    <row r="229" spans="1:3">
      <c r="A229" s="43"/>
      <c r="B229" s="55"/>
      <c r="C229" s="56"/>
    </row>
    <row r="230" spans="1:3">
      <c r="A230" s="43"/>
      <c r="B230" s="55"/>
      <c r="C230" s="56"/>
    </row>
    <row r="231" spans="1:3">
      <c r="A231" s="43"/>
      <c r="B231" s="55"/>
      <c r="C231" s="56"/>
    </row>
    <row r="232" spans="1:3">
      <c r="A232" s="43"/>
      <c r="B232" s="55"/>
      <c r="C232" s="56"/>
    </row>
    <row r="233" spans="1:3">
      <c r="A233" s="43"/>
      <c r="B233" s="55"/>
      <c r="C233" s="56"/>
    </row>
    <row r="234" spans="1:3">
      <c r="A234" s="43"/>
      <c r="B234" s="55"/>
      <c r="C234" s="56"/>
    </row>
    <row r="235" spans="1:3">
      <c r="A235" s="43"/>
      <c r="B235" s="55"/>
      <c r="C235" s="56"/>
    </row>
    <row r="236" spans="1:3">
      <c r="A236" s="43"/>
      <c r="B236" s="55"/>
      <c r="C236" s="56"/>
    </row>
    <row r="237" spans="1:3">
      <c r="A237" s="43"/>
      <c r="B237" s="55"/>
      <c r="C237" s="56"/>
    </row>
    <row r="238" spans="1:3">
      <c r="A238" s="43"/>
      <c r="B238" s="55"/>
      <c r="C238" s="56"/>
    </row>
    <row r="239" spans="1:3">
      <c r="A239" s="43"/>
      <c r="B239" s="55"/>
      <c r="C239" s="56"/>
    </row>
    <row r="240" spans="1:3">
      <c r="A240" s="43"/>
      <c r="B240" s="55"/>
      <c r="C240" s="56"/>
    </row>
    <row r="241" spans="1:3">
      <c r="A241" s="43"/>
      <c r="B241" s="55"/>
      <c r="C241" s="56"/>
    </row>
    <row r="242" spans="1:3">
      <c r="A242" s="43"/>
      <c r="B242" s="55"/>
      <c r="C242" s="56"/>
    </row>
    <row r="243" spans="1:3">
      <c r="A243" s="43"/>
      <c r="B243" s="55"/>
      <c r="C243" s="56"/>
    </row>
    <row r="244" spans="1:3">
      <c r="A244" s="43"/>
      <c r="B244" s="55"/>
      <c r="C244" s="56"/>
    </row>
    <row r="245" spans="1:3">
      <c r="A245" s="43"/>
      <c r="B245" s="55"/>
      <c r="C245" s="56"/>
    </row>
    <row r="246" spans="1:3">
      <c r="A246" s="43"/>
      <c r="B246" s="55"/>
      <c r="C246" s="56"/>
    </row>
    <row r="247" spans="1:3">
      <c r="A247" s="43"/>
      <c r="B247" s="55"/>
      <c r="C247" s="56"/>
    </row>
    <row r="248" spans="1:3">
      <c r="A248" s="43"/>
      <c r="B248" s="55"/>
      <c r="C248" s="56"/>
    </row>
    <row r="249" spans="1:3">
      <c r="A249" s="43"/>
      <c r="B249" s="55"/>
      <c r="C249" s="56"/>
    </row>
    <row r="250" spans="1:3">
      <c r="A250" s="43"/>
      <c r="B250" s="55"/>
      <c r="C250" s="56"/>
    </row>
    <row r="251" spans="1:3">
      <c r="A251" s="43"/>
      <c r="B251" s="55"/>
      <c r="C251" s="56"/>
    </row>
    <row r="252" spans="1:3">
      <c r="A252" s="43"/>
      <c r="B252" s="55"/>
      <c r="C252" s="56"/>
    </row>
    <row r="253" spans="1:3">
      <c r="A253" s="43"/>
      <c r="B253" s="55"/>
      <c r="C253" s="56"/>
    </row>
    <row r="254" spans="1:3">
      <c r="A254" s="43"/>
      <c r="B254" s="55"/>
      <c r="C254" s="56"/>
    </row>
    <row r="255" spans="1:3">
      <c r="A255" s="43"/>
      <c r="B255" s="55"/>
      <c r="C255" s="56"/>
    </row>
    <row r="256" spans="1:3">
      <c r="A256" s="43"/>
      <c r="B256" s="55"/>
      <c r="C256" s="56"/>
    </row>
    <row r="257" spans="1:3">
      <c r="A257" s="43"/>
      <c r="B257" s="55"/>
      <c r="C257" s="56"/>
    </row>
    <row r="258" spans="1:3">
      <c r="A258" s="43"/>
      <c r="B258" s="55"/>
      <c r="C258" s="56"/>
    </row>
    <row r="259" spans="1:3">
      <c r="A259" s="43"/>
      <c r="B259" s="55"/>
      <c r="C259" s="56"/>
    </row>
    <row r="260" spans="1:3">
      <c r="A260" s="43"/>
      <c r="B260" s="55"/>
      <c r="C260" s="56"/>
    </row>
    <row r="261" spans="1:3">
      <c r="A261" s="43"/>
      <c r="B261" s="55"/>
      <c r="C261" s="56"/>
    </row>
    <row r="262" spans="1:3">
      <c r="A262" s="43"/>
      <c r="B262" s="55"/>
      <c r="C262" s="56"/>
    </row>
    <row r="263" spans="1:3">
      <c r="A263" s="43"/>
      <c r="B263" s="55"/>
      <c r="C263" s="56"/>
    </row>
    <row r="264" spans="1:3">
      <c r="A264" s="43"/>
      <c r="B264" s="55"/>
      <c r="C264" s="56"/>
    </row>
    <row r="265" spans="1:3">
      <c r="A265" s="43"/>
      <c r="B265" s="55"/>
      <c r="C265" s="56"/>
    </row>
    <row r="266" spans="1:3">
      <c r="A266" s="43"/>
      <c r="B266" s="55"/>
      <c r="C266" s="56"/>
    </row>
    <row r="267" spans="1:3">
      <c r="A267" s="43"/>
      <c r="B267" s="55"/>
      <c r="C267" s="56"/>
    </row>
    <row r="268" spans="1:3">
      <c r="A268" s="43"/>
      <c r="B268" s="55"/>
      <c r="C268" s="56"/>
    </row>
    <row r="269" spans="1:3">
      <c r="A269" s="43"/>
      <c r="B269" s="55"/>
      <c r="C269" s="56"/>
    </row>
    <row r="270" spans="1:3">
      <c r="A270" s="43"/>
      <c r="B270" s="55"/>
      <c r="C270" s="56"/>
    </row>
    <row r="271" spans="1:3">
      <c r="A271" s="43"/>
      <c r="B271" s="55"/>
      <c r="C271" s="56"/>
    </row>
    <row r="272" spans="1:3">
      <c r="A272" s="43"/>
      <c r="B272" s="55"/>
      <c r="C272" s="56"/>
    </row>
    <row r="273" spans="1:3">
      <c r="A273" s="43"/>
      <c r="B273" s="55"/>
      <c r="C273" s="56"/>
    </row>
    <row r="274" spans="1:3">
      <c r="A274" s="43"/>
      <c r="B274" s="55"/>
      <c r="C274" s="56"/>
    </row>
    <row r="275" spans="1:3">
      <c r="A275" s="43"/>
      <c r="B275" s="55"/>
      <c r="C275" s="56"/>
    </row>
    <row r="276" spans="1:3">
      <c r="A276" s="43"/>
      <c r="B276" s="55"/>
      <c r="C276" s="56"/>
    </row>
    <row r="277" spans="1:3">
      <c r="A277" s="43"/>
      <c r="B277" s="55"/>
      <c r="C277" s="56"/>
    </row>
    <row r="278" spans="1:3">
      <c r="A278" s="43"/>
      <c r="B278" s="55"/>
      <c r="C278" s="56"/>
    </row>
    <row r="279" spans="1:3">
      <c r="A279" s="43"/>
      <c r="B279" s="55"/>
      <c r="C279" s="56"/>
    </row>
    <row r="280" spans="1:3">
      <c r="A280" s="43"/>
      <c r="B280" s="55"/>
      <c r="C280" s="56"/>
    </row>
    <row r="281" spans="1:3">
      <c r="A281" s="43"/>
      <c r="B281" s="55"/>
      <c r="C281" s="56"/>
    </row>
    <row r="282" spans="1:3">
      <c r="A282" s="43"/>
      <c r="B282" s="55"/>
      <c r="C282" s="56"/>
    </row>
    <row r="283" spans="1:3">
      <c r="A283" s="43"/>
      <c r="B283" s="55"/>
      <c r="C283" s="56"/>
    </row>
    <row r="284" spans="1:3">
      <c r="A284" s="43"/>
      <c r="B284" s="55"/>
      <c r="C284" s="56"/>
    </row>
    <row r="285" spans="1:3">
      <c r="A285" s="43"/>
      <c r="B285" s="55"/>
      <c r="C285" s="56"/>
    </row>
    <row r="286" spans="1:3">
      <c r="A286" s="43"/>
      <c r="B286" s="55"/>
      <c r="C286" s="56"/>
    </row>
    <row r="287" spans="1:3">
      <c r="A287" s="43"/>
      <c r="B287" s="55"/>
      <c r="C287" s="56"/>
    </row>
    <row r="288" spans="1:3">
      <c r="A288" s="43"/>
      <c r="B288" s="55"/>
      <c r="C288" s="56"/>
    </row>
    <row r="289" spans="1:3">
      <c r="A289" s="43"/>
      <c r="B289" s="55"/>
      <c r="C289" s="56"/>
    </row>
    <row r="290" spans="1:3">
      <c r="A290" s="43"/>
      <c r="B290" s="55"/>
      <c r="C290" s="56"/>
    </row>
    <row r="291" spans="1:3">
      <c r="A291" s="43"/>
      <c r="B291" s="55"/>
      <c r="C291" s="56"/>
    </row>
    <row r="292" spans="1:3">
      <c r="A292" s="43"/>
      <c r="B292" s="55"/>
      <c r="C292" s="56"/>
    </row>
    <row r="293" spans="1:3">
      <c r="A293" s="43"/>
      <c r="B293" s="55"/>
      <c r="C293" s="56"/>
    </row>
    <row r="294" spans="1:3">
      <c r="A294" s="43"/>
      <c r="B294" s="55"/>
      <c r="C294" s="56"/>
    </row>
    <row r="295" spans="1:3">
      <c r="A295" s="43"/>
      <c r="B295" s="55"/>
      <c r="C295" s="56"/>
    </row>
    <row r="296" spans="1:3">
      <c r="A296" s="43"/>
      <c r="B296" s="55"/>
      <c r="C296" s="56"/>
    </row>
    <row r="297" spans="1:3">
      <c r="A297" s="43"/>
      <c r="B297" s="55"/>
      <c r="C297" s="56"/>
    </row>
    <row r="298" spans="1:3">
      <c r="A298" s="43"/>
      <c r="B298" s="55"/>
      <c r="C298" s="56"/>
    </row>
    <row r="299" spans="1:3">
      <c r="A299" s="43"/>
      <c r="B299" s="55"/>
      <c r="C299" s="56"/>
    </row>
    <row r="300" spans="1:3">
      <c r="A300" s="43"/>
      <c r="B300" s="55"/>
      <c r="C300" s="56"/>
    </row>
    <row r="301" spans="1:3">
      <c r="A301" s="43"/>
      <c r="B301" s="55"/>
      <c r="C301" s="56"/>
    </row>
    <row r="302" spans="1:3">
      <c r="A302" s="43"/>
      <c r="B302" s="55"/>
      <c r="C302" s="56"/>
    </row>
    <row r="303" spans="1:3">
      <c r="A303" s="43"/>
      <c r="B303" s="55"/>
      <c r="C303" s="56"/>
    </row>
    <row r="304" spans="1:3">
      <c r="A304" s="43"/>
      <c r="B304" s="55"/>
      <c r="C304" s="56"/>
    </row>
    <row r="305" spans="1:3">
      <c r="A305" s="43"/>
      <c r="B305" s="55"/>
      <c r="C305" s="56"/>
    </row>
    <row r="306" spans="1:3">
      <c r="A306" s="43"/>
      <c r="B306" s="55"/>
      <c r="C306" s="56"/>
    </row>
    <row r="307" spans="1:3">
      <c r="A307" s="43"/>
      <c r="B307" s="55"/>
      <c r="C307" s="56"/>
    </row>
    <row r="308" spans="1:3">
      <c r="A308" s="43"/>
      <c r="B308" s="55"/>
      <c r="C308" s="56"/>
    </row>
    <row r="309" spans="1:3">
      <c r="A309" s="43"/>
      <c r="B309" s="55"/>
      <c r="C309" s="56"/>
    </row>
    <row r="310" spans="1:3">
      <c r="A310" s="43"/>
      <c r="B310" s="55"/>
      <c r="C310" s="56"/>
    </row>
    <row r="311" spans="1:3">
      <c r="A311" s="43"/>
      <c r="B311" s="55"/>
      <c r="C311" s="56"/>
    </row>
    <row r="312" spans="1:3">
      <c r="A312" s="43"/>
      <c r="B312" s="55"/>
      <c r="C312" s="56"/>
    </row>
    <row r="313" spans="1:3">
      <c r="A313" s="43"/>
      <c r="B313" s="55"/>
      <c r="C313" s="56"/>
    </row>
    <row r="314" spans="1:3">
      <c r="A314" s="43"/>
      <c r="B314" s="55"/>
      <c r="C314" s="56"/>
    </row>
    <row r="315" spans="1:3">
      <c r="A315" s="43"/>
      <c r="B315" s="55"/>
      <c r="C315" s="56"/>
    </row>
    <row r="316" spans="1:3">
      <c r="A316" s="43"/>
      <c r="B316" s="55"/>
      <c r="C316" s="56"/>
    </row>
    <row r="317" spans="1:3">
      <c r="A317" s="43"/>
      <c r="B317" s="55"/>
      <c r="C317" s="56"/>
    </row>
    <row r="318" spans="1:3">
      <c r="A318" s="43"/>
      <c r="B318" s="55"/>
      <c r="C318" s="56"/>
    </row>
    <row r="319" spans="1:3">
      <c r="A319" s="43"/>
      <c r="B319" s="55"/>
      <c r="C319" s="56"/>
    </row>
    <row r="320" spans="1:3">
      <c r="A320" s="43"/>
      <c r="B320" s="55"/>
      <c r="C320" s="56"/>
    </row>
    <row r="321" spans="1:3">
      <c r="A321" s="43"/>
      <c r="B321" s="55"/>
      <c r="C321" s="56"/>
    </row>
    <row r="322" spans="1:3">
      <c r="A322" s="43"/>
      <c r="B322" s="55"/>
      <c r="C322" s="56"/>
    </row>
    <row r="323" spans="1:3">
      <c r="A323" s="43"/>
      <c r="B323" s="55"/>
      <c r="C323" s="56"/>
    </row>
    <row r="324" spans="1:3">
      <c r="A324" s="43"/>
      <c r="B324" s="55"/>
      <c r="C324" s="56"/>
    </row>
    <row r="325" spans="1:3">
      <c r="A325" s="43"/>
      <c r="B325" s="55"/>
      <c r="C325" s="56"/>
    </row>
    <row r="326" spans="1:3">
      <c r="A326" s="43"/>
      <c r="B326" s="55"/>
      <c r="C326" s="56"/>
    </row>
    <row r="327" spans="1:3">
      <c r="A327" s="43"/>
      <c r="B327" s="55"/>
      <c r="C327" s="56"/>
    </row>
    <row r="328" spans="1:3">
      <c r="A328" s="43"/>
      <c r="B328" s="55"/>
      <c r="C328" s="56"/>
    </row>
    <row r="329" spans="1:3">
      <c r="A329" s="43"/>
      <c r="B329" s="55"/>
      <c r="C329" s="56"/>
    </row>
    <row r="330" spans="1:3">
      <c r="A330" s="43"/>
      <c r="B330" s="55"/>
      <c r="C330" s="56"/>
    </row>
    <row r="331" spans="1:3">
      <c r="A331" s="43"/>
      <c r="B331" s="55"/>
      <c r="C331" s="56"/>
    </row>
    <row r="332" spans="1:3">
      <c r="A332" s="43"/>
      <c r="B332" s="55"/>
      <c r="C332" s="56"/>
    </row>
    <row r="333" spans="1:3">
      <c r="A333" s="43"/>
      <c r="B333" s="55"/>
      <c r="C333" s="56"/>
    </row>
    <row r="334" spans="1:3">
      <c r="A334" s="43"/>
      <c r="B334" s="55"/>
      <c r="C334" s="56"/>
    </row>
    <row r="335" spans="1:3">
      <c r="A335" s="43"/>
      <c r="B335" s="55"/>
      <c r="C335" s="56"/>
    </row>
    <row r="336" spans="1:3">
      <c r="A336" s="43"/>
      <c r="B336" s="55"/>
      <c r="C336" s="56"/>
    </row>
    <row r="337" spans="1:3">
      <c r="A337" s="43"/>
      <c r="B337" s="55"/>
      <c r="C337" s="56"/>
    </row>
    <row r="338" spans="1:3">
      <c r="A338" s="43"/>
      <c r="B338" s="55"/>
      <c r="C338" s="56"/>
    </row>
    <row r="339" spans="1:3">
      <c r="A339" s="43"/>
      <c r="B339" s="55"/>
      <c r="C339" s="56"/>
    </row>
    <row r="340" spans="1:3">
      <c r="A340" s="43"/>
      <c r="B340" s="55"/>
      <c r="C340" s="56"/>
    </row>
    <row r="341" spans="1:3">
      <c r="A341" s="43"/>
      <c r="B341" s="55"/>
      <c r="C341" s="56"/>
    </row>
    <row r="342" spans="1:3">
      <c r="A342" s="43"/>
      <c r="B342" s="55"/>
      <c r="C342" s="56"/>
    </row>
    <row r="343" spans="1:3">
      <c r="A343" s="43"/>
      <c r="B343" s="55"/>
      <c r="C343" s="56"/>
    </row>
    <row r="344" spans="1:3">
      <c r="A344" s="43"/>
      <c r="B344" s="55"/>
      <c r="C344" s="56"/>
    </row>
    <row r="345" spans="1:3">
      <c r="A345" s="43"/>
      <c r="B345" s="55"/>
      <c r="C345" s="56"/>
    </row>
    <row r="346" spans="1:3">
      <c r="A346" s="43"/>
      <c r="B346" s="55"/>
      <c r="C346" s="56"/>
    </row>
    <row r="347" spans="1:3">
      <c r="A347" s="43"/>
      <c r="B347" s="55"/>
      <c r="C347" s="56"/>
    </row>
    <row r="348" spans="1:3">
      <c r="A348" s="43"/>
      <c r="B348" s="55"/>
      <c r="C348" s="56"/>
    </row>
    <row r="349" spans="1:3">
      <c r="A349" s="43"/>
      <c r="B349" s="55"/>
      <c r="C349" s="56"/>
    </row>
    <row r="350" spans="1:3">
      <c r="A350" s="43"/>
      <c r="B350" s="55"/>
      <c r="C350" s="56"/>
    </row>
    <row r="351" spans="1:3">
      <c r="A351" s="43"/>
      <c r="B351" s="55"/>
      <c r="C351" s="56"/>
    </row>
    <row r="352" spans="1:3">
      <c r="A352" s="43"/>
      <c r="B352" s="55"/>
      <c r="C352" s="56"/>
    </row>
    <row r="353" spans="1:3">
      <c r="A353" s="43"/>
      <c r="B353" s="55"/>
      <c r="C353" s="56"/>
    </row>
    <row r="354" spans="1:3">
      <c r="A354" s="43"/>
      <c r="B354" s="55"/>
      <c r="C354" s="56"/>
    </row>
    <row r="355" spans="1:3">
      <c r="A355" s="43"/>
      <c r="B355" s="55"/>
      <c r="C355" s="56"/>
    </row>
    <row r="356" spans="1:3">
      <c r="A356" s="43"/>
      <c r="B356" s="55"/>
      <c r="C356" s="56"/>
    </row>
    <row r="357" spans="1:3">
      <c r="A357" s="43"/>
      <c r="B357" s="55"/>
      <c r="C357" s="56"/>
    </row>
    <row r="358" spans="1:3">
      <c r="A358" s="43"/>
      <c r="B358" s="55"/>
      <c r="C358" s="56"/>
    </row>
    <row r="359" spans="1:3">
      <c r="A359" s="43"/>
      <c r="B359" s="55"/>
      <c r="C359" s="56"/>
    </row>
    <row r="360" spans="1:3">
      <c r="A360" s="43"/>
      <c r="B360" s="55"/>
      <c r="C360" s="56"/>
    </row>
    <row r="361" spans="1:3">
      <c r="A361" s="43"/>
      <c r="B361" s="55"/>
      <c r="C361" s="56"/>
    </row>
    <row r="362" spans="1:3">
      <c r="A362" s="43"/>
      <c r="B362" s="55"/>
      <c r="C362" s="56"/>
    </row>
    <row r="363" spans="1:3">
      <c r="A363" s="43"/>
      <c r="B363" s="55"/>
      <c r="C363" s="56"/>
    </row>
    <row r="364" spans="1:3">
      <c r="A364" s="43"/>
      <c r="B364" s="55"/>
      <c r="C364" s="56"/>
    </row>
    <row r="365" spans="1:3">
      <c r="A365" s="43"/>
      <c r="B365" s="55"/>
      <c r="C365" s="56"/>
    </row>
    <row r="366" spans="1:3">
      <c r="A366" s="43"/>
      <c r="B366" s="55"/>
      <c r="C366" s="56"/>
    </row>
    <row r="367" spans="1:3">
      <c r="A367" s="43"/>
      <c r="B367" s="55"/>
      <c r="C367" s="56"/>
    </row>
    <row r="368" spans="1:3">
      <c r="A368" s="43"/>
      <c r="B368" s="55"/>
      <c r="C368" s="56"/>
    </row>
    <row r="369" spans="1:3">
      <c r="A369" s="43"/>
      <c r="B369" s="55"/>
      <c r="C369" s="56"/>
    </row>
    <row r="370" spans="1:3">
      <c r="A370" s="43"/>
      <c r="B370" s="55"/>
      <c r="C370" s="56"/>
    </row>
    <row r="371" spans="1:3">
      <c r="A371" s="43"/>
      <c r="B371" s="55"/>
      <c r="C371" s="56"/>
    </row>
    <row r="372" spans="1:3">
      <c r="A372" s="43"/>
      <c r="B372" s="55"/>
      <c r="C372" s="56"/>
    </row>
    <row r="373" spans="1:3">
      <c r="A373" s="43"/>
      <c r="B373" s="55"/>
      <c r="C373" s="56"/>
    </row>
    <row r="374" spans="1:3">
      <c r="A374" s="43"/>
      <c r="B374" s="55"/>
      <c r="C374" s="56"/>
    </row>
    <row r="375" spans="1:3">
      <c r="A375" s="43"/>
      <c r="B375" s="55"/>
      <c r="C375" s="56"/>
    </row>
    <row r="376" spans="1:3">
      <c r="A376" s="43"/>
      <c r="B376" s="55"/>
      <c r="C376" s="56"/>
    </row>
    <row r="377" spans="1:3">
      <c r="A377" s="43"/>
      <c r="B377" s="55"/>
      <c r="C377" s="56"/>
    </row>
    <row r="378" spans="1:3">
      <c r="A378" s="43"/>
      <c r="B378" s="55"/>
      <c r="C378" s="56"/>
    </row>
    <row r="379" spans="1:3">
      <c r="A379" s="43"/>
      <c r="B379" s="55"/>
      <c r="C379" s="56"/>
    </row>
    <row r="380" spans="1:3">
      <c r="A380" s="43"/>
      <c r="B380" s="55"/>
      <c r="C380" s="56"/>
    </row>
    <row r="381" spans="1:3">
      <c r="A381" s="43"/>
      <c r="B381" s="55"/>
      <c r="C381" s="56"/>
    </row>
    <row r="382" spans="1:3">
      <c r="A382" s="43"/>
      <c r="B382" s="55"/>
      <c r="C382" s="56"/>
    </row>
    <row r="383" spans="1:3">
      <c r="A383" s="43"/>
      <c r="B383" s="55"/>
      <c r="C383" s="56"/>
    </row>
    <row r="384" spans="1:3">
      <c r="A384" s="43"/>
      <c r="B384" s="55"/>
      <c r="C384" s="56"/>
    </row>
    <row r="385" spans="1:3">
      <c r="A385" s="43"/>
      <c r="B385" s="55"/>
      <c r="C385" s="56"/>
    </row>
    <row r="386" spans="1:3">
      <c r="A386" s="43"/>
      <c r="B386" s="55"/>
      <c r="C386" s="56"/>
    </row>
    <row r="387" spans="1:3">
      <c r="A387" s="43"/>
      <c r="B387" s="55"/>
      <c r="C387" s="56"/>
    </row>
    <row r="388" spans="1:3">
      <c r="A388" s="43"/>
      <c r="B388" s="55"/>
      <c r="C388" s="56"/>
    </row>
    <row r="389" spans="1:3">
      <c r="A389" s="43"/>
      <c r="B389" s="55"/>
      <c r="C389" s="56"/>
    </row>
    <row r="390" spans="1:3">
      <c r="A390" s="43"/>
      <c r="B390" s="55"/>
      <c r="C390" s="56"/>
    </row>
    <row r="391" spans="1:3">
      <c r="A391" s="43"/>
      <c r="B391" s="55"/>
      <c r="C391" s="56"/>
    </row>
    <row r="392" spans="1:3">
      <c r="A392" s="43"/>
      <c r="B392" s="55"/>
      <c r="C392" s="56"/>
    </row>
    <row r="393" spans="1:3">
      <c r="A393" s="43"/>
      <c r="B393" s="55"/>
      <c r="C393" s="56"/>
    </row>
    <row r="394" spans="1:3">
      <c r="A394" s="43"/>
      <c r="B394" s="55"/>
      <c r="C394" s="56"/>
    </row>
    <row r="395" spans="1:3">
      <c r="A395" s="43"/>
      <c r="B395" s="55"/>
      <c r="C395" s="56"/>
    </row>
    <row r="396" spans="1:3">
      <c r="A396" s="43"/>
      <c r="B396" s="55"/>
      <c r="C396" s="56"/>
    </row>
    <row r="397" spans="1:3">
      <c r="A397" s="43"/>
      <c r="B397" s="55"/>
      <c r="C397" s="56"/>
    </row>
    <row r="398" spans="1:3">
      <c r="A398" s="43"/>
      <c r="B398" s="55"/>
      <c r="C398" s="56"/>
    </row>
    <row r="399" spans="1:3">
      <c r="A399" s="43"/>
      <c r="B399" s="55"/>
      <c r="C399" s="56"/>
    </row>
    <row r="400" spans="1:3">
      <c r="A400" s="43"/>
      <c r="B400" s="55"/>
      <c r="C400" s="56"/>
    </row>
    <row r="401" spans="1:3">
      <c r="A401" s="43"/>
      <c r="B401" s="55"/>
      <c r="C401" s="56"/>
    </row>
    <row r="402" spans="1:3">
      <c r="A402" s="43"/>
      <c r="B402" s="55"/>
      <c r="C402" s="56"/>
    </row>
    <row r="403" spans="1:3">
      <c r="A403" s="43"/>
      <c r="B403" s="55"/>
      <c r="C403" s="56"/>
    </row>
    <row r="404" spans="1:3">
      <c r="A404" s="43"/>
      <c r="B404" s="55"/>
      <c r="C404" s="56"/>
    </row>
    <row r="405" spans="1:3">
      <c r="A405" s="43"/>
      <c r="B405" s="55"/>
      <c r="C405" s="56"/>
    </row>
    <row r="406" spans="1:3">
      <c r="A406" s="43"/>
      <c r="B406" s="55"/>
      <c r="C406" s="56"/>
    </row>
    <row r="407" spans="1:3">
      <c r="A407" s="43"/>
      <c r="B407" s="55"/>
      <c r="C407" s="56"/>
    </row>
    <row r="408" spans="1:3">
      <c r="A408" s="43"/>
      <c r="B408" s="55"/>
      <c r="C408" s="56"/>
    </row>
    <row r="409" spans="1:3">
      <c r="A409" s="43"/>
      <c r="B409" s="55"/>
      <c r="C409" s="56"/>
    </row>
    <row r="410" spans="1:3">
      <c r="A410" s="43"/>
      <c r="B410" s="55"/>
      <c r="C410" s="56"/>
    </row>
    <row r="411" spans="1:3">
      <c r="A411" s="43"/>
      <c r="B411" s="55"/>
      <c r="C411" s="56"/>
    </row>
    <row r="412" spans="1:3">
      <c r="A412" s="43"/>
      <c r="B412" s="55"/>
      <c r="C412" s="56"/>
    </row>
    <row r="413" spans="1:3">
      <c r="A413" s="43"/>
      <c r="B413" s="55"/>
      <c r="C413" s="56"/>
    </row>
    <row r="414" spans="1:3">
      <c r="A414" s="43"/>
      <c r="B414" s="55"/>
      <c r="C414" s="56"/>
    </row>
    <row r="415" spans="1:3">
      <c r="A415" s="43"/>
      <c r="B415" s="55"/>
      <c r="C415" s="56"/>
    </row>
    <row r="416" spans="1:3">
      <c r="A416" s="43"/>
      <c r="B416" s="55"/>
      <c r="C416" s="56"/>
    </row>
    <row r="417" spans="1:3">
      <c r="A417" s="43"/>
      <c r="B417" s="55"/>
      <c r="C417" s="56"/>
    </row>
    <row r="418" spans="1:3">
      <c r="A418" s="43"/>
      <c r="B418" s="55"/>
      <c r="C418" s="56"/>
    </row>
    <row r="419" spans="1:3">
      <c r="A419" s="43"/>
      <c r="B419" s="55"/>
      <c r="C419" s="56"/>
    </row>
    <row r="420" spans="1:3">
      <c r="A420" s="43"/>
      <c r="B420" s="55"/>
      <c r="C420" s="56"/>
    </row>
    <row r="421" spans="1:3">
      <c r="A421" s="43"/>
      <c r="B421" s="55"/>
      <c r="C421" s="56"/>
    </row>
    <row r="422" spans="1:3">
      <c r="A422" s="43"/>
      <c r="B422" s="55"/>
      <c r="C422" s="56"/>
    </row>
    <row r="423" spans="1:3">
      <c r="A423" s="43"/>
      <c r="B423" s="55"/>
      <c r="C423" s="56"/>
    </row>
    <row r="424" spans="1:3">
      <c r="A424" s="43"/>
      <c r="B424" s="55"/>
      <c r="C424" s="56"/>
    </row>
    <row r="425" spans="1:3">
      <c r="A425" s="43"/>
      <c r="B425" s="55"/>
      <c r="C425" s="56"/>
    </row>
    <row r="426" spans="1:3">
      <c r="A426" s="43"/>
      <c r="B426" s="55"/>
      <c r="C426" s="56"/>
    </row>
    <row r="427" spans="1:3">
      <c r="A427" s="43"/>
      <c r="B427" s="55"/>
      <c r="C427" s="56"/>
    </row>
    <row r="428" spans="1:3">
      <c r="A428" s="43"/>
      <c r="B428" s="55"/>
      <c r="C428" s="56"/>
    </row>
    <row r="429" spans="1:3">
      <c r="A429" s="43"/>
      <c r="B429" s="55"/>
      <c r="C429" s="56"/>
    </row>
    <row r="430" spans="1:3">
      <c r="A430" s="43"/>
      <c r="B430" s="55"/>
      <c r="C430" s="56"/>
    </row>
    <row r="431" spans="1:3">
      <c r="A431" s="43"/>
      <c r="B431" s="55"/>
      <c r="C431" s="56"/>
    </row>
    <row r="432" spans="1:3">
      <c r="A432" s="43"/>
      <c r="B432" s="55"/>
      <c r="C432" s="56"/>
    </row>
    <row r="433" spans="1:3">
      <c r="A433" s="43"/>
      <c r="B433" s="55"/>
      <c r="C433" s="56"/>
    </row>
    <row r="434" spans="1:3">
      <c r="A434" s="43"/>
      <c r="B434" s="55"/>
      <c r="C434" s="56"/>
    </row>
    <row r="435" spans="1:3">
      <c r="A435" s="43"/>
      <c r="B435" s="55"/>
      <c r="C435" s="56"/>
    </row>
    <row r="436" spans="1:3">
      <c r="A436" s="43"/>
      <c r="B436" s="55"/>
      <c r="C436" s="56"/>
    </row>
    <row r="437" spans="1:3">
      <c r="A437" s="43"/>
      <c r="B437" s="55"/>
      <c r="C437" s="56"/>
    </row>
    <row r="438" spans="1:3">
      <c r="A438" s="43"/>
      <c r="B438" s="55"/>
      <c r="C438" s="56"/>
    </row>
    <row r="439" spans="1:3">
      <c r="A439" s="43"/>
      <c r="B439" s="55"/>
      <c r="C439" s="56"/>
    </row>
    <row r="440" spans="1:3">
      <c r="A440" s="43"/>
      <c r="B440" s="55"/>
      <c r="C440" s="56"/>
    </row>
    <row r="441" spans="1:3">
      <c r="A441" s="43"/>
      <c r="B441" s="55"/>
      <c r="C441" s="56"/>
    </row>
    <row r="442" spans="1:3">
      <c r="A442" s="43"/>
      <c r="B442" s="55"/>
      <c r="C442" s="56"/>
    </row>
    <row r="443" spans="1:3">
      <c r="A443" s="43"/>
      <c r="B443" s="55"/>
      <c r="C443" s="56"/>
    </row>
    <row r="444" spans="1:3">
      <c r="A444" s="43"/>
      <c r="B444" s="55"/>
      <c r="C444" s="56"/>
    </row>
    <row r="445" spans="1:3">
      <c r="A445" s="43"/>
      <c r="B445" s="55"/>
      <c r="C445" s="56"/>
    </row>
    <row r="446" spans="1:3">
      <c r="A446" s="43"/>
      <c r="B446" s="55"/>
      <c r="C446" s="56"/>
    </row>
    <row r="447" spans="1:3">
      <c r="A447" s="43"/>
      <c r="B447" s="55"/>
      <c r="C447" s="56"/>
    </row>
    <row r="448" spans="1:3">
      <c r="A448" s="43"/>
      <c r="B448" s="55"/>
      <c r="C448" s="56"/>
    </row>
    <row r="449" spans="1:3">
      <c r="A449" s="43"/>
      <c r="B449" s="55"/>
      <c r="C449" s="56"/>
    </row>
    <row r="450" spans="1:3">
      <c r="A450" s="43"/>
      <c r="B450" s="55"/>
      <c r="C450" s="56"/>
    </row>
    <row r="451" spans="1:3">
      <c r="A451" s="43"/>
      <c r="B451" s="55"/>
      <c r="C451" s="56"/>
    </row>
    <row r="452" spans="1:3">
      <c r="A452" s="43"/>
      <c r="B452" s="55"/>
      <c r="C452" s="56"/>
    </row>
    <row r="453" spans="1:3">
      <c r="A453" s="43"/>
      <c r="B453" s="55"/>
      <c r="C453" s="56"/>
    </row>
    <row r="454" spans="1:3">
      <c r="A454" s="43"/>
      <c r="B454" s="55"/>
      <c r="C454" s="56"/>
    </row>
    <row r="455" spans="1:3">
      <c r="A455" s="43"/>
      <c r="B455" s="55"/>
      <c r="C455" s="56"/>
    </row>
    <row r="456" spans="1:3">
      <c r="A456" s="43"/>
      <c r="B456" s="55"/>
      <c r="C456" s="56"/>
    </row>
    <row r="457" spans="1:3">
      <c r="A457" s="43"/>
      <c r="B457" s="55"/>
      <c r="C457" s="56"/>
    </row>
    <row r="458" spans="1:3">
      <c r="A458" s="43"/>
      <c r="B458" s="55"/>
      <c r="C458" s="56"/>
    </row>
    <row r="459" spans="1:3">
      <c r="A459" s="43"/>
      <c r="B459" s="55"/>
      <c r="C459" s="56"/>
    </row>
    <row r="460" spans="1:3">
      <c r="A460" s="43"/>
      <c r="B460" s="55"/>
      <c r="C460" s="56"/>
    </row>
    <row r="461" spans="1:3">
      <c r="A461" s="43"/>
      <c r="B461" s="55"/>
      <c r="C461" s="56"/>
    </row>
    <row r="462" spans="1:3">
      <c r="A462" s="43"/>
      <c r="B462" s="55"/>
      <c r="C462" s="56"/>
    </row>
    <row r="463" spans="1:3">
      <c r="A463" s="43"/>
      <c r="B463" s="55"/>
      <c r="C463" s="56"/>
    </row>
    <row r="464" spans="1:3">
      <c r="A464" s="43"/>
      <c r="B464" s="55"/>
      <c r="C464" s="56"/>
    </row>
    <row r="465" spans="1:3">
      <c r="A465" s="43"/>
      <c r="B465" s="55"/>
      <c r="C465" s="56"/>
    </row>
    <row r="466" spans="1:3">
      <c r="A466" s="43"/>
      <c r="B466" s="55"/>
      <c r="C466" s="56"/>
    </row>
    <row r="467" spans="1:3">
      <c r="A467" s="43"/>
      <c r="B467" s="55"/>
      <c r="C467" s="56"/>
    </row>
    <row r="468" spans="1:3">
      <c r="A468" s="43"/>
      <c r="B468" s="55"/>
      <c r="C468" s="56"/>
    </row>
    <row r="469" spans="1:3">
      <c r="A469" s="43"/>
      <c r="B469" s="55"/>
      <c r="C469" s="56"/>
    </row>
    <row r="470" spans="1:3">
      <c r="A470" s="43"/>
      <c r="B470" s="55"/>
      <c r="C470" s="56"/>
    </row>
    <row r="471" spans="1:3">
      <c r="A471" s="43"/>
      <c r="B471" s="55"/>
      <c r="C471" s="56"/>
    </row>
    <row r="472" spans="1:3">
      <c r="A472" s="43"/>
      <c r="B472" s="55"/>
      <c r="C472" s="56"/>
    </row>
    <row r="473" spans="1:3">
      <c r="A473" s="43"/>
      <c r="B473" s="55"/>
      <c r="C473" s="56"/>
    </row>
    <row r="474" spans="1:3">
      <c r="A474" s="43"/>
      <c r="B474" s="55"/>
      <c r="C474" s="56"/>
    </row>
    <row r="475" spans="1:3">
      <c r="A475" s="43"/>
      <c r="B475" s="55"/>
      <c r="C475" s="56"/>
    </row>
    <row r="476" spans="1:3">
      <c r="A476" s="43"/>
      <c r="B476" s="55"/>
      <c r="C476" s="56"/>
    </row>
    <row r="477" spans="1:3">
      <c r="A477" s="43"/>
      <c r="B477" s="55"/>
      <c r="C477" s="56"/>
    </row>
    <row r="478" spans="1:3">
      <c r="A478" s="43"/>
      <c r="B478" s="55"/>
      <c r="C478" s="56"/>
    </row>
    <row r="479" spans="1:3">
      <c r="A479" s="43"/>
      <c r="B479" s="55"/>
      <c r="C479" s="56"/>
    </row>
    <row r="480" spans="1:3">
      <c r="A480" s="43"/>
      <c r="B480" s="55"/>
      <c r="C480" s="56"/>
    </row>
    <row r="481" spans="1:3">
      <c r="A481" s="43"/>
      <c r="B481" s="55"/>
      <c r="C481" s="56"/>
    </row>
    <row r="482" spans="1:3">
      <c r="A482" s="43"/>
      <c r="B482" s="55"/>
      <c r="C482" s="56"/>
    </row>
    <row r="483" spans="1:3">
      <c r="A483" s="43"/>
      <c r="B483" s="55"/>
      <c r="C483" s="56"/>
    </row>
    <row r="484" spans="1:3">
      <c r="A484" s="43"/>
      <c r="B484" s="55"/>
      <c r="C484" s="56"/>
    </row>
    <row r="485" spans="1:3">
      <c r="A485" s="43"/>
      <c r="B485" s="55"/>
      <c r="C485" s="56"/>
    </row>
    <row r="486" spans="1:3">
      <c r="A486" s="43"/>
      <c r="B486" s="55"/>
      <c r="C486" s="56"/>
    </row>
    <row r="487" spans="1:3">
      <c r="A487" s="43"/>
      <c r="B487" s="55"/>
      <c r="C487" s="56"/>
    </row>
    <row r="488" spans="1:3">
      <c r="A488" s="43"/>
      <c r="B488" s="55"/>
      <c r="C488" s="56"/>
    </row>
    <row r="489" spans="1:3">
      <c r="A489" s="43"/>
      <c r="B489" s="55"/>
      <c r="C489" s="56"/>
    </row>
    <row r="490" spans="1:3">
      <c r="A490" s="43"/>
      <c r="B490" s="55"/>
      <c r="C490" s="56"/>
    </row>
    <row r="491" spans="1:3">
      <c r="A491" s="43"/>
      <c r="B491" s="55"/>
      <c r="C491" s="56"/>
    </row>
    <row r="492" spans="1:3">
      <c r="A492" s="43"/>
      <c r="B492" s="55"/>
      <c r="C492" s="56"/>
    </row>
    <row r="493" spans="1:3">
      <c r="A493" s="43"/>
      <c r="B493" s="55"/>
      <c r="C493" s="56"/>
    </row>
    <row r="494" spans="1:3">
      <c r="A494" s="43"/>
      <c r="B494" s="55"/>
      <c r="C494" s="56"/>
    </row>
    <row r="495" spans="1:3">
      <c r="A495" s="43"/>
      <c r="B495" s="55"/>
      <c r="C495" s="56"/>
    </row>
    <row r="496" spans="1:3">
      <c r="A496" s="43"/>
      <c r="B496" s="55"/>
      <c r="C496" s="56"/>
    </row>
    <row r="497" spans="1:3">
      <c r="A497" s="43"/>
      <c r="B497" s="55"/>
      <c r="C497" s="56"/>
    </row>
    <row r="498" spans="1:3">
      <c r="A498" s="43"/>
      <c r="B498" s="55"/>
      <c r="C498" s="56"/>
    </row>
    <row r="499" spans="1:3">
      <c r="A499" s="43"/>
      <c r="B499" s="55"/>
      <c r="C499" s="56"/>
    </row>
    <row r="500" spans="1:3">
      <c r="A500" s="43"/>
      <c r="B500" s="55"/>
      <c r="C500" s="56"/>
    </row>
    <row r="501" spans="1:3">
      <c r="A501" s="43"/>
      <c r="B501" s="55"/>
      <c r="C501" s="56"/>
    </row>
    <row r="502" spans="1:3">
      <c r="A502" s="43"/>
      <c r="B502" s="55"/>
      <c r="C502" s="56"/>
    </row>
    <row r="503" spans="1:3">
      <c r="A503" s="43"/>
      <c r="B503" s="55"/>
      <c r="C503" s="56"/>
    </row>
    <row r="504" spans="1:3">
      <c r="A504" s="43"/>
      <c r="B504" s="55"/>
      <c r="C504" s="56"/>
    </row>
    <row r="505" spans="1:3">
      <c r="A505" s="43"/>
      <c r="B505" s="55"/>
      <c r="C505" s="56"/>
    </row>
    <row r="506" spans="1:3">
      <c r="A506" s="43"/>
      <c r="B506" s="55"/>
      <c r="C506" s="56"/>
    </row>
    <row r="507" spans="1:3">
      <c r="A507" s="43"/>
      <c r="B507" s="55"/>
      <c r="C507" s="56"/>
    </row>
    <row r="508" spans="1:3">
      <c r="A508" s="43"/>
      <c r="B508" s="55"/>
      <c r="C508" s="56"/>
    </row>
    <row r="509" spans="1:3">
      <c r="A509" s="43"/>
      <c r="B509" s="55"/>
      <c r="C509" s="56"/>
    </row>
    <row r="510" spans="1:3">
      <c r="A510" s="43"/>
      <c r="B510" s="55"/>
      <c r="C510" s="56"/>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0837-2245-4C75-84D1-DB83B94AD434}">
  <dimension ref="A1:AD622"/>
  <sheetViews>
    <sheetView zoomScale="80" zoomScaleNormal="80" workbookViewId="0">
      <pane xSplit="1" ySplit="2" topLeftCell="B3" activePane="bottomRight" state="frozen"/>
      <selection pane="topRight" activeCell="B1" sqref="B1"/>
      <selection pane="bottomLeft" activeCell="A13" sqref="A13"/>
      <selection pane="bottomRight" activeCell="F90" sqref="F90"/>
    </sheetView>
  </sheetViews>
  <sheetFormatPr defaultColWidth="9.1328125" defaultRowHeight="15" customHeight="1"/>
  <cols>
    <col min="1" max="1" width="13.53125" style="7" customWidth="1"/>
    <col min="2" max="2" width="13.53125" style="9" customWidth="1"/>
    <col min="3" max="3" width="13.46484375" style="9" customWidth="1"/>
    <col min="4" max="4" width="9.1328125" style="9"/>
    <col min="5" max="5" width="12.53125" style="11" customWidth="1"/>
    <col min="6" max="6" width="12.53125" style="19" customWidth="1"/>
    <col min="7" max="7" width="12.86328125" style="13" customWidth="1"/>
    <col min="8" max="16384" width="9.1328125" style="1"/>
  </cols>
  <sheetData>
    <row r="1" spans="1:30" s="6" customFormat="1" ht="15" customHeight="1">
      <c r="A1" s="7" t="s">
        <v>0</v>
      </c>
      <c r="B1" s="16" t="s">
        <v>1</v>
      </c>
      <c r="C1" s="16" t="s">
        <v>2</v>
      </c>
      <c r="D1" s="16" t="s">
        <v>3</v>
      </c>
      <c r="E1" s="17" t="s">
        <v>4</v>
      </c>
      <c r="F1" s="18" t="s">
        <v>5</v>
      </c>
      <c r="G1" s="20">
        <v>100000</v>
      </c>
    </row>
    <row r="2" spans="1:30" s="2" customFormat="1" ht="15" customHeight="1">
      <c r="A2" s="8">
        <v>27911</v>
      </c>
      <c r="B2" s="5">
        <v>5.2900000000000003E-2</v>
      </c>
      <c r="C2" s="10">
        <v>7.706190476190479E-2</v>
      </c>
      <c r="D2" s="10">
        <f>C2-B2</f>
        <v>2.4161904761904787E-2</v>
      </c>
      <c r="E2" s="12">
        <f>D2/365</f>
        <v>6.6196999347684345E-5</v>
      </c>
      <c r="F2" s="3">
        <f>E2*$G$1</f>
        <v>6.6196999347684349</v>
      </c>
      <c r="G2" s="3"/>
    </row>
    <row r="3" spans="1:30" s="2" customFormat="1" ht="15" customHeight="1">
      <c r="A3" s="8">
        <v>27941</v>
      </c>
      <c r="B3" s="5">
        <v>5.4800000000000001E-2</v>
      </c>
      <c r="C3" s="10">
        <v>8.022727272727273E-2</v>
      </c>
      <c r="D3" s="10">
        <f t="shared" ref="D3:D66" si="0">C3-B3</f>
        <v>2.5427272727272729E-2</v>
      </c>
      <c r="E3" s="12">
        <f t="shared" ref="E3:E66" si="1">D3/365</f>
        <v>6.9663760896637608E-5</v>
      </c>
      <c r="F3" s="3">
        <f t="shared" ref="F3:F66" si="2">E3*$G$1</f>
        <v>6.9663760896637612</v>
      </c>
      <c r="G3" s="3"/>
    </row>
    <row r="4" spans="1:30" s="2" customFormat="1" ht="15" customHeight="1">
      <c r="A4" s="8">
        <v>27972</v>
      </c>
      <c r="B4" s="5">
        <v>5.3099999999999994E-2</v>
      </c>
      <c r="C4" s="10">
        <v>7.5713636363636358E-2</v>
      </c>
      <c r="D4" s="10">
        <f t="shared" si="0"/>
        <v>2.2613636363636364E-2</v>
      </c>
      <c r="E4" s="12">
        <f t="shared" si="1"/>
        <v>6.1955168119551686E-5</v>
      </c>
      <c r="F4" s="3">
        <f t="shared" si="2"/>
        <v>6.1955168119551685</v>
      </c>
      <c r="G4" s="3"/>
    </row>
    <row r="5" spans="1:30" s="2" customFormat="1" ht="15" customHeight="1">
      <c r="A5" s="8">
        <v>28003</v>
      </c>
      <c r="B5" s="5">
        <v>5.2900000000000003E-2</v>
      </c>
      <c r="C5" s="10">
        <v>7.7490909090909096E-2</v>
      </c>
      <c r="D5" s="10">
        <f t="shared" si="0"/>
        <v>2.4590909090909094E-2</v>
      </c>
      <c r="E5" s="12">
        <f t="shared" si="1"/>
        <v>6.7372353673723545E-5</v>
      </c>
      <c r="F5" s="3">
        <f t="shared" si="2"/>
        <v>6.7372353673723548</v>
      </c>
      <c r="G5" s="3"/>
      <c r="AD5" s="26"/>
    </row>
    <row r="6" spans="1:30" s="2" customFormat="1" ht="15" customHeight="1">
      <c r="A6" s="8">
        <v>28033</v>
      </c>
      <c r="B6" s="5">
        <v>5.2499999999999998E-2</v>
      </c>
      <c r="C6" s="10">
        <v>7.4622727272727257E-2</v>
      </c>
      <c r="D6" s="10">
        <f t="shared" si="0"/>
        <v>2.2122727272727259E-2</v>
      </c>
      <c r="E6" s="12">
        <f t="shared" si="1"/>
        <v>6.0610211706102082E-5</v>
      </c>
      <c r="F6" s="3">
        <f t="shared" si="2"/>
        <v>6.061021170610208</v>
      </c>
      <c r="G6" s="3"/>
    </row>
    <row r="7" spans="1:30" s="2" customFormat="1" ht="15" customHeight="1">
      <c r="A7" s="8">
        <v>28064</v>
      </c>
      <c r="B7" s="5">
        <v>5.0199999999999995E-2</v>
      </c>
      <c r="C7" s="10">
        <v>7.277142857142857E-2</v>
      </c>
      <c r="D7" s="10">
        <f t="shared" si="0"/>
        <v>2.2571428571428576E-2</v>
      </c>
      <c r="E7" s="12">
        <f t="shared" si="1"/>
        <v>6.1839530332681025E-5</v>
      </c>
      <c r="F7" s="3">
        <f t="shared" si="2"/>
        <v>6.1839530332681028</v>
      </c>
      <c r="G7" s="3"/>
    </row>
    <row r="8" spans="1:30" s="2" customFormat="1" ht="15" customHeight="1">
      <c r="A8" s="8">
        <v>28094</v>
      </c>
      <c r="B8" s="5">
        <v>4.9500000000000002E-2</v>
      </c>
      <c r="C8" s="10">
        <v>7.1754545454545446E-2</v>
      </c>
      <c r="D8" s="10">
        <f t="shared" si="0"/>
        <v>2.2254545454545444E-2</v>
      </c>
      <c r="E8" s="12">
        <f t="shared" si="1"/>
        <v>6.0971357409713543E-5</v>
      </c>
      <c r="F8" s="3">
        <f t="shared" si="2"/>
        <v>6.0971357409713542</v>
      </c>
      <c r="G8" s="3"/>
    </row>
    <row r="9" spans="1:30" s="2" customFormat="1" ht="15" customHeight="1">
      <c r="A9" s="8">
        <v>28125</v>
      </c>
      <c r="B9" s="5">
        <v>4.6500000000000007E-2</v>
      </c>
      <c r="C9" s="10">
        <v>6.371904761904762E-2</v>
      </c>
      <c r="D9" s="10">
        <f t="shared" si="0"/>
        <v>1.7219047619047613E-2</v>
      </c>
      <c r="E9" s="12">
        <f t="shared" si="1"/>
        <v>4.717547292889757E-5</v>
      </c>
      <c r="F9" s="3">
        <f t="shared" si="2"/>
        <v>4.7175472928897566</v>
      </c>
      <c r="G9" s="3"/>
    </row>
    <row r="10" spans="1:30" s="2" customFormat="1" ht="15" customHeight="1">
      <c r="A10" s="8">
        <v>28156</v>
      </c>
      <c r="B10" s="5">
        <v>4.6100000000000002E-2</v>
      </c>
      <c r="C10" s="10">
        <v>7.4563157894736831E-2</v>
      </c>
      <c r="D10" s="10">
        <f t="shared" si="0"/>
        <v>2.8463157894736829E-2</v>
      </c>
      <c r="E10" s="12">
        <f t="shared" si="1"/>
        <v>7.7981254506128301E-5</v>
      </c>
      <c r="F10" s="3">
        <f t="shared" si="2"/>
        <v>7.7981254506128304</v>
      </c>
      <c r="G10" s="3"/>
    </row>
    <row r="11" spans="1:30" s="2" customFormat="1" ht="15" customHeight="1">
      <c r="A11" s="8">
        <v>28184</v>
      </c>
      <c r="B11" s="5">
        <v>4.6799999999999994E-2</v>
      </c>
      <c r="C11" s="10">
        <v>7.4234999999999995E-2</v>
      </c>
      <c r="D11" s="10">
        <f t="shared" si="0"/>
        <v>2.7435000000000001E-2</v>
      </c>
      <c r="E11" s="12">
        <f t="shared" si="1"/>
        <v>7.5164383561643832E-5</v>
      </c>
      <c r="F11" s="3">
        <f t="shared" si="2"/>
        <v>7.5164383561643833</v>
      </c>
      <c r="G11" s="3"/>
    </row>
    <row r="12" spans="1:30" s="2" customFormat="1" ht="15" customHeight="1">
      <c r="A12" s="8">
        <v>28215</v>
      </c>
      <c r="B12" s="5">
        <v>4.6900000000000004E-2</v>
      </c>
      <c r="C12" s="10">
        <v>7.5756521739130417E-2</v>
      </c>
      <c r="D12" s="10">
        <f t="shared" si="0"/>
        <v>2.8856521739130413E-2</v>
      </c>
      <c r="E12" s="12">
        <f t="shared" si="1"/>
        <v>7.9058963668850448E-5</v>
      </c>
      <c r="F12" s="3">
        <f t="shared" si="2"/>
        <v>7.9058963668850444</v>
      </c>
      <c r="G12" s="3"/>
    </row>
    <row r="13" spans="1:30" s="2" customFormat="1" ht="15" customHeight="1">
      <c r="A13" s="8">
        <v>28245</v>
      </c>
      <c r="B13" s="5">
        <v>4.7300000000000002E-2</v>
      </c>
      <c r="C13" s="10">
        <v>7.3622222222222214E-2</v>
      </c>
      <c r="D13" s="10">
        <f t="shared" si="0"/>
        <v>2.6322222222222212E-2</v>
      </c>
      <c r="E13" s="12">
        <f t="shared" si="1"/>
        <v>7.2115677321156745E-5</v>
      </c>
      <c r="F13" s="3">
        <f t="shared" si="2"/>
        <v>7.2115677321156744</v>
      </c>
      <c r="G13" s="3"/>
    </row>
    <row r="14" spans="1:30" s="2" customFormat="1" ht="15" customHeight="1">
      <c r="A14" s="8">
        <v>28276</v>
      </c>
      <c r="B14" s="5">
        <v>5.3499999999999999E-2</v>
      </c>
      <c r="C14" s="10">
        <v>8.6440909090909082E-2</v>
      </c>
      <c r="D14" s="10">
        <f t="shared" si="0"/>
        <v>3.2940909090909083E-2</v>
      </c>
      <c r="E14" s="12">
        <f t="shared" si="1"/>
        <v>9.0249066002490633E-5</v>
      </c>
      <c r="F14" s="3">
        <f t="shared" si="2"/>
        <v>9.0249066002490625</v>
      </c>
      <c r="G14" s="3"/>
    </row>
    <row r="15" spans="1:30" s="2" customFormat="1" ht="15" customHeight="1">
      <c r="A15" s="8">
        <v>28306</v>
      </c>
      <c r="B15" s="5">
        <v>5.3899999999999997E-2</v>
      </c>
      <c r="C15" s="10">
        <v>9.5204545454545458E-2</v>
      </c>
      <c r="D15" s="10">
        <f t="shared" si="0"/>
        <v>4.1304545454545462E-2</v>
      </c>
      <c r="E15" s="12">
        <f t="shared" si="1"/>
        <v>1.131631382316314E-4</v>
      </c>
      <c r="F15" s="3">
        <f t="shared" si="2"/>
        <v>11.31631382316314</v>
      </c>
      <c r="G15" s="3"/>
    </row>
    <row r="16" spans="1:30" s="2" customFormat="1" ht="15" customHeight="1">
      <c r="A16" s="8">
        <v>28337</v>
      </c>
      <c r="B16" s="5">
        <v>5.4199999999999998E-2</v>
      </c>
      <c r="C16" s="10">
        <v>9.3361904761904757E-2</v>
      </c>
      <c r="D16" s="10">
        <f t="shared" si="0"/>
        <v>3.9161904761904759E-2</v>
      </c>
      <c r="E16" s="12">
        <f t="shared" si="1"/>
        <v>1.0729288975864318E-4</v>
      </c>
      <c r="F16" s="3">
        <f t="shared" si="2"/>
        <v>10.729288975864318</v>
      </c>
      <c r="G16" s="3"/>
    </row>
    <row r="17" spans="1:7" s="2" customFormat="1" ht="15" customHeight="1">
      <c r="A17" s="8">
        <v>28368</v>
      </c>
      <c r="B17" s="5">
        <v>5.9000000000000004E-2</v>
      </c>
      <c r="C17" s="10">
        <v>9.6695652173913058E-2</v>
      </c>
      <c r="D17" s="10">
        <f t="shared" si="0"/>
        <v>3.7695652173913054E-2</v>
      </c>
      <c r="E17" s="12">
        <f t="shared" si="1"/>
        <v>1.0327575938058371E-4</v>
      </c>
      <c r="F17" s="3">
        <f t="shared" si="2"/>
        <v>10.327575938058372</v>
      </c>
      <c r="G17" s="3"/>
    </row>
    <row r="18" spans="1:7" s="2" customFormat="1" ht="15" customHeight="1">
      <c r="A18" s="8">
        <v>28398</v>
      </c>
      <c r="B18" s="5">
        <v>6.1399999999999996E-2</v>
      </c>
      <c r="C18" s="10">
        <v>9.4690909090909089E-2</v>
      </c>
      <c r="D18" s="10">
        <f t="shared" si="0"/>
        <v>3.3290909090909093E-2</v>
      </c>
      <c r="E18" s="12">
        <f t="shared" si="1"/>
        <v>9.1207970112079707E-5</v>
      </c>
      <c r="F18" s="3">
        <f t="shared" si="2"/>
        <v>9.120797011207971</v>
      </c>
      <c r="G18" s="3"/>
    </row>
    <row r="19" spans="1:7" s="2" customFormat="1" ht="15" customHeight="1">
      <c r="A19" s="8">
        <v>28429</v>
      </c>
      <c r="B19" s="5">
        <v>6.4699999999999994E-2</v>
      </c>
      <c r="C19" s="10">
        <v>8.8547619047619042E-2</v>
      </c>
      <c r="D19" s="10">
        <f t="shared" si="0"/>
        <v>2.3847619047619048E-2</v>
      </c>
      <c r="E19" s="12">
        <f t="shared" si="1"/>
        <v>6.5335942596216572E-5</v>
      </c>
      <c r="F19" s="3">
        <f t="shared" si="2"/>
        <v>6.5335942596216574</v>
      </c>
      <c r="G19" s="3"/>
    </row>
    <row r="20" spans="1:7" s="2" customFormat="1" ht="15" customHeight="1">
      <c r="A20" s="8">
        <v>28459</v>
      </c>
      <c r="B20" s="5">
        <v>6.5099999999999991E-2</v>
      </c>
      <c r="C20" s="10">
        <v>9.1636363636363641E-2</v>
      </c>
      <c r="D20" s="10">
        <f t="shared" si="0"/>
        <v>2.653636363636365E-2</v>
      </c>
      <c r="E20" s="12">
        <f t="shared" si="1"/>
        <v>7.2702366127023701E-5</v>
      </c>
      <c r="F20" s="3">
        <f t="shared" si="2"/>
        <v>7.2702366127023703</v>
      </c>
      <c r="G20" s="3"/>
    </row>
    <row r="21" spans="1:7" s="2" customFormat="1" ht="15" customHeight="1">
      <c r="A21" s="8">
        <v>28490</v>
      </c>
      <c r="B21" s="5">
        <v>6.5599999999999992E-2</v>
      </c>
      <c r="C21" s="10">
        <v>9.1480952380952385E-2</v>
      </c>
      <c r="D21" s="10">
        <f t="shared" si="0"/>
        <v>2.5880952380952393E-2</v>
      </c>
      <c r="E21" s="12">
        <f t="shared" si="1"/>
        <v>7.0906718851924372E-5</v>
      </c>
      <c r="F21" s="3">
        <f t="shared" si="2"/>
        <v>7.0906718851924371</v>
      </c>
      <c r="G21" s="3"/>
    </row>
    <row r="22" spans="1:7" s="2" customFormat="1" ht="15" customHeight="1">
      <c r="A22" s="8">
        <v>28521</v>
      </c>
      <c r="B22" s="5">
        <v>6.7000000000000004E-2</v>
      </c>
      <c r="C22" s="10">
        <v>8.7545000000000026E-2</v>
      </c>
      <c r="D22" s="10">
        <f t="shared" si="0"/>
        <v>2.0545000000000022E-2</v>
      </c>
      <c r="E22" s="12">
        <f t="shared" si="1"/>
        <v>5.6287671232876774E-5</v>
      </c>
      <c r="F22" s="3">
        <f t="shared" si="2"/>
        <v>5.6287671232876777</v>
      </c>
      <c r="G22" s="3"/>
    </row>
    <row r="23" spans="1:7" s="2" customFormat="1" ht="15" customHeight="1">
      <c r="A23" s="8">
        <v>28549</v>
      </c>
      <c r="B23" s="5">
        <v>6.7799999999999999E-2</v>
      </c>
      <c r="C23" s="10">
        <v>8.4190000000000001E-2</v>
      </c>
      <c r="D23" s="10">
        <f t="shared" si="0"/>
        <v>1.6390000000000002E-2</v>
      </c>
      <c r="E23" s="12">
        <f t="shared" si="1"/>
        <v>4.4904109589041098E-5</v>
      </c>
      <c r="F23" s="3">
        <f t="shared" si="2"/>
        <v>4.4904109589041097</v>
      </c>
      <c r="G23" s="3"/>
    </row>
    <row r="24" spans="1:7" s="2" customFormat="1" ht="15" customHeight="1">
      <c r="A24" s="8">
        <v>28580</v>
      </c>
      <c r="B24" s="5">
        <v>6.7900000000000002E-2</v>
      </c>
      <c r="C24" s="10">
        <v>7.9528571428571435E-2</v>
      </c>
      <c r="D24" s="10">
        <f t="shared" si="0"/>
        <v>1.1628571428571433E-2</v>
      </c>
      <c r="E24" s="12">
        <f t="shared" si="1"/>
        <v>3.1859099804305297E-5</v>
      </c>
      <c r="F24" s="3">
        <f t="shared" si="2"/>
        <v>3.1859099804305298</v>
      </c>
      <c r="G24" s="3"/>
    </row>
    <row r="25" spans="1:7" s="2" customFormat="1" ht="15" customHeight="1">
      <c r="A25" s="8">
        <v>28610</v>
      </c>
      <c r="B25" s="5">
        <v>6.8900000000000003E-2</v>
      </c>
      <c r="C25" s="10">
        <v>7.6726315789473698E-2</v>
      </c>
      <c r="D25" s="10">
        <f t="shared" si="0"/>
        <v>7.8263157894736951E-3</v>
      </c>
      <c r="E25" s="12">
        <f t="shared" si="1"/>
        <v>2.1441961067051219E-5</v>
      </c>
      <c r="F25" s="3">
        <f t="shared" si="2"/>
        <v>2.1441961067051221</v>
      </c>
      <c r="G25" s="3"/>
    </row>
    <row r="26" spans="1:7" s="2" customFormat="1" ht="15" customHeight="1">
      <c r="A26" s="8">
        <v>28641</v>
      </c>
      <c r="B26" s="5">
        <v>7.3599999999999999E-2</v>
      </c>
      <c r="C26" s="10">
        <v>9.1091304347826099E-2</v>
      </c>
      <c r="D26" s="10">
        <f t="shared" si="0"/>
        <v>1.74913043478261E-2</v>
      </c>
      <c r="E26" s="12">
        <f t="shared" si="1"/>
        <v>4.7921381774866031E-5</v>
      </c>
      <c r="F26" s="3">
        <f t="shared" si="2"/>
        <v>4.7921381774866028</v>
      </c>
      <c r="G26" s="3"/>
    </row>
    <row r="27" spans="1:7" s="2" customFormat="1" ht="15" customHeight="1">
      <c r="A27" s="8">
        <v>28671</v>
      </c>
      <c r="B27" s="5">
        <v>7.5999999999999998E-2</v>
      </c>
      <c r="C27" s="10">
        <v>9.0404761904761918E-2</v>
      </c>
      <c r="D27" s="10">
        <f t="shared" si="0"/>
        <v>1.440476190476192E-2</v>
      </c>
      <c r="E27" s="12">
        <f t="shared" si="1"/>
        <v>3.9465101108936771E-5</v>
      </c>
      <c r="F27" s="3">
        <f t="shared" si="2"/>
        <v>3.9465101108936769</v>
      </c>
      <c r="G27" s="3"/>
    </row>
    <row r="28" spans="1:7" s="2" customFormat="1" ht="15" customHeight="1">
      <c r="A28" s="8">
        <v>28702</v>
      </c>
      <c r="B28" s="5">
        <v>7.8100000000000003E-2</v>
      </c>
      <c r="C28" s="10">
        <v>8.8128571428571417E-2</v>
      </c>
      <c r="D28" s="10">
        <f t="shared" si="0"/>
        <v>1.0028571428571414E-2</v>
      </c>
      <c r="E28" s="12">
        <f t="shared" si="1"/>
        <v>2.7475538160469628E-5</v>
      </c>
      <c r="F28" s="3">
        <f t="shared" si="2"/>
        <v>2.7475538160469628</v>
      </c>
      <c r="G28" s="3"/>
    </row>
    <row r="29" spans="1:7" s="2" customFormat="1" ht="15" customHeight="1">
      <c r="A29" s="8">
        <v>28733</v>
      </c>
      <c r="B29" s="5">
        <v>8.0399999999999985E-2</v>
      </c>
      <c r="C29" s="10">
        <v>9.0082608695652183E-2</v>
      </c>
      <c r="D29" s="10">
        <f t="shared" si="0"/>
        <v>9.6826086956521978E-3</v>
      </c>
      <c r="E29" s="12">
        <f t="shared" si="1"/>
        <v>2.6527695056581364E-5</v>
      </c>
      <c r="F29" s="3">
        <f t="shared" si="2"/>
        <v>2.6527695056581364</v>
      </c>
      <c r="G29" s="3"/>
    </row>
    <row r="30" spans="1:7" s="2" customFormat="1" ht="15" customHeight="1">
      <c r="A30" s="8">
        <v>28763</v>
      </c>
      <c r="B30" s="5">
        <v>8.4499999999999992E-2</v>
      </c>
      <c r="C30" s="10">
        <v>9.1804761904761903E-2</v>
      </c>
      <c r="D30" s="10">
        <f t="shared" si="0"/>
        <v>7.3047619047619111E-3</v>
      </c>
      <c r="E30" s="12">
        <f t="shared" si="1"/>
        <v>2.0013046314416196E-5</v>
      </c>
      <c r="F30" s="3">
        <f t="shared" si="2"/>
        <v>2.0013046314416196</v>
      </c>
      <c r="G30" s="3"/>
    </row>
    <row r="31" spans="1:7" s="2" customFormat="1" ht="15" customHeight="1">
      <c r="A31" s="8">
        <v>28794</v>
      </c>
      <c r="B31" s="5">
        <v>8.9600000000000013E-2</v>
      </c>
      <c r="C31" s="10">
        <v>9.3986363636363632E-2</v>
      </c>
      <c r="D31" s="10">
        <f t="shared" si="0"/>
        <v>4.3863636363636188E-3</v>
      </c>
      <c r="E31" s="12">
        <f t="shared" si="1"/>
        <v>1.2017434620174297E-5</v>
      </c>
      <c r="F31" s="3">
        <f t="shared" si="2"/>
        <v>1.2017434620174297</v>
      </c>
      <c r="G31" s="3"/>
    </row>
    <row r="32" spans="1:7" s="2" customFormat="1" ht="15" customHeight="1">
      <c r="A32" s="8">
        <v>28824</v>
      </c>
      <c r="B32" s="5">
        <v>9.7599999999999992E-2</v>
      </c>
      <c r="C32" s="10">
        <v>7.9695454545454542E-2</v>
      </c>
      <c r="D32" s="10">
        <f t="shared" si="0"/>
        <v>-1.7904545454545451E-2</v>
      </c>
      <c r="E32" s="12">
        <f t="shared" si="1"/>
        <v>-4.9053549190535482E-5</v>
      </c>
      <c r="F32" s="3">
        <f t="shared" si="2"/>
        <v>-4.9053549190535479</v>
      </c>
      <c r="G32" s="3"/>
    </row>
    <row r="33" spans="1:7" s="2" customFormat="1" ht="15" customHeight="1">
      <c r="A33" s="8">
        <v>28855</v>
      </c>
      <c r="B33" s="5">
        <v>0.1003</v>
      </c>
      <c r="C33" s="10">
        <v>8.3147368421052623E-2</v>
      </c>
      <c r="D33" s="10">
        <f t="shared" si="0"/>
        <v>-1.7152631578947378E-2</v>
      </c>
      <c r="E33" s="12">
        <f t="shared" si="1"/>
        <v>-4.6993511175198296E-5</v>
      </c>
      <c r="F33" s="3">
        <f t="shared" si="2"/>
        <v>-4.6993511175198295</v>
      </c>
      <c r="G33" s="3"/>
    </row>
    <row r="34" spans="1:7" s="2" customFormat="1" ht="15" customHeight="1">
      <c r="A34" s="8">
        <v>28886</v>
      </c>
      <c r="B34" s="5">
        <v>0.1007</v>
      </c>
      <c r="C34" s="10">
        <v>8.1785714285714295E-2</v>
      </c>
      <c r="D34" s="10">
        <f t="shared" si="0"/>
        <v>-1.8914285714285703E-2</v>
      </c>
      <c r="E34" s="12">
        <f t="shared" si="1"/>
        <v>-5.1819960861056722E-5</v>
      </c>
      <c r="F34" s="3">
        <f t="shared" si="2"/>
        <v>-5.1819960861056726</v>
      </c>
      <c r="G34" s="3"/>
    </row>
    <row r="35" spans="1:7" s="2" customFormat="1" ht="15" customHeight="1">
      <c r="A35" s="8">
        <v>28914</v>
      </c>
      <c r="B35" s="5">
        <v>0.10060000000000001</v>
      </c>
      <c r="C35" s="10">
        <v>7.825E-2</v>
      </c>
      <c r="D35" s="10">
        <f t="shared" si="0"/>
        <v>-2.2350000000000009E-2</v>
      </c>
      <c r="E35" s="12">
        <f t="shared" si="1"/>
        <v>-6.1232876712328792E-5</v>
      </c>
      <c r="F35" s="3">
        <f t="shared" si="2"/>
        <v>-6.1232876712328794</v>
      </c>
      <c r="G35" s="3"/>
    </row>
    <row r="36" spans="1:7" s="2" customFormat="1" ht="15" customHeight="1">
      <c r="A36" s="8">
        <v>28945</v>
      </c>
      <c r="B36" s="5">
        <v>0.1009</v>
      </c>
      <c r="C36" s="10">
        <v>8.1818181818181818E-2</v>
      </c>
      <c r="D36" s="10">
        <f t="shared" si="0"/>
        <v>-1.9081818181818186E-2</v>
      </c>
      <c r="E36" s="12">
        <f t="shared" si="1"/>
        <v>-5.2278953922789552E-5</v>
      </c>
      <c r="F36" s="3">
        <f t="shared" si="2"/>
        <v>-5.2278953922789553</v>
      </c>
      <c r="G36" s="3"/>
    </row>
    <row r="37" spans="1:7" s="2" customFormat="1" ht="15" customHeight="1">
      <c r="A37" s="8">
        <v>28975</v>
      </c>
      <c r="B37" s="5">
        <v>0.10009999999999999</v>
      </c>
      <c r="C37" s="10">
        <v>8.611111111111111E-2</v>
      </c>
      <c r="D37" s="10">
        <f t="shared" si="0"/>
        <v>-1.3988888888888884E-2</v>
      </c>
      <c r="E37" s="12">
        <f t="shared" si="1"/>
        <v>-3.8325722983257216E-5</v>
      </c>
      <c r="F37" s="3">
        <f t="shared" si="2"/>
        <v>-3.8325722983257218</v>
      </c>
      <c r="G37" s="3"/>
    </row>
    <row r="38" spans="1:7" s="2" customFormat="1" ht="15" customHeight="1">
      <c r="A38" s="8">
        <v>29006</v>
      </c>
      <c r="B38" s="5">
        <v>0.1024</v>
      </c>
      <c r="C38" s="10">
        <v>9.4456521739130425E-2</v>
      </c>
      <c r="D38" s="10">
        <f t="shared" si="0"/>
        <v>-7.9434782608695798E-3</v>
      </c>
      <c r="E38" s="12">
        <f t="shared" si="1"/>
        <v>-2.1762954139368713E-5</v>
      </c>
      <c r="F38" s="3">
        <f t="shared" si="2"/>
        <v>-2.1762954139368711</v>
      </c>
      <c r="G38" s="3"/>
    </row>
    <row r="39" spans="1:7" s="2" customFormat="1" ht="15" customHeight="1">
      <c r="A39" s="8">
        <v>29036</v>
      </c>
      <c r="B39" s="5">
        <v>0.10289999999999999</v>
      </c>
      <c r="C39" s="10">
        <v>8.7142857142857133E-2</v>
      </c>
      <c r="D39" s="10">
        <f t="shared" si="0"/>
        <v>-1.5757142857142858E-2</v>
      </c>
      <c r="E39" s="12">
        <f t="shared" si="1"/>
        <v>-4.3170254403131118E-5</v>
      </c>
      <c r="F39" s="3">
        <f t="shared" si="2"/>
        <v>-4.3170254403131114</v>
      </c>
      <c r="G39" s="3"/>
    </row>
    <row r="40" spans="1:7" s="2" customFormat="1" ht="15" customHeight="1">
      <c r="A40" s="8">
        <v>29067</v>
      </c>
      <c r="B40" s="5">
        <v>0.1047</v>
      </c>
      <c r="C40" s="10">
        <v>0.10056818181818182</v>
      </c>
      <c r="D40" s="10">
        <f t="shared" si="0"/>
        <v>-4.1318181818181809E-3</v>
      </c>
      <c r="E40" s="12">
        <f t="shared" si="1"/>
        <v>-1.1320049813200495E-5</v>
      </c>
      <c r="F40" s="3">
        <f t="shared" si="2"/>
        <v>-1.1320049813200495</v>
      </c>
      <c r="G40" s="3"/>
    </row>
    <row r="41" spans="1:7" s="2" customFormat="1" ht="15" customHeight="1">
      <c r="A41" s="8">
        <v>29098</v>
      </c>
      <c r="B41" s="5">
        <v>0.1094</v>
      </c>
      <c r="C41" s="10">
        <v>0.10630434782608696</v>
      </c>
      <c r="D41" s="10">
        <f t="shared" si="0"/>
        <v>-3.095652173913041E-3</v>
      </c>
      <c r="E41" s="12">
        <f t="shared" si="1"/>
        <v>-8.4812388326384693E-6</v>
      </c>
      <c r="F41" s="3">
        <f t="shared" si="2"/>
        <v>-0.84812388326384691</v>
      </c>
      <c r="G41" s="3"/>
    </row>
    <row r="42" spans="1:7" s="2" customFormat="1" ht="15" customHeight="1">
      <c r="A42" s="8">
        <v>29128</v>
      </c>
      <c r="B42" s="5">
        <v>0.1143</v>
      </c>
      <c r="C42" s="10">
        <v>9.4125E-2</v>
      </c>
      <c r="D42" s="10">
        <f t="shared" si="0"/>
        <v>-2.0174999999999998E-2</v>
      </c>
      <c r="E42" s="12">
        <f t="shared" si="1"/>
        <v>-5.5273972602739724E-5</v>
      </c>
      <c r="F42" s="3">
        <f t="shared" si="2"/>
        <v>-5.5273972602739727</v>
      </c>
      <c r="G42" s="3"/>
    </row>
    <row r="43" spans="1:7" s="2" customFormat="1" ht="15" customHeight="1">
      <c r="A43" s="8">
        <v>29159</v>
      </c>
      <c r="B43" s="5">
        <v>0.13769999999999999</v>
      </c>
      <c r="C43" s="10">
        <v>9.0500000000000011E-2</v>
      </c>
      <c r="D43" s="10">
        <f t="shared" si="0"/>
        <v>-4.7199999999999978E-2</v>
      </c>
      <c r="E43" s="12">
        <f t="shared" si="1"/>
        <v>-1.2931506849315062E-4</v>
      </c>
      <c r="F43" s="3">
        <f t="shared" si="2"/>
        <v>-12.931506849315062</v>
      </c>
      <c r="G43" s="3"/>
    </row>
    <row r="44" spans="1:7" s="2" customFormat="1" ht="15" customHeight="1">
      <c r="A44" s="8">
        <v>29189</v>
      </c>
      <c r="B44" s="5">
        <v>0.1318</v>
      </c>
      <c r="C44" s="10">
        <v>8.9886363636363639E-2</v>
      </c>
      <c r="D44" s="10">
        <f t="shared" si="0"/>
        <v>-4.1913636363636361E-2</v>
      </c>
      <c r="E44" s="12">
        <f t="shared" si="1"/>
        <v>-1.148318804483188E-4</v>
      </c>
      <c r="F44" s="3">
        <f t="shared" si="2"/>
        <v>-11.483188044831879</v>
      </c>
      <c r="G44" s="3"/>
    </row>
    <row r="45" spans="1:7" s="2" customFormat="1" ht="15" customHeight="1">
      <c r="A45" s="8">
        <v>29220</v>
      </c>
      <c r="B45" s="5">
        <v>0.13780000000000001</v>
      </c>
      <c r="C45" s="10">
        <v>9.5000000000000001E-2</v>
      </c>
      <c r="D45" s="10">
        <f t="shared" si="0"/>
        <v>-4.2800000000000005E-2</v>
      </c>
      <c r="E45" s="12">
        <f t="shared" si="1"/>
        <v>-1.1726027397260275E-4</v>
      </c>
      <c r="F45" s="3">
        <f t="shared" si="2"/>
        <v>-11.726027397260275</v>
      </c>
      <c r="G45" s="3"/>
    </row>
    <row r="46" spans="1:7" s="2" customFormat="1" ht="15" customHeight="1">
      <c r="A46" s="8">
        <v>29251</v>
      </c>
      <c r="B46" s="5">
        <v>0.13819999999999999</v>
      </c>
      <c r="C46" s="10">
        <v>9.2380952380952369E-2</v>
      </c>
      <c r="D46" s="10">
        <f t="shared" si="0"/>
        <v>-4.581904761904762E-2</v>
      </c>
      <c r="E46" s="12">
        <f t="shared" si="1"/>
        <v>-1.2553163731245922E-4</v>
      </c>
      <c r="F46" s="3">
        <f t="shared" si="2"/>
        <v>-12.553163731245922</v>
      </c>
      <c r="G46" s="3"/>
    </row>
    <row r="47" spans="1:7" s="2" customFormat="1" ht="15" customHeight="1">
      <c r="A47" s="8">
        <v>29280</v>
      </c>
      <c r="B47" s="5">
        <v>0.14130000000000001</v>
      </c>
      <c r="C47" s="10">
        <v>8.8571428571428579E-2</v>
      </c>
      <c r="D47" s="10">
        <f t="shared" si="0"/>
        <v>-5.272857142857143E-2</v>
      </c>
      <c r="E47" s="12">
        <f t="shared" si="1"/>
        <v>-1.4446183953033267E-4</v>
      </c>
      <c r="F47" s="3">
        <f t="shared" si="2"/>
        <v>-14.446183953033268</v>
      </c>
      <c r="G47" s="3"/>
    </row>
    <row r="48" spans="1:7" s="2" customFormat="1" ht="15" customHeight="1">
      <c r="A48" s="8">
        <v>29311</v>
      </c>
      <c r="B48" s="5">
        <v>0.17190000000000003</v>
      </c>
      <c r="C48" s="10">
        <v>0.10404761904761906</v>
      </c>
      <c r="D48" s="10">
        <f t="shared" si="0"/>
        <v>-6.785238095238097E-2</v>
      </c>
      <c r="E48" s="12">
        <f t="shared" si="1"/>
        <v>-1.8589693411611224E-4</v>
      </c>
      <c r="F48" s="3">
        <f t="shared" si="2"/>
        <v>-18.589693411611226</v>
      </c>
      <c r="G48" s="3"/>
    </row>
    <row r="49" spans="1:7" s="2" customFormat="1" ht="15" customHeight="1">
      <c r="A49" s="8">
        <v>29341</v>
      </c>
      <c r="B49" s="5">
        <v>0.17610000000000001</v>
      </c>
      <c r="C49" s="10">
        <v>0.10684210526315789</v>
      </c>
      <c r="D49" s="10">
        <f t="shared" si="0"/>
        <v>-6.9257894736842116E-2</v>
      </c>
      <c r="E49" s="12">
        <f t="shared" si="1"/>
        <v>-1.8974765681326606E-4</v>
      </c>
      <c r="F49" s="3">
        <f t="shared" si="2"/>
        <v>-18.974765681326605</v>
      </c>
      <c r="G49" s="3"/>
    </row>
    <row r="50" spans="1:7" s="2" customFormat="1" ht="15" customHeight="1">
      <c r="A50" s="8">
        <v>29372</v>
      </c>
      <c r="B50" s="5">
        <v>0.10980000000000001</v>
      </c>
      <c r="C50" s="10">
        <v>0.13715909090909092</v>
      </c>
      <c r="D50" s="10">
        <f t="shared" si="0"/>
        <v>2.7359090909090916E-2</v>
      </c>
      <c r="E50" s="12">
        <f t="shared" si="1"/>
        <v>7.4956413449564155E-5</v>
      </c>
      <c r="F50" s="3">
        <f t="shared" si="2"/>
        <v>7.4956413449564154</v>
      </c>
      <c r="G50" s="3"/>
    </row>
    <row r="51" spans="1:7" s="2" customFormat="1" ht="15" customHeight="1">
      <c r="A51" s="8">
        <v>29402</v>
      </c>
      <c r="B51" s="5">
        <v>9.4700000000000006E-2</v>
      </c>
      <c r="C51" s="10">
        <v>0.13726190476190475</v>
      </c>
      <c r="D51" s="10">
        <f t="shared" si="0"/>
        <v>4.2561904761904745E-2</v>
      </c>
      <c r="E51" s="12">
        <f t="shared" si="1"/>
        <v>1.1660795825179382E-4</v>
      </c>
      <c r="F51" s="3">
        <f t="shared" si="2"/>
        <v>11.660795825179383</v>
      </c>
      <c r="G51" s="3"/>
    </row>
    <row r="52" spans="1:7" s="2" customFormat="1" ht="15" customHeight="1">
      <c r="A52" s="8">
        <v>29433</v>
      </c>
      <c r="B52" s="5">
        <v>9.0299999999999991E-2</v>
      </c>
      <c r="C52" s="10">
        <v>0.12858695652173913</v>
      </c>
      <c r="D52" s="10">
        <f t="shared" si="0"/>
        <v>3.8286956521739135E-2</v>
      </c>
      <c r="E52" s="12">
        <f t="shared" si="1"/>
        <v>1.0489577129243598E-4</v>
      </c>
      <c r="F52" s="3">
        <f t="shared" si="2"/>
        <v>10.489577129243598</v>
      </c>
      <c r="G52" s="3"/>
    </row>
    <row r="53" spans="1:7" s="2" customFormat="1" ht="15" customHeight="1">
      <c r="A53" s="8">
        <v>29464</v>
      </c>
      <c r="B53" s="5">
        <v>9.6099999999999991E-2</v>
      </c>
      <c r="C53" s="10">
        <v>0.12416666666666666</v>
      </c>
      <c r="D53" s="10">
        <f t="shared" si="0"/>
        <v>2.806666666666667E-2</v>
      </c>
      <c r="E53" s="12">
        <f t="shared" si="1"/>
        <v>7.6894977168949787E-5</v>
      </c>
      <c r="F53" s="3">
        <f t="shared" si="2"/>
        <v>7.6894977168949783</v>
      </c>
      <c r="G53" s="3"/>
    </row>
    <row r="54" spans="1:7" s="2" customFormat="1" ht="15" customHeight="1">
      <c r="A54" s="8">
        <v>29494</v>
      </c>
      <c r="B54" s="5">
        <v>0.10869999999999999</v>
      </c>
      <c r="C54" s="10">
        <v>0.11227272727272726</v>
      </c>
      <c r="D54" s="10">
        <f t="shared" si="0"/>
        <v>3.5727272727272691E-3</v>
      </c>
      <c r="E54" s="12">
        <f t="shared" si="1"/>
        <v>9.7882938978829287E-6</v>
      </c>
      <c r="F54" s="3">
        <f t="shared" si="2"/>
        <v>0.97882938978829281</v>
      </c>
      <c r="G54" s="3"/>
    </row>
    <row r="55" spans="1:7" s="2" customFormat="1" ht="15" customHeight="1">
      <c r="A55" s="8">
        <v>29525</v>
      </c>
      <c r="B55" s="5">
        <v>0.12809999999999999</v>
      </c>
      <c r="C55" s="10">
        <v>9.8260869565217387E-2</v>
      </c>
      <c r="D55" s="10">
        <f t="shared" si="0"/>
        <v>-2.9839130434782604E-2</v>
      </c>
      <c r="E55" s="12">
        <f t="shared" si="1"/>
        <v>-8.1751042287075626E-5</v>
      </c>
      <c r="F55" s="3">
        <f t="shared" si="2"/>
        <v>-8.1751042287075624</v>
      </c>
      <c r="G55" s="3"/>
    </row>
    <row r="56" spans="1:7" s="2" customFormat="1" ht="15" customHeight="1">
      <c r="A56" s="8">
        <v>29555</v>
      </c>
      <c r="B56" s="5">
        <v>0.1585</v>
      </c>
      <c r="C56" s="10">
        <v>0.10324999999999999</v>
      </c>
      <c r="D56" s="10">
        <f t="shared" si="0"/>
        <v>-5.5250000000000007E-2</v>
      </c>
      <c r="E56" s="12">
        <f t="shared" si="1"/>
        <v>-1.5136986301369864E-4</v>
      </c>
      <c r="F56" s="3">
        <f t="shared" si="2"/>
        <v>-15.136986301369864</v>
      </c>
      <c r="G56" s="3"/>
    </row>
    <row r="57" spans="1:7" s="2" customFormat="1" ht="15" customHeight="1">
      <c r="A57" s="8">
        <v>29586</v>
      </c>
      <c r="B57" s="5">
        <v>0.18899999999999997</v>
      </c>
      <c r="C57" s="10">
        <v>0.10880952380952381</v>
      </c>
      <c r="D57" s="10">
        <f t="shared" si="0"/>
        <v>-8.0190476190476159E-2</v>
      </c>
      <c r="E57" s="12">
        <f t="shared" si="1"/>
        <v>-2.1969993476842782E-4</v>
      </c>
      <c r="F57" s="3">
        <f t="shared" si="2"/>
        <v>-21.969993476842781</v>
      </c>
      <c r="G57" s="3"/>
    </row>
    <row r="58" spans="1:7" s="2" customFormat="1" ht="15" customHeight="1">
      <c r="A58" s="8">
        <v>29617</v>
      </c>
      <c r="B58" s="5">
        <v>0.19079999999999997</v>
      </c>
      <c r="C58" s="10">
        <v>0.10675000000000001</v>
      </c>
      <c r="D58" s="10">
        <f t="shared" si="0"/>
        <v>-8.4049999999999958E-2</v>
      </c>
      <c r="E58" s="12">
        <f t="shared" si="1"/>
        <v>-2.3027397260273961E-4</v>
      </c>
      <c r="F58" s="3">
        <f t="shared" si="2"/>
        <v>-23.027397260273961</v>
      </c>
      <c r="G58" s="3"/>
    </row>
    <row r="59" spans="1:7" s="2" customFormat="1" ht="15" customHeight="1">
      <c r="A59" s="8">
        <v>29645</v>
      </c>
      <c r="B59" s="5">
        <v>0.1593</v>
      </c>
      <c r="C59" s="10">
        <v>0.11</v>
      </c>
      <c r="D59" s="10">
        <f t="shared" si="0"/>
        <v>-4.9299999999999997E-2</v>
      </c>
      <c r="E59" s="12">
        <f t="shared" si="1"/>
        <v>-1.3506849315068494E-4</v>
      </c>
      <c r="F59" s="3">
        <f t="shared" si="2"/>
        <v>-13.506849315068493</v>
      </c>
      <c r="G59" s="3"/>
    </row>
    <row r="60" spans="1:7" s="2" customFormat="1" ht="15" customHeight="1">
      <c r="A60" s="8">
        <v>29676</v>
      </c>
      <c r="B60" s="5">
        <v>0.14699999999999999</v>
      </c>
      <c r="C60" s="10">
        <v>0.11988636363636364</v>
      </c>
      <c r="D60" s="10">
        <f t="shared" si="0"/>
        <v>-2.7113636363636354E-2</v>
      </c>
      <c r="E60" s="12">
        <f t="shared" si="1"/>
        <v>-7.4283935242839329E-5</v>
      </c>
      <c r="F60" s="3">
        <f t="shared" si="2"/>
        <v>-7.4283935242839325</v>
      </c>
      <c r="G60" s="3"/>
    </row>
    <row r="61" spans="1:7" s="2" customFormat="1" ht="15" customHeight="1">
      <c r="A61" s="8">
        <v>29706</v>
      </c>
      <c r="B61" s="5">
        <v>0.15720000000000001</v>
      </c>
      <c r="C61" s="10">
        <v>0.13087499999999999</v>
      </c>
      <c r="D61" s="10">
        <f t="shared" si="0"/>
        <v>-2.6325000000000015E-2</v>
      </c>
      <c r="E61" s="12">
        <f t="shared" si="1"/>
        <v>-7.2123287671232918E-5</v>
      </c>
      <c r="F61" s="3">
        <f t="shared" si="2"/>
        <v>-7.2123287671232914</v>
      </c>
      <c r="G61" s="3"/>
    </row>
    <row r="62" spans="1:7" s="2" customFormat="1" ht="15" customHeight="1">
      <c r="A62" s="8">
        <v>29737</v>
      </c>
      <c r="B62" s="5">
        <v>0.1852</v>
      </c>
      <c r="C62" s="10">
        <v>0.14190476190476189</v>
      </c>
      <c r="D62" s="10">
        <f t="shared" si="0"/>
        <v>-4.3295238095238109E-2</v>
      </c>
      <c r="E62" s="12">
        <f t="shared" si="1"/>
        <v>-1.1861709067188524E-4</v>
      </c>
      <c r="F62" s="3">
        <f t="shared" si="2"/>
        <v>-11.861709067188524</v>
      </c>
      <c r="G62" s="3"/>
    </row>
    <row r="63" spans="1:7" s="2" customFormat="1" ht="15" customHeight="1">
      <c r="A63" s="8">
        <v>29767</v>
      </c>
      <c r="B63" s="5">
        <v>0.191</v>
      </c>
      <c r="C63" s="10">
        <v>0.15329545454545454</v>
      </c>
      <c r="D63" s="10">
        <f t="shared" si="0"/>
        <v>-3.7704545454545463E-2</v>
      </c>
      <c r="E63" s="12">
        <f t="shared" si="1"/>
        <v>-1.0330012453300127E-4</v>
      </c>
      <c r="F63" s="3">
        <f t="shared" si="2"/>
        <v>-10.330012453300126</v>
      </c>
      <c r="G63" s="3"/>
    </row>
    <row r="64" spans="1:7" s="2" customFormat="1" ht="15" customHeight="1">
      <c r="A64" s="8">
        <v>29798</v>
      </c>
      <c r="B64" s="5">
        <v>0.19039999999999999</v>
      </c>
      <c r="C64" s="10">
        <v>0.15440217391304348</v>
      </c>
      <c r="D64" s="10">
        <f t="shared" si="0"/>
        <v>-3.5997826086956508E-2</v>
      </c>
      <c r="E64" s="12">
        <f t="shared" si="1"/>
        <v>-9.8624181060154821E-5</v>
      </c>
      <c r="F64" s="3">
        <f t="shared" si="2"/>
        <v>-9.8624181060154825</v>
      </c>
      <c r="G64" s="3"/>
    </row>
    <row r="65" spans="1:7" s="2" customFormat="1" ht="15" customHeight="1">
      <c r="A65" s="8">
        <v>29829</v>
      </c>
      <c r="B65" s="5">
        <v>0.1782</v>
      </c>
      <c r="C65" s="10">
        <v>0.15</v>
      </c>
      <c r="D65" s="10">
        <f t="shared" si="0"/>
        <v>-2.8200000000000003E-2</v>
      </c>
      <c r="E65" s="12">
        <f t="shared" si="1"/>
        <v>-7.7260273972602745E-5</v>
      </c>
      <c r="F65" s="3">
        <f t="shared" si="2"/>
        <v>-7.7260273972602747</v>
      </c>
      <c r="G65" s="3"/>
    </row>
    <row r="66" spans="1:7" s="2" customFormat="1" ht="15" customHeight="1">
      <c r="A66" s="8">
        <v>29859</v>
      </c>
      <c r="B66" s="5">
        <v>0.15869999999999998</v>
      </c>
      <c r="C66" s="10">
        <v>0.14676136363636363</v>
      </c>
      <c r="D66" s="10">
        <f t="shared" si="0"/>
        <v>-1.1938636363636346E-2</v>
      </c>
      <c r="E66" s="12">
        <f t="shared" si="1"/>
        <v>-3.270859277708588E-5</v>
      </c>
      <c r="F66" s="3">
        <f t="shared" si="2"/>
        <v>-3.2708592777085879</v>
      </c>
      <c r="G66" s="3"/>
    </row>
    <row r="67" spans="1:7" s="2" customFormat="1" ht="15" customHeight="1">
      <c r="A67" s="8">
        <v>29890</v>
      </c>
      <c r="B67" s="5">
        <v>0.15079999999999999</v>
      </c>
      <c r="C67" s="10">
        <v>0.14335227272727274</v>
      </c>
      <c r="D67" s="10">
        <f t="shared" ref="D67:D130" si="3">C67-B67</f>
        <v>-7.4477272727272448E-3</v>
      </c>
      <c r="E67" s="12">
        <f t="shared" ref="E67:E130" si="4">D67/365</f>
        <v>-2.0404732254047247E-5</v>
      </c>
      <c r="F67" s="3">
        <f t="shared" ref="F67:F130" si="5">E67*$G$1</f>
        <v>-2.0404732254047246</v>
      </c>
      <c r="G67" s="3"/>
    </row>
    <row r="68" spans="1:7" s="2" customFormat="1" ht="15" customHeight="1">
      <c r="A68" s="8">
        <v>29920</v>
      </c>
      <c r="B68" s="5">
        <v>0.1331</v>
      </c>
      <c r="C68" s="10">
        <v>0.14541666666666667</v>
      </c>
      <c r="D68" s="10">
        <f t="shared" si="3"/>
        <v>1.231666666666667E-2</v>
      </c>
      <c r="E68" s="12">
        <f t="shared" si="4"/>
        <v>3.3744292237442932E-5</v>
      </c>
      <c r="F68" s="3">
        <f t="shared" si="5"/>
        <v>3.374429223744293</v>
      </c>
      <c r="G68" s="3"/>
    </row>
    <row r="69" spans="1:7" s="2" customFormat="1" ht="15" customHeight="1">
      <c r="A69" s="8">
        <v>29951</v>
      </c>
      <c r="B69" s="5">
        <v>0.12369999999999999</v>
      </c>
      <c r="C69" s="10">
        <v>0.15619047619047619</v>
      </c>
      <c r="D69" s="10">
        <f t="shared" si="3"/>
        <v>3.2490476190476195E-2</v>
      </c>
      <c r="E69" s="12">
        <f t="shared" si="4"/>
        <v>8.9015003261578616E-5</v>
      </c>
      <c r="F69" s="3">
        <f t="shared" si="5"/>
        <v>8.901500326157862</v>
      </c>
      <c r="G69" s="3"/>
    </row>
    <row r="70" spans="1:7" s="2" customFormat="1" ht="15" customHeight="1">
      <c r="A70" s="8">
        <v>29982</v>
      </c>
      <c r="B70" s="5">
        <v>0.13220000000000001</v>
      </c>
      <c r="C70" s="10">
        <v>0.1499375</v>
      </c>
      <c r="D70" s="10">
        <f t="shared" si="3"/>
        <v>1.7737499999999989E-2</v>
      </c>
      <c r="E70" s="12">
        <f t="shared" si="4"/>
        <v>4.8595890410958877E-5</v>
      </c>
      <c r="F70" s="3">
        <f t="shared" si="5"/>
        <v>4.8595890410958882</v>
      </c>
      <c r="G70" s="3"/>
    </row>
    <row r="71" spans="1:7" s="2" customFormat="1" ht="15" customHeight="1">
      <c r="A71" s="8">
        <v>30010</v>
      </c>
      <c r="B71" s="5">
        <v>0.14779999999999999</v>
      </c>
      <c r="C71" s="10">
        <v>0.15203947368421053</v>
      </c>
      <c r="D71" s="10">
        <f t="shared" si="3"/>
        <v>4.2394736842105429E-3</v>
      </c>
      <c r="E71" s="12">
        <f t="shared" si="4"/>
        <v>1.1614996395097379E-5</v>
      </c>
      <c r="F71" s="3">
        <f t="shared" si="5"/>
        <v>1.1614996395097379</v>
      </c>
      <c r="G71" s="3"/>
    </row>
    <row r="72" spans="1:7" s="2" customFormat="1" ht="15" customHeight="1">
      <c r="A72" s="8">
        <v>30041</v>
      </c>
      <c r="B72" s="5">
        <v>0.14679999999999999</v>
      </c>
      <c r="C72" s="10">
        <v>0.16081521739130433</v>
      </c>
      <c r="D72" s="10">
        <f t="shared" si="3"/>
        <v>1.4015217391304347E-2</v>
      </c>
      <c r="E72" s="12">
        <f t="shared" si="4"/>
        <v>3.8397855866587249E-5</v>
      </c>
      <c r="F72" s="3">
        <f t="shared" si="5"/>
        <v>3.8397855866587247</v>
      </c>
      <c r="G72" s="3"/>
    </row>
    <row r="73" spans="1:7" s="2" customFormat="1" ht="15" customHeight="1">
      <c r="A73" s="8">
        <v>30071</v>
      </c>
      <c r="B73" s="5">
        <v>0.14940000000000001</v>
      </c>
      <c r="C73" s="10">
        <v>0.19093750000000001</v>
      </c>
      <c r="D73" s="10">
        <f t="shared" si="3"/>
        <v>4.1537500000000005E-2</v>
      </c>
      <c r="E73" s="12">
        <f t="shared" si="4"/>
        <v>1.1380136986301371E-4</v>
      </c>
      <c r="F73" s="3">
        <f t="shared" si="5"/>
        <v>11.380136986301371</v>
      </c>
      <c r="G73" s="3"/>
    </row>
    <row r="74" spans="1:7" s="2" customFormat="1" ht="15" customHeight="1">
      <c r="A74" s="8">
        <v>30102</v>
      </c>
      <c r="B74" s="5">
        <v>0.14449999999999999</v>
      </c>
      <c r="C74" s="10">
        <v>0.18392857142857141</v>
      </c>
      <c r="D74" s="10">
        <f t="shared" si="3"/>
        <v>3.9428571428571424E-2</v>
      </c>
      <c r="E74" s="12">
        <f t="shared" si="4"/>
        <v>1.0802348336594911E-4</v>
      </c>
      <c r="F74" s="3">
        <f t="shared" si="5"/>
        <v>10.80234833659491</v>
      </c>
      <c r="G74" s="3"/>
    </row>
    <row r="75" spans="1:7" s="2" customFormat="1" ht="15" customHeight="1">
      <c r="A75" s="8">
        <v>30132</v>
      </c>
      <c r="B75" s="5">
        <v>0.14150000000000001</v>
      </c>
      <c r="C75" s="10">
        <v>0.17579545454545453</v>
      </c>
      <c r="D75" s="10">
        <f t="shared" si="3"/>
        <v>3.4295454545454518E-2</v>
      </c>
      <c r="E75" s="12">
        <f t="shared" si="4"/>
        <v>9.3960149439601415E-5</v>
      </c>
      <c r="F75" s="3">
        <f t="shared" si="5"/>
        <v>9.3960149439601413</v>
      </c>
      <c r="G75" s="3"/>
    </row>
    <row r="76" spans="1:7" s="2" customFormat="1" ht="15" customHeight="1">
      <c r="A76" s="8">
        <v>30163</v>
      </c>
      <c r="B76" s="5">
        <v>0.12590000000000001</v>
      </c>
      <c r="C76" s="10">
        <v>0.16511363636363638</v>
      </c>
      <c r="D76" s="10">
        <f t="shared" si="3"/>
        <v>3.9213636363636367E-2</v>
      </c>
      <c r="E76" s="12">
        <f t="shared" si="4"/>
        <v>1.0743462017434621E-4</v>
      </c>
      <c r="F76" s="3">
        <f t="shared" si="5"/>
        <v>10.74346201743462</v>
      </c>
      <c r="G76" s="3"/>
    </row>
    <row r="77" spans="1:7" s="2" customFormat="1" ht="15" customHeight="1">
      <c r="A77" s="8">
        <v>30194</v>
      </c>
      <c r="B77" s="5">
        <v>0.1012</v>
      </c>
      <c r="C77" s="10">
        <v>0.20767045454545452</v>
      </c>
      <c r="D77" s="10">
        <f t="shared" si="3"/>
        <v>0.10647045454545452</v>
      </c>
      <c r="E77" s="12">
        <f t="shared" si="4"/>
        <v>2.9169987546699867E-4</v>
      </c>
      <c r="F77" s="3">
        <f t="shared" si="5"/>
        <v>29.169987546699868</v>
      </c>
      <c r="G77" s="3"/>
    </row>
    <row r="78" spans="1:7" s="2" customFormat="1" ht="15" customHeight="1">
      <c r="A78" s="8">
        <v>30224</v>
      </c>
      <c r="B78" s="5">
        <v>0.10310000000000001</v>
      </c>
      <c r="C78" s="10">
        <v>0.1609659090909091</v>
      </c>
      <c r="D78" s="10">
        <f t="shared" si="3"/>
        <v>5.7865909090909093E-2</v>
      </c>
      <c r="E78" s="12">
        <f t="shared" si="4"/>
        <v>1.5853673723536737E-4</v>
      </c>
      <c r="F78" s="3">
        <f t="shared" si="5"/>
        <v>15.853673723536737</v>
      </c>
      <c r="G78" s="3"/>
    </row>
    <row r="79" spans="1:7" s="2" customFormat="1" ht="15" customHeight="1">
      <c r="A79" s="8">
        <v>30255</v>
      </c>
      <c r="B79" s="5">
        <v>9.7100000000000006E-2</v>
      </c>
      <c r="C79" s="10">
        <v>0.15696428571428572</v>
      </c>
      <c r="D79" s="10">
        <f t="shared" si="3"/>
        <v>5.9864285714285717E-2</v>
      </c>
      <c r="E79" s="12">
        <f t="shared" si="4"/>
        <v>1.6401174168297457E-4</v>
      </c>
      <c r="F79" s="3">
        <f t="shared" si="5"/>
        <v>16.401174168297459</v>
      </c>
      <c r="G79" s="3"/>
    </row>
    <row r="80" spans="1:7" s="2" customFormat="1" ht="15" customHeight="1">
      <c r="A80" s="8">
        <v>30285</v>
      </c>
      <c r="B80" s="5">
        <v>9.1999999999999998E-2</v>
      </c>
      <c r="C80" s="10">
        <v>0.14000000000000001</v>
      </c>
      <c r="D80" s="10">
        <f t="shared" si="3"/>
        <v>4.8000000000000015E-2</v>
      </c>
      <c r="E80" s="12">
        <f t="shared" si="4"/>
        <v>1.3150684931506853E-4</v>
      </c>
      <c r="F80" s="3">
        <f t="shared" si="5"/>
        <v>13.150684931506854</v>
      </c>
      <c r="G80" s="3"/>
    </row>
    <row r="81" spans="1:14" s="2" customFormat="1" ht="15" customHeight="1">
      <c r="A81" s="8">
        <v>30316</v>
      </c>
      <c r="B81" s="5">
        <v>8.9499999999999996E-2</v>
      </c>
      <c r="C81" s="10">
        <v>0.11458333333333334</v>
      </c>
      <c r="D81" s="10">
        <f t="shared" si="3"/>
        <v>2.5083333333333346E-2</v>
      </c>
      <c r="E81" s="12">
        <f t="shared" si="4"/>
        <v>6.8721461187214647E-5</v>
      </c>
      <c r="F81" s="3">
        <f t="shared" si="5"/>
        <v>6.8721461187214645</v>
      </c>
      <c r="G81" s="3"/>
    </row>
    <row r="82" spans="1:14" s="2" customFormat="1" ht="15" customHeight="1">
      <c r="A82" s="8">
        <v>30347</v>
      </c>
      <c r="B82" s="5">
        <v>8.6800000000000002E-2</v>
      </c>
      <c r="C82" s="10">
        <v>0.12361842105263157</v>
      </c>
      <c r="D82" s="10">
        <f t="shared" si="3"/>
        <v>3.681842105263157E-2</v>
      </c>
      <c r="E82" s="12">
        <f t="shared" si="4"/>
        <v>1.0087238644556594E-4</v>
      </c>
      <c r="F82" s="3">
        <f t="shared" si="5"/>
        <v>10.087238644556594</v>
      </c>
      <c r="G82" s="3"/>
    </row>
    <row r="83" spans="1:14" s="2" customFormat="1" ht="15" customHeight="1">
      <c r="A83" s="8">
        <v>30375</v>
      </c>
      <c r="B83" s="5">
        <v>8.5099999999999995E-2</v>
      </c>
      <c r="C83" s="10">
        <v>0.12675</v>
      </c>
      <c r="D83" s="10">
        <f t="shared" si="3"/>
        <v>4.1650000000000006E-2</v>
      </c>
      <c r="E83" s="12">
        <f t="shared" si="4"/>
        <v>1.141095890410959E-4</v>
      </c>
      <c r="F83" s="3">
        <f t="shared" si="5"/>
        <v>11.41095890410959</v>
      </c>
      <c r="G83" s="3"/>
    </row>
    <row r="84" spans="1:14" s="2" customFormat="1" ht="15" customHeight="1">
      <c r="A84" s="8">
        <v>30406</v>
      </c>
      <c r="B84" s="5">
        <v>8.77E-2</v>
      </c>
      <c r="C84" s="10">
        <v>0.16733695652173913</v>
      </c>
      <c r="D84" s="10">
        <f t="shared" si="3"/>
        <v>7.9636956521739133E-2</v>
      </c>
      <c r="E84" s="12">
        <f t="shared" si="4"/>
        <v>2.1818344252531269E-4</v>
      </c>
      <c r="F84" s="3">
        <f t="shared" si="5"/>
        <v>21.818344252531269</v>
      </c>
      <c r="G84" s="3"/>
    </row>
    <row r="85" spans="1:14" s="2" customFormat="1" ht="15" customHeight="1">
      <c r="A85" s="8">
        <v>30436</v>
      </c>
      <c r="B85" s="5">
        <v>8.8000000000000009E-2</v>
      </c>
      <c r="C85" s="10">
        <v>0.12611111111111112</v>
      </c>
      <c r="D85" s="10">
        <f t="shared" si="3"/>
        <v>3.8111111111111109E-2</v>
      </c>
      <c r="E85" s="12">
        <f t="shared" si="4"/>
        <v>1.0441400304414002E-4</v>
      </c>
      <c r="F85" s="3">
        <f t="shared" si="5"/>
        <v>10.441400304414001</v>
      </c>
      <c r="G85" s="3"/>
    </row>
    <row r="86" spans="1:14" s="2" customFormat="1" ht="15" customHeight="1">
      <c r="A86" s="8">
        <v>30467</v>
      </c>
      <c r="B86" s="5">
        <v>8.6300000000000002E-2</v>
      </c>
      <c r="C86" s="10">
        <v>0.11897727272727274</v>
      </c>
      <c r="D86" s="10">
        <f t="shared" si="3"/>
        <v>3.2677272727272735E-2</v>
      </c>
      <c r="E86" s="12">
        <f t="shared" si="4"/>
        <v>8.9526774595267766E-5</v>
      </c>
      <c r="F86" s="3">
        <f t="shared" si="5"/>
        <v>8.9526774595267771</v>
      </c>
      <c r="G86" s="3"/>
    </row>
    <row r="87" spans="1:14" s="2" customFormat="1" ht="15" customHeight="1">
      <c r="A87" s="8">
        <v>30497</v>
      </c>
      <c r="B87" s="5">
        <v>8.9800000000000005E-2</v>
      </c>
      <c r="C87" s="10">
        <v>0.11744318181818182</v>
      </c>
      <c r="D87" s="10">
        <f t="shared" si="3"/>
        <v>2.7643181818181817E-2</v>
      </c>
      <c r="E87" s="12">
        <f t="shared" si="4"/>
        <v>7.5734744707347442E-5</v>
      </c>
      <c r="F87" s="3">
        <f t="shared" si="5"/>
        <v>7.5734744707347446</v>
      </c>
      <c r="G87" s="3"/>
    </row>
    <row r="88" spans="1:14" s="2" customFormat="1" ht="15" customHeight="1">
      <c r="A88" s="8">
        <v>30528</v>
      </c>
      <c r="B88" s="5">
        <v>9.3699999999999992E-2</v>
      </c>
      <c r="C88" s="10">
        <v>0.10345238095238095</v>
      </c>
      <c r="D88" s="10">
        <f t="shared" si="3"/>
        <v>9.7523809523809568E-3</v>
      </c>
      <c r="E88" s="12">
        <f t="shared" si="4"/>
        <v>2.6718851924331387E-5</v>
      </c>
      <c r="F88" s="3">
        <f t="shared" si="5"/>
        <v>2.6718851924331388</v>
      </c>
      <c r="G88" s="3"/>
    </row>
    <row r="89" spans="1:14" s="2" customFormat="1" ht="15" customHeight="1">
      <c r="A89" s="8">
        <v>30559</v>
      </c>
      <c r="B89" s="5">
        <v>9.5600000000000004E-2</v>
      </c>
      <c r="C89" s="10">
        <v>0.10668478260869564</v>
      </c>
      <c r="D89" s="10">
        <f t="shared" si="3"/>
        <v>1.1084782608695637E-2</v>
      </c>
      <c r="E89" s="12">
        <f t="shared" si="4"/>
        <v>3.0369267421083938E-5</v>
      </c>
      <c r="F89" s="3">
        <f t="shared" si="5"/>
        <v>3.0369267421083936</v>
      </c>
      <c r="G89" s="3"/>
      <c r="H89" s="49" t="s">
        <v>210</v>
      </c>
      <c r="I89" s="49" t="s">
        <v>93</v>
      </c>
      <c r="J89"/>
      <c r="K89"/>
      <c r="L89"/>
      <c r="N89" s="25"/>
    </row>
    <row r="90" spans="1:14" s="2" customFormat="1" ht="15" customHeight="1">
      <c r="A90" s="8">
        <v>30589</v>
      </c>
      <c r="B90" s="5">
        <v>9.4499999999999987E-2</v>
      </c>
      <c r="C90" s="10">
        <v>0.10982954545454544</v>
      </c>
      <c r="D90" s="10">
        <f t="shared" si="3"/>
        <v>1.5329545454545457E-2</v>
      </c>
      <c r="E90" s="12">
        <f t="shared" si="4"/>
        <v>4.1998754669987553E-5</v>
      </c>
      <c r="F90" s="3">
        <f t="shared" si="5"/>
        <v>4.1998754669987557</v>
      </c>
      <c r="G90" s="3"/>
      <c r="H90" s="109">
        <v>5.5</v>
      </c>
      <c r="I90" s="51">
        <v>1</v>
      </c>
      <c r="J90"/>
      <c r="K90"/>
      <c r="L90"/>
      <c r="M90" s="25" t="s">
        <v>211</v>
      </c>
    </row>
    <row r="91" spans="1:14" s="2" customFormat="1" ht="15" customHeight="1">
      <c r="A91" s="8">
        <v>30620</v>
      </c>
      <c r="B91" s="5">
        <v>9.4800000000000009E-2</v>
      </c>
      <c r="C91" s="10">
        <v>0.10244047619047619</v>
      </c>
      <c r="D91" s="10">
        <f t="shared" si="3"/>
        <v>7.6404761904761836E-3</v>
      </c>
      <c r="E91" s="12">
        <f t="shared" si="4"/>
        <v>2.0932811480756667E-5</v>
      </c>
      <c r="F91" s="3">
        <f t="shared" si="5"/>
        <v>2.0932811480756666</v>
      </c>
      <c r="G91" s="3"/>
      <c r="H91" s="109">
        <v>5</v>
      </c>
      <c r="I91" s="51">
        <v>4</v>
      </c>
      <c r="J91"/>
      <c r="K91"/>
      <c r="L91"/>
      <c r="M91" s="25" t="s">
        <v>212</v>
      </c>
    </row>
    <row r="92" spans="1:14" s="2" customFormat="1" ht="15" customHeight="1">
      <c r="A92" s="8">
        <v>30650</v>
      </c>
      <c r="B92" s="5">
        <v>9.3399999999999997E-2</v>
      </c>
      <c r="C92" s="10">
        <v>9.9659090909090919E-2</v>
      </c>
      <c r="D92" s="10">
        <f t="shared" si="3"/>
        <v>6.2590909090909225E-3</v>
      </c>
      <c r="E92" s="12">
        <f t="shared" si="4"/>
        <v>1.7148194271481981E-5</v>
      </c>
      <c r="F92" s="3">
        <f t="shared" si="5"/>
        <v>1.714819427148198</v>
      </c>
      <c r="G92" s="3"/>
      <c r="H92" s="109">
        <v>4.5</v>
      </c>
      <c r="I92" s="51">
        <v>7</v>
      </c>
      <c r="J92"/>
      <c r="K92"/>
      <c r="L92"/>
      <c r="M92" s="25"/>
    </row>
    <row r="93" spans="1:14" s="2" customFormat="1" ht="15" customHeight="1">
      <c r="A93" s="8">
        <v>30681</v>
      </c>
      <c r="B93" s="5">
        <v>9.4700000000000006E-2</v>
      </c>
      <c r="C93" s="10">
        <v>4.7562499999999994E-2</v>
      </c>
      <c r="D93" s="10">
        <f t="shared" si="3"/>
        <v>-4.7137500000000013E-2</v>
      </c>
      <c r="E93" s="12">
        <f t="shared" si="4"/>
        <v>-1.291438356164384E-4</v>
      </c>
      <c r="F93" s="3">
        <f t="shared" si="5"/>
        <v>-12.91438356164384</v>
      </c>
      <c r="G93" s="3"/>
      <c r="H93" s="109">
        <v>4</v>
      </c>
      <c r="I93" s="51">
        <v>10</v>
      </c>
      <c r="J93"/>
      <c r="K93"/>
      <c r="L93"/>
      <c r="M93" s="25" t="s">
        <v>223</v>
      </c>
    </row>
    <row r="94" spans="1:14" s="2" customFormat="1" ht="15" customHeight="1">
      <c r="A94" s="8">
        <v>30712</v>
      </c>
      <c r="B94" s="5">
        <v>9.5600000000000004E-2</v>
      </c>
      <c r="C94" s="10">
        <v>9.1312499999999991E-2</v>
      </c>
      <c r="D94" s="10">
        <f t="shared" si="3"/>
        <v>-4.2875000000000135E-3</v>
      </c>
      <c r="E94" s="12">
        <f t="shared" si="4"/>
        <v>-1.174657534246579E-5</v>
      </c>
      <c r="F94" s="3">
        <f t="shared" si="5"/>
        <v>-1.174657534246579</v>
      </c>
      <c r="G94" s="3"/>
      <c r="H94" s="109">
        <v>3.5</v>
      </c>
      <c r="I94" s="51">
        <v>9</v>
      </c>
      <c r="J94"/>
      <c r="K94"/>
      <c r="L94"/>
      <c r="M94" s="25" t="s">
        <v>213</v>
      </c>
    </row>
    <row r="95" spans="1:14" s="2" customFormat="1" ht="15" customHeight="1">
      <c r="A95" s="8">
        <v>30741</v>
      </c>
      <c r="B95" s="5">
        <v>9.5899999999999999E-2</v>
      </c>
      <c r="C95" s="10">
        <v>9.7785714285714281E-2</v>
      </c>
      <c r="D95" s="10">
        <f t="shared" si="3"/>
        <v>1.8857142857142822E-3</v>
      </c>
      <c r="E95" s="12">
        <f t="shared" si="4"/>
        <v>5.1663405088062525E-6</v>
      </c>
      <c r="F95" s="3">
        <f t="shared" si="5"/>
        <v>0.51663405088062531</v>
      </c>
      <c r="G95" s="3"/>
      <c r="H95" s="109">
        <v>3</v>
      </c>
      <c r="I95" s="51">
        <v>7</v>
      </c>
      <c r="J95"/>
      <c r="K95" t="s">
        <v>204</v>
      </c>
      <c r="L95"/>
      <c r="N95" s="25"/>
    </row>
    <row r="96" spans="1:14" s="2" customFormat="1" ht="15" customHeight="1">
      <c r="A96" s="8">
        <v>30772</v>
      </c>
      <c r="B96" s="5">
        <v>9.9100000000000008E-2</v>
      </c>
      <c r="C96" s="10">
        <v>0.12551136363636364</v>
      </c>
      <c r="D96" s="10">
        <f t="shared" si="3"/>
        <v>2.6411363636363636E-2</v>
      </c>
      <c r="E96" s="12">
        <f t="shared" si="4"/>
        <v>7.2359900373599004E-5</v>
      </c>
      <c r="F96" s="3">
        <f t="shared" si="5"/>
        <v>7.2359900373599002</v>
      </c>
      <c r="G96" s="3"/>
      <c r="H96" s="109">
        <v>2.5</v>
      </c>
      <c r="I96" s="51">
        <v>5</v>
      </c>
      <c r="J96"/>
      <c r="K96"/>
      <c r="L96"/>
      <c r="M96" s="25" t="s">
        <v>214</v>
      </c>
      <c r="N96" s="25"/>
    </row>
    <row r="97" spans="1:14" s="2" customFormat="1" ht="15" customHeight="1">
      <c r="A97" s="8">
        <v>30802</v>
      </c>
      <c r="B97" s="5">
        <v>0.10289999999999999</v>
      </c>
      <c r="C97" s="10">
        <v>0.1514722222222222</v>
      </c>
      <c r="D97" s="10">
        <f t="shared" si="3"/>
        <v>4.8572222222222211E-2</v>
      </c>
      <c r="E97" s="12">
        <f t="shared" si="4"/>
        <v>1.3307458143074579E-4</v>
      </c>
      <c r="F97" s="3">
        <f t="shared" si="5"/>
        <v>13.307458143074578</v>
      </c>
      <c r="G97" s="3"/>
      <c r="H97" s="109">
        <v>2</v>
      </c>
      <c r="I97" s="51">
        <v>4</v>
      </c>
      <c r="J97"/>
      <c r="K97"/>
      <c r="L97"/>
      <c r="N97" s="25"/>
    </row>
    <row r="98" spans="1:14" s="2" customFormat="1" ht="15" customHeight="1">
      <c r="A98" s="8">
        <v>30833</v>
      </c>
      <c r="B98" s="5">
        <v>0.1032</v>
      </c>
      <c r="C98" s="10">
        <v>0.14076086956521738</v>
      </c>
      <c r="D98" s="10">
        <f t="shared" si="3"/>
        <v>3.7560869565217384E-2</v>
      </c>
      <c r="E98" s="12">
        <f t="shared" si="4"/>
        <v>1.0290649195949967E-4</v>
      </c>
      <c r="F98" s="3">
        <f t="shared" si="5"/>
        <v>10.290649195949968</v>
      </c>
      <c r="G98" s="3"/>
      <c r="H98" s="109">
        <v>1.5</v>
      </c>
      <c r="I98" s="51">
        <v>3</v>
      </c>
      <c r="J98"/>
      <c r="K98"/>
      <c r="L98"/>
      <c r="N98" s="25"/>
    </row>
    <row r="99" spans="1:14" s="2" customFormat="1" ht="15" customHeight="1">
      <c r="A99" s="8">
        <v>30863</v>
      </c>
      <c r="B99" s="5">
        <v>0.1106</v>
      </c>
      <c r="C99" s="10">
        <v>0.12333333333333334</v>
      </c>
      <c r="D99" s="10">
        <f t="shared" si="3"/>
        <v>1.2733333333333333E-2</v>
      </c>
      <c r="E99" s="12">
        <f t="shared" si="4"/>
        <v>3.4885844748858445E-5</v>
      </c>
      <c r="F99" s="3">
        <f t="shared" si="5"/>
        <v>3.4885844748858443</v>
      </c>
      <c r="G99" s="3"/>
      <c r="H99" s="109">
        <v>1</v>
      </c>
      <c r="I99" s="51">
        <v>2</v>
      </c>
      <c r="J99"/>
      <c r="K99"/>
      <c r="L99"/>
      <c r="N99" s="25"/>
    </row>
    <row r="100" spans="1:14" s="2" customFormat="1" ht="15" customHeight="1">
      <c r="A100" s="8">
        <v>30894</v>
      </c>
      <c r="B100" s="5">
        <v>0.11230000000000001</v>
      </c>
      <c r="C100" s="10">
        <v>0.12193181818181818</v>
      </c>
      <c r="D100" s="10">
        <f t="shared" si="3"/>
        <v>9.631818181818172E-3</v>
      </c>
      <c r="E100" s="12">
        <f t="shared" si="4"/>
        <v>2.6388542963885403E-5</v>
      </c>
      <c r="F100" s="3">
        <f t="shared" si="5"/>
        <v>2.6388542963885402</v>
      </c>
      <c r="G100" s="3"/>
      <c r="H100" s="109">
        <v>0.5</v>
      </c>
      <c r="I100" s="51">
        <v>1</v>
      </c>
      <c r="J100"/>
      <c r="K100"/>
      <c r="L100"/>
      <c r="N100" s="25"/>
    </row>
    <row r="101" spans="1:14" s="2" customFormat="1" ht="15" customHeight="1">
      <c r="A101" s="8">
        <v>30925</v>
      </c>
      <c r="B101" s="5">
        <v>0.1164</v>
      </c>
      <c r="C101" s="10">
        <v>0.11614130434782609</v>
      </c>
      <c r="D101" s="10">
        <f t="shared" si="3"/>
        <v>-2.5869565217391532E-4</v>
      </c>
      <c r="E101" s="12">
        <f t="shared" si="4"/>
        <v>-7.087552114353844E-7</v>
      </c>
      <c r="F101" s="3">
        <f t="shared" si="5"/>
        <v>-7.0875521143538442E-2</v>
      </c>
      <c r="G101" s="3"/>
      <c r="H101" s="123">
        <v>0</v>
      </c>
      <c r="I101" s="52">
        <v>0</v>
      </c>
      <c r="J101"/>
      <c r="K101"/>
      <c r="L101"/>
      <c r="N101" s="25"/>
    </row>
    <row r="102" spans="1:14" s="2" customFormat="1" ht="15" customHeight="1">
      <c r="A102" s="8">
        <v>30955</v>
      </c>
      <c r="B102" s="5">
        <v>0.113</v>
      </c>
      <c r="C102" s="10">
        <v>0.11068749999999999</v>
      </c>
      <c r="D102" s="10">
        <f t="shared" si="3"/>
        <v>-2.312500000000009E-3</v>
      </c>
      <c r="E102" s="12">
        <f t="shared" si="4"/>
        <v>-6.3356164383561889E-6</v>
      </c>
      <c r="F102" s="3">
        <f t="shared" si="5"/>
        <v>-0.63356164383561886</v>
      </c>
      <c r="G102" s="3"/>
      <c r="H102" s="109">
        <v>-0.5</v>
      </c>
      <c r="I102" s="53">
        <v>-1</v>
      </c>
      <c r="J102"/>
      <c r="K102"/>
      <c r="L102"/>
      <c r="N102" s="25"/>
    </row>
    <row r="103" spans="1:14" s="2" customFormat="1" ht="15" customHeight="1">
      <c r="A103" s="8">
        <v>30986</v>
      </c>
      <c r="B103" s="5">
        <v>9.9900000000000003E-2</v>
      </c>
      <c r="C103" s="10">
        <v>0.11141304347826088</v>
      </c>
      <c r="D103" s="10">
        <f t="shared" si="3"/>
        <v>1.1513043478260876E-2</v>
      </c>
      <c r="E103" s="12">
        <f t="shared" si="4"/>
        <v>3.1542584871947603E-5</v>
      </c>
      <c r="F103" s="3">
        <f t="shared" si="5"/>
        <v>3.1542584871947601</v>
      </c>
      <c r="G103" s="3"/>
      <c r="H103" s="109">
        <v>-1</v>
      </c>
      <c r="I103" s="53">
        <v>-2</v>
      </c>
      <c r="J103"/>
      <c r="K103"/>
      <c r="L103"/>
      <c r="N103" s="25"/>
    </row>
    <row r="104" spans="1:14" s="2" customFormat="1" ht="15" customHeight="1">
      <c r="A104" s="8">
        <v>31016</v>
      </c>
      <c r="B104" s="5">
        <v>9.4299999999999995E-2</v>
      </c>
      <c r="C104" s="10">
        <v>0.11521590909090909</v>
      </c>
      <c r="D104" s="10">
        <f t="shared" si="3"/>
        <v>2.0915909090909096E-2</v>
      </c>
      <c r="E104" s="12">
        <f t="shared" si="4"/>
        <v>5.7303860523038619E-5</v>
      </c>
      <c r="F104" s="3">
        <f t="shared" si="5"/>
        <v>5.7303860523038619</v>
      </c>
      <c r="G104" s="3"/>
      <c r="H104" s="109">
        <v>-1.5</v>
      </c>
      <c r="I104" s="53">
        <v>-3</v>
      </c>
      <c r="J104"/>
      <c r="K104"/>
      <c r="L104"/>
      <c r="N104" s="25"/>
    </row>
    <row r="105" spans="1:14" s="2" customFormat="1" ht="15" customHeight="1">
      <c r="A105" s="8">
        <v>31047</v>
      </c>
      <c r="B105" s="5">
        <v>8.3800000000000013E-2</v>
      </c>
      <c r="C105" s="10">
        <v>0.12006944444444445</v>
      </c>
      <c r="D105" s="10">
        <f t="shared" si="3"/>
        <v>3.6269444444444437E-2</v>
      </c>
      <c r="E105" s="12">
        <f t="shared" si="4"/>
        <v>9.9368340943683389E-5</v>
      </c>
      <c r="F105" s="3">
        <f t="shared" si="5"/>
        <v>9.9368340943683382</v>
      </c>
      <c r="G105" s="3"/>
      <c r="H105" s="109">
        <v>-2</v>
      </c>
      <c r="I105" s="53">
        <v>-4</v>
      </c>
      <c r="J105"/>
      <c r="K105"/>
      <c r="L105"/>
      <c r="N105" s="25"/>
    </row>
    <row r="106" spans="1:14" s="2" customFormat="1" ht="15" customHeight="1">
      <c r="A106" s="8">
        <v>31078</v>
      </c>
      <c r="B106" s="5">
        <v>8.3499999999999991E-2</v>
      </c>
      <c r="C106" s="10">
        <v>0.11267857142857142</v>
      </c>
      <c r="D106" s="10">
        <f t="shared" si="3"/>
        <v>2.9178571428571429E-2</v>
      </c>
      <c r="E106" s="12">
        <f t="shared" si="4"/>
        <v>7.9941291585127204E-5</v>
      </c>
      <c r="F106" s="3">
        <f t="shared" si="5"/>
        <v>7.9941291585127203</v>
      </c>
      <c r="G106" s="3"/>
      <c r="H106" s="109">
        <v>-2.5</v>
      </c>
      <c r="I106" s="53">
        <v>-5</v>
      </c>
      <c r="J106"/>
      <c r="K106"/>
      <c r="L106"/>
      <c r="N106" s="25"/>
    </row>
    <row r="107" spans="1:14" s="2" customFormat="1" ht="15" customHeight="1">
      <c r="A107" s="8">
        <v>31106</v>
      </c>
      <c r="B107" s="5">
        <v>8.5000000000000006E-2</v>
      </c>
      <c r="C107" s="10">
        <v>0.11643750000000001</v>
      </c>
      <c r="D107" s="10">
        <f t="shared" si="3"/>
        <v>3.1437500000000007E-2</v>
      </c>
      <c r="E107" s="12">
        <f t="shared" si="4"/>
        <v>8.6130136986301389E-5</v>
      </c>
      <c r="F107" s="3">
        <f t="shared" si="5"/>
        <v>8.6130136986301391</v>
      </c>
      <c r="G107" s="3"/>
      <c r="H107" s="109">
        <v>-3</v>
      </c>
      <c r="I107" s="53">
        <v>-7</v>
      </c>
      <c r="J107"/>
      <c r="K107" t="s">
        <v>203</v>
      </c>
      <c r="L107"/>
      <c r="N107" s="25"/>
    </row>
    <row r="108" spans="1:14" s="2" customFormat="1" ht="15" customHeight="1">
      <c r="A108" s="8">
        <v>31137</v>
      </c>
      <c r="B108" s="5">
        <v>8.5800000000000001E-2</v>
      </c>
      <c r="C108" s="10">
        <v>0.13970238095238094</v>
      </c>
      <c r="D108" s="10">
        <f t="shared" si="3"/>
        <v>5.3902380952380938E-2</v>
      </c>
      <c r="E108" s="12">
        <f t="shared" si="4"/>
        <v>1.4767775603392037E-4</v>
      </c>
      <c r="F108" s="3">
        <f t="shared" si="5"/>
        <v>14.767775603392037</v>
      </c>
      <c r="G108" s="3"/>
      <c r="H108" s="109">
        <v>-3.5</v>
      </c>
      <c r="I108" s="53">
        <v>-9</v>
      </c>
      <c r="J108"/>
      <c r="K108"/>
      <c r="L108"/>
      <c r="N108" s="25"/>
    </row>
    <row r="109" spans="1:14" s="2" customFormat="1" ht="15" customHeight="1">
      <c r="A109" s="8">
        <v>31167</v>
      </c>
      <c r="B109" s="5">
        <v>8.2699999999999996E-2</v>
      </c>
      <c r="C109" s="10">
        <v>0.15394736842105264</v>
      </c>
      <c r="D109" s="10">
        <f t="shared" si="3"/>
        <v>7.1247368421052643E-2</v>
      </c>
      <c r="E109" s="12">
        <f t="shared" si="4"/>
        <v>1.9519826964671958E-4</v>
      </c>
      <c r="F109" s="3">
        <f t="shared" si="5"/>
        <v>19.519826964671957</v>
      </c>
      <c r="G109" s="3"/>
      <c r="H109" s="109">
        <v>-4</v>
      </c>
      <c r="I109" s="53">
        <v>-10</v>
      </c>
      <c r="J109"/>
      <c r="K109"/>
      <c r="L109"/>
      <c r="N109" s="25"/>
    </row>
    <row r="110" spans="1:14" s="2" customFormat="1" ht="15" customHeight="1">
      <c r="A110" s="8">
        <v>31198</v>
      </c>
      <c r="B110" s="5">
        <v>7.9699999999999993E-2</v>
      </c>
      <c r="C110" s="10">
        <v>0.15836956521739132</v>
      </c>
      <c r="D110" s="10">
        <f t="shared" si="3"/>
        <v>7.8669565217391324E-2</v>
      </c>
      <c r="E110" s="12">
        <f t="shared" si="4"/>
        <v>2.1553305539011322E-4</v>
      </c>
      <c r="F110" s="3">
        <f t="shared" si="5"/>
        <v>21.553305539011323</v>
      </c>
      <c r="G110" s="3"/>
      <c r="H110" s="109">
        <v>-5.5</v>
      </c>
      <c r="I110" s="53">
        <v>-7</v>
      </c>
      <c r="J110"/>
      <c r="K110"/>
      <c r="L110"/>
    </row>
    <row r="111" spans="1:14" s="2" customFormat="1" ht="15" customHeight="1">
      <c r="A111" s="8">
        <v>31228</v>
      </c>
      <c r="B111" s="5">
        <v>7.5300000000000006E-2</v>
      </c>
      <c r="C111" s="10">
        <v>0.18918749999999998</v>
      </c>
      <c r="D111" s="10">
        <f t="shared" si="3"/>
        <v>0.11388749999999997</v>
      </c>
      <c r="E111" s="12">
        <f t="shared" si="4"/>
        <v>3.1202054794520541E-4</v>
      </c>
      <c r="F111" s="3">
        <f t="shared" si="5"/>
        <v>31.202054794520542</v>
      </c>
      <c r="G111" s="3"/>
      <c r="H111" s="109">
        <v>-6</v>
      </c>
      <c r="I111" s="53">
        <v>-4</v>
      </c>
      <c r="J111"/>
      <c r="K111"/>
      <c r="L111"/>
    </row>
    <row r="112" spans="1:14" s="2" customFormat="1" ht="15" customHeight="1">
      <c r="A112" s="8">
        <v>31259</v>
      </c>
      <c r="B112" s="5">
        <v>7.8799999999999995E-2</v>
      </c>
      <c r="C112" s="10">
        <v>0.15475</v>
      </c>
      <c r="D112" s="10">
        <f t="shared" si="3"/>
        <v>7.5950000000000004E-2</v>
      </c>
      <c r="E112" s="12">
        <f t="shared" si="4"/>
        <v>2.0808219178082194E-4</v>
      </c>
      <c r="F112" s="3">
        <f t="shared" si="5"/>
        <v>20.808219178082194</v>
      </c>
      <c r="G112" s="3"/>
      <c r="H112" s="109">
        <v>-6.5</v>
      </c>
      <c r="I112" s="53">
        <v>-1</v>
      </c>
      <c r="J112"/>
      <c r="K112"/>
      <c r="L112"/>
    </row>
    <row r="113" spans="1:7" s="2" customFormat="1" ht="15" customHeight="1">
      <c r="A113" s="8">
        <v>31290</v>
      </c>
      <c r="B113" s="5">
        <v>7.9000000000000001E-2</v>
      </c>
      <c r="C113" s="10">
        <v>0.16500000000000001</v>
      </c>
      <c r="D113" s="10">
        <f t="shared" si="3"/>
        <v>8.6000000000000007E-2</v>
      </c>
      <c r="E113" s="12">
        <f t="shared" si="4"/>
        <v>2.356164383561644E-4</v>
      </c>
      <c r="F113" s="3">
        <f t="shared" si="5"/>
        <v>23.56164383561644</v>
      </c>
      <c r="G113" s="3"/>
    </row>
    <row r="114" spans="1:7" s="2" customFormat="1" ht="15" customHeight="1">
      <c r="A114" s="8">
        <v>31320</v>
      </c>
      <c r="B114" s="5">
        <v>7.9199999999999993E-2</v>
      </c>
      <c r="C114" s="10">
        <v>0.16410714285714284</v>
      </c>
      <c r="D114" s="10">
        <f t="shared" si="3"/>
        <v>8.4907142857142848E-2</v>
      </c>
      <c r="E114" s="12">
        <f t="shared" si="4"/>
        <v>2.3262230919765165E-4</v>
      </c>
      <c r="F114" s="3">
        <f t="shared" si="5"/>
        <v>23.262230919765166</v>
      </c>
      <c r="G114" s="3"/>
    </row>
    <row r="115" spans="1:7" s="2" customFormat="1" ht="15" customHeight="1">
      <c r="A115" s="8">
        <v>31351</v>
      </c>
      <c r="B115" s="5">
        <v>7.9899999999999999E-2</v>
      </c>
      <c r="C115" s="10">
        <v>0.16086956521739129</v>
      </c>
      <c r="D115" s="10">
        <f t="shared" si="3"/>
        <v>8.0969565217391293E-2</v>
      </c>
      <c r="E115" s="12">
        <f t="shared" si="4"/>
        <v>2.2183442525312684E-4</v>
      </c>
      <c r="F115" s="3">
        <f t="shared" si="5"/>
        <v>22.183442525312685</v>
      </c>
      <c r="G115" s="3"/>
    </row>
    <row r="116" spans="1:7" s="2" customFormat="1" ht="15" customHeight="1">
      <c r="A116" s="8">
        <v>31381</v>
      </c>
      <c r="B116" s="5">
        <v>8.0500000000000002E-2</v>
      </c>
      <c r="C116" s="10">
        <v>0.18119047619047621</v>
      </c>
      <c r="D116" s="10">
        <f t="shared" si="3"/>
        <v>0.10069047619047621</v>
      </c>
      <c r="E116" s="12">
        <f t="shared" si="4"/>
        <v>2.7586431833007179E-4</v>
      </c>
      <c r="F116" s="3">
        <f t="shared" si="5"/>
        <v>27.586431833007179</v>
      </c>
      <c r="G116" s="3"/>
    </row>
    <row r="117" spans="1:7" s="2" customFormat="1" ht="15" customHeight="1">
      <c r="A117" s="8">
        <v>31412</v>
      </c>
      <c r="B117" s="5">
        <v>8.2699999999999996E-2</v>
      </c>
      <c r="C117" s="10">
        <v>0.19393750000000001</v>
      </c>
      <c r="D117" s="10">
        <f t="shared" si="3"/>
        <v>0.11123750000000002</v>
      </c>
      <c r="E117" s="12">
        <f t="shared" si="4"/>
        <v>3.047602739726028E-4</v>
      </c>
      <c r="F117" s="3">
        <f t="shared" si="5"/>
        <v>30.476027397260278</v>
      </c>
      <c r="G117" s="3"/>
    </row>
    <row r="118" spans="1:7" s="2" customFormat="1" ht="15" customHeight="1">
      <c r="A118" s="8">
        <v>31443</v>
      </c>
      <c r="B118" s="5">
        <v>8.14E-2</v>
      </c>
      <c r="C118" s="10">
        <v>0.18904761904761905</v>
      </c>
      <c r="D118" s="10">
        <f t="shared" si="3"/>
        <v>0.10764761904761905</v>
      </c>
      <c r="E118" s="12">
        <f t="shared" si="4"/>
        <v>2.94924983692107E-4</v>
      </c>
      <c r="F118" s="3">
        <f t="shared" si="5"/>
        <v>29.492498369210701</v>
      </c>
      <c r="G118" s="3"/>
    </row>
    <row r="119" spans="1:7" s="2" customFormat="1" ht="15" customHeight="1">
      <c r="A119" s="8">
        <v>31471</v>
      </c>
      <c r="B119" s="5">
        <v>7.8600000000000003E-2</v>
      </c>
      <c r="C119" s="10">
        <v>0.18581250000000002</v>
      </c>
      <c r="D119" s="10">
        <f t="shared" si="3"/>
        <v>0.10721250000000002</v>
      </c>
      <c r="E119" s="12">
        <f t="shared" si="4"/>
        <v>2.9373287671232882E-4</v>
      </c>
      <c r="F119" s="3">
        <f t="shared" si="5"/>
        <v>29.37328767123288</v>
      </c>
      <c r="G119" s="3"/>
    </row>
    <row r="120" spans="1:7" s="2" customFormat="1" ht="15" customHeight="1">
      <c r="A120" s="8">
        <v>31502</v>
      </c>
      <c r="B120" s="5">
        <v>7.4800000000000005E-2</v>
      </c>
      <c r="C120" s="10">
        <v>0.17289473684210527</v>
      </c>
      <c r="D120" s="10">
        <f t="shared" si="3"/>
        <v>9.8094736842105262E-2</v>
      </c>
      <c r="E120" s="12">
        <f t="shared" si="4"/>
        <v>2.6875270367700071E-4</v>
      </c>
      <c r="F120" s="3">
        <f t="shared" si="5"/>
        <v>26.875270367700072</v>
      </c>
      <c r="G120" s="3"/>
    </row>
    <row r="121" spans="1:7" s="2" customFormat="1" ht="15" customHeight="1">
      <c r="A121" s="8">
        <v>31532</v>
      </c>
      <c r="B121" s="5">
        <v>6.9900000000000004E-2</v>
      </c>
      <c r="C121" s="10">
        <v>0.17148809523809525</v>
      </c>
      <c r="D121" s="10">
        <f t="shared" si="3"/>
        <v>0.10158809523809524</v>
      </c>
      <c r="E121" s="12">
        <f t="shared" si="4"/>
        <v>2.7832354859752122E-4</v>
      </c>
      <c r="F121" s="3">
        <f t="shared" si="5"/>
        <v>27.832354859752122</v>
      </c>
      <c r="G121" s="3"/>
    </row>
    <row r="122" spans="1:7" s="2" customFormat="1" ht="15" customHeight="1">
      <c r="A122" s="8">
        <v>31563</v>
      </c>
      <c r="B122" s="5">
        <v>6.8499999999999991E-2</v>
      </c>
      <c r="C122" s="10">
        <v>0.15107954545454544</v>
      </c>
      <c r="D122" s="10">
        <f t="shared" si="3"/>
        <v>8.2579545454545447E-2</v>
      </c>
      <c r="E122" s="12">
        <f t="shared" si="4"/>
        <v>2.2624533001245329E-4</v>
      </c>
      <c r="F122" s="3">
        <f t="shared" si="5"/>
        <v>22.624533001245329</v>
      </c>
      <c r="G122" s="3"/>
    </row>
    <row r="123" spans="1:7" s="2" customFormat="1" ht="15" customHeight="1">
      <c r="A123" s="8">
        <v>31593</v>
      </c>
      <c r="B123" s="5">
        <v>6.9199999999999998E-2</v>
      </c>
      <c r="C123" s="10">
        <v>0.15434523809523809</v>
      </c>
      <c r="D123" s="10">
        <f t="shared" si="3"/>
        <v>8.5145238095238093E-2</v>
      </c>
      <c r="E123" s="12">
        <f t="shared" si="4"/>
        <v>2.3327462491846054E-4</v>
      </c>
      <c r="F123" s="3">
        <f t="shared" si="5"/>
        <v>23.327462491846052</v>
      </c>
      <c r="G123" s="3"/>
    </row>
    <row r="124" spans="1:7" s="2" customFormat="1" ht="15" customHeight="1">
      <c r="A124" s="8">
        <v>31624</v>
      </c>
      <c r="B124" s="5">
        <v>6.5599999999999992E-2</v>
      </c>
      <c r="C124" s="10">
        <v>0.14711956521739131</v>
      </c>
      <c r="D124" s="10">
        <f t="shared" si="3"/>
        <v>8.1519565217391315E-2</v>
      </c>
      <c r="E124" s="12">
        <f t="shared" si="4"/>
        <v>2.2334127456819538E-4</v>
      </c>
      <c r="F124" s="3">
        <f t="shared" si="5"/>
        <v>22.334127456819537</v>
      </c>
      <c r="G124" s="3"/>
    </row>
    <row r="125" spans="1:7" s="2" customFormat="1" ht="15" customHeight="1">
      <c r="A125" s="8">
        <v>31655</v>
      </c>
      <c r="B125" s="5">
        <v>6.1699999999999998E-2</v>
      </c>
      <c r="C125" s="10">
        <v>0.17779761904761904</v>
      </c>
      <c r="D125" s="10">
        <f t="shared" si="3"/>
        <v>0.11609761904761903</v>
      </c>
      <c r="E125" s="12">
        <f t="shared" si="4"/>
        <v>3.180756686236138E-4</v>
      </c>
      <c r="F125" s="3">
        <f t="shared" si="5"/>
        <v>31.80756686236138</v>
      </c>
      <c r="G125" s="3"/>
    </row>
    <row r="126" spans="1:7" s="2" customFormat="1" ht="15" customHeight="1">
      <c r="A126" s="8">
        <v>31685</v>
      </c>
      <c r="B126" s="5">
        <v>5.8899999999999994E-2</v>
      </c>
      <c r="C126" s="10">
        <v>0.17697727272727273</v>
      </c>
      <c r="D126" s="10">
        <f t="shared" si="3"/>
        <v>0.11807727272727274</v>
      </c>
      <c r="E126" s="12">
        <f t="shared" si="4"/>
        <v>3.234993773349938E-4</v>
      </c>
      <c r="F126" s="3">
        <f t="shared" si="5"/>
        <v>32.349937733499381</v>
      </c>
      <c r="G126" s="3"/>
    </row>
    <row r="127" spans="1:7" s="2" customFormat="1" ht="15" customHeight="1">
      <c r="A127" s="8">
        <v>31716</v>
      </c>
      <c r="B127" s="5">
        <v>5.8499999999999996E-2</v>
      </c>
      <c r="C127" s="10">
        <v>0.16642391304347828</v>
      </c>
      <c r="D127" s="10">
        <f t="shared" si="3"/>
        <v>0.10792391304347829</v>
      </c>
      <c r="E127" s="12">
        <f t="shared" si="4"/>
        <v>2.9568195354377611E-4</v>
      </c>
      <c r="F127" s="3">
        <f t="shared" si="5"/>
        <v>29.568195354377611</v>
      </c>
      <c r="G127" s="3"/>
    </row>
    <row r="128" spans="1:7" s="2" customFormat="1" ht="15" customHeight="1">
      <c r="A128" s="8">
        <v>31746</v>
      </c>
      <c r="B128" s="5">
        <v>6.0400000000000002E-2</v>
      </c>
      <c r="C128" s="10">
        <v>0.16351250000000001</v>
      </c>
      <c r="D128" s="10">
        <f t="shared" si="3"/>
        <v>0.1031125</v>
      </c>
      <c r="E128" s="12">
        <f t="shared" si="4"/>
        <v>2.8249999999999998E-4</v>
      </c>
      <c r="F128" s="3">
        <f t="shared" si="5"/>
        <v>28.249999999999996</v>
      </c>
      <c r="G128" s="3"/>
    </row>
    <row r="129" spans="1:7" s="2" customFormat="1" ht="15" customHeight="1">
      <c r="A129" s="8">
        <v>31777</v>
      </c>
      <c r="B129" s="5">
        <v>6.9099999999999995E-2</v>
      </c>
      <c r="C129" s="10">
        <v>0.15501190476190474</v>
      </c>
      <c r="D129" s="10">
        <f t="shared" si="3"/>
        <v>8.5911904761904745E-2</v>
      </c>
      <c r="E129" s="12">
        <f t="shared" si="4"/>
        <v>2.3537508153946506E-4</v>
      </c>
      <c r="F129" s="3">
        <f t="shared" si="5"/>
        <v>23.537508153946504</v>
      </c>
      <c r="G129" s="3"/>
    </row>
    <row r="130" spans="1:7" s="2" customFormat="1" ht="15" customHeight="1">
      <c r="A130" s="8">
        <v>31808</v>
      </c>
      <c r="B130" s="5">
        <v>6.4299999999999996E-2</v>
      </c>
      <c r="C130" s="10">
        <v>0.16620000000000001</v>
      </c>
      <c r="D130" s="10">
        <f t="shared" si="3"/>
        <v>0.10190000000000002</v>
      </c>
      <c r="E130" s="12">
        <f t="shared" si="4"/>
        <v>2.7917808219178088E-4</v>
      </c>
      <c r="F130" s="3">
        <f t="shared" si="5"/>
        <v>27.917808219178088</v>
      </c>
      <c r="G130" s="3"/>
    </row>
    <row r="131" spans="1:7" s="2" customFormat="1" ht="15" customHeight="1">
      <c r="A131" s="8">
        <v>31836</v>
      </c>
      <c r="B131" s="5">
        <v>6.0999999999999999E-2</v>
      </c>
      <c r="C131" s="10">
        <v>0.16431249999999997</v>
      </c>
      <c r="D131" s="10">
        <f t="shared" ref="D131:D194" si="6">C131-B131</f>
        <v>0.10331249999999997</v>
      </c>
      <c r="E131" s="12">
        <f t="shared" ref="E131:E194" si="7">D131/365</f>
        <v>2.830479452054794E-4</v>
      </c>
      <c r="F131" s="3">
        <f t="shared" ref="F131:F194" si="8">E131*$G$1</f>
        <v>28.30479452054794</v>
      </c>
      <c r="G131" s="3"/>
    </row>
    <row r="132" spans="1:7" s="2" customFormat="1" ht="15" customHeight="1">
      <c r="A132" s="8">
        <v>31867</v>
      </c>
      <c r="B132" s="5">
        <v>6.13E-2</v>
      </c>
      <c r="C132" s="10">
        <v>0.16226136363636359</v>
      </c>
      <c r="D132" s="10">
        <f t="shared" si="6"/>
        <v>0.1009613636363636</v>
      </c>
      <c r="E132" s="12">
        <f t="shared" si="7"/>
        <v>2.7660647571606467E-4</v>
      </c>
      <c r="F132" s="3">
        <f t="shared" si="8"/>
        <v>27.660647571606468</v>
      </c>
      <c r="G132" s="3"/>
    </row>
    <row r="133" spans="1:7" s="2" customFormat="1" ht="15" customHeight="1">
      <c r="A133" s="8">
        <v>31897</v>
      </c>
      <c r="B133" s="5">
        <v>6.3700000000000007E-2</v>
      </c>
      <c r="C133" s="10">
        <v>0.14800000000000002</v>
      </c>
      <c r="D133" s="10">
        <f t="shared" si="6"/>
        <v>8.4300000000000014E-2</v>
      </c>
      <c r="E133" s="12">
        <f t="shared" si="7"/>
        <v>2.3095890410958908E-4</v>
      </c>
      <c r="F133" s="3">
        <f t="shared" si="8"/>
        <v>23.095890410958908</v>
      </c>
      <c r="G133" s="3"/>
    </row>
    <row r="134" spans="1:7" s="2" customFormat="1" ht="15" customHeight="1">
      <c r="A134" s="8">
        <v>31928</v>
      </c>
      <c r="B134" s="5">
        <v>6.8499999999999991E-2</v>
      </c>
      <c r="C134" s="10">
        <v>0.14263095238095239</v>
      </c>
      <c r="D134" s="10">
        <f t="shared" si="6"/>
        <v>7.4130952380952395E-2</v>
      </c>
      <c r="E134" s="12">
        <f t="shared" si="7"/>
        <v>2.0309849967384218E-4</v>
      </c>
      <c r="F134" s="3">
        <f t="shared" si="8"/>
        <v>20.309849967384217</v>
      </c>
      <c r="G134" s="3"/>
    </row>
    <row r="135" spans="1:7" s="2" customFormat="1" ht="15" customHeight="1">
      <c r="A135" s="8">
        <v>31958</v>
      </c>
      <c r="B135" s="5">
        <v>6.7299999999999999E-2</v>
      </c>
      <c r="C135" s="10">
        <v>0.1318452380952381</v>
      </c>
      <c r="D135" s="10">
        <f t="shared" si="6"/>
        <v>6.45452380952381E-2</v>
      </c>
      <c r="E135" s="12">
        <f t="shared" si="7"/>
        <v>1.7683626875407698E-4</v>
      </c>
      <c r="F135" s="3">
        <f t="shared" si="8"/>
        <v>17.683626875407697</v>
      </c>
      <c r="G135" s="3"/>
    </row>
    <row r="136" spans="1:7" s="2" customFormat="1" ht="15" customHeight="1">
      <c r="A136" s="8">
        <v>31989</v>
      </c>
      <c r="B136" s="5">
        <v>6.5799999999999997E-2</v>
      </c>
      <c r="C136" s="10">
        <v>0.12427173913043481</v>
      </c>
      <c r="D136" s="10">
        <f t="shared" si="6"/>
        <v>5.8471739130434811E-2</v>
      </c>
      <c r="E136" s="12">
        <f t="shared" si="7"/>
        <v>1.601965455628351E-4</v>
      </c>
      <c r="F136" s="3">
        <f t="shared" si="8"/>
        <v>16.019654556283509</v>
      </c>
      <c r="G136" s="3"/>
    </row>
    <row r="137" spans="1:7" s="2" customFormat="1" ht="15" customHeight="1">
      <c r="A137" s="8">
        <v>32020</v>
      </c>
      <c r="B137" s="5">
        <v>6.7299999999999999E-2</v>
      </c>
      <c r="C137" s="10">
        <v>0.12163095238095238</v>
      </c>
      <c r="D137" s="10">
        <f t="shared" si="6"/>
        <v>5.4330952380952383E-2</v>
      </c>
      <c r="E137" s="12">
        <f t="shared" si="7"/>
        <v>1.4885192433137639E-4</v>
      </c>
      <c r="F137" s="3">
        <f t="shared" si="8"/>
        <v>14.88519243313764</v>
      </c>
      <c r="G137" s="3"/>
    </row>
    <row r="138" spans="1:7" s="2" customFormat="1" ht="15" customHeight="1">
      <c r="A138" s="8">
        <v>32050</v>
      </c>
      <c r="B138" s="5">
        <v>7.22E-2</v>
      </c>
      <c r="C138" s="10">
        <v>0.11802272727272727</v>
      </c>
      <c r="D138" s="10">
        <f t="shared" si="6"/>
        <v>4.5822727272727265E-2</v>
      </c>
      <c r="E138" s="12">
        <f t="shared" si="7"/>
        <v>1.2554171855541716E-4</v>
      </c>
      <c r="F138" s="3">
        <f t="shared" si="8"/>
        <v>12.554171855541716</v>
      </c>
      <c r="G138" s="3"/>
    </row>
    <row r="139" spans="1:7" s="2" customFormat="1" ht="15" customHeight="1">
      <c r="A139" s="8">
        <v>32081</v>
      </c>
      <c r="B139" s="5">
        <v>7.2900000000000006E-2</v>
      </c>
      <c r="C139" s="10">
        <v>0.11303409090909092</v>
      </c>
      <c r="D139" s="10">
        <f t="shared" si="6"/>
        <v>4.0134090909090911E-2</v>
      </c>
      <c r="E139" s="12">
        <f t="shared" si="7"/>
        <v>1.0995641344956414E-4</v>
      </c>
      <c r="F139" s="3">
        <f t="shared" si="8"/>
        <v>10.995641344956415</v>
      </c>
      <c r="G139" s="3"/>
    </row>
    <row r="140" spans="1:7" s="2" customFormat="1" ht="15" customHeight="1">
      <c r="A140" s="8">
        <v>32111</v>
      </c>
      <c r="B140" s="5">
        <v>6.6900000000000001E-2</v>
      </c>
      <c r="C140" s="10">
        <v>0.11691904761904763</v>
      </c>
      <c r="D140" s="10">
        <f t="shared" si="6"/>
        <v>5.001904761904763E-2</v>
      </c>
      <c r="E140" s="12">
        <f t="shared" si="7"/>
        <v>1.3703848662752774E-4</v>
      </c>
      <c r="F140" s="3">
        <f t="shared" si="8"/>
        <v>13.703848662752774</v>
      </c>
      <c r="G140" s="3"/>
    </row>
    <row r="141" spans="1:7" s="2" customFormat="1" ht="15" customHeight="1">
      <c r="A141" s="8">
        <v>32142</v>
      </c>
      <c r="B141" s="5">
        <v>6.7699999999999996E-2</v>
      </c>
      <c r="C141" s="10">
        <v>0.11302380952380953</v>
      </c>
      <c r="D141" s="10">
        <f t="shared" si="6"/>
        <v>4.532380952380953E-2</v>
      </c>
      <c r="E141" s="12">
        <f t="shared" si="7"/>
        <v>1.2417482061317678E-4</v>
      </c>
      <c r="F141" s="3">
        <f t="shared" si="8"/>
        <v>12.417482061317678</v>
      </c>
      <c r="G141" s="3"/>
    </row>
    <row r="142" spans="1:7" s="2" customFormat="1" ht="15" customHeight="1">
      <c r="A142" s="8">
        <v>32173</v>
      </c>
      <c r="B142" s="5">
        <v>6.83E-2</v>
      </c>
      <c r="C142" s="10">
        <v>0.10618421052631578</v>
      </c>
      <c r="D142" s="10">
        <f t="shared" si="6"/>
        <v>3.7884210526315784E-2</v>
      </c>
      <c r="E142" s="12">
        <f t="shared" si="7"/>
        <v>1.0379235760634461E-4</v>
      </c>
      <c r="F142" s="3">
        <f t="shared" si="8"/>
        <v>10.379235760634462</v>
      </c>
      <c r="G142" s="3"/>
    </row>
    <row r="143" spans="1:7" s="2" customFormat="1" ht="15" customHeight="1">
      <c r="A143" s="8">
        <v>32202</v>
      </c>
      <c r="B143" s="5">
        <v>6.5799999999999997E-2</v>
      </c>
      <c r="C143" s="10">
        <v>0.10660714285714286</v>
      </c>
      <c r="D143" s="10">
        <f t="shared" si="6"/>
        <v>4.0807142857142861E-2</v>
      </c>
      <c r="E143" s="12">
        <f t="shared" si="7"/>
        <v>1.1180039138943249E-4</v>
      </c>
      <c r="F143" s="3">
        <f t="shared" si="8"/>
        <v>11.180039138943249</v>
      </c>
      <c r="G143" s="3"/>
    </row>
    <row r="144" spans="1:7" s="2" customFormat="1" ht="15" customHeight="1">
      <c r="A144" s="8">
        <v>32233</v>
      </c>
      <c r="B144" s="5">
        <v>6.5799999999999997E-2</v>
      </c>
      <c r="C144" s="10">
        <v>0.10867391304347825</v>
      </c>
      <c r="D144" s="10">
        <f t="shared" si="6"/>
        <v>4.2873913043478248E-2</v>
      </c>
      <c r="E144" s="12">
        <f t="shared" si="7"/>
        <v>1.1746277546158424E-4</v>
      </c>
      <c r="F144" s="3">
        <f t="shared" si="8"/>
        <v>11.746277546158424</v>
      </c>
      <c r="G144" s="3"/>
    </row>
    <row r="145" spans="1:7" s="2" customFormat="1" ht="15" customHeight="1">
      <c r="A145" s="8">
        <v>32263</v>
      </c>
      <c r="B145" s="5">
        <v>6.8699999999999997E-2</v>
      </c>
      <c r="C145" s="10">
        <v>0.11301388888888887</v>
      </c>
      <c r="D145" s="10">
        <f t="shared" si="6"/>
        <v>4.4313888888888875E-2</v>
      </c>
      <c r="E145" s="12">
        <f t="shared" si="7"/>
        <v>1.2140791476407911E-4</v>
      </c>
      <c r="F145" s="3">
        <f t="shared" si="8"/>
        <v>12.140791476407911</v>
      </c>
      <c r="G145" s="3"/>
    </row>
    <row r="146" spans="1:7" s="2" customFormat="1" ht="15" customHeight="1">
      <c r="A146" s="8">
        <v>32294</v>
      </c>
      <c r="B146" s="5">
        <v>7.0900000000000005E-2</v>
      </c>
      <c r="C146" s="10">
        <v>0.12575</v>
      </c>
      <c r="D146" s="10">
        <f t="shared" si="6"/>
        <v>5.4849999999999996E-2</v>
      </c>
      <c r="E146" s="12">
        <f t="shared" si="7"/>
        <v>1.5027397260273972E-4</v>
      </c>
      <c r="F146" s="3">
        <f t="shared" si="8"/>
        <v>15.027397260273972</v>
      </c>
      <c r="G146" s="3"/>
    </row>
    <row r="147" spans="1:7" s="2" customFormat="1" ht="15" customHeight="1">
      <c r="A147" s="8">
        <v>32324</v>
      </c>
      <c r="B147" s="5">
        <v>7.51E-2</v>
      </c>
      <c r="C147" s="10">
        <v>0.13073809523809526</v>
      </c>
      <c r="D147" s="10">
        <f t="shared" si="6"/>
        <v>5.5638095238095264E-2</v>
      </c>
      <c r="E147" s="12">
        <f t="shared" si="7"/>
        <v>1.5243313763861716E-4</v>
      </c>
      <c r="F147" s="3">
        <f t="shared" si="8"/>
        <v>15.243313763861716</v>
      </c>
      <c r="G147" s="3"/>
    </row>
    <row r="148" spans="1:7" s="2" customFormat="1" ht="15" customHeight="1">
      <c r="A148" s="8">
        <v>32355</v>
      </c>
      <c r="B148" s="5">
        <v>7.7499999999999999E-2</v>
      </c>
      <c r="C148" s="10">
        <v>0.12710952380952381</v>
      </c>
      <c r="D148" s="10">
        <f t="shared" si="6"/>
        <v>4.9609523809523812E-2</v>
      </c>
      <c r="E148" s="12">
        <f t="shared" si="7"/>
        <v>1.3591650358773646E-4</v>
      </c>
      <c r="F148" s="3">
        <f t="shared" si="8"/>
        <v>13.591650358773645</v>
      </c>
      <c r="G148" s="3"/>
    </row>
    <row r="149" spans="1:7" s="2" customFormat="1" ht="15" customHeight="1">
      <c r="A149" s="8">
        <v>32386</v>
      </c>
      <c r="B149" s="5">
        <v>8.0100000000000005E-2</v>
      </c>
      <c r="C149" s="10">
        <v>0.12913913043478259</v>
      </c>
      <c r="D149" s="10">
        <f t="shared" si="6"/>
        <v>4.9039130434782585E-2</v>
      </c>
      <c r="E149" s="12">
        <f t="shared" si="7"/>
        <v>1.3435378201310296E-4</v>
      </c>
      <c r="F149" s="3">
        <f t="shared" si="8"/>
        <v>13.435378201310296</v>
      </c>
      <c r="G149" s="3"/>
    </row>
    <row r="150" spans="1:7" s="2" customFormat="1" ht="15" customHeight="1">
      <c r="A150" s="8">
        <v>32416</v>
      </c>
      <c r="B150" s="5">
        <v>8.1900000000000001E-2</v>
      </c>
      <c r="C150" s="10">
        <v>0.13066818181818185</v>
      </c>
      <c r="D150" s="10">
        <f t="shared" si="6"/>
        <v>4.8768181818181849E-2</v>
      </c>
      <c r="E150" s="12">
        <f t="shared" si="7"/>
        <v>1.3361145703611466E-4</v>
      </c>
      <c r="F150" s="3">
        <f t="shared" si="8"/>
        <v>13.361145703611466</v>
      </c>
      <c r="G150" s="3"/>
    </row>
    <row r="151" spans="1:7" s="2" customFormat="1" ht="15" customHeight="1">
      <c r="A151" s="8">
        <v>32447</v>
      </c>
      <c r="B151" s="5">
        <v>8.3000000000000004E-2</v>
      </c>
      <c r="C151" s="10">
        <v>0.1341285714285714</v>
      </c>
      <c r="D151" s="10">
        <f t="shared" si="6"/>
        <v>5.1128571428571398E-2</v>
      </c>
      <c r="E151" s="12">
        <f t="shared" si="7"/>
        <v>1.4007827788649699E-4</v>
      </c>
      <c r="F151" s="3">
        <f t="shared" si="8"/>
        <v>14.007827788649699</v>
      </c>
      <c r="G151" s="3"/>
    </row>
    <row r="152" spans="1:7" s="2" customFormat="1" ht="15" customHeight="1">
      <c r="A152" s="8">
        <v>32477</v>
      </c>
      <c r="B152" s="5">
        <v>8.3499999999999991E-2</v>
      </c>
      <c r="C152" s="10">
        <v>0.14327727272727275</v>
      </c>
      <c r="D152" s="10">
        <f t="shared" si="6"/>
        <v>5.9777272727272762E-2</v>
      </c>
      <c r="E152" s="12">
        <f t="shared" si="7"/>
        <v>1.6377334993773361E-4</v>
      </c>
      <c r="F152" s="3">
        <f t="shared" si="8"/>
        <v>16.37733499377336</v>
      </c>
      <c r="G152" s="3"/>
    </row>
    <row r="153" spans="1:7" s="2" customFormat="1" ht="15" customHeight="1">
      <c r="A153" s="8">
        <v>32508</v>
      </c>
      <c r="B153" s="5">
        <v>8.7599999999999997E-2</v>
      </c>
      <c r="C153" s="10">
        <v>0.14589000000000005</v>
      </c>
      <c r="D153" s="10">
        <f t="shared" si="6"/>
        <v>5.829000000000005E-2</v>
      </c>
      <c r="E153" s="12">
        <f t="shared" si="7"/>
        <v>1.5969863013698643E-4</v>
      </c>
      <c r="F153" s="3">
        <f t="shared" si="8"/>
        <v>15.969863013698642</v>
      </c>
      <c r="G153" s="3"/>
    </row>
    <row r="154" spans="1:7" s="2" customFormat="1" ht="15" customHeight="1">
      <c r="A154" s="8">
        <v>32539</v>
      </c>
      <c r="B154" s="5">
        <v>9.1199999999999989E-2</v>
      </c>
      <c r="C154" s="10">
        <v>0.1482</v>
      </c>
      <c r="D154" s="10">
        <f t="shared" si="6"/>
        <v>5.7000000000000009E-2</v>
      </c>
      <c r="E154" s="12">
        <f t="shared" si="7"/>
        <v>1.5616438356164385E-4</v>
      </c>
      <c r="F154" s="3">
        <f t="shared" si="8"/>
        <v>15.616438356164386</v>
      </c>
      <c r="G154" s="3"/>
    </row>
    <row r="155" spans="1:7" s="2" customFormat="1" ht="15" customHeight="1">
      <c r="A155" s="8">
        <v>32567</v>
      </c>
      <c r="B155" s="5">
        <v>9.3599999999999989E-2</v>
      </c>
      <c r="C155" s="10">
        <v>0.15766500000000003</v>
      </c>
      <c r="D155" s="10">
        <f t="shared" si="6"/>
        <v>6.4065000000000039E-2</v>
      </c>
      <c r="E155" s="12">
        <f t="shared" si="7"/>
        <v>1.7552054794520559E-4</v>
      </c>
      <c r="F155" s="3">
        <f t="shared" si="8"/>
        <v>17.552054794520558</v>
      </c>
      <c r="G155" s="3"/>
    </row>
    <row r="156" spans="1:7" s="2" customFormat="1" ht="15" customHeight="1">
      <c r="A156" s="8">
        <v>32598</v>
      </c>
      <c r="B156" s="5">
        <v>9.849999999999999E-2</v>
      </c>
      <c r="C156" s="10">
        <v>0.16507142857142854</v>
      </c>
      <c r="D156" s="10">
        <f t="shared" si="6"/>
        <v>6.6571428571428545E-2</v>
      </c>
      <c r="E156" s="12">
        <f t="shared" si="7"/>
        <v>1.8238747553816039E-4</v>
      </c>
      <c r="F156" s="3">
        <f t="shared" si="8"/>
        <v>18.23874755381604</v>
      </c>
      <c r="G156" s="3"/>
    </row>
    <row r="157" spans="1:7" s="2" customFormat="1" ht="15" customHeight="1">
      <c r="A157" s="8">
        <v>32628</v>
      </c>
      <c r="B157" s="5">
        <v>9.8400000000000001E-2</v>
      </c>
      <c r="C157" s="10">
        <v>0.16711052631578951</v>
      </c>
      <c r="D157" s="10">
        <f t="shared" si="6"/>
        <v>6.8710526315789514E-2</v>
      </c>
      <c r="E157" s="12">
        <f t="shared" si="7"/>
        <v>1.8824801730353292E-4</v>
      </c>
      <c r="F157" s="3">
        <f t="shared" si="8"/>
        <v>18.824801730353293</v>
      </c>
      <c r="G157" s="3"/>
    </row>
    <row r="158" spans="1:7" s="2" customFormat="1" ht="15" customHeight="1">
      <c r="A158" s="8">
        <v>32659</v>
      </c>
      <c r="B158" s="5">
        <v>9.8100000000000007E-2</v>
      </c>
      <c r="C158" s="10">
        <v>0.17291304347826089</v>
      </c>
      <c r="D158" s="10">
        <f t="shared" si="6"/>
        <v>7.4813043478260885E-2</v>
      </c>
      <c r="E158" s="12">
        <f t="shared" si="7"/>
        <v>2.049672424061942E-4</v>
      </c>
      <c r="F158" s="3">
        <f t="shared" si="8"/>
        <v>20.496724240619422</v>
      </c>
      <c r="G158" s="3"/>
    </row>
    <row r="159" spans="1:7" s="2" customFormat="1" ht="15" customHeight="1">
      <c r="A159" s="8">
        <v>32689</v>
      </c>
      <c r="B159" s="5">
        <v>9.5299999999999996E-2</v>
      </c>
      <c r="C159" s="10">
        <v>0.17728095238095243</v>
      </c>
      <c r="D159" s="10">
        <f t="shared" si="6"/>
        <v>8.1980952380952432E-2</v>
      </c>
      <c r="E159" s="12">
        <f t="shared" si="7"/>
        <v>2.2460534898891078E-4</v>
      </c>
      <c r="F159" s="3">
        <f t="shared" si="8"/>
        <v>22.460534898891076</v>
      </c>
      <c r="G159" s="3"/>
    </row>
    <row r="160" spans="1:7" s="2" customFormat="1" ht="15" customHeight="1">
      <c r="A160" s="8">
        <v>32720</v>
      </c>
      <c r="B160" s="5">
        <v>9.2399999999999996E-2</v>
      </c>
      <c r="C160" s="10">
        <v>0.17920476190476187</v>
      </c>
      <c r="D160" s="10">
        <f t="shared" si="6"/>
        <v>8.6804761904761871E-2</v>
      </c>
      <c r="E160" s="12">
        <f t="shared" si="7"/>
        <v>2.3782126549249828E-4</v>
      </c>
      <c r="F160" s="3">
        <f t="shared" si="8"/>
        <v>23.782126549249828</v>
      </c>
      <c r="G160" s="3"/>
    </row>
    <row r="161" spans="1:7" s="2" customFormat="1" ht="15" customHeight="1">
      <c r="A161" s="8">
        <v>32751</v>
      </c>
      <c r="B161" s="5">
        <v>8.9900000000000008E-2</v>
      </c>
      <c r="C161" s="10">
        <v>0.178604347826087</v>
      </c>
      <c r="D161" s="10">
        <f t="shared" si="6"/>
        <v>8.8704347826086993E-2</v>
      </c>
      <c r="E161" s="12">
        <f t="shared" si="7"/>
        <v>2.4302561048243011E-4</v>
      </c>
      <c r="F161" s="3">
        <f t="shared" si="8"/>
        <v>24.30256104824301</v>
      </c>
      <c r="G161" s="3"/>
    </row>
    <row r="162" spans="1:7" s="2" customFormat="1" ht="15" customHeight="1">
      <c r="A162" s="8">
        <v>32781</v>
      </c>
      <c r="B162" s="5">
        <v>9.0200000000000002E-2</v>
      </c>
      <c r="C162" s="10">
        <v>0.18062380952380952</v>
      </c>
      <c r="D162" s="10">
        <f t="shared" si="6"/>
        <v>9.0423809523809517E-2</v>
      </c>
      <c r="E162" s="12">
        <f t="shared" si="7"/>
        <v>2.477364644487932E-4</v>
      </c>
      <c r="F162" s="3">
        <f t="shared" si="8"/>
        <v>24.773646444879319</v>
      </c>
      <c r="G162" s="3"/>
    </row>
    <row r="163" spans="1:7" s="2" customFormat="1" ht="15" customHeight="1">
      <c r="A163" s="8">
        <v>32812</v>
      </c>
      <c r="B163" s="5">
        <v>8.8399999999999992E-2</v>
      </c>
      <c r="C163" s="10">
        <v>0.18046363636363641</v>
      </c>
      <c r="D163" s="10">
        <f t="shared" si="6"/>
        <v>9.2063636363636417E-2</v>
      </c>
      <c r="E163" s="12">
        <f t="shared" si="7"/>
        <v>2.5222914072229154E-4</v>
      </c>
      <c r="F163" s="3">
        <f t="shared" si="8"/>
        <v>25.222914072229155</v>
      </c>
      <c r="G163" s="3"/>
    </row>
    <row r="164" spans="1:7" s="2" customFormat="1" ht="15" customHeight="1">
      <c r="A164" s="8">
        <v>32842</v>
      </c>
      <c r="B164" s="5">
        <v>8.5500000000000007E-2</v>
      </c>
      <c r="C164" s="10">
        <v>0.18184545454545453</v>
      </c>
      <c r="D164" s="10">
        <f t="shared" si="6"/>
        <v>9.6345454545454526E-2</v>
      </c>
      <c r="E164" s="12">
        <f t="shared" si="7"/>
        <v>2.6396014943960141E-4</v>
      </c>
      <c r="F164" s="3">
        <f t="shared" si="8"/>
        <v>26.396014943960143</v>
      </c>
      <c r="G164" s="3"/>
    </row>
    <row r="165" spans="1:7" s="2" customFormat="1" ht="15" customHeight="1">
      <c r="A165" s="8">
        <v>32873</v>
      </c>
      <c r="B165" s="5">
        <v>8.4499999999999992E-2</v>
      </c>
      <c r="C165" s="10">
        <v>0.18157368421052628</v>
      </c>
      <c r="D165" s="10">
        <f t="shared" si="6"/>
        <v>9.7073684210526284E-2</v>
      </c>
      <c r="E165" s="12">
        <f t="shared" si="7"/>
        <v>2.6595529920692135E-4</v>
      </c>
      <c r="F165" s="3">
        <f t="shared" si="8"/>
        <v>26.595529920692133</v>
      </c>
      <c r="G165" s="3"/>
    </row>
    <row r="166" spans="1:7" s="2" customFormat="1" ht="15" customHeight="1">
      <c r="A166" s="8">
        <v>32904</v>
      </c>
      <c r="B166" s="5">
        <v>8.2299999999999998E-2</v>
      </c>
      <c r="C166" s="10">
        <v>0.17806363636363629</v>
      </c>
      <c r="D166" s="10">
        <f t="shared" si="6"/>
        <v>9.5763636363636287E-2</v>
      </c>
      <c r="E166" s="12">
        <f t="shared" si="7"/>
        <v>2.6236612702366105E-4</v>
      </c>
      <c r="F166" s="3">
        <f t="shared" si="8"/>
        <v>26.236612702366106</v>
      </c>
      <c r="G166" s="3"/>
    </row>
    <row r="167" spans="1:7" s="2" customFormat="1" ht="15" customHeight="1">
      <c r="A167" s="8">
        <v>32932</v>
      </c>
      <c r="B167" s="5">
        <v>8.2400000000000001E-2</v>
      </c>
      <c r="C167" s="10">
        <v>0.16801999999999995</v>
      </c>
      <c r="D167" s="10">
        <f t="shared" si="6"/>
        <v>8.5619999999999946E-2</v>
      </c>
      <c r="E167" s="12">
        <f t="shared" si="7"/>
        <v>2.3457534246575329E-4</v>
      </c>
      <c r="F167" s="3">
        <f t="shared" si="8"/>
        <v>23.457534246575328</v>
      </c>
      <c r="G167" s="3"/>
    </row>
    <row r="168" spans="1:7" s="2" customFormat="1" ht="15" customHeight="1">
      <c r="A168" s="8">
        <v>32963</v>
      </c>
      <c r="B168" s="5">
        <v>8.2799999999999999E-2</v>
      </c>
      <c r="C168" s="10">
        <v>0.16425000000000001</v>
      </c>
      <c r="D168" s="10">
        <f t="shared" si="6"/>
        <v>8.1450000000000009E-2</v>
      </c>
      <c r="E168" s="12">
        <f t="shared" si="7"/>
        <v>2.2315068493150686E-4</v>
      </c>
      <c r="F168" s="3">
        <f t="shared" si="8"/>
        <v>22.315068493150687</v>
      </c>
      <c r="G168" s="3"/>
    </row>
    <row r="169" spans="1:7" s="2" customFormat="1" ht="15" customHeight="1">
      <c r="A169" s="8">
        <v>32993</v>
      </c>
      <c r="B169" s="5">
        <v>8.2599999999999993E-2</v>
      </c>
      <c r="C169" s="10">
        <v>0.15170555555555559</v>
      </c>
      <c r="D169" s="10">
        <f t="shared" si="6"/>
        <v>6.9105555555555601E-2</v>
      </c>
      <c r="E169" s="12">
        <f t="shared" si="7"/>
        <v>1.8933028919330302E-4</v>
      </c>
      <c r="F169" s="3">
        <f t="shared" si="8"/>
        <v>18.933028919330301</v>
      </c>
      <c r="G169" s="3"/>
    </row>
    <row r="170" spans="1:7" s="2" customFormat="1" ht="15" customHeight="1">
      <c r="A170" s="8">
        <v>33024</v>
      </c>
      <c r="B170" s="5">
        <v>8.1799999999999998E-2</v>
      </c>
      <c r="C170" s="10">
        <v>0.15017391304347824</v>
      </c>
      <c r="D170" s="10">
        <f t="shared" si="6"/>
        <v>6.8373913043478243E-2</v>
      </c>
      <c r="E170" s="12">
        <f t="shared" si="7"/>
        <v>1.8732578916021438E-4</v>
      </c>
      <c r="F170" s="3">
        <f t="shared" si="8"/>
        <v>18.732578916021438</v>
      </c>
      <c r="G170" s="3"/>
    </row>
    <row r="171" spans="1:7" s="2" customFormat="1" ht="15" customHeight="1">
      <c r="A171" s="8">
        <v>33054</v>
      </c>
      <c r="B171" s="5">
        <v>8.2899999999999988E-2</v>
      </c>
      <c r="C171" s="10">
        <v>0.15051000000000003</v>
      </c>
      <c r="D171" s="10">
        <f t="shared" si="6"/>
        <v>6.7610000000000045E-2</v>
      </c>
      <c r="E171" s="12">
        <f t="shared" si="7"/>
        <v>1.8523287671232889E-4</v>
      </c>
      <c r="F171" s="3">
        <f t="shared" si="8"/>
        <v>18.52328767123289</v>
      </c>
      <c r="G171" s="3"/>
    </row>
    <row r="172" spans="1:7" s="2" customFormat="1" ht="15" customHeight="1">
      <c r="A172" s="8">
        <v>33085</v>
      </c>
      <c r="B172" s="5">
        <v>8.1500000000000003E-2</v>
      </c>
      <c r="C172" s="10">
        <v>0.15019090909090907</v>
      </c>
      <c r="D172" s="10">
        <f t="shared" si="6"/>
        <v>6.8690909090909066E-2</v>
      </c>
      <c r="E172" s="12">
        <f t="shared" si="7"/>
        <v>1.8819427148194265E-4</v>
      </c>
      <c r="F172" s="3">
        <f t="shared" si="8"/>
        <v>18.819427148194265</v>
      </c>
      <c r="G172" s="3"/>
    </row>
    <row r="173" spans="1:7" s="2" customFormat="1" ht="15" customHeight="1">
      <c r="A173" s="8">
        <v>33116</v>
      </c>
      <c r="B173" s="5">
        <v>8.1300000000000011E-2</v>
      </c>
      <c r="C173" s="10">
        <v>0.14067826086956522</v>
      </c>
      <c r="D173" s="10">
        <f t="shared" si="6"/>
        <v>5.9378260869565214E-2</v>
      </c>
      <c r="E173" s="12">
        <f t="shared" si="7"/>
        <v>1.626801667659321E-4</v>
      </c>
      <c r="F173" s="3">
        <f t="shared" si="8"/>
        <v>16.268016676593209</v>
      </c>
      <c r="G173" s="3"/>
    </row>
    <row r="174" spans="1:7" s="2" customFormat="1" ht="15" customHeight="1">
      <c r="A174" s="8">
        <v>33146</v>
      </c>
      <c r="B174" s="5">
        <v>8.199999999999999E-2</v>
      </c>
      <c r="C174" s="10">
        <v>0.14049500000000001</v>
      </c>
      <c r="D174" s="10">
        <f t="shared" si="6"/>
        <v>5.8495000000000019E-2</v>
      </c>
      <c r="E174" s="12">
        <f t="shared" si="7"/>
        <v>1.6026027397260278E-4</v>
      </c>
      <c r="F174" s="3">
        <f t="shared" si="8"/>
        <v>16.026027397260279</v>
      </c>
      <c r="G174" s="3"/>
    </row>
    <row r="175" spans="1:7" s="2" customFormat="1" ht="15" customHeight="1">
      <c r="A175" s="8">
        <v>33177</v>
      </c>
      <c r="B175" s="5">
        <v>8.1099999999999992E-2</v>
      </c>
      <c r="C175" s="10">
        <v>0.13467826086956525</v>
      </c>
      <c r="D175" s="10">
        <f t="shared" si="6"/>
        <v>5.3578260869565256E-2</v>
      </c>
      <c r="E175" s="12">
        <f t="shared" si="7"/>
        <v>1.4678975580702811E-4</v>
      </c>
      <c r="F175" s="3">
        <f t="shared" si="8"/>
        <v>14.678975580702811</v>
      </c>
      <c r="G175" s="3"/>
    </row>
    <row r="176" spans="1:7" s="2" customFormat="1" ht="15" customHeight="1">
      <c r="A176" s="8">
        <v>33207</v>
      </c>
      <c r="B176" s="5">
        <v>7.8100000000000003E-2</v>
      </c>
      <c r="C176" s="10">
        <v>0.13046818181818184</v>
      </c>
      <c r="D176" s="10">
        <f t="shared" si="6"/>
        <v>5.2368181818181841E-2</v>
      </c>
      <c r="E176" s="12">
        <f t="shared" si="7"/>
        <v>1.4347447073474477E-4</v>
      </c>
      <c r="F176" s="3">
        <f t="shared" si="8"/>
        <v>14.347447073474477</v>
      </c>
      <c r="G176" s="3"/>
    </row>
    <row r="177" spans="1:7" s="2" customFormat="1" ht="15" customHeight="1">
      <c r="A177" s="8">
        <v>33238</v>
      </c>
      <c r="B177" s="5">
        <v>7.3099999999999998E-2</v>
      </c>
      <c r="C177" s="10">
        <v>0.12677368421052632</v>
      </c>
      <c r="D177" s="10">
        <f t="shared" si="6"/>
        <v>5.3673684210526318E-2</v>
      </c>
      <c r="E177" s="12">
        <f t="shared" si="7"/>
        <v>1.4705118961788033E-4</v>
      </c>
      <c r="F177" s="3">
        <f t="shared" si="8"/>
        <v>14.705118961788033</v>
      </c>
      <c r="G177" s="3"/>
    </row>
    <row r="178" spans="1:7" s="2" customFormat="1" ht="15" customHeight="1">
      <c r="A178" s="8">
        <v>33269</v>
      </c>
      <c r="B178" s="5">
        <v>6.9099999999999995E-2</v>
      </c>
      <c r="C178" s="10">
        <v>0.12021428571428572</v>
      </c>
      <c r="D178" s="10">
        <f t="shared" si="6"/>
        <v>5.1114285714285723E-2</v>
      </c>
      <c r="E178" s="12">
        <f t="shared" si="7"/>
        <v>1.4003913894324857E-4</v>
      </c>
      <c r="F178" s="3">
        <f t="shared" si="8"/>
        <v>14.003913894324857</v>
      </c>
      <c r="G178" s="3"/>
    </row>
    <row r="179" spans="1:7" s="2" customFormat="1" ht="15" customHeight="1">
      <c r="A179" s="8">
        <v>33297</v>
      </c>
      <c r="B179" s="5">
        <v>6.25E-2</v>
      </c>
      <c r="C179" s="10">
        <v>0.120125</v>
      </c>
      <c r="D179" s="10">
        <f t="shared" si="6"/>
        <v>5.7624999999999996E-2</v>
      </c>
      <c r="E179" s="12">
        <f t="shared" si="7"/>
        <v>1.5787671232876712E-4</v>
      </c>
      <c r="F179" s="3">
        <f t="shared" si="8"/>
        <v>15.787671232876711</v>
      </c>
      <c r="G179" s="3"/>
    </row>
    <row r="180" spans="1:7" s="2" customFormat="1" ht="15" customHeight="1">
      <c r="A180" s="8">
        <v>33328</v>
      </c>
      <c r="B180" s="5">
        <v>6.1200000000000004E-2</v>
      </c>
      <c r="C180" s="10">
        <v>0.12020500000000001</v>
      </c>
      <c r="D180" s="10">
        <f t="shared" si="6"/>
        <v>5.9005000000000002E-2</v>
      </c>
      <c r="E180" s="12">
        <f t="shared" si="7"/>
        <v>1.6165753424657534E-4</v>
      </c>
      <c r="F180" s="3">
        <f t="shared" si="8"/>
        <v>16.165753424657535</v>
      </c>
      <c r="G180" s="3"/>
    </row>
    <row r="181" spans="1:7" s="2" customFormat="1" ht="15" customHeight="1">
      <c r="A181" s="8">
        <v>33358</v>
      </c>
      <c r="B181" s="5">
        <v>5.91E-2</v>
      </c>
      <c r="C181" s="10">
        <v>0.11579000000000002</v>
      </c>
      <c r="D181" s="10">
        <f t="shared" si="6"/>
        <v>5.6690000000000018E-2</v>
      </c>
      <c r="E181" s="12">
        <f t="shared" si="7"/>
        <v>1.5531506849315074E-4</v>
      </c>
      <c r="F181" s="3">
        <f t="shared" si="8"/>
        <v>15.531506849315074</v>
      </c>
      <c r="G181" s="3"/>
    </row>
    <row r="182" spans="1:7" s="2" customFormat="1" ht="15" customHeight="1">
      <c r="A182" s="8">
        <v>33389</v>
      </c>
      <c r="B182" s="5">
        <v>5.7800000000000004E-2</v>
      </c>
      <c r="C182" s="10">
        <v>0.10992173913043478</v>
      </c>
      <c r="D182" s="10">
        <f t="shared" si="6"/>
        <v>5.2121739130434774E-2</v>
      </c>
      <c r="E182" s="12">
        <f t="shared" si="7"/>
        <v>1.427992852888624E-4</v>
      </c>
      <c r="F182" s="3">
        <f t="shared" si="8"/>
        <v>14.27992852888624</v>
      </c>
      <c r="G182" s="3"/>
    </row>
    <row r="183" spans="1:7" s="2" customFormat="1" ht="15" customHeight="1">
      <c r="A183" s="8">
        <v>33419</v>
      </c>
      <c r="B183" s="5">
        <v>5.9000000000000004E-2</v>
      </c>
      <c r="C183" s="10">
        <v>0.10541578947368421</v>
      </c>
      <c r="D183" s="10">
        <f t="shared" si="6"/>
        <v>4.6415789473684209E-2</v>
      </c>
      <c r="E183" s="12">
        <f t="shared" si="7"/>
        <v>1.2716654650324441E-4</v>
      </c>
      <c r="F183" s="3">
        <f t="shared" si="8"/>
        <v>12.716654650324442</v>
      </c>
      <c r="G183" s="3"/>
    </row>
    <row r="184" spans="1:7" s="2" customFormat="1" ht="15" customHeight="1">
      <c r="A184" s="8">
        <v>33450</v>
      </c>
      <c r="B184" s="5">
        <v>5.8200000000000002E-2</v>
      </c>
      <c r="C184" s="10">
        <v>0.10484782608695652</v>
      </c>
      <c r="D184" s="10">
        <f t="shared" si="6"/>
        <v>4.6647826086956515E-2</v>
      </c>
      <c r="E184" s="12">
        <f t="shared" si="7"/>
        <v>1.2780226325193565E-4</v>
      </c>
      <c r="F184" s="3">
        <f t="shared" si="8"/>
        <v>12.780226325193565</v>
      </c>
      <c r="G184" s="3"/>
    </row>
    <row r="185" spans="1:7" s="2" customFormat="1" ht="15" customHeight="1">
      <c r="A185" s="8">
        <v>33481</v>
      </c>
      <c r="B185" s="5">
        <v>5.6600000000000004E-2</v>
      </c>
      <c r="C185" s="10">
        <v>0.1052</v>
      </c>
      <c r="D185" s="10">
        <f t="shared" si="6"/>
        <v>4.8599999999999997E-2</v>
      </c>
      <c r="E185" s="12">
        <f t="shared" si="7"/>
        <v>1.3315068493150684E-4</v>
      </c>
      <c r="F185" s="3">
        <f t="shared" si="8"/>
        <v>13.315068493150685</v>
      </c>
      <c r="G185" s="3"/>
    </row>
    <row r="186" spans="1:7" s="2" customFormat="1" ht="15" customHeight="1">
      <c r="A186" s="8">
        <v>33511</v>
      </c>
      <c r="B186" s="5">
        <v>5.45E-2</v>
      </c>
      <c r="C186" s="10">
        <v>9.5938095238095239E-2</v>
      </c>
      <c r="D186" s="10">
        <f t="shared" si="6"/>
        <v>4.1438095238095239E-2</v>
      </c>
      <c r="E186" s="12">
        <f t="shared" si="7"/>
        <v>1.13529028049576E-4</v>
      </c>
      <c r="F186" s="3">
        <f t="shared" si="8"/>
        <v>11.3529028049576</v>
      </c>
      <c r="G186" s="3"/>
    </row>
    <row r="187" spans="1:7" s="2" customFormat="1" ht="15" customHeight="1">
      <c r="A187" s="8">
        <v>33542</v>
      </c>
      <c r="B187" s="5">
        <v>5.21E-2</v>
      </c>
      <c r="C187" s="10">
        <v>9.4943478260869546E-2</v>
      </c>
      <c r="D187" s="10">
        <f t="shared" si="6"/>
        <v>4.2843478260869546E-2</v>
      </c>
      <c r="E187" s="12">
        <f t="shared" si="7"/>
        <v>1.17379392495533E-4</v>
      </c>
      <c r="F187" s="3">
        <f t="shared" si="8"/>
        <v>11.7379392495533</v>
      </c>
      <c r="G187" s="3"/>
    </row>
    <row r="188" spans="1:7" s="2" customFormat="1" ht="15" customHeight="1">
      <c r="A188" s="8">
        <v>33572</v>
      </c>
      <c r="B188" s="5">
        <v>4.8099999999999997E-2</v>
      </c>
      <c r="C188" s="10">
        <v>8.6400000000000005E-2</v>
      </c>
      <c r="D188" s="10">
        <f t="shared" si="6"/>
        <v>3.8300000000000008E-2</v>
      </c>
      <c r="E188" s="12">
        <f t="shared" si="7"/>
        <v>1.0493150684931508E-4</v>
      </c>
      <c r="F188" s="3">
        <f t="shared" si="8"/>
        <v>10.493150684931509</v>
      </c>
      <c r="G188" s="3"/>
    </row>
    <row r="189" spans="1:7" s="2" customFormat="1" ht="15" customHeight="1">
      <c r="A189" s="8">
        <v>33603</v>
      </c>
      <c r="B189" s="5">
        <v>4.4299999999999999E-2</v>
      </c>
      <c r="C189" s="10">
        <v>8.5145000000000012E-2</v>
      </c>
      <c r="D189" s="10">
        <f t="shared" si="6"/>
        <v>4.0845000000000013E-2</v>
      </c>
      <c r="E189" s="12">
        <f t="shared" si="7"/>
        <v>1.1190410958904113E-4</v>
      </c>
      <c r="F189" s="3">
        <f t="shared" si="8"/>
        <v>11.190410958904113</v>
      </c>
      <c r="G189" s="3"/>
    </row>
    <row r="190" spans="1:7" s="2" customFormat="1" ht="15" customHeight="1">
      <c r="A190" s="8">
        <v>33634</v>
      </c>
      <c r="B190" s="5">
        <v>4.0300000000000002E-2</v>
      </c>
      <c r="C190" s="10">
        <v>7.750952380952382E-2</v>
      </c>
      <c r="D190" s="10">
        <f t="shared" si="6"/>
        <v>3.7209523809523817E-2</v>
      </c>
      <c r="E190" s="12">
        <f t="shared" si="7"/>
        <v>1.0194390084801046E-4</v>
      </c>
      <c r="F190" s="3">
        <f t="shared" si="8"/>
        <v>10.194390084801045</v>
      </c>
      <c r="G190" s="3"/>
    </row>
    <row r="191" spans="1:7" s="2" customFormat="1" ht="15" customHeight="1">
      <c r="A191" s="8">
        <v>33663</v>
      </c>
      <c r="B191" s="5">
        <v>4.0599999999999997E-2</v>
      </c>
      <c r="C191" s="10">
        <v>7.5185000000000002E-2</v>
      </c>
      <c r="D191" s="10">
        <f t="shared" si="6"/>
        <v>3.4585000000000005E-2</v>
      </c>
      <c r="E191" s="12">
        <f t="shared" si="7"/>
        <v>9.4753424657534254E-5</v>
      </c>
      <c r="F191" s="3">
        <f t="shared" si="8"/>
        <v>9.4753424657534246</v>
      </c>
      <c r="G191" s="3"/>
    </row>
    <row r="192" spans="1:7" s="2" customFormat="1" ht="15" customHeight="1">
      <c r="A192" s="8">
        <v>33694</v>
      </c>
      <c r="B192" s="5">
        <v>3.9800000000000002E-2</v>
      </c>
      <c r="C192" s="10">
        <v>7.5363636363636355E-2</v>
      </c>
      <c r="D192" s="10">
        <f t="shared" si="6"/>
        <v>3.5563636363636353E-2</v>
      </c>
      <c r="E192" s="12">
        <f t="shared" si="7"/>
        <v>9.7434620174346166E-5</v>
      </c>
      <c r="F192" s="3">
        <f t="shared" si="8"/>
        <v>9.7434620174346165</v>
      </c>
      <c r="G192" s="3"/>
    </row>
    <row r="193" spans="1:7" s="2" customFormat="1" ht="15" customHeight="1">
      <c r="A193" s="8">
        <v>33724</v>
      </c>
      <c r="B193" s="5">
        <v>3.73E-2</v>
      </c>
      <c r="C193" s="10">
        <v>7.5050000000000006E-2</v>
      </c>
      <c r="D193" s="10">
        <f t="shared" si="6"/>
        <v>3.7750000000000006E-2</v>
      </c>
      <c r="E193" s="12">
        <f t="shared" si="7"/>
        <v>1.0342465753424659E-4</v>
      </c>
      <c r="F193" s="3">
        <f t="shared" si="8"/>
        <v>10.342465753424658</v>
      </c>
      <c r="G193" s="3"/>
    </row>
    <row r="194" spans="1:7" s="2" customFormat="1" ht="15" customHeight="1">
      <c r="A194" s="8">
        <v>33755</v>
      </c>
      <c r="B194" s="5">
        <v>3.8199999999999998E-2</v>
      </c>
      <c r="C194" s="10">
        <v>6.6895238095238091E-2</v>
      </c>
      <c r="D194" s="10">
        <f t="shared" si="6"/>
        <v>2.8695238095238093E-2</v>
      </c>
      <c r="E194" s="12">
        <f t="shared" si="7"/>
        <v>7.8617090671885185E-5</v>
      </c>
      <c r="F194" s="3">
        <f t="shared" si="8"/>
        <v>7.8617090671885181</v>
      </c>
      <c r="G194" s="3"/>
    </row>
    <row r="195" spans="1:7" s="2" customFormat="1" ht="15" customHeight="1">
      <c r="A195" s="8">
        <v>33785</v>
      </c>
      <c r="B195" s="5">
        <v>3.7599999999999995E-2</v>
      </c>
      <c r="C195" s="10">
        <v>6.5714285714285697E-2</v>
      </c>
      <c r="D195" s="10">
        <f t="shared" ref="D195:D258" si="9">C195-B195</f>
        <v>2.8114285714285703E-2</v>
      </c>
      <c r="E195" s="12">
        <f t="shared" ref="E195:E258" si="10">D195/365</f>
        <v>7.7025440313111508E-5</v>
      </c>
      <c r="F195" s="3">
        <f t="shared" ref="F195:F258" si="11">E195*$G$1</f>
        <v>7.7025440313111506</v>
      </c>
      <c r="G195" s="3"/>
    </row>
    <row r="196" spans="1:7" s="2" customFormat="1" ht="15" customHeight="1">
      <c r="A196" s="8">
        <v>33816</v>
      </c>
      <c r="B196" s="5">
        <v>3.2500000000000001E-2</v>
      </c>
      <c r="C196" s="10">
        <v>5.9343478260869567E-2</v>
      </c>
      <c r="D196" s="10">
        <f t="shared" si="9"/>
        <v>2.6843478260869566E-2</v>
      </c>
      <c r="E196" s="12">
        <f t="shared" si="10"/>
        <v>7.3543776057176892E-5</v>
      </c>
      <c r="F196" s="3">
        <f t="shared" si="11"/>
        <v>7.3543776057176888</v>
      </c>
      <c r="G196" s="3"/>
    </row>
    <row r="197" spans="1:7" s="2" customFormat="1" ht="15" customHeight="1">
      <c r="A197" s="8">
        <v>33847</v>
      </c>
      <c r="B197" s="5">
        <v>3.3000000000000002E-2</v>
      </c>
      <c r="C197" s="10">
        <v>5.8619047619047626E-2</v>
      </c>
      <c r="D197" s="10">
        <f t="shared" si="9"/>
        <v>2.5619047619047625E-2</v>
      </c>
      <c r="E197" s="12">
        <f t="shared" si="10"/>
        <v>7.0189171559034586E-5</v>
      </c>
      <c r="F197" s="3">
        <f t="shared" si="11"/>
        <v>7.0189171559034582</v>
      </c>
      <c r="G197" s="3"/>
    </row>
    <row r="198" spans="1:7" s="2" customFormat="1" ht="15" customHeight="1">
      <c r="A198" s="8">
        <v>33877</v>
      </c>
      <c r="B198" s="5">
        <v>3.2199999999999999E-2</v>
      </c>
      <c r="C198" s="10">
        <v>5.740909090909091E-2</v>
      </c>
      <c r="D198" s="10">
        <f t="shared" si="9"/>
        <v>2.520909090909091E-2</v>
      </c>
      <c r="E198" s="12">
        <f t="shared" si="10"/>
        <v>6.9066002490660028E-5</v>
      </c>
      <c r="F198" s="3">
        <f t="shared" si="11"/>
        <v>6.9066002490660026</v>
      </c>
      <c r="G198" s="3"/>
    </row>
    <row r="199" spans="1:7" s="2" customFormat="1" ht="15" customHeight="1">
      <c r="A199" s="8">
        <v>33908</v>
      </c>
      <c r="B199" s="5">
        <v>3.1E-2</v>
      </c>
      <c r="C199" s="10">
        <v>5.739090909090909E-2</v>
      </c>
      <c r="D199" s="10">
        <f t="shared" si="9"/>
        <v>2.639090909090909E-2</v>
      </c>
      <c r="E199" s="12">
        <f t="shared" si="10"/>
        <v>7.2303860523038598E-5</v>
      </c>
      <c r="F199" s="3">
        <f t="shared" si="11"/>
        <v>7.2303860523038601</v>
      </c>
      <c r="G199" s="3"/>
    </row>
    <row r="200" spans="1:7" s="2" customFormat="1" ht="15" customHeight="1">
      <c r="A200" s="8">
        <v>33938</v>
      </c>
      <c r="B200" s="5">
        <v>3.0899999999999997E-2</v>
      </c>
      <c r="C200" s="10">
        <v>5.7709523809523801E-2</v>
      </c>
      <c r="D200" s="10">
        <f t="shared" si="9"/>
        <v>2.6809523809523804E-2</v>
      </c>
      <c r="E200" s="12">
        <f t="shared" si="10"/>
        <v>7.3450750163078909E-5</v>
      </c>
      <c r="F200" s="3">
        <f t="shared" si="11"/>
        <v>7.3450750163078906</v>
      </c>
      <c r="G200" s="3"/>
    </row>
    <row r="201" spans="1:7" s="2" customFormat="1" ht="15" customHeight="1">
      <c r="A201" s="8">
        <v>33969</v>
      </c>
      <c r="B201" s="5">
        <v>2.92E-2</v>
      </c>
      <c r="C201" s="10">
        <v>5.7933333333333337E-2</v>
      </c>
      <c r="D201" s="10">
        <f t="shared" si="9"/>
        <v>2.8733333333333336E-2</v>
      </c>
      <c r="E201" s="12">
        <f t="shared" si="10"/>
        <v>7.8721461187214619E-5</v>
      </c>
      <c r="F201" s="3">
        <f t="shared" si="11"/>
        <v>7.8721461187214619</v>
      </c>
      <c r="G201" s="3"/>
    </row>
    <row r="202" spans="1:7" s="2" customFormat="1" ht="15" customHeight="1">
      <c r="A202" s="8">
        <v>34000</v>
      </c>
      <c r="B202" s="5">
        <v>3.0200000000000001E-2</v>
      </c>
      <c r="C202" s="10">
        <v>5.7510000000000006E-2</v>
      </c>
      <c r="D202" s="10">
        <f t="shared" si="9"/>
        <v>2.7310000000000004E-2</v>
      </c>
      <c r="E202" s="12">
        <f t="shared" si="10"/>
        <v>7.482191780821919E-5</v>
      </c>
      <c r="F202" s="3">
        <f t="shared" si="11"/>
        <v>7.4821917808219194</v>
      </c>
      <c r="G202" s="3"/>
    </row>
    <row r="203" spans="1:7" s="2" customFormat="1" ht="15" customHeight="1">
      <c r="A203" s="8">
        <v>34028</v>
      </c>
      <c r="B203" s="5">
        <v>3.0299999999999997E-2</v>
      </c>
      <c r="C203" s="10">
        <v>5.7395000000000002E-2</v>
      </c>
      <c r="D203" s="10">
        <f t="shared" si="9"/>
        <v>2.7095000000000004E-2</v>
      </c>
      <c r="E203" s="12">
        <f t="shared" si="10"/>
        <v>7.4232876712328782E-5</v>
      </c>
      <c r="F203" s="3">
        <f t="shared" si="11"/>
        <v>7.4232876712328784</v>
      </c>
      <c r="G203" s="3"/>
    </row>
    <row r="204" spans="1:7" s="2" customFormat="1" ht="15" customHeight="1">
      <c r="A204" s="8">
        <v>34059</v>
      </c>
      <c r="B204" s="5">
        <v>3.0699999999999998E-2</v>
      </c>
      <c r="C204" s="10">
        <v>5.6156521739130431E-2</v>
      </c>
      <c r="D204" s="10">
        <f t="shared" si="9"/>
        <v>2.5456521739130433E-2</v>
      </c>
      <c r="E204" s="12">
        <f t="shared" si="10"/>
        <v>6.9743895175699815E-5</v>
      </c>
      <c r="F204" s="3">
        <f t="shared" si="11"/>
        <v>6.9743895175699819</v>
      </c>
      <c r="G204" s="3"/>
    </row>
    <row r="205" spans="1:7" s="2" customFormat="1" ht="15" customHeight="1">
      <c r="A205" s="8">
        <v>34089</v>
      </c>
      <c r="B205" s="5">
        <v>2.9600000000000001E-2</v>
      </c>
      <c r="C205" s="10">
        <v>5.2474999999999994E-2</v>
      </c>
      <c r="D205" s="10">
        <f t="shared" si="9"/>
        <v>2.2874999999999993E-2</v>
      </c>
      <c r="E205" s="12">
        <f t="shared" si="10"/>
        <v>6.2671232876712309E-5</v>
      </c>
      <c r="F205" s="3">
        <f t="shared" si="11"/>
        <v>6.2671232876712306</v>
      </c>
      <c r="G205" s="3"/>
    </row>
    <row r="206" spans="1:7" s="2" customFormat="1" ht="15" customHeight="1">
      <c r="A206" s="8">
        <v>34120</v>
      </c>
      <c r="B206" s="5">
        <v>0.03</v>
      </c>
      <c r="C206" s="10">
        <v>5.2585714285714298E-2</v>
      </c>
      <c r="D206" s="10">
        <f t="shared" si="9"/>
        <v>2.2585714285714299E-2</v>
      </c>
      <c r="E206" s="12">
        <f t="shared" si="10"/>
        <v>6.1878669275929591E-5</v>
      </c>
      <c r="F206" s="3">
        <f t="shared" si="11"/>
        <v>6.1878669275929594</v>
      </c>
      <c r="G206" s="3"/>
    </row>
    <row r="207" spans="1:7" s="2" customFormat="1" ht="15" customHeight="1">
      <c r="A207" s="8">
        <v>34150</v>
      </c>
      <c r="B207" s="5">
        <v>3.04E-2</v>
      </c>
      <c r="C207" s="10">
        <v>5.2714285714285714E-2</v>
      </c>
      <c r="D207" s="10">
        <f t="shared" si="9"/>
        <v>2.2314285714285714E-2</v>
      </c>
      <c r="E207" s="12">
        <f t="shared" si="10"/>
        <v>6.1135029354207436E-5</v>
      </c>
      <c r="F207" s="3">
        <f t="shared" si="11"/>
        <v>6.113502935420744</v>
      </c>
      <c r="G207" s="3"/>
    </row>
    <row r="208" spans="1:7" s="2" customFormat="1" ht="15" customHeight="1">
      <c r="A208" s="8">
        <v>34181</v>
      </c>
      <c r="B208" s="5">
        <v>3.0600000000000002E-2</v>
      </c>
      <c r="C208" s="10">
        <v>5.2395454545454551E-2</v>
      </c>
      <c r="D208" s="10">
        <f t="shared" si="9"/>
        <v>2.1795454545454548E-2</v>
      </c>
      <c r="E208" s="12">
        <f t="shared" si="10"/>
        <v>5.9713574097135752E-5</v>
      </c>
      <c r="F208" s="3">
        <f t="shared" si="11"/>
        <v>5.9713574097135753</v>
      </c>
      <c r="G208" s="3"/>
    </row>
    <row r="209" spans="1:7" s="2" customFormat="1" ht="15" customHeight="1">
      <c r="A209" s="8">
        <v>34212</v>
      </c>
      <c r="B209" s="5">
        <v>3.0299999999999997E-2</v>
      </c>
      <c r="C209" s="10">
        <v>4.7709090909090916E-2</v>
      </c>
      <c r="D209" s="10">
        <f t="shared" si="9"/>
        <v>1.7409090909090919E-2</v>
      </c>
      <c r="E209" s="12">
        <f t="shared" si="10"/>
        <v>4.7696139476961419E-5</v>
      </c>
      <c r="F209" s="3">
        <f t="shared" si="11"/>
        <v>4.7696139476961417</v>
      </c>
      <c r="G209" s="3"/>
    </row>
    <row r="210" spans="1:7" s="2" customFormat="1" ht="15" customHeight="1">
      <c r="A210" s="8">
        <v>34242</v>
      </c>
      <c r="B210" s="5">
        <v>3.0899999999999997E-2</v>
      </c>
      <c r="C210" s="10">
        <v>4.7227272727272729E-2</v>
      </c>
      <c r="D210" s="10">
        <f t="shared" si="9"/>
        <v>1.6327272727272732E-2</v>
      </c>
      <c r="E210" s="12">
        <f t="shared" si="10"/>
        <v>4.4732254047322551E-5</v>
      </c>
      <c r="F210" s="3">
        <f t="shared" si="11"/>
        <v>4.4732254047322551</v>
      </c>
      <c r="G210" s="3"/>
    </row>
    <row r="211" spans="1:7" s="2" customFormat="1" ht="15" customHeight="1">
      <c r="A211" s="8">
        <v>34273</v>
      </c>
      <c r="B211" s="5">
        <v>2.9900000000000003E-2</v>
      </c>
      <c r="C211" s="10">
        <v>4.6875E-2</v>
      </c>
      <c r="D211" s="10">
        <f t="shared" si="9"/>
        <v>1.6974999999999997E-2</v>
      </c>
      <c r="E211" s="12">
        <f t="shared" si="10"/>
        <v>4.6506849315068488E-5</v>
      </c>
      <c r="F211" s="3">
        <f t="shared" si="11"/>
        <v>4.6506849315068486</v>
      </c>
      <c r="G211" s="3"/>
    </row>
    <row r="212" spans="1:7" s="2" customFormat="1" ht="15" customHeight="1">
      <c r="A212" s="8">
        <v>34303</v>
      </c>
      <c r="B212" s="5">
        <v>3.0200000000000001E-2</v>
      </c>
      <c r="C212" s="10">
        <v>4.7113636363636351E-2</v>
      </c>
      <c r="D212" s="10">
        <f t="shared" si="9"/>
        <v>1.6913636363636349E-2</v>
      </c>
      <c r="E212" s="12">
        <f t="shared" si="10"/>
        <v>4.6338729763387261E-5</v>
      </c>
      <c r="F212" s="3">
        <f t="shared" si="11"/>
        <v>4.6338729763387265</v>
      </c>
      <c r="G212" s="3"/>
    </row>
    <row r="213" spans="1:7" s="2" customFormat="1" ht="15" customHeight="1">
      <c r="A213" s="8">
        <v>34334</v>
      </c>
      <c r="B213" s="5">
        <v>2.9600000000000001E-2</v>
      </c>
      <c r="C213" s="10">
        <v>4.7247619047619045E-2</v>
      </c>
      <c r="D213" s="10">
        <f t="shared" si="9"/>
        <v>1.7647619047619044E-2</v>
      </c>
      <c r="E213" s="12">
        <f t="shared" si="10"/>
        <v>4.8349641226353544E-5</v>
      </c>
      <c r="F213" s="3">
        <f t="shared" si="11"/>
        <v>4.8349641226353546</v>
      </c>
      <c r="G213" s="3"/>
    </row>
    <row r="214" spans="1:7" s="2" customFormat="1" ht="15" customHeight="1">
      <c r="A214" s="8">
        <v>34365</v>
      </c>
      <c r="B214" s="5">
        <v>3.0499999999999999E-2</v>
      </c>
      <c r="C214" s="10">
        <v>4.7063157894736848E-2</v>
      </c>
      <c r="D214" s="10">
        <f t="shared" si="9"/>
        <v>1.6563157894736849E-2</v>
      </c>
      <c r="E214" s="12">
        <f t="shared" si="10"/>
        <v>4.5378514780100957E-5</v>
      </c>
      <c r="F214" s="3">
        <f t="shared" si="11"/>
        <v>4.5378514780100954</v>
      </c>
      <c r="G214" s="3"/>
    </row>
    <row r="215" spans="1:7" s="2" customFormat="1" ht="15" customHeight="1">
      <c r="A215" s="8">
        <v>34393</v>
      </c>
      <c r="B215" s="5">
        <v>3.2500000000000001E-2</v>
      </c>
      <c r="C215" s="10">
        <v>4.7109999999999985E-2</v>
      </c>
      <c r="D215" s="10">
        <f t="shared" si="9"/>
        <v>1.4609999999999984E-2</v>
      </c>
      <c r="E215" s="12">
        <f t="shared" si="10"/>
        <v>4.0027397260273927E-5</v>
      </c>
      <c r="F215" s="3">
        <f t="shared" si="11"/>
        <v>4.0027397260273929</v>
      </c>
      <c r="G215" s="3"/>
    </row>
    <row r="216" spans="1:7" s="2" customFormat="1" ht="15" customHeight="1">
      <c r="A216" s="8">
        <v>34424</v>
      </c>
      <c r="B216" s="5">
        <v>3.3399999999999999E-2</v>
      </c>
      <c r="C216" s="10">
        <v>4.722173913043478E-2</v>
      </c>
      <c r="D216" s="10">
        <f t="shared" si="9"/>
        <v>1.3821739130434781E-2</v>
      </c>
      <c r="E216" s="12">
        <f t="shared" si="10"/>
        <v>3.7867778439547341E-5</v>
      </c>
      <c r="F216" s="3">
        <f t="shared" si="11"/>
        <v>3.7867778439547339</v>
      </c>
      <c r="G216" s="3"/>
    </row>
    <row r="217" spans="1:7" s="2" customFormat="1" ht="15" customHeight="1">
      <c r="A217" s="8">
        <v>34454</v>
      </c>
      <c r="B217" s="5">
        <v>3.56E-2</v>
      </c>
      <c r="C217" s="10">
        <v>4.6888888888888883E-2</v>
      </c>
      <c r="D217" s="10">
        <f t="shared" si="9"/>
        <v>1.1288888888888883E-2</v>
      </c>
      <c r="E217" s="12">
        <f t="shared" si="10"/>
        <v>3.092846270928461E-5</v>
      </c>
      <c r="F217" s="3">
        <f t="shared" si="11"/>
        <v>3.0928462709284612</v>
      </c>
      <c r="G217" s="3"/>
    </row>
    <row r="218" spans="1:7" s="2" customFormat="1" ht="15" customHeight="1">
      <c r="A218" s="8">
        <v>34485</v>
      </c>
      <c r="B218" s="5">
        <v>4.0099999999999997E-2</v>
      </c>
      <c r="C218" s="10">
        <v>4.6727272727272721E-2</v>
      </c>
      <c r="D218" s="10">
        <f t="shared" si="9"/>
        <v>6.6272727272727247E-3</v>
      </c>
      <c r="E218" s="12">
        <f t="shared" si="10"/>
        <v>1.8156911581569107E-5</v>
      </c>
      <c r="F218" s="3">
        <f t="shared" si="11"/>
        <v>1.8156911581569106</v>
      </c>
      <c r="G218" s="3"/>
    </row>
    <row r="219" spans="1:7" s="2" customFormat="1" ht="15" customHeight="1">
      <c r="A219" s="8">
        <v>34515</v>
      </c>
      <c r="B219" s="5">
        <v>4.2500000000000003E-2</v>
      </c>
      <c r="C219" s="10">
        <v>4.6823809523809518E-2</v>
      </c>
      <c r="D219" s="10">
        <f t="shared" si="9"/>
        <v>4.3238095238095145E-3</v>
      </c>
      <c r="E219" s="12">
        <f t="shared" si="10"/>
        <v>1.1846053489889081E-5</v>
      </c>
      <c r="F219" s="3">
        <f t="shared" si="11"/>
        <v>1.1846053489889081</v>
      </c>
      <c r="G219" s="3"/>
    </row>
    <row r="220" spans="1:7" s="2" customFormat="1" ht="15" customHeight="1">
      <c r="A220" s="8">
        <v>34546</v>
      </c>
      <c r="B220" s="5">
        <v>4.2599999999999999E-2</v>
      </c>
      <c r="C220" s="10">
        <v>4.6585714285714293E-2</v>
      </c>
      <c r="D220" s="10">
        <f t="shared" si="9"/>
        <v>3.9857142857142938E-3</v>
      </c>
      <c r="E220" s="12">
        <f t="shared" si="10"/>
        <v>1.0919765166340531E-5</v>
      </c>
      <c r="F220" s="3">
        <f t="shared" si="11"/>
        <v>1.0919765166340532</v>
      </c>
      <c r="G220" s="3"/>
    </row>
    <row r="221" spans="1:7" s="2" customFormat="1" ht="15" customHeight="1">
      <c r="A221" s="8">
        <v>34577</v>
      </c>
      <c r="B221" s="5">
        <v>4.4699999999999997E-2</v>
      </c>
      <c r="C221" s="10">
        <v>5.0047826086956515E-2</v>
      </c>
      <c r="D221" s="10">
        <f t="shared" si="9"/>
        <v>5.3478260869565183E-3</v>
      </c>
      <c r="E221" s="12">
        <f t="shared" si="10"/>
        <v>1.4651578320428817E-5</v>
      </c>
      <c r="F221" s="3">
        <f t="shared" si="11"/>
        <v>1.4651578320428817</v>
      </c>
      <c r="G221" s="3"/>
    </row>
    <row r="222" spans="1:7" s="2" customFormat="1" ht="15" customHeight="1">
      <c r="A222" s="8">
        <v>34607</v>
      </c>
      <c r="B222" s="5">
        <v>4.7300000000000002E-2</v>
      </c>
      <c r="C222" s="10">
        <v>5.4418181818181824E-2</v>
      </c>
      <c r="D222" s="10">
        <f t="shared" si="9"/>
        <v>7.1181818181818221E-3</v>
      </c>
      <c r="E222" s="12">
        <f t="shared" si="10"/>
        <v>1.950186799501869E-5</v>
      </c>
      <c r="F222" s="3">
        <f t="shared" si="11"/>
        <v>1.9501867995018691</v>
      </c>
      <c r="G222" s="3"/>
    </row>
    <row r="223" spans="1:7" s="2" customFormat="1" ht="15" customHeight="1">
      <c r="A223" s="8">
        <v>34638</v>
      </c>
      <c r="B223" s="5">
        <v>4.7599999999999996E-2</v>
      </c>
      <c r="C223" s="10">
        <v>5.7099999999999998E-2</v>
      </c>
      <c r="D223" s="10">
        <f t="shared" si="9"/>
        <v>9.5000000000000015E-3</v>
      </c>
      <c r="E223" s="12">
        <f t="shared" si="10"/>
        <v>2.6027397260273976E-5</v>
      </c>
      <c r="F223" s="3">
        <f t="shared" si="11"/>
        <v>2.6027397260273974</v>
      </c>
      <c r="G223" s="3"/>
    </row>
    <row r="224" spans="1:7" s="2" customFormat="1" ht="15" customHeight="1">
      <c r="A224" s="8">
        <v>34668</v>
      </c>
      <c r="B224" s="5">
        <v>5.2900000000000003E-2</v>
      </c>
      <c r="C224" s="10">
        <v>6.4281818181818176E-2</v>
      </c>
      <c r="D224" s="10">
        <f t="shared" si="9"/>
        <v>1.1381818181818174E-2</v>
      </c>
      <c r="E224" s="12">
        <f t="shared" si="10"/>
        <v>3.1183063511830611E-5</v>
      </c>
      <c r="F224" s="3">
        <f t="shared" si="11"/>
        <v>3.1183063511830609</v>
      </c>
      <c r="G224" s="3"/>
    </row>
    <row r="225" spans="1:7" s="2" customFormat="1" ht="15" customHeight="1">
      <c r="A225" s="8">
        <v>34699</v>
      </c>
      <c r="B225" s="5">
        <v>5.45E-2</v>
      </c>
      <c r="C225" s="10">
        <v>6.9605E-2</v>
      </c>
      <c r="D225" s="10">
        <f t="shared" si="9"/>
        <v>1.5105E-2</v>
      </c>
      <c r="E225" s="12">
        <f t="shared" si="10"/>
        <v>4.138356164383562E-5</v>
      </c>
      <c r="F225" s="3">
        <f t="shared" si="11"/>
        <v>4.1383561643835618</v>
      </c>
      <c r="G225" s="3"/>
    </row>
    <row r="226" spans="1:7" s="2" customFormat="1" ht="15" customHeight="1">
      <c r="A226" s="8">
        <v>34730</v>
      </c>
      <c r="B226" s="5">
        <v>5.5300000000000002E-2</v>
      </c>
      <c r="C226" s="10">
        <v>7.4929999999999997E-2</v>
      </c>
      <c r="D226" s="10">
        <f t="shared" si="9"/>
        <v>1.9629999999999995E-2</v>
      </c>
      <c r="E226" s="12">
        <f t="shared" si="10"/>
        <v>5.3780821917808204E-5</v>
      </c>
      <c r="F226" s="3">
        <f t="shared" si="11"/>
        <v>5.3780821917808206</v>
      </c>
      <c r="G226" s="3"/>
    </row>
    <row r="227" spans="1:7" s="2" customFormat="1" ht="15" customHeight="1">
      <c r="A227" s="8">
        <v>34758</v>
      </c>
      <c r="B227" s="5">
        <v>5.9200000000000003E-2</v>
      </c>
      <c r="C227" s="10">
        <v>7.481500000000002E-2</v>
      </c>
      <c r="D227" s="10">
        <f t="shared" si="9"/>
        <v>1.5615000000000018E-2</v>
      </c>
      <c r="E227" s="12">
        <f t="shared" si="10"/>
        <v>4.2780821917808269E-5</v>
      </c>
      <c r="F227" s="3">
        <f t="shared" si="11"/>
        <v>4.2780821917808272</v>
      </c>
      <c r="G227" s="3"/>
    </row>
    <row r="228" spans="1:7" s="2" customFormat="1" ht="15" customHeight="1">
      <c r="A228" s="8">
        <v>34789</v>
      </c>
      <c r="B228" s="5">
        <v>5.9800000000000006E-2</v>
      </c>
      <c r="C228" s="10">
        <v>7.4917391304347811E-2</v>
      </c>
      <c r="D228" s="10">
        <f t="shared" si="9"/>
        <v>1.5117391304347805E-2</v>
      </c>
      <c r="E228" s="12">
        <f t="shared" si="10"/>
        <v>4.1417510422870698E-5</v>
      </c>
      <c r="F228" s="3">
        <f t="shared" si="11"/>
        <v>4.14175104228707</v>
      </c>
      <c r="G228" s="3"/>
    </row>
    <row r="229" spans="1:7" s="2" customFormat="1" ht="15" customHeight="1">
      <c r="A229" s="8">
        <v>34819</v>
      </c>
      <c r="B229" s="5">
        <v>6.0499999999999998E-2</v>
      </c>
      <c r="C229" s="10">
        <v>7.5070588235294111E-2</v>
      </c>
      <c r="D229" s="10">
        <f t="shared" si="9"/>
        <v>1.4570588235294113E-2</v>
      </c>
      <c r="E229" s="12">
        <f t="shared" si="10"/>
        <v>3.9919419822723598E-5</v>
      </c>
      <c r="F229" s="3">
        <f t="shared" si="11"/>
        <v>3.9919419822723596</v>
      </c>
      <c r="G229" s="3"/>
    </row>
    <row r="230" spans="1:7" s="2" customFormat="1" ht="15" customHeight="1">
      <c r="A230" s="8">
        <v>34850</v>
      </c>
      <c r="B230" s="5">
        <v>6.0100000000000001E-2</v>
      </c>
      <c r="C230" s="10">
        <v>7.4991304347826082E-2</v>
      </c>
      <c r="D230" s="10">
        <f t="shared" si="9"/>
        <v>1.4891304347826081E-2</v>
      </c>
      <c r="E230" s="12">
        <f t="shared" si="10"/>
        <v>4.0798094103633101E-5</v>
      </c>
      <c r="F230" s="3">
        <f t="shared" si="11"/>
        <v>4.0798094103633105</v>
      </c>
      <c r="G230" s="3"/>
    </row>
    <row r="231" spans="1:7" s="2" customFormat="1" ht="15" customHeight="1">
      <c r="A231" s="8">
        <v>34880</v>
      </c>
      <c r="B231" s="5">
        <v>0.06</v>
      </c>
      <c r="C231" s="10">
        <v>7.5090476190476194E-2</v>
      </c>
      <c r="D231" s="10">
        <f t="shared" si="9"/>
        <v>1.5090476190476196E-2</v>
      </c>
      <c r="E231" s="12">
        <f t="shared" si="10"/>
        <v>4.1343770384866293E-5</v>
      </c>
      <c r="F231" s="3">
        <f t="shared" si="11"/>
        <v>4.1343770384866296</v>
      </c>
      <c r="G231" s="3"/>
    </row>
    <row r="232" spans="1:7" s="2" customFormat="1" ht="15" customHeight="1">
      <c r="A232" s="8">
        <v>34911</v>
      </c>
      <c r="B232" s="5">
        <v>5.8499999999999996E-2</v>
      </c>
      <c r="C232" s="10">
        <v>7.5080952380952387E-2</v>
      </c>
      <c r="D232" s="10">
        <f t="shared" si="9"/>
        <v>1.6580952380952391E-2</v>
      </c>
      <c r="E232" s="12">
        <f t="shared" si="10"/>
        <v>4.5427266797129837E-5</v>
      </c>
      <c r="F232" s="3">
        <f t="shared" si="11"/>
        <v>4.5427266797129837</v>
      </c>
      <c r="G232" s="3"/>
    </row>
    <row r="233" spans="1:7" s="2" customFormat="1" ht="15" customHeight="1">
      <c r="A233" s="8">
        <v>34942</v>
      </c>
      <c r="B233" s="5">
        <v>5.74E-2</v>
      </c>
      <c r="C233" s="10">
        <v>7.5104347826086965E-2</v>
      </c>
      <c r="D233" s="10">
        <f t="shared" si="9"/>
        <v>1.7704347826086965E-2</v>
      </c>
      <c r="E233" s="12">
        <f t="shared" si="10"/>
        <v>4.8505062537224562E-5</v>
      </c>
      <c r="F233" s="3">
        <f t="shared" si="11"/>
        <v>4.8505062537224566</v>
      </c>
      <c r="G233" s="3"/>
    </row>
    <row r="234" spans="1:7" s="2" customFormat="1" ht="15" customHeight="1">
      <c r="A234" s="8">
        <v>34972</v>
      </c>
      <c r="B234" s="5">
        <v>5.7999999999999996E-2</v>
      </c>
      <c r="C234" s="10">
        <v>7.4928571428571414E-2</v>
      </c>
      <c r="D234" s="10">
        <f t="shared" si="9"/>
        <v>1.6928571428571418E-2</v>
      </c>
      <c r="E234" s="12">
        <f t="shared" si="10"/>
        <v>4.6379647749510731E-5</v>
      </c>
      <c r="F234" s="3">
        <f t="shared" si="11"/>
        <v>4.6379647749510733</v>
      </c>
      <c r="G234" s="3"/>
    </row>
    <row r="235" spans="1:7" s="2" customFormat="1" ht="15" customHeight="1">
      <c r="A235" s="8">
        <v>35003</v>
      </c>
      <c r="B235" s="5">
        <v>5.7599999999999998E-2</v>
      </c>
      <c r="C235" s="10">
        <v>7.4845454545454548E-2</v>
      </c>
      <c r="D235" s="10">
        <f t="shared" si="9"/>
        <v>1.724545454545455E-2</v>
      </c>
      <c r="E235" s="12">
        <f t="shared" si="10"/>
        <v>4.724782067247822E-5</v>
      </c>
      <c r="F235" s="3">
        <f t="shared" si="11"/>
        <v>4.7247820672478218</v>
      </c>
      <c r="G235" s="3"/>
    </row>
    <row r="236" spans="1:7" s="2" customFormat="1" ht="15" customHeight="1">
      <c r="A236" s="8">
        <v>35033</v>
      </c>
      <c r="B236" s="5">
        <v>5.7999999999999996E-2</v>
      </c>
      <c r="C236" s="10">
        <v>7.5022727272727283E-2</v>
      </c>
      <c r="D236" s="10">
        <f t="shared" si="9"/>
        <v>1.7022727272727287E-2</v>
      </c>
      <c r="E236" s="12">
        <f t="shared" si="10"/>
        <v>4.6637608966376126E-5</v>
      </c>
      <c r="F236" s="3">
        <f t="shared" si="11"/>
        <v>4.663760896637613</v>
      </c>
      <c r="G236" s="3"/>
    </row>
    <row r="237" spans="1:7" s="2" customFormat="1" ht="15" customHeight="1">
      <c r="A237" s="8">
        <v>35064</v>
      </c>
      <c r="B237" s="5">
        <v>5.5999999999999994E-2</v>
      </c>
      <c r="C237" s="10">
        <v>7.5084210526315781E-2</v>
      </c>
      <c r="D237" s="10">
        <f t="shared" si="9"/>
        <v>1.9084210526315787E-2</v>
      </c>
      <c r="E237" s="12">
        <f t="shared" si="10"/>
        <v>5.2285508291276126E-5</v>
      </c>
      <c r="F237" s="3">
        <f t="shared" si="11"/>
        <v>5.2285508291276122</v>
      </c>
      <c r="G237" s="3"/>
    </row>
    <row r="238" spans="1:7" s="2" customFormat="1" ht="15" customHeight="1">
      <c r="A238" s="8">
        <v>35095</v>
      </c>
      <c r="B238" s="5">
        <v>5.5599999999999997E-2</v>
      </c>
      <c r="C238" s="10">
        <v>7.5004761904761907E-2</v>
      </c>
      <c r="D238" s="10">
        <f t="shared" si="9"/>
        <v>1.9404761904761911E-2</v>
      </c>
      <c r="E238" s="12">
        <f t="shared" si="10"/>
        <v>5.3163731245923045E-5</v>
      </c>
      <c r="F238" s="3">
        <f t="shared" si="11"/>
        <v>5.3163731245923049</v>
      </c>
      <c r="G238" s="3"/>
    </row>
    <row r="239" spans="1:7" s="2" customFormat="1" ht="15" customHeight="1">
      <c r="A239" s="8">
        <v>35124</v>
      </c>
      <c r="B239" s="5">
        <v>5.2199999999999996E-2</v>
      </c>
      <c r="C239" s="10">
        <v>7.5033333333333327E-2</v>
      </c>
      <c r="D239" s="10">
        <f t="shared" si="9"/>
        <v>2.283333333333333E-2</v>
      </c>
      <c r="E239" s="12">
        <f t="shared" si="10"/>
        <v>6.2557077625570771E-5</v>
      </c>
      <c r="F239" s="3">
        <f t="shared" si="11"/>
        <v>6.2557077625570772</v>
      </c>
      <c r="G239" s="3"/>
    </row>
    <row r="240" spans="1:7" s="2" customFormat="1" ht="15" customHeight="1">
      <c r="A240" s="8">
        <v>35155</v>
      </c>
      <c r="B240" s="5">
        <v>5.3099999999999994E-2</v>
      </c>
      <c r="C240" s="10">
        <v>7.5185714285714272E-2</v>
      </c>
      <c r="D240" s="10">
        <f t="shared" si="9"/>
        <v>2.2085714285714278E-2</v>
      </c>
      <c r="E240" s="12">
        <f t="shared" si="10"/>
        <v>6.0508806262230899E-5</v>
      </c>
      <c r="F240" s="3">
        <f t="shared" si="11"/>
        <v>6.0508806262230896</v>
      </c>
      <c r="G240" s="3"/>
    </row>
    <row r="241" spans="1:7" s="2" customFormat="1" ht="15" customHeight="1">
      <c r="A241" s="8">
        <v>35185</v>
      </c>
      <c r="B241" s="5">
        <v>5.2199999999999996E-2</v>
      </c>
      <c r="C241" s="10">
        <v>7.4942105263157893E-2</v>
      </c>
      <c r="D241" s="10">
        <f t="shared" si="9"/>
        <v>2.2742105263157897E-2</v>
      </c>
      <c r="E241" s="12">
        <f t="shared" si="10"/>
        <v>6.2307137707281909E-5</v>
      </c>
      <c r="F241" s="3">
        <f t="shared" si="11"/>
        <v>6.2307137707281912</v>
      </c>
      <c r="G241" s="3"/>
    </row>
    <row r="242" spans="1:7" s="2" customFormat="1" ht="15" customHeight="1">
      <c r="A242" s="8">
        <v>35216</v>
      </c>
      <c r="B242" s="5">
        <v>5.2400000000000002E-2</v>
      </c>
      <c r="C242" s="10">
        <v>7.5121739130434781E-2</v>
      </c>
      <c r="D242" s="10">
        <f t="shared" si="9"/>
        <v>2.2721739130434779E-2</v>
      </c>
      <c r="E242" s="12">
        <f t="shared" si="10"/>
        <v>6.2251340083382961E-5</v>
      </c>
      <c r="F242" s="3">
        <f t="shared" si="11"/>
        <v>6.225134008338296</v>
      </c>
      <c r="G242" s="3"/>
    </row>
    <row r="243" spans="1:7" s="2" customFormat="1" ht="15" customHeight="1">
      <c r="A243" s="8">
        <v>35246</v>
      </c>
      <c r="B243" s="5">
        <v>5.2699999999999997E-2</v>
      </c>
      <c r="C243" s="10">
        <v>7.5105263157894731E-2</v>
      </c>
      <c r="D243" s="10">
        <f t="shared" si="9"/>
        <v>2.2405263157894734E-2</v>
      </c>
      <c r="E243" s="12">
        <f t="shared" si="10"/>
        <v>6.1384282624369133E-5</v>
      </c>
      <c r="F243" s="3">
        <f t="shared" si="11"/>
        <v>6.1384282624369133</v>
      </c>
      <c r="G243" s="3"/>
    </row>
    <row r="244" spans="1:7" s="2" customFormat="1" ht="15" customHeight="1">
      <c r="A244" s="8">
        <v>35277</v>
      </c>
      <c r="B244" s="5">
        <v>5.4000000000000006E-2</v>
      </c>
      <c r="C244" s="10">
        <v>7.5056521739130466E-2</v>
      </c>
      <c r="D244" s="10">
        <f t="shared" si="9"/>
        <v>2.105652173913046E-2</v>
      </c>
      <c r="E244" s="12">
        <f t="shared" si="10"/>
        <v>5.7689100655151948E-5</v>
      </c>
      <c r="F244" s="3">
        <f t="shared" si="11"/>
        <v>5.768910065515195</v>
      </c>
      <c r="G244" s="3"/>
    </row>
    <row r="245" spans="1:7" s="2" customFormat="1" ht="15" customHeight="1">
      <c r="A245" s="8">
        <v>35308</v>
      </c>
      <c r="B245" s="5">
        <v>5.2199999999999996E-2</v>
      </c>
      <c r="C245" s="10">
        <v>7.0059090909090918E-2</v>
      </c>
      <c r="D245" s="10">
        <f t="shared" si="9"/>
        <v>1.7859090909090922E-2</v>
      </c>
      <c r="E245" s="12">
        <f t="shared" si="10"/>
        <v>4.8929016189290196E-5</v>
      </c>
      <c r="F245" s="3">
        <f t="shared" si="11"/>
        <v>4.8929016189290193</v>
      </c>
      <c r="G245" s="3"/>
    </row>
    <row r="246" spans="1:7" s="2" customFormat="1" ht="15" customHeight="1">
      <c r="A246" s="8">
        <v>35338</v>
      </c>
      <c r="B246" s="5">
        <v>5.2999999999999999E-2</v>
      </c>
      <c r="C246" s="10">
        <v>7.006190476190477E-2</v>
      </c>
      <c r="D246" s="10">
        <f t="shared" si="9"/>
        <v>1.7061904761904771E-2</v>
      </c>
      <c r="E246" s="12">
        <f t="shared" si="10"/>
        <v>4.6744944553163757E-5</v>
      </c>
      <c r="F246" s="3">
        <f t="shared" si="11"/>
        <v>4.6744944553163759</v>
      </c>
      <c r="G246" s="3"/>
    </row>
    <row r="247" spans="1:7" s="2" customFormat="1" ht="15" customHeight="1">
      <c r="A247" s="8">
        <v>35369</v>
      </c>
      <c r="B247" s="5">
        <v>5.2400000000000002E-2</v>
      </c>
      <c r="C247" s="10">
        <v>7.0026086956521738E-2</v>
      </c>
      <c r="D247" s="10">
        <f t="shared" si="9"/>
        <v>1.7626086956521736E-2</v>
      </c>
      <c r="E247" s="12">
        <f t="shared" si="10"/>
        <v>4.8290649195949961E-5</v>
      </c>
      <c r="F247" s="3">
        <f t="shared" si="11"/>
        <v>4.8290649195949964</v>
      </c>
      <c r="G247" s="3"/>
    </row>
    <row r="248" spans="1:7" s="2" customFormat="1" ht="15" customHeight="1">
      <c r="A248" s="8">
        <v>35399</v>
      </c>
      <c r="B248" s="5">
        <v>5.3099999999999994E-2</v>
      </c>
      <c r="C248" s="10">
        <v>6.5752380952380951E-2</v>
      </c>
      <c r="D248" s="10">
        <f t="shared" si="9"/>
        <v>1.2652380952380957E-2</v>
      </c>
      <c r="E248" s="12">
        <f t="shared" si="10"/>
        <v>3.466405740378344E-5</v>
      </c>
      <c r="F248" s="3">
        <f t="shared" si="11"/>
        <v>3.4664057403783439</v>
      </c>
      <c r="G248" s="3"/>
    </row>
    <row r="249" spans="1:7" s="2" customFormat="1" ht="15" customHeight="1">
      <c r="A249" s="8">
        <v>35430</v>
      </c>
      <c r="B249" s="5">
        <v>5.2900000000000003E-2</v>
      </c>
      <c r="C249" s="10">
        <v>6.2289999999999998E-2</v>
      </c>
      <c r="D249" s="10">
        <f t="shared" si="9"/>
        <v>9.3899999999999956E-3</v>
      </c>
      <c r="E249" s="12">
        <f t="shared" si="10"/>
        <v>2.5726027397260263E-5</v>
      </c>
      <c r="F249" s="3">
        <f t="shared" si="11"/>
        <v>2.5726027397260265</v>
      </c>
      <c r="G249" s="3"/>
    </row>
    <row r="250" spans="1:7" s="2" customFormat="1" ht="15" customHeight="1">
      <c r="A250" s="8">
        <v>35461</v>
      </c>
      <c r="B250" s="5">
        <v>5.2499999999999998E-2</v>
      </c>
      <c r="C250" s="10">
        <v>6.0361904761904769E-2</v>
      </c>
      <c r="D250" s="10">
        <f t="shared" si="9"/>
        <v>7.8619047619047713E-3</v>
      </c>
      <c r="E250" s="12">
        <f t="shared" si="10"/>
        <v>2.1539465101108961E-5</v>
      </c>
      <c r="F250" s="3">
        <f t="shared" si="11"/>
        <v>2.1539465101108961</v>
      </c>
      <c r="G250" s="3"/>
    </row>
    <row r="251" spans="1:7" s="2" customFormat="1" ht="15" customHeight="1">
      <c r="A251" s="8">
        <v>35489</v>
      </c>
      <c r="B251" s="5">
        <v>5.1900000000000002E-2</v>
      </c>
      <c r="C251" s="10">
        <v>6.0055000000000004E-2</v>
      </c>
      <c r="D251" s="10">
        <f t="shared" si="9"/>
        <v>8.1550000000000025E-3</v>
      </c>
      <c r="E251" s="12">
        <f t="shared" si="10"/>
        <v>2.2342465753424666E-5</v>
      </c>
      <c r="F251" s="3">
        <f t="shared" si="11"/>
        <v>2.2342465753424667</v>
      </c>
      <c r="G251" s="3"/>
    </row>
    <row r="252" spans="1:7" s="2" customFormat="1" ht="15" customHeight="1">
      <c r="A252" s="8">
        <v>35520</v>
      </c>
      <c r="B252" s="5">
        <v>5.3899999999999997E-2</v>
      </c>
      <c r="C252" s="10">
        <v>6.0389473684210514E-2</v>
      </c>
      <c r="D252" s="10">
        <f t="shared" si="9"/>
        <v>6.4894736842105172E-3</v>
      </c>
      <c r="E252" s="12">
        <f t="shared" si="10"/>
        <v>1.7779379956741143E-5</v>
      </c>
      <c r="F252" s="3">
        <f t="shared" si="11"/>
        <v>1.7779379956741144</v>
      </c>
      <c r="G252" s="3"/>
    </row>
    <row r="253" spans="1:7" s="2" customFormat="1" ht="15" customHeight="1">
      <c r="A253" s="8">
        <v>35550</v>
      </c>
      <c r="B253" s="5">
        <v>5.5099999999999996E-2</v>
      </c>
      <c r="C253" s="10">
        <v>6.0538095238095238E-2</v>
      </c>
      <c r="D253" s="10">
        <f t="shared" si="9"/>
        <v>5.4380952380952419E-3</v>
      </c>
      <c r="E253" s="12">
        <f t="shared" si="10"/>
        <v>1.4898891063274634E-5</v>
      </c>
      <c r="F253" s="3">
        <f t="shared" si="11"/>
        <v>1.4898891063274635</v>
      </c>
      <c r="G253" s="3"/>
    </row>
    <row r="254" spans="1:7" s="2" customFormat="1" ht="15" customHeight="1">
      <c r="A254" s="8">
        <v>35581</v>
      </c>
      <c r="B254" s="5">
        <v>5.5E-2</v>
      </c>
      <c r="C254" s="10">
        <v>5.91E-2</v>
      </c>
      <c r="D254" s="10">
        <f t="shared" si="9"/>
        <v>4.0999999999999995E-3</v>
      </c>
      <c r="E254" s="12">
        <f t="shared" si="10"/>
        <v>1.1232876712328766E-5</v>
      </c>
      <c r="F254" s="3">
        <f t="shared" si="11"/>
        <v>1.1232876712328765</v>
      </c>
      <c r="G254" s="3"/>
    </row>
    <row r="255" spans="1:7" s="2" customFormat="1" ht="15" customHeight="1">
      <c r="A255" s="8">
        <v>35611</v>
      </c>
      <c r="B255" s="5">
        <v>5.5599999999999997E-2</v>
      </c>
      <c r="C255" s="10">
        <v>5.57E-2</v>
      </c>
      <c r="D255" s="10">
        <f t="shared" si="9"/>
        <v>1.0000000000000286E-4</v>
      </c>
      <c r="E255" s="12">
        <f t="shared" si="10"/>
        <v>2.7397260273973386E-7</v>
      </c>
      <c r="F255" s="3">
        <f t="shared" si="11"/>
        <v>2.7397260273973385E-2</v>
      </c>
      <c r="G255" s="3"/>
    </row>
    <row r="256" spans="1:7" s="2" customFormat="1" ht="15" customHeight="1">
      <c r="A256" s="8">
        <v>35642</v>
      </c>
      <c r="B256" s="5">
        <v>5.5199999999999999E-2</v>
      </c>
      <c r="C256" s="10">
        <v>5.4426086956521749E-2</v>
      </c>
      <c r="D256" s="10">
        <f t="shared" si="9"/>
        <v>-7.7391304347824985E-4</v>
      </c>
      <c r="E256" s="12">
        <f t="shared" si="10"/>
        <v>-2.1203097081595885E-6</v>
      </c>
      <c r="F256" s="3">
        <f t="shared" si="11"/>
        <v>-0.21203097081595884</v>
      </c>
      <c r="G256" s="3"/>
    </row>
    <row r="257" spans="1:7" s="2" customFormat="1" ht="15" customHeight="1">
      <c r="A257" s="8">
        <v>35673</v>
      </c>
      <c r="B257" s="5">
        <v>5.5399999999999998E-2</v>
      </c>
      <c r="C257" s="10">
        <v>4.9752380952380958E-2</v>
      </c>
      <c r="D257" s="10">
        <f t="shared" si="9"/>
        <v>-5.6476190476190402E-3</v>
      </c>
      <c r="E257" s="12">
        <f t="shared" si="10"/>
        <v>-1.547292889758641E-5</v>
      </c>
      <c r="F257" s="3">
        <f t="shared" si="11"/>
        <v>-1.5472928897586411</v>
      </c>
      <c r="G257" s="3"/>
    </row>
    <row r="258" spans="1:7" s="2" customFormat="1" ht="15" customHeight="1">
      <c r="A258" s="8">
        <v>35703</v>
      </c>
      <c r="B258" s="5">
        <v>5.5399999999999998E-2</v>
      </c>
      <c r="C258" s="10">
        <v>4.9836363636363637E-2</v>
      </c>
      <c r="D258" s="10">
        <f t="shared" si="9"/>
        <v>-5.5636363636363609E-3</v>
      </c>
      <c r="E258" s="12">
        <f t="shared" si="10"/>
        <v>-1.5242839352428386E-5</v>
      </c>
      <c r="F258" s="3">
        <f t="shared" si="11"/>
        <v>-1.5242839352428386</v>
      </c>
      <c r="G258" s="14">
        <v>0.72529999999999994</v>
      </c>
    </row>
    <row r="259" spans="1:7" s="2" customFormat="1" ht="15" customHeight="1" thickBot="1">
      <c r="A259" s="8">
        <v>35734</v>
      </c>
      <c r="B259" s="5">
        <v>5.5E-2</v>
      </c>
      <c r="C259" s="10">
        <v>4.9830434782608707E-2</v>
      </c>
      <c r="D259" s="10">
        <f t="shared" ref="D259:D322" si="12">C259-B259</f>
        <v>-5.1695652173912934E-3</v>
      </c>
      <c r="E259" s="12">
        <f t="shared" ref="E259:E322" si="13">D259/365</f>
        <v>-1.4163192376414503E-5</v>
      </c>
      <c r="F259" s="3">
        <f t="shared" ref="F259:F322" si="14">E259*$G$1</f>
        <v>-1.4163192376414502</v>
      </c>
      <c r="G259" s="14">
        <v>0.70120000000000005</v>
      </c>
    </row>
    <row r="260" spans="1:7" s="2" customFormat="1" ht="15" customHeight="1" thickBot="1">
      <c r="A260" s="8">
        <v>35764</v>
      </c>
      <c r="B260" s="5">
        <v>5.5199999999999999E-2</v>
      </c>
      <c r="C260" s="10">
        <v>5.003500000000001E-2</v>
      </c>
      <c r="D260" s="10">
        <f t="shared" si="12"/>
        <v>-5.164999999999989E-3</v>
      </c>
      <c r="E260" s="12">
        <f t="shared" si="13"/>
        <v>-1.4150684931506819E-5</v>
      </c>
      <c r="F260" s="3">
        <f t="shared" si="14"/>
        <v>-1.4150684931506818</v>
      </c>
      <c r="G260" s="15">
        <v>0.68149999999999999</v>
      </c>
    </row>
    <row r="261" spans="1:7" s="2" customFormat="1" ht="15" customHeight="1" thickBot="1">
      <c r="A261" s="8">
        <v>35795</v>
      </c>
      <c r="B261" s="5">
        <v>5.5E-2</v>
      </c>
      <c r="C261" s="10">
        <v>5.0252380952380937E-2</v>
      </c>
      <c r="D261" s="10">
        <f t="shared" si="12"/>
        <v>-4.747619047619063E-3</v>
      </c>
      <c r="E261" s="12">
        <f t="shared" si="13"/>
        <v>-1.300717547292894E-5</v>
      </c>
      <c r="F261" s="3">
        <f t="shared" si="14"/>
        <v>-1.300717547292894</v>
      </c>
      <c r="G261" s="15">
        <v>0.65169999999999995</v>
      </c>
    </row>
    <row r="262" spans="1:7" s="2" customFormat="1" ht="15" customHeight="1" thickBot="1">
      <c r="A262" s="8">
        <v>35826</v>
      </c>
      <c r="B262" s="5">
        <v>5.5599999999999997E-2</v>
      </c>
      <c r="C262" s="10">
        <v>5.0009999999999992E-2</v>
      </c>
      <c r="D262" s="10">
        <f t="shared" si="12"/>
        <v>-5.5900000000000047E-3</v>
      </c>
      <c r="E262" s="12">
        <f t="shared" si="13"/>
        <v>-1.5315068493150697E-5</v>
      </c>
      <c r="F262" s="3">
        <f t="shared" si="14"/>
        <v>-1.5315068493150696</v>
      </c>
      <c r="G262" s="15">
        <v>0.68300000000000005</v>
      </c>
    </row>
    <row r="263" spans="1:7" s="2" customFormat="1" ht="15" customHeight="1" thickBot="1">
      <c r="A263" s="8">
        <v>35854</v>
      </c>
      <c r="B263" s="5">
        <v>5.5099999999999996E-2</v>
      </c>
      <c r="C263" s="10">
        <v>4.9825000000000001E-2</v>
      </c>
      <c r="D263" s="10">
        <f t="shared" si="12"/>
        <v>-5.274999999999995E-3</v>
      </c>
      <c r="E263" s="12">
        <f t="shared" si="13"/>
        <v>-1.4452054794520534E-5</v>
      </c>
      <c r="F263" s="3">
        <f t="shared" si="14"/>
        <v>-1.4452054794520535</v>
      </c>
      <c r="G263" s="15">
        <v>0.67949999999999999</v>
      </c>
    </row>
    <row r="264" spans="1:7" s="2" customFormat="1" ht="15" customHeight="1" thickBot="1">
      <c r="A264" s="8">
        <v>35885</v>
      </c>
      <c r="B264" s="5">
        <v>5.4900000000000004E-2</v>
      </c>
      <c r="C264" s="10">
        <v>4.9963636363636363E-2</v>
      </c>
      <c r="D264" s="10">
        <f t="shared" si="12"/>
        <v>-4.9363636363636415E-3</v>
      </c>
      <c r="E264" s="12">
        <f t="shared" si="13"/>
        <v>-1.3524283935242854E-5</v>
      </c>
      <c r="F264" s="3">
        <f t="shared" si="14"/>
        <v>-1.3524283935242853</v>
      </c>
      <c r="G264" s="15">
        <v>0.66239999999999999</v>
      </c>
    </row>
    <row r="265" spans="1:7" s="2" customFormat="1" ht="15" customHeight="1" thickBot="1">
      <c r="A265" s="8">
        <v>35915</v>
      </c>
      <c r="B265" s="5">
        <v>5.45E-2</v>
      </c>
      <c r="C265" s="10">
        <v>4.9795000000000013E-2</v>
      </c>
      <c r="D265" s="10">
        <f t="shared" si="12"/>
        <v>-4.704999999999987E-3</v>
      </c>
      <c r="E265" s="12">
        <f t="shared" si="13"/>
        <v>-1.2890410958904073E-5</v>
      </c>
      <c r="F265" s="3">
        <f t="shared" si="14"/>
        <v>-1.2890410958904073</v>
      </c>
      <c r="G265" s="15">
        <v>0.64949999999999997</v>
      </c>
    </row>
    <row r="266" spans="1:7" s="2" customFormat="1" ht="15" customHeight="1" thickBot="1">
      <c r="A266" s="8">
        <v>35946</v>
      </c>
      <c r="B266" s="5">
        <v>5.4900000000000004E-2</v>
      </c>
      <c r="C266" s="10">
        <v>5.0004761904761906E-2</v>
      </c>
      <c r="D266" s="10">
        <f t="shared" si="12"/>
        <v>-4.8952380952380983E-3</v>
      </c>
      <c r="E266" s="12">
        <f t="shared" si="13"/>
        <v>-1.3411611219830407E-5</v>
      </c>
      <c r="F266" s="3">
        <f t="shared" si="14"/>
        <v>-1.3411611219830406</v>
      </c>
      <c r="G266" s="15">
        <v>0.62319999999999998</v>
      </c>
    </row>
    <row r="267" spans="1:7" s="2" customFormat="1" ht="15" customHeight="1" thickBot="1">
      <c r="A267" s="8">
        <v>35976</v>
      </c>
      <c r="B267" s="5">
        <v>5.5599999999999997E-2</v>
      </c>
      <c r="C267" s="10">
        <v>5.0719047619047622E-2</v>
      </c>
      <c r="D267" s="10">
        <f t="shared" si="12"/>
        <v>-4.8809523809523747E-3</v>
      </c>
      <c r="E267" s="12">
        <f t="shared" si="13"/>
        <v>-1.3372472276581849E-5</v>
      </c>
      <c r="F267" s="3">
        <f t="shared" si="14"/>
        <v>-1.3372472276581848</v>
      </c>
      <c r="G267" s="15">
        <v>0.62060000000000004</v>
      </c>
    </row>
    <row r="268" spans="1:7" s="2" customFormat="1" ht="15" customHeight="1" thickBot="1">
      <c r="A268" s="8">
        <v>36007</v>
      </c>
      <c r="B268" s="5">
        <v>5.5399999999999998E-2</v>
      </c>
      <c r="C268" s="10">
        <v>4.9795652173913039E-2</v>
      </c>
      <c r="D268" s="10">
        <f t="shared" si="12"/>
        <v>-5.6043478260869584E-3</v>
      </c>
      <c r="E268" s="12">
        <f t="shared" si="13"/>
        <v>-1.5354377605717693E-5</v>
      </c>
      <c r="F268" s="3">
        <f t="shared" si="14"/>
        <v>-1.5354377605717693</v>
      </c>
      <c r="G268" s="15">
        <v>0.60650000000000004</v>
      </c>
    </row>
    <row r="269" spans="1:7" s="2" customFormat="1" ht="15" customHeight="1" thickBot="1">
      <c r="A269" s="8">
        <v>36038</v>
      </c>
      <c r="B269" s="5">
        <v>5.5500000000000001E-2</v>
      </c>
      <c r="C269" s="10">
        <v>4.9699999999999994E-2</v>
      </c>
      <c r="D269" s="10">
        <f t="shared" si="12"/>
        <v>-5.8000000000000065E-3</v>
      </c>
      <c r="E269" s="12">
        <f t="shared" si="13"/>
        <v>-1.5890410958904126E-5</v>
      </c>
      <c r="F269" s="3">
        <f t="shared" si="14"/>
        <v>-1.5890410958904126</v>
      </c>
      <c r="G269" s="15">
        <v>0.56610000000000005</v>
      </c>
    </row>
    <row r="270" spans="1:7" s="2" customFormat="1" ht="15" customHeight="1" thickBot="1">
      <c r="A270" s="8">
        <v>36068</v>
      </c>
      <c r="B270" s="5">
        <v>5.5099999999999996E-2</v>
      </c>
      <c r="C270" s="10">
        <v>4.9704545454545446E-2</v>
      </c>
      <c r="D270" s="10">
        <f t="shared" si="12"/>
        <v>-5.3954545454545505E-3</v>
      </c>
      <c r="E270" s="12">
        <f t="shared" si="13"/>
        <v>-1.4782067247820687E-5</v>
      </c>
      <c r="F270" s="3">
        <f t="shared" si="14"/>
        <v>-1.4782067247820687</v>
      </c>
      <c r="G270" s="15">
        <v>0.59379999999999999</v>
      </c>
    </row>
    <row r="271" spans="1:7" s="2" customFormat="1" ht="15" customHeight="1" thickBot="1">
      <c r="A271" s="8">
        <v>36099</v>
      </c>
      <c r="B271" s="5">
        <v>5.0700000000000002E-2</v>
      </c>
      <c r="C271" s="10">
        <v>4.9686363636363626E-2</v>
      </c>
      <c r="D271" s="10">
        <f t="shared" si="12"/>
        <v>-1.0136363636363763E-3</v>
      </c>
      <c r="E271" s="12">
        <f t="shared" si="13"/>
        <v>-2.7770859277708939E-6</v>
      </c>
      <c r="F271" s="3">
        <f t="shared" si="14"/>
        <v>-0.27770859277708937</v>
      </c>
      <c r="G271" s="15">
        <v>0.62360000000000004</v>
      </c>
    </row>
    <row r="272" spans="1:7" s="2" customFormat="1" ht="15" customHeight="1" thickBot="1">
      <c r="A272" s="8">
        <v>36129</v>
      </c>
      <c r="B272" s="5">
        <v>4.8300000000000003E-2</v>
      </c>
      <c r="C272" s="10">
        <v>4.98047619047619E-2</v>
      </c>
      <c r="D272" s="10">
        <f t="shared" si="12"/>
        <v>1.5047619047618976E-3</v>
      </c>
      <c r="E272" s="12">
        <f t="shared" si="13"/>
        <v>4.1226353555120481E-6</v>
      </c>
      <c r="F272" s="3">
        <f t="shared" si="14"/>
        <v>0.41226353555120482</v>
      </c>
      <c r="G272" s="15">
        <v>0.62860000000000005</v>
      </c>
    </row>
    <row r="273" spans="1:7" s="2" customFormat="1" ht="15" customHeight="1" thickBot="1">
      <c r="A273" s="8">
        <v>36160</v>
      </c>
      <c r="B273" s="5">
        <v>4.6799999999999994E-2</v>
      </c>
      <c r="C273" s="10">
        <v>4.7519047619047614E-2</v>
      </c>
      <c r="D273" s="10">
        <f t="shared" si="12"/>
        <v>7.1904761904761916E-4</v>
      </c>
      <c r="E273" s="12">
        <f t="shared" si="13"/>
        <v>1.9699934768427921E-6</v>
      </c>
      <c r="F273" s="3">
        <f t="shared" si="14"/>
        <v>0.19699934768427921</v>
      </c>
      <c r="G273" s="15">
        <v>0.61160000000000003</v>
      </c>
    </row>
    <row r="274" spans="1:7" s="2" customFormat="1" ht="15" customHeight="1" thickBot="1">
      <c r="A274" s="8">
        <v>36191</v>
      </c>
      <c r="B274" s="5">
        <v>4.6300000000000001E-2</v>
      </c>
      <c r="C274" s="10">
        <v>4.7173684210526305E-2</v>
      </c>
      <c r="D274" s="10">
        <f t="shared" si="12"/>
        <v>8.7368421052630429E-4</v>
      </c>
      <c r="E274" s="12">
        <f t="shared" si="13"/>
        <v>2.3936553713049433E-6</v>
      </c>
      <c r="F274" s="3">
        <f t="shared" si="14"/>
        <v>0.23936553713049433</v>
      </c>
      <c r="G274" s="15">
        <v>0.63049999999999995</v>
      </c>
    </row>
    <row r="275" spans="1:7" s="2" customFormat="1" ht="15" customHeight="1" thickBot="1">
      <c r="A275" s="8">
        <v>36219</v>
      </c>
      <c r="B275" s="5">
        <v>4.7599999999999996E-2</v>
      </c>
      <c r="C275" s="10">
        <v>4.7199999999999999E-2</v>
      </c>
      <c r="D275" s="10">
        <f t="shared" si="12"/>
        <v>-3.9999999999999758E-4</v>
      </c>
      <c r="E275" s="12">
        <f t="shared" si="13"/>
        <v>-1.0958904109588975E-6</v>
      </c>
      <c r="F275" s="3">
        <f t="shared" si="14"/>
        <v>-0.10958904109588975</v>
      </c>
      <c r="G275" s="15">
        <v>0.61909999999999998</v>
      </c>
    </row>
    <row r="276" spans="1:7" s="2" customFormat="1" ht="15" customHeight="1" thickBot="1">
      <c r="A276" s="8">
        <v>36250</v>
      </c>
      <c r="B276" s="5">
        <v>4.8099999999999997E-2</v>
      </c>
      <c r="C276" s="10">
        <v>4.7400000000000005E-2</v>
      </c>
      <c r="D276" s="10">
        <f t="shared" si="12"/>
        <v>-6.999999999999923E-4</v>
      </c>
      <c r="E276" s="12">
        <f t="shared" si="13"/>
        <v>-1.9178082191780611E-6</v>
      </c>
      <c r="F276" s="3">
        <f t="shared" si="14"/>
        <v>-0.1917808219178061</v>
      </c>
      <c r="G276" s="15">
        <v>0.63400000000000001</v>
      </c>
    </row>
    <row r="277" spans="1:7" s="2" customFormat="1" ht="15" customHeight="1" thickBot="1">
      <c r="A277" s="8">
        <v>36280</v>
      </c>
      <c r="B277" s="5">
        <v>4.7400000000000005E-2</v>
      </c>
      <c r="C277" s="10">
        <v>4.7400000000000005E-2</v>
      </c>
      <c r="D277" s="10">
        <f t="shared" si="12"/>
        <v>0</v>
      </c>
      <c r="E277" s="12">
        <f t="shared" si="13"/>
        <v>0</v>
      </c>
      <c r="F277" s="3">
        <f t="shared" si="14"/>
        <v>0</v>
      </c>
      <c r="G277" s="15">
        <v>0.66149999999999998</v>
      </c>
    </row>
    <row r="278" spans="1:7" s="2" customFormat="1" ht="15" customHeight="1" thickBot="1">
      <c r="A278" s="8">
        <v>36311</v>
      </c>
      <c r="B278" s="5">
        <v>4.7400000000000005E-2</v>
      </c>
      <c r="C278" s="10">
        <v>4.7500000000000001E-2</v>
      </c>
      <c r="D278" s="10">
        <f t="shared" si="12"/>
        <v>9.9999999999995925E-5</v>
      </c>
      <c r="E278" s="12">
        <f t="shared" si="13"/>
        <v>2.7397260273971485E-7</v>
      </c>
      <c r="F278" s="3">
        <f t="shared" si="14"/>
        <v>2.7397260273971484E-2</v>
      </c>
      <c r="G278" s="15">
        <v>0.64910000000000001</v>
      </c>
    </row>
    <row r="279" spans="1:7" s="2" customFormat="1" ht="15" customHeight="1" thickBot="1">
      <c r="A279" s="8">
        <v>36341</v>
      </c>
      <c r="B279" s="5">
        <v>4.7599999999999996E-2</v>
      </c>
      <c r="C279" s="10">
        <v>4.7599999999999996E-2</v>
      </c>
      <c r="D279" s="10">
        <f t="shared" si="12"/>
        <v>0</v>
      </c>
      <c r="E279" s="12">
        <f t="shared" si="13"/>
        <v>0</v>
      </c>
      <c r="F279" s="3">
        <f t="shared" si="14"/>
        <v>0</v>
      </c>
      <c r="G279" s="15">
        <v>0.6673</v>
      </c>
    </row>
    <row r="280" spans="1:7" s="2" customFormat="1" ht="15" customHeight="1" thickBot="1">
      <c r="A280" s="8">
        <v>36372</v>
      </c>
      <c r="B280" s="5">
        <v>4.99E-2</v>
      </c>
      <c r="C280" s="10">
        <v>4.7400000000000005E-2</v>
      </c>
      <c r="D280" s="10">
        <f t="shared" si="12"/>
        <v>-2.4999999999999953E-3</v>
      </c>
      <c r="E280" s="12">
        <f t="shared" si="13"/>
        <v>-6.8493150684931382E-6</v>
      </c>
      <c r="F280" s="3">
        <f t="shared" si="14"/>
        <v>-0.68493150684931381</v>
      </c>
      <c r="G280" s="15">
        <v>0.65169999999999995</v>
      </c>
    </row>
    <row r="281" spans="1:7" s="2" customFormat="1" ht="15" customHeight="1" thickBot="1">
      <c r="A281" s="8">
        <v>36403</v>
      </c>
      <c r="B281" s="5">
        <v>5.0700000000000002E-2</v>
      </c>
      <c r="C281" s="10">
        <v>4.7300000000000002E-2</v>
      </c>
      <c r="D281" s="10">
        <f t="shared" si="12"/>
        <v>-3.4000000000000002E-3</v>
      </c>
      <c r="E281" s="12">
        <f t="shared" si="13"/>
        <v>-9.3150684931506854E-6</v>
      </c>
      <c r="F281" s="3">
        <f t="shared" si="14"/>
        <v>-0.93150684931506855</v>
      </c>
      <c r="G281" s="15">
        <v>0.64100000000000001</v>
      </c>
    </row>
    <row r="282" spans="1:7" s="2" customFormat="1" ht="15" customHeight="1" thickBot="1">
      <c r="A282" s="8">
        <v>36433</v>
      </c>
      <c r="B282" s="5">
        <v>5.2199999999999996E-2</v>
      </c>
      <c r="C282" s="10">
        <v>4.7500000000000001E-2</v>
      </c>
      <c r="D282" s="10">
        <f t="shared" si="12"/>
        <v>-4.6999999999999958E-3</v>
      </c>
      <c r="E282" s="12">
        <f t="shared" si="13"/>
        <v>-1.2876712328767112E-5</v>
      </c>
      <c r="F282" s="3">
        <f t="shared" si="14"/>
        <v>-1.2876712328767113</v>
      </c>
      <c r="G282" s="15">
        <v>0.65249999999999997</v>
      </c>
    </row>
    <row r="283" spans="1:7" s="2" customFormat="1" ht="15" customHeight="1" thickBot="1">
      <c r="A283" s="8">
        <v>36464</v>
      </c>
      <c r="B283" s="5">
        <v>5.2000000000000005E-2</v>
      </c>
      <c r="C283" s="10">
        <v>4.7500000000000001E-2</v>
      </c>
      <c r="D283" s="10">
        <f t="shared" si="12"/>
        <v>-4.500000000000004E-3</v>
      </c>
      <c r="E283" s="12">
        <f t="shared" si="13"/>
        <v>-1.2328767123287683E-5</v>
      </c>
      <c r="F283" s="3">
        <f t="shared" si="14"/>
        <v>-1.2328767123287683</v>
      </c>
      <c r="G283" s="15">
        <v>0.63919999999999999</v>
      </c>
    </row>
    <row r="284" spans="1:7" s="2" customFormat="1" ht="15" customHeight="1" thickBot="1">
      <c r="A284" s="8">
        <v>36494</v>
      </c>
      <c r="B284" s="5">
        <v>5.4199999999999998E-2</v>
      </c>
      <c r="C284" s="10">
        <v>4.9800000000000004E-2</v>
      </c>
      <c r="D284" s="10">
        <f t="shared" si="12"/>
        <v>-4.3999999999999942E-3</v>
      </c>
      <c r="E284" s="12">
        <f t="shared" si="13"/>
        <v>-1.2054794520547928E-5</v>
      </c>
      <c r="F284" s="3">
        <f t="shared" si="14"/>
        <v>-1.2054794520547929</v>
      </c>
      <c r="G284" s="15">
        <v>0.63580000000000003</v>
      </c>
    </row>
    <row r="285" spans="1:7" s="2" customFormat="1" ht="15" customHeight="1" thickBot="1">
      <c r="A285" s="8">
        <v>36525</v>
      </c>
      <c r="B285" s="5">
        <v>5.2999999999999999E-2</v>
      </c>
      <c r="C285" s="10">
        <v>4.9699999999999994E-2</v>
      </c>
      <c r="D285" s="10">
        <f t="shared" si="12"/>
        <v>-3.3000000000000043E-3</v>
      </c>
      <c r="E285" s="12">
        <f t="shared" si="13"/>
        <v>-9.0410958904109701E-6</v>
      </c>
      <c r="F285" s="3">
        <f t="shared" si="14"/>
        <v>-0.90410958904109706</v>
      </c>
      <c r="G285" s="15">
        <v>0.65749999999999997</v>
      </c>
    </row>
    <row r="286" spans="1:7" s="2" customFormat="1" ht="15" customHeight="1" thickBot="1">
      <c r="A286" s="8">
        <v>36556</v>
      </c>
      <c r="B286" s="5">
        <v>5.45E-2</v>
      </c>
      <c r="C286" s="10">
        <v>4.9800000000000004E-2</v>
      </c>
      <c r="D286" s="10">
        <f t="shared" si="12"/>
        <v>-4.6999999999999958E-3</v>
      </c>
      <c r="E286" s="12">
        <f t="shared" si="13"/>
        <v>-1.2876712328767112E-5</v>
      </c>
      <c r="F286" s="3">
        <f t="shared" si="14"/>
        <v>-1.2876712328767113</v>
      </c>
      <c r="G286" s="15">
        <v>0.63729999999999998</v>
      </c>
    </row>
    <row r="287" spans="1:7" s="2" customFormat="1" ht="15" customHeight="1" thickBot="1">
      <c r="A287" s="8">
        <v>36585</v>
      </c>
      <c r="B287" s="5">
        <v>5.7300000000000004E-2</v>
      </c>
      <c r="C287" s="10">
        <v>5.4600000000000003E-2</v>
      </c>
      <c r="D287" s="10">
        <f t="shared" si="12"/>
        <v>-2.700000000000001E-3</v>
      </c>
      <c r="E287" s="12">
        <f t="shared" si="13"/>
        <v>-7.3972602739726052E-6</v>
      </c>
      <c r="F287" s="3">
        <f t="shared" si="14"/>
        <v>-0.73972602739726057</v>
      </c>
      <c r="G287" s="15">
        <v>0.61799999999999999</v>
      </c>
    </row>
    <row r="288" spans="1:7" s="2" customFormat="1" ht="15" customHeight="1" thickBot="1">
      <c r="A288" s="8">
        <v>36616</v>
      </c>
      <c r="B288" s="5">
        <v>5.8499999999999996E-2</v>
      </c>
      <c r="C288" s="10">
        <v>5.4900000000000004E-2</v>
      </c>
      <c r="D288" s="10">
        <f t="shared" si="12"/>
        <v>-3.5999999999999921E-3</v>
      </c>
      <c r="E288" s="12">
        <f t="shared" si="13"/>
        <v>-9.863013698630116E-6</v>
      </c>
      <c r="F288" s="3">
        <f t="shared" si="14"/>
        <v>-0.98630136986301165</v>
      </c>
      <c r="G288" s="15">
        <v>0.60799999999999998</v>
      </c>
    </row>
    <row r="289" spans="1:7" s="2" customFormat="1" ht="15" customHeight="1" thickBot="1">
      <c r="A289" s="8">
        <v>36646</v>
      </c>
      <c r="B289" s="5">
        <v>6.0199999999999997E-2</v>
      </c>
      <c r="C289" s="10">
        <v>5.7200000000000001E-2</v>
      </c>
      <c r="D289" s="10">
        <f t="shared" si="12"/>
        <v>-2.9999999999999957E-3</v>
      </c>
      <c r="E289" s="12">
        <f t="shared" si="13"/>
        <v>-8.2191780821917699E-6</v>
      </c>
      <c r="F289" s="3">
        <f t="shared" si="14"/>
        <v>-0.82191780821917704</v>
      </c>
      <c r="G289" s="15">
        <v>0.58379999999999999</v>
      </c>
    </row>
    <row r="290" spans="1:7" s="2" customFormat="1" ht="15" customHeight="1" thickBot="1">
      <c r="A290" s="8">
        <v>36677</v>
      </c>
      <c r="B290" s="5">
        <v>6.2699999999999992E-2</v>
      </c>
      <c r="C290" s="10">
        <v>5.9800000000000006E-2</v>
      </c>
      <c r="D290" s="10">
        <f t="shared" si="12"/>
        <v>-2.8999999999999859E-3</v>
      </c>
      <c r="E290" s="12">
        <f t="shared" si="13"/>
        <v>-7.9452054794520156E-6</v>
      </c>
      <c r="F290" s="3">
        <f t="shared" si="14"/>
        <v>-0.79452054794520155</v>
      </c>
      <c r="G290" s="15">
        <v>0.57289999999999996</v>
      </c>
    </row>
    <row r="291" spans="1:7" s="2" customFormat="1" ht="15" customHeight="1" thickBot="1">
      <c r="A291" s="8">
        <v>36707</v>
      </c>
      <c r="B291" s="5">
        <v>6.5299999999999997E-2</v>
      </c>
      <c r="C291" s="10">
        <v>0.06</v>
      </c>
      <c r="D291" s="10">
        <f t="shared" si="12"/>
        <v>-5.2999999999999992E-3</v>
      </c>
      <c r="E291" s="12">
        <f t="shared" si="13"/>
        <v>-1.4520547945205477E-5</v>
      </c>
      <c r="F291" s="3">
        <f t="shared" si="14"/>
        <v>-1.4520547945205478</v>
      </c>
      <c r="G291" s="15">
        <v>0.59530000000000005</v>
      </c>
    </row>
    <row r="292" spans="1:7" s="2" customFormat="1" ht="15" customHeight="1" thickBot="1">
      <c r="A292" s="8">
        <v>36738</v>
      </c>
      <c r="B292" s="5">
        <v>6.54E-2</v>
      </c>
      <c r="C292" s="10">
        <v>5.9900000000000002E-2</v>
      </c>
      <c r="D292" s="10">
        <f t="shared" si="12"/>
        <v>-5.4999999999999979E-3</v>
      </c>
      <c r="E292" s="12">
        <f t="shared" si="13"/>
        <v>-1.5068493150684926E-5</v>
      </c>
      <c r="F292" s="3">
        <f t="shared" si="14"/>
        <v>-1.5068493150684925</v>
      </c>
      <c r="G292" s="15">
        <v>0.58099999999999996</v>
      </c>
    </row>
    <row r="293" spans="1:7" s="2" customFormat="1" ht="15" customHeight="1" thickBot="1">
      <c r="A293" s="8">
        <v>36769</v>
      </c>
      <c r="B293" s="5">
        <v>6.5000000000000002E-2</v>
      </c>
      <c r="C293" s="10">
        <v>6.2400000000000004E-2</v>
      </c>
      <c r="D293" s="10">
        <f t="shared" si="12"/>
        <v>-2.5999999999999981E-3</v>
      </c>
      <c r="E293" s="12">
        <f t="shared" si="13"/>
        <v>-7.1232876712328713E-6</v>
      </c>
      <c r="F293" s="3">
        <f t="shared" si="14"/>
        <v>-0.71232876712328708</v>
      </c>
      <c r="G293" s="15">
        <v>0.57689999999999997</v>
      </c>
    </row>
    <row r="294" spans="1:7" s="2" customFormat="1" ht="15" customHeight="1" thickBot="1">
      <c r="A294" s="8">
        <v>36799</v>
      </c>
      <c r="B294" s="5">
        <v>6.5199999999999994E-2</v>
      </c>
      <c r="C294" s="10">
        <v>6.2400000000000004E-2</v>
      </c>
      <c r="D294" s="10">
        <f t="shared" si="12"/>
        <v>-2.79999999999999E-3</v>
      </c>
      <c r="E294" s="12">
        <f t="shared" si="13"/>
        <v>-7.6712328767123019E-6</v>
      </c>
      <c r="F294" s="3">
        <f t="shared" si="14"/>
        <v>-0.76712328767123017</v>
      </c>
      <c r="G294" s="15">
        <v>0.54300000000000004</v>
      </c>
    </row>
    <row r="295" spans="1:7" s="2" customFormat="1" ht="15" customHeight="1" thickBot="1">
      <c r="A295" s="8">
        <v>36830</v>
      </c>
      <c r="B295" s="5">
        <v>6.5099999999999991E-2</v>
      </c>
      <c r="C295" s="10">
        <v>6.2300000000000001E-2</v>
      </c>
      <c r="D295" s="10">
        <f t="shared" si="12"/>
        <v>-2.79999999999999E-3</v>
      </c>
      <c r="E295" s="12">
        <f t="shared" si="13"/>
        <v>-7.6712328767123019E-6</v>
      </c>
      <c r="F295" s="3">
        <f t="shared" si="14"/>
        <v>-0.76712328767123017</v>
      </c>
      <c r="G295" s="15">
        <v>0.51749999999999996</v>
      </c>
    </row>
    <row r="296" spans="1:7" s="2" customFormat="1" ht="15" customHeight="1" thickBot="1">
      <c r="A296" s="8">
        <v>36860</v>
      </c>
      <c r="B296" s="5">
        <v>6.5099999999999991E-2</v>
      </c>
      <c r="C296" s="10">
        <v>6.2199999999999998E-2</v>
      </c>
      <c r="D296" s="10">
        <f t="shared" si="12"/>
        <v>-2.8999999999999929E-3</v>
      </c>
      <c r="E296" s="12">
        <f t="shared" si="13"/>
        <v>-7.9452054794520359E-6</v>
      </c>
      <c r="F296" s="3">
        <f t="shared" si="14"/>
        <v>-0.79452054794520355</v>
      </c>
      <c r="G296" s="15">
        <v>0.52859999999999996</v>
      </c>
    </row>
    <row r="297" spans="1:7" s="2" customFormat="1" ht="15" customHeight="1" thickBot="1">
      <c r="A297" s="8">
        <v>36891</v>
      </c>
      <c r="B297" s="5">
        <v>6.4000000000000001E-2</v>
      </c>
      <c r="C297" s="10">
        <v>6.2300000000000001E-2</v>
      </c>
      <c r="D297" s="10">
        <f t="shared" si="12"/>
        <v>-1.7000000000000001E-3</v>
      </c>
      <c r="E297" s="12">
        <f t="shared" si="13"/>
        <v>-4.6575342465753427E-6</v>
      </c>
      <c r="F297" s="3">
        <f t="shared" si="14"/>
        <v>-0.46575342465753428</v>
      </c>
      <c r="G297" s="15">
        <v>0.55900000000000005</v>
      </c>
    </row>
    <row r="298" spans="1:7" s="2" customFormat="1" ht="15" customHeight="1" thickBot="1">
      <c r="A298" s="8">
        <v>36922</v>
      </c>
      <c r="B298" s="5">
        <v>5.9800000000000006E-2</v>
      </c>
      <c r="C298" s="10">
        <v>6.2400000000000004E-2</v>
      </c>
      <c r="D298" s="10">
        <f t="shared" si="12"/>
        <v>2.5999999999999981E-3</v>
      </c>
      <c r="E298" s="12">
        <f t="shared" si="13"/>
        <v>7.1232876712328713E-6</v>
      </c>
      <c r="F298" s="3">
        <f t="shared" si="14"/>
        <v>0.71232876712328708</v>
      </c>
      <c r="G298" s="15">
        <v>0.55000000000000004</v>
      </c>
    </row>
    <row r="299" spans="1:7" s="2" customFormat="1" ht="15" customHeight="1" thickBot="1">
      <c r="A299" s="8">
        <v>36950</v>
      </c>
      <c r="B299" s="5">
        <v>5.4900000000000004E-2</v>
      </c>
      <c r="C299" s="10">
        <v>5.8400000000000001E-2</v>
      </c>
      <c r="D299" s="10">
        <f t="shared" si="12"/>
        <v>3.4999999999999962E-3</v>
      </c>
      <c r="E299" s="12">
        <f t="shared" si="13"/>
        <v>9.5890410958904007E-6</v>
      </c>
      <c r="F299" s="3">
        <f t="shared" si="14"/>
        <v>0.95890410958904004</v>
      </c>
      <c r="G299" s="15">
        <v>0.52629999999999999</v>
      </c>
    </row>
    <row r="300" spans="1:7" s="2" customFormat="1" ht="15" customHeight="1" thickBot="1">
      <c r="A300" s="8">
        <v>36981</v>
      </c>
      <c r="B300" s="5">
        <v>5.3099999999999994E-2</v>
      </c>
      <c r="C300" s="10">
        <v>5.5399999999999998E-2</v>
      </c>
      <c r="D300" s="10">
        <f t="shared" si="12"/>
        <v>2.3000000000000034E-3</v>
      </c>
      <c r="E300" s="12">
        <f t="shared" si="13"/>
        <v>6.3013698630137084E-6</v>
      </c>
      <c r="F300" s="3">
        <f t="shared" si="14"/>
        <v>0.63013698630137083</v>
      </c>
      <c r="G300" s="15">
        <v>0.48599999999999999</v>
      </c>
    </row>
    <row r="301" spans="1:7" s="2" customFormat="1" ht="15" customHeight="1" thickBot="1">
      <c r="A301" s="8">
        <v>37011</v>
      </c>
      <c r="B301" s="5">
        <v>4.8000000000000001E-2</v>
      </c>
      <c r="C301" s="10">
        <v>5.0499999999999996E-2</v>
      </c>
      <c r="D301" s="10">
        <f t="shared" si="12"/>
        <v>2.4999999999999953E-3</v>
      </c>
      <c r="E301" s="12">
        <f t="shared" si="13"/>
        <v>6.8493150684931382E-6</v>
      </c>
      <c r="F301" s="3">
        <f t="shared" si="14"/>
        <v>0.68493150684931381</v>
      </c>
      <c r="G301" s="15">
        <v>0.51280000000000003</v>
      </c>
    </row>
    <row r="302" spans="1:7" s="2" customFormat="1" ht="15" customHeight="1" thickBot="1">
      <c r="A302" s="8">
        <v>37042</v>
      </c>
      <c r="B302" s="5">
        <v>4.2099999999999999E-2</v>
      </c>
      <c r="C302" s="10">
        <v>4.99E-2</v>
      </c>
      <c r="D302" s="10">
        <f t="shared" si="12"/>
        <v>7.8000000000000014E-3</v>
      </c>
      <c r="E302" s="12">
        <f t="shared" si="13"/>
        <v>2.1369863013698632E-5</v>
      </c>
      <c r="F302" s="3">
        <f t="shared" si="14"/>
        <v>2.1369863013698631</v>
      </c>
      <c r="G302" s="15">
        <v>0.5071</v>
      </c>
    </row>
    <row r="303" spans="1:7" s="2" customFormat="1" ht="15" customHeight="1" thickBot="1">
      <c r="A303" s="8">
        <v>37072</v>
      </c>
      <c r="B303" s="5">
        <v>3.9699999999999999E-2</v>
      </c>
      <c r="C303" s="10">
        <v>0.05</v>
      </c>
      <c r="D303" s="10">
        <f t="shared" si="12"/>
        <v>1.0300000000000004E-2</v>
      </c>
      <c r="E303" s="12">
        <f t="shared" si="13"/>
        <v>2.821917808219179E-5</v>
      </c>
      <c r="F303" s="3">
        <f t="shared" si="14"/>
        <v>2.8219178082191791</v>
      </c>
      <c r="G303" s="15">
        <v>0.51100000000000001</v>
      </c>
    </row>
    <row r="304" spans="1:7" s="2" customFormat="1" ht="15" customHeight="1" thickBot="1">
      <c r="A304" s="8">
        <v>37103</v>
      </c>
      <c r="B304" s="5">
        <v>3.7699999999999997E-2</v>
      </c>
      <c r="C304" s="10">
        <v>0.05</v>
      </c>
      <c r="D304" s="10">
        <f t="shared" si="12"/>
        <v>1.2300000000000005E-2</v>
      </c>
      <c r="E304" s="12">
        <f t="shared" si="13"/>
        <v>3.3698630136986314E-5</v>
      </c>
      <c r="F304" s="3">
        <f t="shared" si="14"/>
        <v>3.3698630136986312</v>
      </c>
      <c r="G304" s="15">
        <v>0.51</v>
      </c>
    </row>
    <row r="305" spans="1:7" s="2" customFormat="1" ht="15" customHeight="1" thickBot="1">
      <c r="A305" s="8">
        <v>37134</v>
      </c>
      <c r="B305" s="5">
        <v>3.6499999999999998E-2</v>
      </c>
      <c r="C305" s="10">
        <v>4.99E-2</v>
      </c>
      <c r="D305" s="10">
        <f t="shared" si="12"/>
        <v>1.3400000000000002E-2</v>
      </c>
      <c r="E305" s="12">
        <f t="shared" si="13"/>
        <v>3.6712328767123291E-5</v>
      </c>
      <c r="F305" s="3">
        <f t="shared" si="14"/>
        <v>3.6712328767123292</v>
      </c>
      <c r="G305" s="15">
        <v>0.52939999999999998</v>
      </c>
    </row>
    <row r="306" spans="1:7" s="2" customFormat="1" ht="15" customHeight="1" thickBot="1">
      <c r="A306" s="8">
        <v>37164</v>
      </c>
      <c r="B306" s="5">
        <v>3.0699999999999998E-2</v>
      </c>
      <c r="C306" s="10">
        <v>4.7500000000000001E-2</v>
      </c>
      <c r="D306" s="10">
        <f t="shared" si="12"/>
        <v>1.6800000000000002E-2</v>
      </c>
      <c r="E306" s="12">
        <f t="shared" si="13"/>
        <v>4.6027397260273978E-5</v>
      </c>
      <c r="F306" s="3">
        <f t="shared" si="14"/>
        <v>4.6027397260273979</v>
      </c>
      <c r="G306" s="15">
        <v>0.49130000000000001</v>
      </c>
    </row>
    <row r="307" spans="1:7" s="2" customFormat="1" ht="15" customHeight="1" thickBot="1">
      <c r="A307" s="8">
        <v>37195</v>
      </c>
      <c r="B307" s="5">
        <v>2.4900000000000002E-2</v>
      </c>
      <c r="C307" s="10">
        <v>4.5100000000000001E-2</v>
      </c>
      <c r="D307" s="10">
        <f t="shared" si="12"/>
        <v>2.0199999999999999E-2</v>
      </c>
      <c r="E307" s="12">
        <f t="shared" si="13"/>
        <v>5.5342465753424658E-5</v>
      </c>
      <c r="F307" s="3">
        <f t="shared" si="14"/>
        <v>5.5342465753424657</v>
      </c>
      <c r="G307" s="15">
        <v>0.503</v>
      </c>
    </row>
    <row r="308" spans="1:7" s="2" customFormat="1" ht="15" customHeight="1" thickBot="1">
      <c r="A308" s="8">
        <v>37225</v>
      </c>
      <c r="B308" s="5">
        <v>2.0899999999999998E-2</v>
      </c>
      <c r="C308" s="10">
        <v>4.4900000000000002E-2</v>
      </c>
      <c r="D308" s="10">
        <f t="shared" si="12"/>
        <v>2.4000000000000004E-2</v>
      </c>
      <c r="E308" s="12">
        <f t="shared" si="13"/>
        <v>6.5753424657534254E-5</v>
      </c>
      <c r="F308" s="3">
        <f t="shared" si="14"/>
        <v>6.5753424657534252</v>
      </c>
      <c r="G308" s="15">
        <v>0.52180000000000004</v>
      </c>
    </row>
    <row r="309" spans="1:7" s="2" customFormat="1" ht="15" customHeight="1" thickBot="1">
      <c r="A309" s="8">
        <v>37256</v>
      </c>
      <c r="B309" s="5">
        <v>1.8200000000000001E-2</v>
      </c>
      <c r="C309" s="10">
        <v>4.2699999999999995E-2</v>
      </c>
      <c r="D309" s="10">
        <f t="shared" si="12"/>
        <v>2.4499999999999994E-2</v>
      </c>
      <c r="E309" s="12">
        <f t="shared" si="13"/>
        <v>6.7123287671232864E-5</v>
      </c>
      <c r="F309" s="3">
        <f t="shared" si="14"/>
        <v>6.7123287671232861</v>
      </c>
      <c r="G309" s="15">
        <v>0.50900000000000001</v>
      </c>
    </row>
    <row r="310" spans="1:7" s="2" customFormat="1" ht="15" customHeight="1" thickBot="1">
      <c r="A310" s="8">
        <v>37287</v>
      </c>
      <c r="B310" s="5">
        <v>1.7299999999999999E-2</v>
      </c>
      <c r="C310" s="10">
        <v>4.24E-2</v>
      </c>
      <c r="D310" s="10">
        <f t="shared" si="12"/>
        <v>2.5100000000000001E-2</v>
      </c>
      <c r="E310" s="12">
        <f t="shared" si="13"/>
        <v>6.8767123287671238E-5</v>
      </c>
      <c r="F310" s="3">
        <f t="shared" si="14"/>
        <v>6.8767123287671241</v>
      </c>
      <c r="G310" s="15">
        <v>0.50800000000000001</v>
      </c>
    </row>
    <row r="311" spans="1:7" s="2" customFormat="1" ht="15" customHeight="1" thickBot="1">
      <c r="A311" s="8">
        <v>37315</v>
      </c>
      <c r="B311" s="5">
        <v>1.7399999999999999E-2</v>
      </c>
      <c r="C311" s="10">
        <v>4.24E-2</v>
      </c>
      <c r="D311" s="10">
        <f t="shared" si="12"/>
        <v>2.5000000000000001E-2</v>
      </c>
      <c r="E311" s="12">
        <f t="shared" si="13"/>
        <v>6.8493150684931516E-5</v>
      </c>
      <c r="F311" s="3">
        <f t="shared" si="14"/>
        <v>6.8493150684931514</v>
      </c>
      <c r="G311" s="15">
        <v>0.51819999999999999</v>
      </c>
    </row>
    <row r="312" spans="1:7" s="2" customFormat="1" ht="15" customHeight="1" thickBot="1">
      <c r="A312" s="8">
        <v>37346</v>
      </c>
      <c r="B312" s="5">
        <v>1.7299999999999999E-2</v>
      </c>
      <c r="C312" s="10">
        <v>4.2300000000000004E-2</v>
      </c>
      <c r="D312" s="10">
        <f t="shared" si="12"/>
        <v>2.5000000000000005E-2</v>
      </c>
      <c r="E312" s="12">
        <f t="shared" si="13"/>
        <v>6.8493150684931516E-5</v>
      </c>
      <c r="F312" s="3">
        <f t="shared" si="14"/>
        <v>6.8493150684931514</v>
      </c>
      <c r="G312" s="15">
        <v>0.5333</v>
      </c>
    </row>
    <row r="313" spans="1:7" s="2" customFormat="1" ht="15" customHeight="1" thickBot="1">
      <c r="A313" s="8">
        <v>37376</v>
      </c>
      <c r="B313" s="5">
        <v>1.7500000000000002E-2</v>
      </c>
      <c r="C313" s="10">
        <v>4.24E-2</v>
      </c>
      <c r="D313" s="10">
        <f t="shared" si="12"/>
        <v>2.4899999999999999E-2</v>
      </c>
      <c r="E313" s="12">
        <f t="shared" si="13"/>
        <v>6.821917808219178E-5</v>
      </c>
      <c r="F313" s="3">
        <f t="shared" si="14"/>
        <v>6.8219178082191778</v>
      </c>
      <c r="G313" s="15">
        <v>0.53839999999999999</v>
      </c>
    </row>
    <row r="314" spans="1:7" s="2" customFormat="1" ht="15" customHeight="1" thickBot="1">
      <c r="A314" s="8">
        <v>37407</v>
      </c>
      <c r="B314" s="5">
        <v>1.7500000000000002E-2</v>
      </c>
      <c r="C314" s="10">
        <v>4.4400000000000002E-2</v>
      </c>
      <c r="D314" s="10">
        <f t="shared" si="12"/>
        <v>2.69E-2</v>
      </c>
      <c r="E314" s="12">
        <f t="shared" si="13"/>
        <v>7.3698630136986303E-5</v>
      </c>
      <c r="F314" s="3">
        <f t="shared" si="14"/>
        <v>7.3698630136986303</v>
      </c>
      <c r="G314" s="15">
        <v>0.56740000000000002</v>
      </c>
    </row>
    <row r="315" spans="1:7" s="2" customFormat="1" ht="15" customHeight="1" thickBot="1">
      <c r="A315" s="8">
        <v>37437</v>
      </c>
      <c r="B315" s="5">
        <v>1.7500000000000002E-2</v>
      </c>
      <c r="C315" s="10">
        <v>4.7199999999999999E-2</v>
      </c>
      <c r="D315" s="10">
        <f t="shared" si="12"/>
        <v>2.9699999999999997E-2</v>
      </c>
      <c r="E315" s="12">
        <f t="shared" si="13"/>
        <v>8.1369863013698617E-5</v>
      </c>
      <c r="F315" s="3">
        <f t="shared" si="14"/>
        <v>8.1369863013698609</v>
      </c>
      <c r="G315" s="15">
        <v>0.56359999999999999</v>
      </c>
    </row>
    <row r="316" spans="1:7" s="2" customFormat="1" ht="15" customHeight="1" thickBot="1">
      <c r="A316" s="8">
        <v>37468</v>
      </c>
      <c r="B316" s="5">
        <v>1.7299999999999999E-2</v>
      </c>
      <c r="C316" s="10">
        <v>4.7500000000000001E-2</v>
      </c>
      <c r="D316" s="10">
        <f t="shared" si="12"/>
        <v>3.0200000000000001E-2</v>
      </c>
      <c r="E316" s="12">
        <f t="shared" si="13"/>
        <v>8.2739726027397268E-5</v>
      </c>
      <c r="F316" s="3">
        <f t="shared" si="14"/>
        <v>8.2739726027397271</v>
      </c>
      <c r="G316" s="15">
        <v>0.54239999999999999</v>
      </c>
    </row>
    <row r="317" spans="1:7" s="2" customFormat="1" ht="15" customHeight="1" thickBot="1">
      <c r="A317" s="8">
        <v>37499</v>
      </c>
      <c r="B317" s="5">
        <v>1.7399999999999999E-2</v>
      </c>
      <c r="C317" s="10">
        <v>4.7500000000000001E-2</v>
      </c>
      <c r="D317" s="10">
        <f t="shared" si="12"/>
        <v>3.0100000000000002E-2</v>
      </c>
      <c r="E317" s="12">
        <f t="shared" si="13"/>
        <v>8.2465753424657533E-5</v>
      </c>
      <c r="F317" s="3">
        <f t="shared" si="14"/>
        <v>8.2465753424657535</v>
      </c>
      <c r="G317" s="15">
        <v>0.55079999999999996</v>
      </c>
    </row>
    <row r="318" spans="1:7" s="2" customFormat="1" ht="15" customHeight="1" thickBot="1">
      <c r="A318" s="8">
        <v>37529</v>
      </c>
      <c r="B318" s="5">
        <v>1.7500000000000002E-2</v>
      </c>
      <c r="C318" s="10">
        <v>4.7500000000000001E-2</v>
      </c>
      <c r="D318" s="10">
        <f t="shared" si="12"/>
        <v>0.03</v>
      </c>
      <c r="E318" s="12">
        <f t="shared" si="13"/>
        <v>8.219178082191781E-5</v>
      </c>
      <c r="F318" s="3">
        <f t="shared" si="14"/>
        <v>8.2191780821917817</v>
      </c>
      <c r="G318" s="15">
        <v>0.54269999999999996</v>
      </c>
    </row>
    <row r="319" spans="1:7" s="2" customFormat="1" ht="15" customHeight="1" thickBot="1">
      <c r="A319" s="8">
        <v>37560</v>
      </c>
      <c r="B319" s="5">
        <v>1.7500000000000002E-2</v>
      </c>
      <c r="C319" s="10">
        <v>4.7500000000000001E-2</v>
      </c>
      <c r="D319" s="10">
        <f t="shared" si="12"/>
        <v>0.03</v>
      </c>
      <c r="E319" s="12">
        <f t="shared" si="13"/>
        <v>8.219178082191781E-5</v>
      </c>
      <c r="F319" s="3">
        <f t="shared" si="14"/>
        <v>8.2191780821917817</v>
      </c>
      <c r="G319" s="15">
        <v>0.55479999999999996</v>
      </c>
    </row>
    <row r="320" spans="1:7" s="2" customFormat="1" ht="15" customHeight="1" thickBot="1">
      <c r="A320" s="8">
        <v>37590</v>
      </c>
      <c r="B320" s="5">
        <v>1.34E-2</v>
      </c>
      <c r="C320" s="10">
        <v>4.7500000000000001E-2</v>
      </c>
      <c r="D320" s="10">
        <f t="shared" si="12"/>
        <v>3.4099999999999998E-2</v>
      </c>
      <c r="E320" s="12">
        <f t="shared" si="13"/>
        <v>9.3424657534246566E-5</v>
      </c>
      <c r="F320" s="3">
        <f t="shared" si="14"/>
        <v>9.3424657534246567</v>
      </c>
      <c r="G320" s="15">
        <v>0.56079999999999997</v>
      </c>
    </row>
    <row r="321" spans="1:7" s="2" customFormat="1" ht="15" customHeight="1" thickBot="1">
      <c r="A321" s="8">
        <v>37621</v>
      </c>
      <c r="B321" s="5">
        <v>1.24E-2</v>
      </c>
      <c r="C321" s="10">
        <v>4.7500000000000001E-2</v>
      </c>
      <c r="D321" s="10">
        <f t="shared" si="12"/>
        <v>3.5099999999999999E-2</v>
      </c>
      <c r="E321" s="12">
        <f t="shared" si="13"/>
        <v>9.6164383561643828E-5</v>
      </c>
      <c r="F321" s="3">
        <f t="shared" si="14"/>
        <v>9.616438356164382</v>
      </c>
      <c r="G321" s="15">
        <v>0.56140000000000001</v>
      </c>
    </row>
    <row r="322" spans="1:7" s="2" customFormat="1" ht="15" customHeight="1" thickBot="1">
      <c r="A322" s="8">
        <v>37652</v>
      </c>
      <c r="B322" s="5">
        <v>1.24E-2</v>
      </c>
      <c r="C322" s="10">
        <v>4.7500000000000001E-2</v>
      </c>
      <c r="D322" s="10">
        <f t="shared" si="12"/>
        <v>3.5099999999999999E-2</v>
      </c>
      <c r="E322" s="12">
        <f t="shared" si="13"/>
        <v>9.6164383561643828E-5</v>
      </c>
      <c r="F322" s="3">
        <f t="shared" si="14"/>
        <v>9.616438356164382</v>
      </c>
      <c r="G322" s="15">
        <v>0.58720000000000006</v>
      </c>
    </row>
    <row r="323" spans="1:7" s="2" customFormat="1" ht="15" customHeight="1" thickBot="1">
      <c r="A323" s="8">
        <v>37680</v>
      </c>
      <c r="B323" s="5">
        <v>1.26E-2</v>
      </c>
      <c r="C323" s="10">
        <v>4.7500000000000001E-2</v>
      </c>
      <c r="D323" s="10">
        <f t="shared" ref="D323:D386" si="15">C323-B323</f>
        <v>3.49E-2</v>
      </c>
      <c r="E323" s="12">
        <f t="shared" ref="E323:E386" si="16">D323/365</f>
        <v>9.5616438356164383E-5</v>
      </c>
      <c r="F323" s="3">
        <f t="shared" ref="F323:F386" si="17">E323*$G$1</f>
        <v>9.5616438356164384</v>
      </c>
      <c r="G323" s="15">
        <v>0.6089</v>
      </c>
    </row>
    <row r="324" spans="1:7" s="2" customFormat="1" ht="15" customHeight="1" thickBot="1">
      <c r="A324" s="8">
        <v>37711</v>
      </c>
      <c r="B324" s="5">
        <v>1.2500000000000001E-2</v>
      </c>
      <c r="C324" s="10">
        <v>4.7500000000000001E-2</v>
      </c>
      <c r="D324" s="10">
        <f t="shared" si="15"/>
        <v>3.5000000000000003E-2</v>
      </c>
      <c r="E324" s="12">
        <f t="shared" si="16"/>
        <v>9.5890410958904119E-5</v>
      </c>
      <c r="F324" s="3">
        <f t="shared" si="17"/>
        <v>9.589041095890412</v>
      </c>
      <c r="G324" s="15">
        <v>0.60440000000000005</v>
      </c>
    </row>
    <row r="325" spans="1:7" s="2" customFormat="1" ht="15" customHeight="1" thickBot="1">
      <c r="A325" s="8">
        <v>37741</v>
      </c>
      <c r="B325" s="5">
        <v>1.26E-2</v>
      </c>
      <c r="C325" s="10">
        <v>4.7500000000000001E-2</v>
      </c>
      <c r="D325" s="10">
        <f t="shared" si="15"/>
        <v>3.49E-2</v>
      </c>
      <c r="E325" s="12">
        <f t="shared" si="16"/>
        <v>9.5616438356164383E-5</v>
      </c>
      <c r="F325" s="3">
        <f t="shared" si="17"/>
        <v>9.5616438356164384</v>
      </c>
      <c r="G325" s="15">
        <v>0.62629999999999997</v>
      </c>
    </row>
    <row r="326" spans="1:7" s="2" customFormat="1" ht="15" customHeight="1" thickBot="1">
      <c r="A326" s="8">
        <v>37772</v>
      </c>
      <c r="B326" s="5">
        <v>1.26E-2</v>
      </c>
      <c r="C326" s="10">
        <v>4.7500000000000001E-2</v>
      </c>
      <c r="D326" s="10">
        <f t="shared" si="15"/>
        <v>3.49E-2</v>
      </c>
      <c r="E326" s="12">
        <f t="shared" si="16"/>
        <v>9.5616438356164383E-5</v>
      </c>
      <c r="F326" s="3">
        <f t="shared" si="17"/>
        <v>9.5616438356164384</v>
      </c>
      <c r="G326" s="15">
        <v>0.65269999999999995</v>
      </c>
    </row>
    <row r="327" spans="1:7" s="2" customFormat="1" ht="15" customHeight="1" thickBot="1">
      <c r="A327" s="8">
        <v>37802</v>
      </c>
      <c r="B327" s="5">
        <v>1.2199999999999999E-2</v>
      </c>
      <c r="C327" s="10">
        <v>4.7500000000000001E-2</v>
      </c>
      <c r="D327" s="10">
        <f t="shared" si="15"/>
        <v>3.5299999999999998E-2</v>
      </c>
      <c r="E327" s="12">
        <f t="shared" si="16"/>
        <v>9.6712328767123285E-5</v>
      </c>
      <c r="F327" s="3">
        <f t="shared" si="17"/>
        <v>9.6712328767123292</v>
      </c>
      <c r="G327" s="15">
        <v>0.6734</v>
      </c>
    </row>
    <row r="328" spans="1:7" s="2" customFormat="1" ht="15" customHeight="1" thickBot="1">
      <c r="A328" s="8">
        <v>37833</v>
      </c>
      <c r="B328" s="5">
        <v>1.01E-2</v>
      </c>
      <c r="C328" s="10">
        <v>4.7500000000000001E-2</v>
      </c>
      <c r="D328" s="10">
        <f t="shared" si="15"/>
        <v>3.7400000000000003E-2</v>
      </c>
      <c r="E328" s="12">
        <f t="shared" si="16"/>
        <v>1.0246575342465754E-4</v>
      </c>
      <c r="F328" s="3">
        <f t="shared" si="17"/>
        <v>10.246575342465755</v>
      </c>
      <c r="G328" s="15">
        <v>0.64839999999999998</v>
      </c>
    </row>
    <row r="329" spans="1:7" s="2" customFormat="1" ht="15" customHeight="1" thickBot="1">
      <c r="A329" s="8">
        <v>37864</v>
      </c>
      <c r="B329" s="5">
        <v>1.03E-2</v>
      </c>
      <c r="C329" s="10">
        <v>4.7500000000000001E-2</v>
      </c>
      <c r="D329" s="10">
        <f t="shared" si="15"/>
        <v>3.7199999999999997E-2</v>
      </c>
      <c r="E329" s="12">
        <f t="shared" si="16"/>
        <v>1.0191780821917807E-4</v>
      </c>
      <c r="F329" s="3">
        <f t="shared" si="17"/>
        <v>10.191780821917808</v>
      </c>
      <c r="G329" s="15">
        <v>0.6472</v>
      </c>
    </row>
    <row r="330" spans="1:7" s="2" customFormat="1" ht="15" customHeight="1" thickBot="1">
      <c r="A330" s="8">
        <v>37894</v>
      </c>
      <c r="B330" s="5">
        <v>1.01E-2</v>
      </c>
      <c r="C330" s="10">
        <v>4.7500000000000001E-2</v>
      </c>
      <c r="D330" s="10">
        <f t="shared" si="15"/>
        <v>3.7400000000000003E-2</v>
      </c>
      <c r="E330" s="12">
        <f t="shared" si="16"/>
        <v>1.0246575342465754E-4</v>
      </c>
      <c r="F330" s="3">
        <f t="shared" si="17"/>
        <v>10.246575342465755</v>
      </c>
      <c r="G330" s="15">
        <v>0.68020000000000003</v>
      </c>
    </row>
    <row r="331" spans="1:7" s="2" customFormat="1" ht="15" customHeight="1" thickBot="1">
      <c r="A331" s="8">
        <v>37925</v>
      </c>
      <c r="B331" s="5">
        <v>1.01E-2</v>
      </c>
      <c r="C331" s="10">
        <v>4.7500000000000001E-2</v>
      </c>
      <c r="D331" s="10">
        <f t="shared" si="15"/>
        <v>3.7400000000000003E-2</v>
      </c>
      <c r="E331" s="12">
        <f t="shared" si="16"/>
        <v>1.0246575342465754E-4</v>
      </c>
      <c r="F331" s="3">
        <f t="shared" si="17"/>
        <v>10.246575342465755</v>
      </c>
      <c r="G331" s="15">
        <v>0.70840000000000003</v>
      </c>
    </row>
    <row r="332" spans="1:7" s="2" customFormat="1" ht="15" customHeight="1" thickBot="1">
      <c r="A332" s="8">
        <v>37955</v>
      </c>
      <c r="B332" s="5">
        <v>0.01</v>
      </c>
      <c r="C332" s="10">
        <v>4.9800000000000004E-2</v>
      </c>
      <c r="D332" s="10">
        <f t="shared" si="15"/>
        <v>3.9800000000000002E-2</v>
      </c>
      <c r="E332" s="12">
        <f t="shared" si="16"/>
        <v>1.0904109589041097E-4</v>
      </c>
      <c r="F332" s="3">
        <f t="shared" si="17"/>
        <v>10.904109589041097</v>
      </c>
      <c r="G332" s="15">
        <v>0.72419999999999995</v>
      </c>
    </row>
    <row r="333" spans="1:7" s="2" customFormat="1" ht="15" customHeight="1" thickBot="1">
      <c r="A333" s="8">
        <v>37986</v>
      </c>
      <c r="B333" s="5">
        <v>9.7999999999999997E-3</v>
      </c>
      <c r="C333" s="10">
        <v>5.2300000000000006E-2</v>
      </c>
      <c r="D333" s="10">
        <f t="shared" si="15"/>
        <v>4.250000000000001E-2</v>
      </c>
      <c r="E333" s="12">
        <f t="shared" si="16"/>
        <v>1.1643835616438359E-4</v>
      </c>
      <c r="F333" s="3">
        <f t="shared" si="17"/>
        <v>11.643835616438359</v>
      </c>
      <c r="G333" s="15">
        <v>0.75260000000000005</v>
      </c>
    </row>
    <row r="334" spans="1:7" s="2" customFormat="1" ht="15" customHeight="1" thickBot="1">
      <c r="A334" s="8">
        <v>38017</v>
      </c>
      <c r="B334" s="5">
        <v>0.01</v>
      </c>
      <c r="C334" s="10">
        <v>5.2499999999999998E-2</v>
      </c>
      <c r="D334" s="10">
        <f t="shared" si="15"/>
        <v>4.2499999999999996E-2</v>
      </c>
      <c r="E334" s="12">
        <f t="shared" si="16"/>
        <v>1.1643835616438355E-4</v>
      </c>
      <c r="F334" s="3">
        <f t="shared" si="17"/>
        <v>11.643835616438356</v>
      </c>
      <c r="G334" s="15">
        <v>0.76419999999999999</v>
      </c>
    </row>
    <row r="335" spans="1:7" s="2" customFormat="1" ht="15" customHeight="1" thickBot="1">
      <c r="A335" s="8">
        <v>38046</v>
      </c>
      <c r="B335" s="5">
        <v>1.01E-2</v>
      </c>
      <c r="C335" s="10">
        <v>5.2499999999999998E-2</v>
      </c>
      <c r="D335" s="10">
        <f t="shared" si="15"/>
        <v>4.24E-2</v>
      </c>
      <c r="E335" s="12">
        <f t="shared" si="16"/>
        <v>1.1616438356164384E-4</v>
      </c>
      <c r="F335" s="3">
        <f t="shared" si="17"/>
        <v>11.616438356164384</v>
      </c>
      <c r="G335" s="15">
        <v>0.77400000000000002</v>
      </c>
    </row>
    <row r="336" spans="1:7" s="2" customFormat="1" ht="15" customHeight="1" thickBot="1">
      <c r="A336" s="8">
        <v>38077</v>
      </c>
      <c r="B336" s="5">
        <v>0.01</v>
      </c>
      <c r="C336" s="10">
        <v>5.2499999999999998E-2</v>
      </c>
      <c r="D336" s="10">
        <f t="shared" si="15"/>
        <v>4.2499999999999996E-2</v>
      </c>
      <c r="E336" s="12">
        <f t="shared" si="16"/>
        <v>1.1643835616438355E-4</v>
      </c>
      <c r="F336" s="3">
        <f t="shared" si="17"/>
        <v>11.643835616438356</v>
      </c>
      <c r="G336" s="15">
        <v>0.76680000000000004</v>
      </c>
    </row>
    <row r="337" spans="1:7" s="2" customFormat="1" ht="15" customHeight="1" thickBot="1">
      <c r="A337" s="8">
        <v>38107</v>
      </c>
      <c r="B337" s="5">
        <v>0.01</v>
      </c>
      <c r="C337" s="10">
        <v>5.2499999999999998E-2</v>
      </c>
      <c r="D337" s="10">
        <f t="shared" si="15"/>
        <v>4.2499999999999996E-2</v>
      </c>
      <c r="E337" s="12">
        <f t="shared" si="16"/>
        <v>1.1643835616438355E-4</v>
      </c>
      <c r="F337" s="3">
        <f t="shared" si="17"/>
        <v>11.643835616438356</v>
      </c>
      <c r="G337" s="15">
        <v>0.7208</v>
      </c>
    </row>
    <row r="338" spans="1:7" s="2" customFormat="1" ht="15" customHeight="1" thickBot="1">
      <c r="A338" s="8">
        <v>38138</v>
      </c>
      <c r="B338" s="5">
        <v>0.01</v>
      </c>
      <c r="C338" s="10">
        <v>5.2499999999999998E-2</v>
      </c>
      <c r="D338" s="10">
        <f t="shared" si="15"/>
        <v>4.2499999999999996E-2</v>
      </c>
      <c r="E338" s="12">
        <f t="shared" si="16"/>
        <v>1.1643835616438355E-4</v>
      </c>
      <c r="F338" s="3">
        <f t="shared" si="17"/>
        <v>11.643835616438356</v>
      </c>
      <c r="G338" s="15">
        <v>0.71509999999999996</v>
      </c>
    </row>
    <row r="339" spans="1:7" s="2" customFormat="1" ht="15" customHeight="1" thickBot="1">
      <c r="A339" s="8">
        <v>38168</v>
      </c>
      <c r="B339" s="5">
        <v>1.03E-2</v>
      </c>
      <c r="C339" s="10">
        <v>5.2499999999999998E-2</v>
      </c>
      <c r="D339" s="10">
        <f t="shared" si="15"/>
        <v>4.2200000000000001E-2</v>
      </c>
      <c r="E339" s="12">
        <f t="shared" si="16"/>
        <v>1.1561643835616438E-4</v>
      </c>
      <c r="F339" s="3">
        <f t="shared" si="17"/>
        <v>11.561643835616438</v>
      </c>
      <c r="G339" s="15">
        <v>0.69850000000000001</v>
      </c>
    </row>
    <row r="340" spans="1:7" s="2" customFormat="1" ht="15" customHeight="1" thickBot="1">
      <c r="A340" s="8">
        <v>38199</v>
      </c>
      <c r="B340" s="5">
        <v>1.26E-2</v>
      </c>
      <c r="C340" s="10">
        <v>5.2499999999999998E-2</v>
      </c>
      <c r="D340" s="10">
        <f t="shared" si="15"/>
        <v>3.9899999999999998E-2</v>
      </c>
      <c r="E340" s="12">
        <f t="shared" si="16"/>
        <v>1.0931506849315068E-4</v>
      </c>
      <c r="F340" s="3">
        <f t="shared" si="17"/>
        <v>10.931506849315069</v>
      </c>
      <c r="G340" s="15">
        <v>0.7026</v>
      </c>
    </row>
    <row r="341" spans="1:7" s="2" customFormat="1" ht="15" customHeight="1" thickBot="1">
      <c r="A341" s="8">
        <v>38230</v>
      </c>
      <c r="B341" s="5">
        <v>1.43E-2</v>
      </c>
      <c r="C341" s="10">
        <v>5.2499999999999998E-2</v>
      </c>
      <c r="D341" s="10">
        <f t="shared" si="15"/>
        <v>3.8199999999999998E-2</v>
      </c>
      <c r="E341" s="12">
        <f t="shared" si="16"/>
        <v>1.0465753424657533E-4</v>
      </c>
      <c r="F341" s="3">
        <f t="shared" si="17"/>
        <v>10.465753424657533</v>
      </c>
      <c r="G341" s="15">
        <v>0.7046</v>
      </c>
    </row>
    <row r="342" spans="1:7" s="2" customFormat="1" ht="15" customHeight="1" thickBot="1">
      <c r="A342" s="8">
        <v>38260</v>
      </c>
      <c r="B342" s="5">
        <v>1.61E-2</v>
      </c>
      <c r="C342" s="10">
        <v>5.2499999999999998E-2</v>
      </c>
      <c r="D342" s="10">
        <f t="shared" si="15"/>
        <v>3.6400000000000002E-2</v>
      </c>
      <c r="E342" s="12">
        <f t="shared" si="16"/>
        <v>9.9726027397260283E-5</v>
      </c>
      <c r="F342" s="3">
        <f t="shared" si="17"/>
        <v>9.9726027397260282</v>
      </c>
      <c r="G342" s="15">
        <v>0.72750000000000004</v>
      </c>
    </row>
    <row r="343" spans="1:7" s="2" customFormat="1" ht="15" customHeight="1" thickBot="1">
      <c r="A343" s="8">
        <v>38291</v>
      </c>
      <c r="B343" s="5">
        <v>1.7600000000000001E-2</v>
      </c>
      <c r="C343" s="10">
        <v>5.2499999999999998E-2</v>
      </c>
      <c r="D343" s="10">
        <f t="shared" si="15"/>
        <v>3.49E-2</v>
      </c>
      <c r="E343" s="12">
        <f t="shared" si="16"/>
        <v>9.5616438356164383E-5</v>
      </c>
      <c r="F343" s="3">
        <f t="shared" si="17"/>
        <v>9.5616438356164384</v>
      </c>
      <c r="G343" s="15">
        <v>0.74870000000000003</v>
      </c>
    </row>
    <row r="344" spans="1:7" s="2" customFormat="1" ht="15" customHeight="1" thickBot="1">
      <c r="A344" s="8">
        <v>38321</v>
      </c>
      <c r="B344" s="5">
        <v>1.9299999999999998E-2</v>
      </c>
      <c r="C344" s="10">
        <v>5.2499999999999998E-2</v>
      </c>
      <c r="D344" s="10">
        <f t="shared" si="15"/>
        <v>3.32E-2</v>
      </c>
      <c r="E344" s="12">
        <f t="shared" si="16"/>
        <v>9.095890410958904E-5</v>
      </c>
      <c r="F344" s="3">
        <f t="shared" si="17"/>
        <v>9.0958904109589032</v>
      </c>
      <c r="G344" s="15">
        <v>0.77210000000000001</v>
      </c>
    </row>
    <row r="345" spans="1:7" s="2" customFormat="1" ht="15" customHeight="1" thickBot="1">
      <c r="A345" s="8">
        <v>38352</v>
      </c>
      <c r="B345" s="5">
        <v>2.1600000000000001E-2</v>
      </c>
      <c r="C345" s="10">
        <v>5.2499999999999998E-2</v>
      </c>
      <c r="D345" s="10">
        <f t="shared" si="15"/>
        <v>3.0899999999999997E-2</v>
      </c>
      <c r="E345" s="12">
        <f t="shared" si="16"/>
        <v>8.4657534246575337E-5</v>
      </c>
      <c r="F345" s="3">
        <f t="shared" si="17"/>
        <v>8.4657534246575334</v>
      </c>
      <c r="G345" s="15">
        <v>0.78220000000000001</v>
      </c>
    </row>
    <row r="346" spans="1:7" s="2" customFormat="1" ht="15" customHeight="1" thickBot="1">
      <c r="A346" s="8">
        <v>38383</v>
      </c>
      <c r="B346" s="5">
        <v>2.2799999999999997E-2</v>
      </c>
      <c r="C346" s="10">
        <v>5.2499999999999998E-2</v>
      </c>
      <c r="D346" s="10">
        <f t="shared" si="15"/>
        <v>2.9700000000000001E-2</v>
      </c>
      <c r="E346" s="12">
        <f t="shared" si="16"/>
        <v>8.1369863013698631E-5</v>
      </c>
      <c r="F346" s="3">
        <f t="shared" si="17"/>
        <v>8.1369863013698627</v>
      </c>
      <c r="G346" s="15">
        <v>0.7752</v>
      </c>
    </row>
    <row r="347" spans="1:7" s="2" customFormat="1" ht="15" customHeight="1" thickBot="1">
      <c r="A347" s="8">
        <v>38411</v>
      </c>
      <c r="B347" s="5">
        <v>2.5000000000000001E-2</v>
      </c>
      <c r="C347" s="10">
        <v>5.2499999999999998E-2</v>
      </c>
      <c r="D347" s="10">
        <f t="shared" si="15"/>
        <v>2.7499999999999997E-2</v>
      </c>
      <c r="E347" s="12">
        <f t="shared" si="16"/>
        <v>7.5342465753424649E-5</v>
      </c>
      <c r="F347" s="3">
        <f t="shared" si="17"/>
        <v>7.5342465753424648</v>
      </c>
      <c r="G347" s="15">
        <v>0.7923</v>
      </c>
    </row>
    <row r="348" spans="1:7" s="2" customFormat="1" ht="15" customHeight="1" thickBot="1">
      <c r="A348" s="8">
        <v>38442</v>
      </c>
      <c r="B348" s="5">
        <v>2.63E-2</v>
      </c>
      <c r="C348" s="10">
        <v>5.4900000000000004E-2</v>
      </c>
      <c r="D348" s="10">
        <f t="shared" si="15"/>
        <v>2.8600000000000004E-2</v>
      </c>
      <c r="E348" s="12">
        <f t="shared" si="16"/>
        <v>7.835616438356166E-5</v>
      </c>
      <c r="F348" s="3">
        <f t="shared" si="17"/>
        <v>7.8356164383561664</v>
      </c>
      <c r="G348" s="15">
        <v>0.77239999999999998</v>
      </c>
    </row>
    <row r="349" spans="1:7" s="2" customFormat="1" ht="15" customHeight="1" thickBot="1">
      <c r="A349" s="8">
        <v>38472</v>
      </c>
      <c r="B349" s="5">
        <v>2.7900000000000001E-2</v>
      </c>
      <c r="C349" s="10">
        <v>5.5E-2</v>
      </c>
      <c r="D349" s="10">
        <f t="shared" si="15"/>
        <v>2.7099999999999999E-2</v>
      </c>
      <c r="E349" s="12">
        <f t="shared" si="16"/>
        <v>7.4246575342465747E-5</v>
      </c>
      <c r="F349" s="3">
        <f t="shared" si="17"/>
        <v>7.4246575342465748</v>
      </c>
      <c r="G349" s="15">
        <v>0.78100000000000003</v>
      </c>
    </row>
    <row r="350" spans="1:7" s="2" customFormat="1" ht="15" customHeight="1" thickBot="1">
      <c r="A350" s="8">
        <v>38503</v>
      </c>
      <c r="B350" s="5">
        <v>0.03</v>
      </c>
      <c r="C350" s="10">
        <v>5.5E-2</v>
      </c>
      <c r="D350" s="10">
        <f t="shared" si="15"/>
        <v>2.5000000000000001E-2</v>
      </c>
      <c r="E350" s="12">
        <f t="shared" si="16"/>
        <v>6.8493150684931516E-5</v>
      </c>
      <c r="F350" s="3">
        <f t="shared" si="17"/>
        <v>6.8493150684931514</v>
      </c>
      <c r="G350" s="15">
        <v>0.75590000000000002</v>
      </c>
    </row>
    <row r="351" spans="1:7" s="2" customFormat="1" ht="15" customHeight="1" thickBot="1">
      <c r="A351" s="8">
        <v>38533</v>
      </c>
      <c r="B351" s="5">
        <v>3.04E-2</v>
      </c>
      <c r="C351" s="10">
        <v>5.5E-2</v>
      </c>
      <c r="D351" s="10">
        <f t="shared" si="15"/>
        <v>2.46E-2</v>
      </c>
      <c r="E351" s="12">
        <f t="shared" si="16"/>
        <v>6.73972602739726E-5</v>
      </c>
      <c r="F351" s="3">
        <f t="shared" si="17"/>
        <v>6.7397260273972597</v>
      </c>
      <c r="G351" s="15">
        <v>0.76249999999999996</v>
      </c>
    </row>
    <row r="352" spans="1:7" s="2" customFormat="1" ht="15" customHeight="1" thickBot="1">
      <c r="A352" s="8">
        <v>38564</v>
      </c>
      <c r="B352" s="5">
        <v>3.2599999999999997E-2</v>
      </c>
      <c r="C352" s="10">
        <v>5.5E-2</v>
      </c>
      <c r="D352" s="10">
        <f t="shared" si="15"/>
        <v>2.2400000000000003E-2</v>
      </c>
      <c r="E352" s="12">
        <f t="shared" si="16"/>
        <v>6.1369863013698632E-5</v>
      </c>
      <c r="F352" s="3">
        <f t="shared" si="17"/>
        <v>6.1369863013698636</v>
      </c>
      <c r="G352" s="15">
        <v>0.75680000000000003</v>
      </c>
    </row>
    <row r="353" spans="1:11" s="2" customFormat="1" ht="15" customHeight="1" thickBot="1">
      <c r="A353" s="8">
        <v>38595</v>
      </c>
      <c r="B353" s="5">
        <v>3.5000000000000003E-2</v>
      </c>
      <c r="C353" s="10">
        <v>5.5E-2</v>
      </c>
      <c r="D353" s="10">
        <f t="shared" si="15"/>
        <v>1.9999999999999997E-2</v>
      </c>
      <c r="E353" s="12">
        <f t="shared" si="16"/>
        <v>5.47945205479452E-5</v>
      </c>
      <c r="F353" s="3">
        <f t="shared" si="17"/>
        <v>5.4794520547945202</v>
      </c>
      <c r="G353" s="15">
        <v>0.755</v>
      </c>
    </row>
    <row r="354" spans="1:11" s="2" customFormat="1" ht="15" customHeight="1" thickBot="1">
      <c r="A354" s="8">
        <v>38625</v>
      </c>
      <c r="B354" s="5">
        <v>3.6200000000000003E-2</v>
      </c>
      <c r="C354" s="10">
        <v>5.5E-2</v>
      </c>
      <c r="D354" s="10">
        <f t="shared" si="15"/>
        <v>1.8799999999999997E-2</v>
      </c>
      <c r="E354" s="12">
        <f t="shared" si="16"/>
        <v>5.1506849315068488E-5</v>
      </c>
      <c r="F354" s="3">
        <f t="shared" si="17"/>
        <v>5.1506849315068486</v>
      </c>
      <c r="G354" s="15">
        <v>0.76119999999999999</v>
      </c>
    </row>
    <row r="355" spans="1:11" s="2" customFormat="1" ht="15" customHeight="1" thickBot="1">
      <c r="A355" s="8">
        <v>38656</v>
      </c>
      <c r="B355" s="5">
        <v>3.78E-2</v>
      </c>
      <c r="C355" s="10">
        <v>5.5E-2</v>
      </c>
      <c r="D355" s="10">
        <f t="shared" si="15"/>
        <v>1.72E-2</v>
      </c>
      <c r="E355" s="12">
        <f t="shared" si="16"/>
        <v>4.712328767123288E-5</v>
      </c>
      <c r="F355" s="3">
        <f t="shared" si="17"/>
        <v>4.7123287671232879</v>
      </c>
      <c r="G355" s="15">
        <v>0.74839999999999995</v>
      </c>
    </row>
    <row r="356" spans="1:11" s="2" customFormat="1" ht="15" customHeight="1" thickBot="1">
      <c r="A356" s="8">
        <v>38686</v>
      </c>
      <c r="B356" s="5">
        <v>0.04</v>
      </c>
      <c r="C356" s="10">
        <v>5.5E-2</v>
      </c>
      <c r="D356" s="10">
        <f t="shared" si="15"/>
        <v>1.4999999999999999E-2</v>
      </c>
      <c r="E356" s="12">
        <f t="shared" si="16"/>
        <v>4.1095890410958905E-5</v>
      </c>
      <c r="F356" s="3">
        <f t="shared" si="17"/>
        <v>4.1095890410958908</v>
      </c>
      <c r="G356" s="15">
        <v>0.73850000000000005</v>
      </c>
    </row>
    <row r="357" spans="1:11" s="2" customFormat="1" ht="15" customHeight="1" thickBot="1">
      <c r="A357" s="8">
        <v>38717</v>
      </c>
      <c r="B357" s="5">
        <v>4.1599999999999998E-2</v>
      </c>
      <c r="C357" s="10">
        <v>5.5E-2</v>
      </c>
      <c r="D357" s="10">
        <f t="shared" si="15"/>
        <v>1.3400000000000002E-2</v>
      </c>
      <c r="E357" s="12">
        <f t="shared" si="16"/>
        <v>3.6712328767123291E-5</v>
      </c>
      <c r="F357" s="3">
        <f t="shared" si="17"/>
        <v>3.6712328767123292</v>
      </c>
      <c r="G357" s="15">
        <v>0.73360000000000003</v>
      </c>
    </row>
    <row r="358" spans="1:11" s="2" customFormat="1" ht="15" customHeight="1" thickBot="1">
      <c r="A358" s="8">
        <v>38748</v>
      </c>
      <c r="B358" s="5">
        <v>4.2900000000000001E-2</v>
      </c>
      <c r="C358" s="10">
        <v>5.5E-2</v>
      </c>
      <c r="D358" s="10">
        <f t="shared" si="15"/>
        <v>1.21E-2</v>
      </c>
      <c r="E358" s="12">
        <f t="shared" si="16"/>
        <v>3.3150684931506849E-5</v>
      </c>
      <c r="F358" s="3">
        <f t="shared" si="17"/>
        <v>3.3150684931506849</v>
      </c>
      <c r="G358" s="15">
        <v>0.75870000000000004</v>
      </c>
      <c r="I358" s="21"/>
      <c r="J358" s="22"/>
    </row>
    <row r="359" spans="1:11" s="2" customFormat="1" ht="15" customHeight="1" thickBot="1">
      <c r="A359" s="8">
        <v>38776</v>
      </c>
      <c r="B359" s="5">
        <v>4.4900000000000002E-2</v>
      </c>
      <c r="C359" s="10">
        <v>5.5E-2</v>
      </c>
      <c r="D359" s="10">
        <f t="shared" si="15"/>
        <v>1.0099999999999998E-2</v>
      </c>
      <c r="E359" s="12">
        <f t="shared" si="16"/>
        <v>2.7671232876712322E-5</v>
      </c>
      <c r="F359" s="3">
        <f t="shared" si="17"/>
        <v>2.7671232876712324</v>
      </c>
      <c r="G359" s="15">
        <v>0.74250000000000005</v>
      </c>
      <c r="I359" s="23">
        <v>38748</v>
      </c>
      <c r="J359" s="24">
        <v>67.2</v>
      </c>
      <c r="K359" s="2">
        <f>J359/100</f>
        <v>0.67200000000000004</v>
      </c>
    </row>
    <row r="360" spans="1:11" s="2" customFormat="1" ht="15" customHeight="1" thickBot="1">
      <c r="A360" s="8">
        <v>38807</v>
      </c>
      <c r="B360" s="5">
        <v>4.5899999999999996E-2</v>
      </c>
      <c r="C360" s="10">
        <v>5.5E-2</v>
      </c>
      <c r="D360" s="10">
        <f t="shared" si="15"/>
        <v>9.1000000000000039E-3</v>
      </c>
      <c r="E360" s="12">
        <f t="shared" si="16"/>
        <v>2.4931506849315081E-5</v>
      </c>
      <c r="F360" s="3">
        <f t="shared" si="17"/>
        <v>2.4931506849315079</v>
      </c>
      <c r="G360" s="15">
        <v>0.71630000000000005</v>
      </c>
      <c r="I360" s="23">
        <v>38776</v>
      </c>
      <c r="J360" s="24">
        <v>65.2</v>
      </c>
      <c r="K360" s="2">
        <f t="shared" ref="K360:K423" si="18">J360/100</f>
        <v>0.65200000000000002</v>
      </c>
    </row>
    <row r="361" spans="1:11" s="2" customFormat="1" ht="15" customHeight="1" thickBot="1">
      <c r="A361" s="8">
        <v>38837</v>
      </c>
      <c r="B361" s="5">
        <v>4.7899999999999998E-2</v>
      </c>
      <c r="C361" s="10">
        <v>5.5E-2</v>
      </c>
      <c r="D361" s="10">
        <f t="shared" si="15"/>
        <v>7.1000000000000021E-3</v>
      </c>
      <c r="E361" s="12">
        <f t="shared" si="16"/>
        <v>1.9452054794520554E-5</v>
      </c>
      <c r="F361" s="3">
        <f t="shared" si="17"/>
        <v>1.9452054794520555</v>
      </c>
      <c r="G361" s="15">
        <v>0.75770000000000004</v>
      </c>
      <c r="I361" s="23">
        <v>38807</v>
      </c>
      <c r="J361" s="24">
        <v>66.7</v>
      </c>
      <c r="K361" s="2">
        <f t="shared" si="18"/>
        <v>0.66700000000000004</v>
      </c>
    </row>
    <row r="362" spans="1:11" s="2" customFormat="1" ht="15" customHeight="1" thickBot="1">
      <c r="A362" s="8">
        <v>38868</v>
      </c>
      <c r="B362" s="5">
        <v>4.9400000000000006E-2</v>
      </c>
      <c r="C362" s="10">
        <v>5.7300000000000004E-2</v>
      </c>
      <c r="D362" s="10">
        <f t="shared" si="15"/>
        <v>7.8999999999999973E-3</v>
      </c>
      <c r="E362" s="12">
        <f t="shared" si="16"/>
        <v>2.1643835616438348E-5</v>
      </c>
      <c r="F362" s="3">
        <f t="shared" si="17"/>
        <v>2.1643835616438349</v>
      </c>
      <c r="G362" s="15">
        <v>0.75239999999999996</v>
      </c>
      <c r="I362" s="23">
        <v>38837</v>
      </c>
      <c r="J362" s="24">
        <v>67.3</v>
      </c>
      <c r="K362" s="2">
        <f t="shared" si="18"/>
        <v>0.67299999999999993</v>
      </c>
    </row>
    <row r="363" spans="1:11" s="2" customFormat="1" ht="15" customHeight="1" thickBot="1">
      <c r="A363" s="8">
        <v>38898</v>
      </c>
      <c r="B363" s="5">
        <v>4.99E-2</v>
      </c>
      <c r="C363" s="10">
        <v>5.7500000000000002E-2</v>
      </c>
      <c r="D363" s="10">
        <f t="shared" si="15"/>
        <v>7.6000000000000026E-3</v>
      </c>
      <c r="E363" s="12">
        <f t="shared" si="16"/>
        <v>2.0821917808219185E-5</v>
      </c>
      <c r="F363" s="3">
        <f t="shared" si="17"/>
        <v>2.0821917808219186</v>
      </c>
      <c r="G363" s="15">
        <v>0.74229999999999996</v>
      </c>
      <c r="I363" s="23">
        <v>38868</v>
      </c>
      <c r="J363" s="24">
        <v>67.3</v>
      </c>
      <c r="K363" s="2">
        <f t="shared" si="18"/>
        <v>0.67299999999999993</v>
      </c>
    </row>
    <row r="364" spans="1:11" s="2" customFormat="1" ht="15" customHeight="1" thickBot="1">
      <c r="A364" s="8">
        <v>38929</v>
      </c>
      <c r="B364" s="5">
        <v>5.2400000000000002E-2</v>
      </c>
      <c r="C364" s="10">
        <v>5.7500000000000002E-2</v>
      </c>
      <c r="D364" s="10">
        <f t="shared" si="15"/>
        <v>5.1000000000000004E-3</v>
      </c>
      <c r="E364" s="12">
        <f t="shared" si="16"/>
        <v>1.3972602739726029E-5</v>
      </c>
      <c r="F364" s="3">
        <f t="shared" si="17"/>
        <v>1.397260273972603</v>
      </c>
      <c r="G364" s="15">
        <v>0.76619999999999999</v>
      </c>
      <c r="I364" s="23">
        <v>38898</v>
      </c>
      <c r="J364" s="24">
        <v>69.3</v>
      </c>
      <c r="K364" s="2">
        <f t="shared" si="18"/>
        <v>0.69299999999999995</v>
      </c>
    </row>
    <row r="365" spans="1:11" s="2" customFormat="1" ht="15" customHeight="1" thickBot="1">
      <c r="A365" s="8">
        <v>38960</v>
      </c>
      <c r="B365" s="5">
        <v>5.2499999999999998E-2</v>
      </c>
      <c r="C365" s="10">
        <v>5.9900000000000002E-2</v>
      </c>
      <c r="D365" s="10">
        <f t="shared" si="15"/>
        <v>7.4000000000000038E-3</v>
      </c>
      <c r="E365" s="12">
        <f t="shared" si="16"/>
        <v>2.0273972602739737E-5</v>
      </c>
      <c r="F365" s="3">
        <f t="shared" si="17"/>
        <v>2.0273972602739736</v>
      </c>
      <c r="G365" s="15">
        <v>0.76400000000000001</v>
      </c>
      <c r="I365" s="23">
        <v>38929</v>
      </c>
      <c r="J365" s="24">
        <v>70.5</v>
      </c>
      <c r="K365" s="2">
        <f t="shared" si="18"/>
        <v>0.70499999999999996</v>
      </c>
    </row>
    <row r="366" spans="1:11" s="2" customFormat="1" ht="15" customHeight="1" thickBot="1">
      <c r="A366" s="8">
        <v>38990</v>
      </c>
      <c r="B366" s="5">
        <v>5.2499999999999998E-2</v>
      </c>
      <c r="C366" s="10">
        <v>0.06</v>
      </c>
      <c r="D366" s="10">
        <f t="shared" si="15"/>
        <v>7.4999999999999997E-3</v>
      </c>
      <c r="E366" s="12">
        <f t="shared" si="16"/>
        <v>2.0547945205479453E-5</v>
      </c>
      <c r="F366" s="3">
        <f t="shared" si="17"/>
        <v>2.0547945205479454</v>
      </c>
      <c r="G366" s="15">
        <v>0.74639999999999995</v>
      </c>
      <c r="I366" s="23">
        <v>38960</v>
      </c>
      <c r="J366" s="24">
        <v>69.8</v>
      </c>
      <c r="K366" s="2">
        <f t="shared" si="18"/>
        <v>0.69799999999999995</v>
      </c>
    </row>
    <row r="367" spans="1:11" s="2" customFormat="1" ht="15" customHeight="1" thickBot="1">
      <c r="A367" s="8">
        <v>39021</v>
      </c>
      <c r="B367" s="5">
        <v>5.2499999999999998E-2</v>
      </c>
      <c r="C367" s="10">
        <v>0.06</v>
      </c>
      <c r="D367" s="10">
        <f t="shared" si="15"/>
        <v>7.4999999999999997E-3</v>
      </c>
      <c r="E367" s="12">
        <f t="shared" si="16"/>
        <v>2.0547945205479453E-5</v>
      </c>
      <c r="F367" s="3">
        <f t="shared" si="17"/>
        <v>2.0547945205479454</v>
      </c>
      <c r="G367" s="15">
        <v>0.7742</v>
      </c>
      <c r="I367" s="23">
        <v>38990</v>
      </c>
      <c r="J367" s="24">
        <v>70</v>
      </c>
      <c r="K367" s="2">
        <f t="shared" si="18"/>
        <v>0.7</v>
      </c>
    </row>
    <row r="368" spans="1:11" s="2" customFormat="1" ht="15" customHeight="1" thickBot="1">
      <c r="A368" s="8">
        <v>39051</v>
      </c>
      <c r="B368" s="5">
        <v>5.2499999999999998E-2</v>
      </c>
      <c r="C368" s="10">
        <v>6.1900000000000004E-2</v>
      </c>
      <c r="D368" s="10">
        <f t="shared" si="15"/>
        <v>9.4000000000000056E-3</v>
      </c>
      <c r="E368" s="12">
        <f t="shared" si="16"/>
        <v>2.5753424657534261E-5</v>
      </c>
      <c r="F368" s="3">
        <f t="shared" si="17"/>
        <v>2.5753424657534261</v>
      </c>
      <c r="G368" s="15">
        <v>0.78849999999999998</v>
      </c>
      <c r="I368" s="23">
        <v>39021</v>
      </c>
      <c r="J368" s="24">
        <v>71.7</v>
      </c>
      <c r="K368" s="2">
        <f t="shared" si="18"/>
        <v>0.71700000000000008</v>
      </c>
    </row>
    <row r="369" spans="1:11" s="2" customFormat="1" ht="15" customHeight="1" thickBot="1">
      <c r="A369" s="8">
        <v>39082</v>
      </c>
      <c r="B369" s="5">
        <v>5.2400000000000002E-2</v>
      </c>
      <c r="C369" s="10">
        <v>6.25E-2</v>
      </c>
      <c r="D369" s="10">
        <f t="shared" si="15"/>
        <v>1.0099999999999998E-2</v>
      </c>
      <c r="E369" s="12">
        <f t="shared" si="16"/>
        <v>2.7671232876712322E-5</v>
      </c>
      <c r="F369" s="3">
        <f t="shared" si="17"/>
        <v>2.7671232876712324</v>
      </c>
      <c r="G369" s="15">
        <v>0.7893</v>
      </c>
      <c r="I369" s="23">
        <v>39051</v>
      </c>
      <c r="J369" s="24">
        <v>73.5</v>
      </c>
      <c r="K369" s="2">
        <f t="shared" si="18"/>
        <v>0.73499999999999999</v>
      </c>
    </row>
    <row r="370" spans="1:11" s="2" customFormat="1" ht="15" customHeight="1" thickBot="1">
      <c r="A370" s="8">
        <v>39113</v>
      </c>
      <c r="B370" s="5">
        <v>5.2499999999999998E-2</v>
      </c>
      <c r="C370" s="10">
        <v>6.25E-2</v>
      </c>
      <c r="D370" s="10">
        <f t="shared" si="15"/>
        <v>1.0000000000000002E-2</v>
      </c>
      <c r="E370" s="12">
        <f t="shared" si="16"/>
        <v>2.7397260273972607E-5</v>
      </c>
      <c r="F370" s="3">
        <f t="shared" si="17"/>
        <v>2.7397260273972606</v>
      </c>
      <c r="G370" s="15">
        <v>0.77680000000000005</v>
      </c>
      <c r="I370" s="23">
        <v>39082</v>
      </c>
      <c r="J370" s="24">
        <v>73.5</v>
      </c>
      <c r="K370" s="2">
        <f t="shared" si="18"/>
        <v>0.73499999999999999</v>
      </c>
    </row>
    <row r="371" spans="1:11" s="2" customFormat="1" ht="15" customHeight="1" thickBot="1">
      <c r="A371" s="8">
        <v>39141</v>
      </c>
      <c r="B371" s="5">
        <v>5.2600000000000001E-2</v>
      </c>
      <c r="C371" s="10">
        <v>6.25E-2</v>
      </c>
      <c r="D371" s="10">
        <f t="shared" si="15"/>
        <v>9.8999999999999991E-3</v>
      </c>
      <c r="E371" s="12">
        <f t="shared" si="16"/>
        <v>2.7123287671232875E-5</v>
      </c>
      <c r="F371" s="3">
        <f t="shared" si="17"/>
        <v>2.7123287671232874</v>
      </c>
      <c r="G371" s="15">
        <v>0.78810000000000002</v>
      </c>
      <c r="I371" s="23">
        <v>39113</v>
      </c>
      <c r="J371" s="24">
        <v>78.2</v>
      </c>
      <c r="K371" s="2">
        <f t="shared" si="18"/>
        <v>0.78200000000000003</v>
      </c>
    </row>
    <row r="372" spans="1:11" s="2" customFormat="1" ht="15" customHeight="1" thickBot="1">
      <c r="A372" s="8">
        <v>39172</v>
      </c>
      <c r="B372" s="5">
        <v>5.2600000000000001E-2</v>
      </c>
      <c r="C372" s="10">
        <v>6.25E-2</v>
      </c>
      <c r="D372" s="10">
        <f t="shared" si="15"/>
        <v>9.8999999999999991E-3</v>
      </c>
      <c r="E372" s="12">
        <f t="shared" si="16"/>
        <v>2.7123287671232875E-5</v>
      </c>
      <c r="F372" s="3">
        <f t="shared" si="17"/>
        <v>2.7123287671232874</v>
      </c>
      <c r="G372" s="15">
        <v>0.8085</v>
      </c>
      <c r="I372" s="23">
        <v>39141</v>
      </c>
      <c r="J372" s="24">
        <v>82.66</v>
      </c>
      <c r="K372" s="2">
        <f t="shared" si="18"/>
        <v>0.8266</v>
      </c>
    </row>
    <row r="373" spans="1:11" s="2" customFormat="1" ht="15" customHeight="1" thickBot="1">
      <c r="A373" s="8">
        <v>39202</v>
      </c>
      <c r="B373" s="5">
        <v>5.2499999999999998E-2</v>
      </c>
      <c r="C373" s="10">
        <v>6.25E-2</v>
      </c>
      <c r="D373" s="10">
        <f t="shared" si="15"/>
        <v>1.0000000000000002E-2</v>
      </c>
      <c r="E373" s="12">
        <f t="shared" si="16"/>
        <v>2.7397260273972607E-5</v>
      </c>
      <c r="F373" s="3">
        <f t="shared" si="17"/>
        <v>2.7397260273972606</v>
      </c>
      <c r="G373" s="15">
        <v>0.83069999999999999</v>
      </c>
      <c r="I373" s="23">
        <v>39172</v>
      </c>
      <c r="J373" s="24">
        <v>88.55</v>
      </c>
      <c r="K373" s="2">
        <f t="shared" si="18"/>
        <v>0.88549999999999995</v>
      </c>
    </row>
    <row r="374" spans="1:11" s="2" customFormat="1" ht="15" customHeight="1" thickBot="1">
      <c r="A374" s="8">
        <v>39233</v>
      </c>
      <c r="B374" s="5">
        <v>5.2499999999999998E-2</v>
      </c>
      <c r="C374" s="10">
        <v>6.25E-2</v>
      </c>
      <c r="D374" s="10">
        <f t="shared" si="15"/>
        <v>1.0000000000000002E-2</v>
      </c>
      <c r="E374" s="12">
        <f t="shared" si="16"/>
        <v>2.7397260273972607E-5</v>
      </c>
      <c r="F374" s="3">
        <f t="shared" si="17"/>
        <v>2.7397260273972606</v>
      </c>
      <c r="G374" s="15">
        <v>0.82769999999999999</v>
      </c>
      <c r="I374" s="23">
        <v>39202</v>
      </c>
      <c r="J374" s="24">
        <v>91.26</v>
      </c>
      <c r="K374" s="2">
        <f t="shared" si="18"/>
        <v>0.91260000000000008</v>
      </c>
    </row>
    <row r="375" spans="1:11" s="2" customFormat="1" ht="15" customHeight="1" thickBot="1">
      <c r="A375" s="8">
        <v>39263</v>
      </c>
      <c r="B375" s="5">
        <v>5.2499999999999998E-2</v>
      </c>
      <c r="C375" s="10">
        <v>6.25E-2</v>
      </c>
      <c r="D375" s="10">
        <f t="shared" si="15"/>
        <v>1.0000000000000002E-2</v>
      </c>
      <c r="E375" s="12">
        <f t="shared" si="16"/>
        <v>2.7397260273972607E-5</v>
      </c>
      <c r="F375" s="3">
        <f t="shared" si="17"/>
        <v>2.7397260273972606</v>
      </c>
      <c r="G375" s="15">
        <v>0.8488</v>
      </c>
      <c r="I375" s="23">
        <v>39233</v>
      </c>
      <c r="J375" s="24">
        <v>102.02</v>
      </c>
      <c r="K375" s="2">
        <f t="shared" si="18"/>
        <v>1.0202</v>
      </c>
    </row>
    <row r="376" spans="1:11" s="2" customFormat="1" ht="15" customHeight="1" thickBot="1">
      <c r="A376" s="8">
        <v>39294</v>
      </c>
      <c r="B376" s="5">
        <v>5.2600000000000001E-2</v>
      </c>
      <c r="C376" s="10">
        <v>6.2503184307731496E-2</v>
      </c>
      <c r="D376" s="10">
        <f t="shared" si="15"/>
        <v>9.9031843077314954E-3</v>
      </c>
      <c r="E376" s="12">
        <f t="shared" si="16"/>
        <v>2.7132011802004097E-5</v>
      </c>
      <c r="F376" s="3">
        <f t="shared" si="17"/>
        <v>2.7132011802004099</v>
      </c>
      <c r="G376" s="15">
        <v>0.85099999999999998</v>
      </c>
      <c r="I376" s="23">
        <v>39263</v>
      </c>
      <c r="J376" s="24">
        <v>103.21</v>
      </c>
      <c r="K376" s="2">
        <f t="shared" si="18"/>
        <v>1.0321</v>
      </c>
    </row>
    <row r="377" spans="1:11" s="2" customFormat="1" ht="15" customHeight="1" thickBot="1">
      <c r="A377" s="8">
        <v>39325</v>
      </c>
      <c r="B377" s="5">
        <v>5.0199999999999995E-2</v>
      </c>
      <c r="C377" s="10">
        <v>6.4500000000000002E-2</v>
      </c>
      <c r="D377" s="10">
        <f t="shared" si="15"/>
        <v>1.4300000000000007E-2</v>
      </c>
      <c r="E377" s="12">
        <f t="shared" si="16"/>
        <v>3.9178082191780844E-5</v>
      </c>
      <c r="F377" s="3">
        <f t="shared" si="17"/>
        <v>3.9178082191780845</v>
      </c>
      <c r="G377" s="15">
        <v>0.81769999999999998</v>
      </c>
      <c r="I377" s="23">
        <v>39294</v>
      </c>
      <c r="J377" s="24">
        <v>106.09</v>
      </c>
      <c r="K377" s="2">
        <f t="shared" si="18"/>
        <v>1.0609</v>
      </c>
    </row>
    <row r="378" spans="1:11" s="2" customFormat="1" ht="15" customHeight="1" thickBot="1">
      <c r="A378" s="8">
        <v>39355</v>
      </c>
      <c r="B378" s="5">
        <v>4.9400000000000006E-2</v>
      </c>
      <c r="C378" s="10">
        <v>6.5000000000000002E-2</v>
      </c>
      <c r="D378" s="10">
        <f t="shared" si="15"/>
        <v>1.5599999999999996E-2</v>
      </c>
      <c r="E378" s="12">
        <f t="shared" si="16"/>
        <v>4.2739726027397251E-5</v>
      </c>
      <c r="F378" s="3">
        <f t="shared" si="17"/>
        <v>4.2739726027397253</v>
      </c>
      <c r="G378" s="15">
        <v>0.88729999999999998</v>
      </c>
      <c r="I378" s="23">
        <v>39325</v>
      </c>
      <c r="J378" s="24">
        <v>121.89</v>
      </c>
      <c r="K378" s="2">
        <f t="shared" si="18"/>
        <v>1.2189000000000001</v>
      </c>
    </row>
    <row r="379" spans="1:11" s="2" customFormat="1" ht="15" customHeight="1" thickBot="1">
      <c r="A379" s="8">
        <v>39386</v>
      </c>
      <c r="B379" s="5">
        <v>4.7599999999999996E-2</v>
      </c>
      <c r="C379" s="10">
        <v>6.5000000000000002E-2</v>
      </c>
      <c r="D379" s="10">
        <f t="shared" si="15"/>
        <v>1.7400000000000006E-2</v>
      </c>
      <c r="E379" s="12">
        <f t="shared" si="16"/>
        <v>4.7671232876712344E-5</v>
      </c>
      <c r="F379" s="3">
        <f t="shared" si="17"/>
        <v>4.7671232876712342</v>
      </c>
      <c r="G379" s="15">
        <v>0.93230000000000002</v>
      </c>
      <c r="I379" s="23">
        <v>39355</v>
      </c>
      <c r="J379" s="24">
        <v>148.65</v>
      </c>
      <c r="K379" s="2">
        <f t="shared" si="18"/>
        <v>1.4865000000000002</v>
      </c>
    </row>
    <row r="380" spans="1:11" s="2" customFormat="1" ht="15" customHeight="1" thickBot="1">
      <c r="A380" s="8">
        <v>39416</v>
      </c>
      <c r="B380" s="5">
        <v>4.4900000000000002E-2</v>
      </c>
      <c r="C380" s="10">
        <v>6.7000000000000004E-2</v>
      </c>
      <c r="D380" s="10">
        <f t="shared" si="15"/>
        <v>2.2100000000000002E-2</v>
      </c>
      <c r="E380" s="12">
        <f t="shared" si="16"/>
        <v>6.0547945205479459E-5</v>
      </c>
      <c r="F380" s="3">
        <f t="shared" si="17"/>
        <v>6.0547945205479463</v>
      </c>
      <c r="G380" s="15">
        <v>0.88419999999999999</v>
      </c>
      <c r="I380" s="23">
        <v>39386</v>
      </c>
      <c r="J380" s="24">
        <v>168.11</v>
      </c>
      <c r="K380" s="2">
        <f t="shared" si="18"/>
        <v>1.6811</v>
      </c>
    </row>
    <row r="381" spans="1:11" s="2" customFormat="1" ht="15" customHeight="1" thickBot="1">
      <c r="A381" s="8">
        <v>39447</v>
      </c>
      <c r="B381" s="5">
        <v>4.24E-2</v>
      </c>
      <c r="C381" s="10">
        <v>6.7500000000000004E-2</v>
      </c>
      <c r="D381" s="10">
        <f t="shared" si="15"/>
        <v>2.5100000000000004E-2</v>
      </c>
      <c r="E381" s="12">
        <f t="shared" si="16"/>
        <v>6.8767123287671251E-5</v>
      </c>
      <c r="F381" s="3">
        <f t="shared" si="17"/>
        <v>6.876712328767125</v>
      </c>
      <c r="G381" s="15">
        <v>0.87590000000000001</v>
      </c>
      <c r="I381" s="23">
        <v>39416</v>
      </c>
      <c r="J381" s="24">
        <v>195.09</v>
      </c>
      <c r="K381" s="2">
        <f t="shared" si="18"/>
        <v>1.9509000000000001</v>
      </c>
    </row>
    <row r="382" spans="1:11" s="2" customFormat="1" ht="15" customHeight="1" thickBot="1">
      <c r="A382" s="8">
        <v>39478</v>
      </c>
      <c r="B382" s="5">
        <v>3.9399999999999998E-2</v>
      </c>
      <c r="C382" s="10">
        <v>6.7500000000000004E-2</v>
      </c>
      <c r="D382" s="10">
        <f t="shared" si="15"/>
        <v>2.8100000000000007E-2</v>
      </c>
      <c r="E382" s="12">
        <f t="shared" si="16"/>
        <v>7.6986301369863036E-5</v>
      </c>
      <c r="F382" s="3">
        <f t="shared" si="17"/>
        <v>7.6986301369863037</v>
      </c>
      <c r="G382" s="15">
        <v>0.89610000000000001</v>
      </c>
      <c r="I382" s="23">
        <v>39447</v>
      </c>
      <c r="J382" s="24">
        <v>190.12</v>
      </c>
      <c r="K382" s="2">
        <f t="shared" si="18"/>
        <v>1.9012</v>
      </c>
    </row>
    <row r="383" spans="1:11" s="2" customFormat="1" ht="15" customHeight="1" thickBot="1">
      <c r="A383" s="8">
        <v>39507</v>
      </c>
      <c r="B383" s="5">
        <v>2.98E-2</v>
      </c>
      <c r="C383" s="10">
        <v>6.9599999999999995E-2</v>
      </c>
      <c r="D383" s="10">
        <f t="shared" si="15"/>
        <v>3.9799999999999995E-2</v>
      </c>
      <c r="E383" s="12">
        <f t="shared" si="16"/>
        <v>1.0904109589041094E-4</v>
      </c>
      <c r="F383" s="3">
        <f t="shared" si="17"/>
        <v>10.904109589041095</v>
      </c>
      <c r="G383" s="15">
        <v>0.93149999999999999</v>
      </c>
      <c r="I383" s="23">
        <v>39478</v>
      </c>
      <c r="J383" s="24">
        <v>193.37</v>
      </c>
      <c r="K383" s="2">
        <f t="shared" si="18"/>
        <v>1.9337</v>
      </c>
    </row>
    <row r="384" spans="1:11" s="2" customFormat="1" ht="15" customHeight="1" thickBot="1">
      <c r="A384" s="8">
        <v>39538</v>
      </c>
      <c r="B384" s="5">
        <v>2.6099999999999998E-2</v>
      </c>
      <c r="C384" s="10">
        <v>7.22E-2</v>
      </c>
      <c r="D384" s="10">
        <f t="shared" si="15"/>
        <v>4.6100000000000002E-2</v>
      </c>
      <c r="E384" s="12">
        <f t="shared" si="16"/>
        <v>1.2630136986301369E-4</v>
      </c>
      <c r="F384" s="3">
        <f t="shared" si="17"/>
        <v>12.63013698630137</v>
      </c>
      <c r="G384" s="15">
        <v>0.91269999999999996</v>
      </c>
      <c r="I384" s="23">
        <v>39507</v>
      </c>
      <c r="J384" s="24">
        <v>186.12</v>
      </c>
      <c r="K384" s="2">
        <f t="shared" si="18"/>
        <v>1.8612</v>
      </c>
    </row>
    <row r="385" spans="1:11" s="2" customFormat="1" ht="15" customHeight="1" thickBot="1">
      <c r="A385" s="8">
        <v>39568</v>
      </c>
      <c r="B385" s="5">
        <v>2.2799999999999997E-2</v>
      </c>
      <c r="C385" s="10">
        <v>7.2499999999999995E-2</v>
      </c>
      <c r="D385" s="10">
        <f t="shared" si="15"/>
        <v>4.9699999999999994E-2</v>
      </c>
      <c r="E385" s="12">
        <f t="shared" si="16"/>
        <v>1.3616438356164382E-4</v>
      </c>
      <c r="F385" s="3">
        <f t="shared" si="17"/>
        <v>13.616438356164382</v>
      </c>
      <c r="G385" s="15">
        <v>0.9425</v>
      </c>
      <c r="I385" s="23">
        <v>39538</v>
      </c>
      <c r="J385" s="24">
        <v>197.12</v>
      </c>
      <c r="K385" s="2">
        <f t="shared" si="18"/>
        <v>1.9712000000000001</v>
      </c>
    </row>
    <row r="386" spans="1:11" s="2" customFormat="1" ht="15" customHeight="1" thickBot="1">
      <c r="A386" s="8">
        <v>39599</v>
      </c>
      <c r="B386" s="5">
        <v>1.9799999999999998E-2</v>
      </c>
      <c r="C386" s="10">
        <v>7.2499999999999995E-2</v>
      </c>
      <c r="D386" s="10">
        <f t="shared" si="15"/>
        <v>5.2699999999999997E-2</v>
      </c>
      <c r="E386" s="12">
        <f t="shared" si="16"/>
        <v>1.443835616438356E-4</v>
      </c>
      <c r="F386" s="3">
        <f t="shared" si="17"/>
        <v>14.43835616438356</v>
      </c>
      <c r="G386" s="15">
        <v>0.95589999999999997</v>
      </c>
      <c r="I386" s="23">
        <v>39568</v>
      </c>
      <c r="J386" s="24">
        <v>195.95</v>
      </c>
      <c r="K386" s="2">
        <f t="shared" si="18"/>
        <v>1.9594999999999998</v>
      </c>
    </row>
    <row r="387" spans="1:11" s="2" customFormat="1" ht="15" customHeight="1" thickBot="1">
      <c r="A387" s="8">
        <v>39629</v>
      </c>
      <c r="B387" s="5">
        <v>0.02</v>
      </c>
      <c r="C387" s="10">
        <v>7.2499999999999995E-2</v>
      </c>
      <c r="D387" s="10">
        <f t="shared" ref="D387:D450" si="19">C387-B387</f>
        <v>5.2499999999999991E-2</v>
      </c>
      <c r="E387" s="12">
        <f t="shared" ref="E387:E450" si="20">D387/365</f>
        <v>1.4383561643835615E-4</v>
      </c>
      <c r="F387" s="3">
        <f t="shared" ref="F387:F450" si="21">E387*$G$1</f>
        <v>14.383561643835614</v>
      </c>
      <c r="G387" s="15">
        <v>0.95789999999999997</v>
      </c>
      <c r="I387" s="23">
        <v>39599</v>
      </c>
      <c r="J387" s="24">
        <v>192.95</v>
      </c>
      <c r="K387" s="2">
        <f t="shared" si="18"/>
        <v>1.9295</v>
      </c>
    </row>
    <row r="388" spans="1:11" s="2" customFormat="1" ht="15" customHeight="1" thickBot="1">
      <c r="A388" s="8">
        <v>39660</v>
      </c>
      <c r="B388" s="5">
        <v>2.0099999999999996E-2</v>
      </c>
      <c r="C388" s="10">
        <v>7.2499999999999995E-2</v>
      </c>
      <c r="D388" s="10">
        <f t="shared" si="19"/>
        <v>5.2400000000000002E-2</v>
      </c>
      <c r="E388" s="12">
        <f t="shared" si="20"/>
        <v>1.4356164383561644E-4</v>
      </c>
      <c r="F388" s="3">
        <f t="shared" si="21"/>
        <v>14.356164383561644</v>
      </c>
      <c r="G388" s="15">
        <v>0.94179999999999997</v>
      </c>
      <c r="I388" s="23">
        <v>39629</v>
      </c>
      <c r="J388" s="24">
        <v>183.93</v>
      </c>
      <c r="K388" s="2">
        <f t="shared" si="18"/>
        <v>1.8393000000000002</v>
      </c>
    </row>
    <row r="389" spans="1:11" s="2" customFormat="1" ht="15" customHeight="1" thickBot="1">
      <c r="A389" s="8">
        <v>39691</v>
      </c>
      <c r="B389" s="5">
        <v>0.02</v>
      </c>
      <c r="C389" s="10">
        <v>7.2499999999999995E-2</v>
      </c>
      <c r="D389" s="10">
        <f t="shared" si="19"/>
        <v>5.2499999999999991E-2</v>
      </c>
      <c r="E389" s="12">
        <f t="shared" si="20"/>
        <v>1.4383561643835615E-4</v>
      </c>
      <c r="F389" s="3">
        <f t="shared" si="21"/>
        <v>14.383561643835614</v>
      </c>
      <c r="G389" s="15">
        <v>0.85819999999999996</v>
      </c>
      <c r="I389" s="23">
        <v>39660</v>
      </c>
      <c r="J389" s="24">
        <v>180.5</v>
      </c>
      <c r="K389" s="2">
        <f t="shared" si="18"/>
        <v>1.8049999999999999</v>
      </c>
    </row>
    <row r="390" spans="1:11" s="2" customFormat="1" ht="15" customHeight="1" thickBot="1">
      <c r="A390" s="8">
        <v>39721</v>
      </c>
      <c r="B390" s="5">
        <v>1.8100000000000002E-2</v>
      </c>
      <c r="C390" s="10">
        <v>7.0199999999999999E-2</v>
      </c>
      <c r="D390" s="10">
        <f t="shared" si="19"/>
        <v>5.2099999999999994E-2</v>
      </c>
      <c r="E390" s="12">
        <f t="shared" si="20"/>
        <v>1.4273972602739724E-4</v>
      </c>
      <c r="F390" s="3">
        <f t="shared" si="21"/>
        <v>14.273972602739724</v>
      </c>
      <c r="G390" s="15">
        <v>0.7944</v>
      </c>
      <c r="I390" s="23">
        <v>39691</v>
      </c>
      <c r="J390" s="24">
        <v>178.74</v>
      </c>
      <c r="K390" s="2">
        <f t="shared" si="18"/>
        <v>1.7874000000000001</v>
      </c>
    </row>
    <row r="391" spans="1:11" s="2" customFormat="1" ht="15" customHeight="1" thickBot="1">
      <c r="A391" s="8">
        <v>39752</v>
      </c>
      <c r="B391" s="5">
        <v>9.7000000000000003E-3</v>
      </c>
      <c r="C391" s="10">
        <v>6.1799999999999994E-2</v>
      </c>
      <c r="D391" s="10">
        <f t="shared" si="19"/>
        <v>5.2099999999999994E-2</v>
      </c>
      <c r="E391" s="12">
        <f t="shared" si="20"/>
        <v>1.4273972602739724E-4</v>
      </c>
      <c r="F391" s="3">
        <f t="shared" si="21"/>
        <v>14.273972602739724</v>
      </c>
      <c r="G391" s="15">
        <v>0.66790000000000005</v>
      </c>
      <c r="I391" s="23">
        <v>39721</v>
      </c>
      <c r="J391" s="24">
        <v>139.63999999999999</v>
      </c>
      <c r="K391" s="2">
        <f t="shared" si="18"/>
        <v>1.3963999999999999</v>
      </c>
    </row>
    <row r="392" spans="1:11" s="2" customFormat="1" ht="15" customHeight="1" thickBot="1">
      <c r="A392" s="8">
        <v>39782</v>
      </c>
      <c r="B392" s="5">
        <v>3.9000000000000003E-3</v>
      </c>
      <c r="C392" s="10">
        <v>5.33E-2</v>
      </c>
      <c r="D392" s="10">
        <f t="shared" si="19"/>
        <v>4.9399999999999999E-2</v>
      </c>
      <c r="E392" s="12">
        <f t="shared" si="20"/>
        <v>1.3534246575342464E-4</v>
      </c>
      <c r="F392" s="3">
        <f t="shared" si="21"/>
        <v>13.534246575342465</v>
      </c>
      <c r="G392" s="15">
        <v>0.65510000000000002</v>
      </c>
      <c r="I392" s="23">
        <v>39752</v>
      </c>
      <c r="J392" s="24">
        <v>88.67</v>
      </c>
      <c r="K392" s="2">
        <f t="shared" si="18"/>
        <v>0.88670000000000004</v>
      </c>
    </row>
    <row r="393" spans="1:11" s="2" customFormat="1" ht="15" customHeight="1" thickBot="1">
      <c r="A393" s="8">
        <v>39813</v>
      </c>
      <c r="B393" s="5">
        <v>1.6000000000000001E-3</v>
      </c>
      <c r="C393" s="10">
        <v>4.3499999999999997E-2</v>
      </c>
      <c r="D393" s="10">
        <f t="shared" si="19"/>
        <v>4.19E-2</v>
      </c>
      <c r="E393" s="12">
        <f t="shared" si="20"/>
        <v>1.147945205479452E-4</v>
      </c>
      <c r="F393" s="3">
        <f t="shared" si="21"/>
        <v>11.479452054794519</v>
      </c>
      <c r="G393" s="15">
        <v>0.70760000000000001</v>
      </c>
      <c r="I393" s="23">
        <v>39782</v>
      </c>
      <c r="J393" s="24">
        <v>64.95</v>
      </c>
      <c r="K393" s="2">
        <f t="shared" si="18"/>
        <v>0.64950000000000008</v>
      </c>
    </row>
    <row r="394" spans="1:11" s="2" customFormat="1" ht="15" customHeight="1" thickBot="1">
      <c r="A394" s="8">
        <v>39844</v>
      </c>
      <c r="B394" s="5">
        <v>1.5E-3</v>
      </c>
      <c r="C394" s="10">
        <v>4.2500000000000003E-2</v>
      </c>
      <c r="D394" s="10">
        <f t="shared" si="19"/>
        <v>4.1000000000000002E-2</v>
      </c>
      <c r="E394" s="12">
        <f t="shared" si="20"/>
        <v>1.1232876712328768E-4</v>
      </c>
      <c r="F394" s="3">
        <f t="shared" si="21"/>
        <v>11.232876712328768</v>
      </c>
      <c r="G394" s="15">
        <v>0.6351</v>
      </c>
      <c r="I394" s="23">
        <v>39813</v>
      </c>
      <c r="J394" s="24">
        <v>69.98</v>
      </c>
      <c r="K394" s="2">
        <f t="shared" si="18"/>
        <v>0.69980000000000009</v>
      </c>
    </row>
    <row r="395" spans="1:11" s="2" customFormat="1" ht="15" customHeight="1" thickBot="1">
      <c r="A395" s="8">
        <v>39872</v>
      </c>
      <c r="B395" s="5">
        <v>2.2000000000000001E-3</v>
      </c>
      <c r="C395" s="10">
        <v>3.3500000000000002E-2</v>
      </c>
      <c r="D395" s="10">
        <f t="shared" si="19"/>
        <v>3.1300000000000001E-2</v>
      </c>
      <c r="E395" s="12">
        <f t="shared" si="20"/>
        <v>8.5753424657534252E-5</v>
      </c>
      <c r="F395" s="3">
        <f t="shared" si="21"/>
        <v>8.5753424657534261</v>
      </c>
      <c r="G395" s="15">
        <v>0.63990000000000002</v>
      </c>
      <c r="I395" s="23">
        <v>39844</v>
      </c>
      <c r="J395" s="24">
        <v>72.510000000000005</v>
      </c>
      <c r="K395" s="2">
        <f t="shared" si="18"/>
        <v>0.72510000000000008</v>
      </c>
    </row>
    <row r="396" spans="1:11" s="2" customFormat="1" ht="15" customHeight="1" thickBot="1">
      <c r="A396" s="8">
        <v>39903</v>
      </c>
      <c r="B396" s="5">
        <v>1.8E-3</v>
      </c>
      <c r="C396" s="10">
        <v>3.2500000000000001E-2</v>
      </c>
      <c r="D396" s="10">
        <f t="shared" si="19"/>
        <v>3.0700000000000002E-2</v>
      </c>
      <c r="E396" s="12">
        <f t="shared" si="20"/>
        <v>8.4109589041095892E-5</v>
      </c>
      <c r="F396" s="3">
        <f t="shared" si="21"/>
        <v>8.4109589041095898</v>
      </c>
      <c r="G396" s="15">
        <v>0.69220000000000004</v>
      </c>
      <c r="I396" s="23">
        <v>39872</v>
      </c>
      <c r="J396" s="24">
        <v>75.59</v>
      </c>
      <c r="K396" s="2">
        <f t="shared" si="18"/>
        <v>0.75590000000000002</v>
      </c>
    </row>
    <row r="397" spans="1:11" s="2" customFormat="1" ht="15" customHeight="1" thickBot="1">
      <c r="A397" s="8">
        <v>39933</v>
      </c>
      <c r="B397" s="5">
        <v>1.5E-3</v>
      </c>
      <c r="C397" s="10">
        <v>3.0600000000000002E-2</v>
      </c>
      <c r="D397" s="10">
        <f t="shared" si="19"/>
        <v>2.9100000000000001E-2</v>
      </c>
      <c r="E397" s="12">
        <f t="shared" si="20"/>
        <v>7.9726027397260271E-5</v>
      </c>
      <c r="F397" s="3">
        <f t="shared" si="21"/>
        <v>7.9726027397260273</v>
      </c>
      <c r="G397" s="15">
        <v>0.72519999999999996</v>
      </c>
      <c r="I397" s="23">
        <v>39903</v>
      </c>
      <c r="J397" s="24">
        <v>64.069999999999993</v>
      </c>
      <c r="K397" s="2">
        <f t="shared" si="18"/>
        <v>0.64069999999999994</v>
      </c>
    </row>
    <row r="398" spans="1:11" s="2" customFormat="1" ht="15" customHeight="1" thickBot="1">
      <c r="A398" s="8">
        <v>39964</v>
      </c>
      <c r="B398" s="5">
        <v>1.8E-3</v>
      </c>
      <c r="C398" s="10">
        <v>0.03</v>
      </c>
      <c r="D398" s="10">
        <f t="shared" si="19"/>
        <v>2.8199999999999999E-2</v>
      </c>
      <c r="E398" s="12">
        <f t="shared" si="20"/>
        <v>7.7260273972602731E-5</v>
      </c>
      <c r="F398" s="3">
        <f t="shared" si="21"/>
        <v>7.7260273972602729</v>
      </c>
      <c r="G398" s="15">
        <v>0.80120000000000002</v>
      </c>
      <c r="I398" s="23">
        <v>39933</v>
      </c>
      <c r="J398" s="24">
        <v>59.78</v>
      </c>
      <c r="K398" s="2">
        <f t="shared" si="18"/>
        <v>0.5978</v>
      </c>
    </row>
    <row r="399" spans="1:11" s="2" customFormat="1" ht="15" customHeight="1" thickBot="1">
      <c r="A399" s="8">
        <v>39994</v>
      </c>
      <c r="B399" s="5">
        <v>2.0999999999999999E-3</v>
      </c>
      <c r="C399" s="10">
        <v>0.03</v>
      </c>
      <c r="D399" s="10">
        <f t="shared" si="19"/>
        <v>2.7899999999999998E-2</v>
      </c>
      <c r="E399" s="12">
        <f t="shared" si="20"/>
        <v>7.6438356164383551E-5</v>
      </c>
      <c r="F399" s="3">
        <f t="shared" si="21"/>
        <v>7.6438356164383547</v>
      </c>
      <c r="G399" s="15">
        <v>0.80689999999999995</v>
      </c>
      <c r="I399" s="23">
        <v>39964</v>
      </c>
      <c r="J399" s="24">
        <v>62.69</v>
      </c>
      <c r="K399" s="2">
        <f t="shared" si="18"/>
        <v>0.62690000000000001</v>
      </c>
    </row>
    <row r="400" spans="1:11" s="2" customFormat="1" ht="15" customHeight="1" thickBot="1">
      <c r="A400" s="8">
        <v>40025</v>
      </c>
      <c r="B400" s="5">
        <v>1.6000000000000001E-3</v>
      </c>
      <c r="C400" s="10">
        <v>0.03</v>
      </c>
      <c r="D400" s="10">
        <f t="shared" si="19"/>
        <v>2.8399999999999998E-2</v>
      </c>
      <c r="E400" s="12">
        <f t="shared" si="20"/>
        <v>7.7808219178082189E-5</v>
      </c>
      <c r="F400" s="3">
        <f t="shared" si="21"/>
        <v>7.7808219178082192</v>
      </c>
      <c r="G400" s="15">
        <v>0.83540000000000003</v>
      </c>
      <c r="I400" s="23">
        <v>39994</v>
      </c>
      <c r="J400" s="24">
        <v>71.66</v>
      </c>
      <c r="K400" s="2">
        <f t="shared" si="18"/>
        <v>0.71660000000000001</v>
      </c>
    </row>
    <row r="401" spans="1:11" s="2" customFormat="1" ht="15" customHeight="1" thickBot="1">
      <c r="A401" s="8">
        <v>40056</v>
      </c>
      <c r="B401" s="5">
        <v>1.6000000000000001E-3</v>
      </c>
      <c r="C401" s="10">
        <v>0.03</v>
      </c>
      <c r="D401" s="10">
        <f t="shared" si="19"/>
        <v>2.8399999999999998E-2</v>
      </c>
      <c r="E401" s="12">
        <f t="shared" si="20"/>
        <v>7.7808219178082189E-5</v>
      </c>
      <c r="F401" s="3">
        <f t="shared" si="21"/>
        <v>7.7808219178082192</v>
      </c>
      <c r="G401" s="15">
        <v>0.84450000000000003</v>
      </c>
      <c r="I401" s="23">
        <v>40025</v>
      </c>
      <c r="J401" s="24">
        <v>83.95</v>
      </c>
      <c r="K401" s="2">
        <f t="shared" si="18"/>
        <v>0.83950000000000002</v>
      </c>
    </row>
    <row r="402" spans="1:11" s="2" customFormat="1" ht="15" customHeight="1" thickBot="1">
      <c r="A402" s="8">
        <v>40086</v>
      </c>
      <c r="B402" s="5">
        <v>1.5E-3</v>
      </c>
      <c r="C402" s="10">
        <v>0.03</v>
      </c>
      <c r="D402" s="10">
        <f t="shared" si="19"/>
        <v>2.8499999999999998E-2</v>
      </c>
      <c r="E402" s="12">
        <f t="shared" si="20"/>
        <v>7.8082191780821911E-5</v>
      </c>
      <c r="F402" s="3">
        <f t="shared" si="21"/>
        <v>7.808219178082191</v>
      </c>
      <c r="G402" s="15">
        <v>0.88370000000000004</v>
      </c>
      <c r="I402" s="23">
        <v>40056</v>
      </c>
      <c r="J402" s="24">
        <v>97.67</v>
      </c>
      <c r="K402" s="2">
        <f t="shared" si="18"/>
        <v>0.97670000000000001</v>
      </c>
    </row>
    <row r="403" spans="1:11" s="2" customFormat="1" ht="15" customHeight="1" thickBot="1">
      <c r="A403" s="8">
        <v>40117</v>
      </c>
      <c r="B403" s="5">
        <v>1.1999999999999999E-3</v>
      </c>
      <c r="C403" s="10">
        <v>3.2099999999999997E-2</v>
      </c>
      <c r="D403" s="10">
        <f t="shared" si="19"/>
        <v>3.0899999999999997E-2</v>
      </c>
      <c r="E403" s="12">
        <f t="shared" si="20"/>
        <v>8.4657534246575337E-5</v>
      </c>
      <c r="F403" s="3">
        <f t="shared" si="21"/>
        <v>8.4657534246575334</v>
      </c>
      <c r="G403" s="15">
        <v>0.89929999999999999</v>
      </c>
      <c r="I403" s="23">
        <v>40086</v>
      </c>
      <c r="J403" s="24">
        <v>80.709999999999994</v>
      </c>
      <c r="K403" s="2">
        <f t="shared" si="18"/>
        <v>0.80709999999999993</v>
      </c>
    </row>
    <row r="404" spans="1:11" s="2" customFormat="1" ht="15" customHeight="1" thickBot="1">
      <c r="A404" s="8">
        <v>40147</v>
      </c>
      <c r="B404" s="5">
        <v>1.1999999999999999E-3</v>
      </c>
      <c r="C404" s="10">
        <v>3.4799999999999998E-2</v>
      </c>
      <c r="D404" s="10">
        <f t="shared" si="19"/>
        <v>3.3599999999999998E-2</v>
      </c>
      <c r="E404" s="12">
        <f t="shared" si="20"/>
        <v>9.2054794520547942E-5</v>
      </c>
      <c r="F404" s="3">
        <f t="shared" si="21"/>
        <v>9.205479452054794</v>
      </c>
      <c r="G404" s="15">
        <v>0.91510000000000002</v>
      </c>
      <c r="I404" s="23">
        <v>40117</v>
      </c>
      <c r="J404" s="24">
        <v>86.79</v>
      </c>
      <c r="K404" s="2">
        <f t="shared" si="18"/>
        <v>0.86790000000000012</v>
      </c>
    </row>
    <row r="405" spans="1:11" s="2" customFormat="1" ht="15" customHeight="1" thickBot="1">
      <c r="A405" s="8">
        <v>40178</v>
      </c>
      <c r="B405" s="5">
        <v>1.1999999999999999E-3</v>
      </c>
      <c r="C405" s="10">
        <v>3.7380952380952383E-2</v>
      </c>
      <c r="D405" s="10">
        <f t="shared" si="19"/>
        <v>3.6180952380952383E-2</v>
      </c>
      <c r="E405" s="12">
        <f t="shared" si="20"/>
        <v>9.9125896934116115E-5</v>
      </c>
      <c r="F405" s="3">
        <f t="shared" si="21"/>
        <v>9.9125896934116113</v>
      </c>
      <c r="G405" s="15">
        <v>0.89729999999999999</v>
      </c>
      <c r="I405" s="23">
        <v>40147</v>
      </c>
      <c r="J405" s="24">
        <v>99.26</v>
      </c>
      <c r="K405" s="2">
        <f t="shared" si="18"/>
        <v>0.99260000000000004</v>
      </c>
    </row>
    <row r="406" spans="1:11" s="2" customFormat="1" ht="15" customHeight="1" thickBot="1">
      <c r="A406" s="8">
        <v>40209</v>
      </c>
      <c r="B406" s="5">
        <v>1.1000000000000001E-3</v>
      </c>
      <c r="C406" s="10">
        <v>3.7499999999999999E-2</v>
      </c>
      <c r="D406" s="10">
        <f t="shared" si="19"/>
        <v>3.6400000000000002E-2</v>
      </c>
      <c r="E406" s="12">
        <f t="shared" si="20"/>
        <v>9.9726027397260283E-5</v>
      </c>
      <c r="F406" s="3">
        <f t="shared" si="21"/>
        <v>9.9726027397260282</v>
      </c>
      <c r="G406" s="15">
        <v>0.88470000000000004</v>
      </c>
      <c r="I406" s="23">
        <v>40178</v>
      </c>
      <c r="J406" s="24">
        <v>105.07</v>
      </c>
      <c r="K406" s="2">
        <f t="shared" si="18"/>
        <v>1.0507</v>
      </c>
    </row>
    <row r="407" spans="1:11" s="2" customFormat="1" ht="15" customHeight="1" thickBot="1">
      <c r="A407" s="8">
        <v>40237</v>
      </c>
      <c r="B407" s="5">
        <v>1.2999999999999999E-3</v>
      </c>
      <c r="C407" s="10">
        <v>3.7499999999999999E-2</v>
      </c>
      <c r="D407" s="10">
        <f t="shared" si="19"/>
        <v>3.6199999999999996E-2</v>
      </c>
      <c r="E407" s="12">
        <f t="shared" si="20"/>
        <v>9.9178082191780811E-5</v>
      </c>
      <c r="F407" s="3">
        <f t="shared" si="21"/>
        <v>9.917808219178081</v>
      </c>
      <c r="G407" s="15">
        <v>0.89510000000000001</v>
      </c>
      <c r="I407" s="23">
        <v>40209</v>
      </c>
      <c r="J407" s="24">
        <v>125.72</v>
      </c>
      <c r="K407" s="2">
        <f t="shared" si="18"/>
        <v>1.2572000000000001</v>
      </c>
    </row>
    <row r="408" spans="1:11" s="2" customFormat="1" ht="15" customHeight="1" thickBot="1">
      <c r="A408" s="8">
        <v>40268</v>
      </c>
      <c r="B408" s="5">
        <v>1.6000000000000001E-3</v>
      </c>
      <c r="C408" s="10">
        <v>3.9774999999999998E-2</v>
      </c>
      <c r="D408" s="10">
        <f t="shared" si="19"/>
        <v>3.8175000000000001E-2</v>
      </c>
      <c r="E408" s="12">
        <f t="shared" si="20"/>
        <v>1.0458904109589041E-4</v>
      </c>
      <c r="F408" s="3">
        <f t="shared" si="21"/>
        <v>10.458904109589042</v>
      </c>
      <c r="G408" s="15">
        <v>0.91669999999999996</v>
      </c>
      <c r="I408" s="23">
        <v>40237</v>
      </c>
      <c r="J408" s="24">
        <v>127.49</v>
      </c>
      <c r="K408" s="2">
        <f t="shared" si="18"/>
        <v>1.2748999999999999</v>
      </c>
    </row>
    <row r="409" spans="1:11" s="2" customFormat="1" ht="15" customHeight="1" thickBot="1">
      <c r="A409" s="8">
        <v>40298</v>
      </c>
      <c r="B409" s="5">
        <v>2E-3</v>
      </c>
      <c r="C409" s="10">
        <v>4.2224999999999999E-2</v>
      </c>
      <c r="D409" s="10">
        <f t="shared" si="19"/>
        <v>4.0224999999999997E-2</v>
      </c>
      <c r="E409" s="12">
        <f t="shared" si="20"/>
        <v>1.1020547945205479E-4</v>
      </c>
      <c r="F409" s="3">
        <f t="shared" si="21"/>
        <v>11.020547945205479</v>
      </c>
      <c r="G409" s="15">
        <v>0.92459999999999998</v>
      </c>
      <c r="I409" s="23">
        <v>40268</v>
      </c>
      <c r="J409" s="24">
        <v>139.69</v>
      </c>
      <c r="K409" s="2">
        <f t="shared" si="18"/>
        <v>1.3969</v>
      </c>
    </row>
    <row r="410" spans="1:11" s="2" customFormat="1" ht="15" customHeight="1" thickBot="1">
      <c r="A410" s="8">
        <v>40329</v>
      </c>
      <c r="B410" s="5">
        <v>2E-3</v>
      </c>
      <c r="C410" s="10">
        <v>4.4749999999999998E-2</v>
      </c>
      <c r="D410" s="10">
        <f t="shared" si="19"/>
        <v>4.2749999999999996E-2</v>
      </c>
      <c r="E410" s="12">
        <f t="shared" si="20"/>
        <v>1.1712328767123286E-4</v>
      </c>
      <c r="F410" s="3">
        <f t="shared" si="21"/>
        <v>11.712328767123285</v>
      </c>
      <c r="G410" s="15">
        <v>0.84660000000000002</v>
      </c>
      <c r="I410" s="23">
        <v>40298</v>
      </c>
      <c r="J410" s="24">
        <v>172.47</v>
      </c>
      <c r="K410" s="2">
        <f t="shared" si="18"/>
        <v>1.7246999999999999</v>
      </c>
    </row>
    <row r="411" spans="1:11" s="2" customFormat="1" ht="15" customHeight="1" thickBot="1">
      <c r="A411" s="8">
        <v>40359</v>
      </c>
      <c r="B411" s="5">
        <v>1.8E-3</v>
      </c>
      <c r="C411" s="10">
        <v>4.4999999999999998E-2</v>
      </c>
      <c r="D411" s="10">
        <f t="shared" si="19"/>
        <v>4.3199999999999995E-2</v>
      </c>
      <c r="E411" s="12">
        <f t="shared" si="20"/>
        <v>1.1835616438356163E-4</v>
      </c>
      <c r="F411" s="3">
        <f t="shared" si="21"/>
        <v>11.835616438356164</v>
      </c>
      <c r="G411" s="15">
        <v>0.84</v>
      </c>
      <c r="I411" s="23">
        <v>40329</v>
      </c>
      <c r="J411" s="24">
        <v>161.35</v>
      </c>
      <c r="K411" s="2">
        <f t="shared" si="18"/>
        <v>1.6134999999999999</v>
      </c>
    </row>
    <row r="412" spans="1:11" s="2" customFormat="1" ht="15" customHeight="1" thickBot="1">
      <c r="A412" s="8">
        <v>40390</v>
      </c>
      <c r="B412" s="5">
        <v>1.8E-3</v>
      </c>
      <c r="C412" s="10">
        <v>4.4999999999999998E-2</v>
      </c>
      <c r="D412" s="10">
        <f t="shared" si="19"/>
        <v>4.3199999999999995E-2</v>
      </c>
      <c r="E412" s="12">
        <f t="shared" si="20"/>
        <v>1.1835616438356163E-4</v>
      </c>
      <c r="F412" s="3">
        <f t="shared" si="21"/>
        <v>11.835616438356164</v>
      </c>
      <c r="G412" s="15">
        <v>0.9042</v>
      </c>
      <c r="I412" s="23">
        <v>40359</v>
      </c>
      <c r="J412" s="24">
        <v>143.63</v>
      </c>
      <c r="K412" s="2">
        <f t="shared" si="18"/>
        <v>1.4362999999999999</v>
      </c>
    </row>
    <row r="413" spans="1:11" s="2" customFormat="1" ht="15" customHeight="1" thickBot="1">
      <c r="A413" s="8">
        <v>40421</v>
      </c>
      <c r="B413" s="5">
        <v>1.9E-3</v>
      </c>
      <c r="C413" s="10">
        <v>4.4999999999999998E-2</v>
      </c>
      <c r="D413" s="10">
        <f t="shared" si="19"/>
        <v>4.3099999999999999E-2</v>
      </c>
      <c r="E413" s="12">
        <f t="shared" si="20"/>
        <v>1.1808219178082192E-4</v>
      </c>
      <c r="F413" s="3">
        <f t="shared" si="21"/>
        <v>11.808219178082192</v>
      </c>
      <c r="G413" s="15">
        <v>0.89090000000000003</v>
      </c>
      <c r="I413" s="23">
        <v>40390</v>
      </c>
      <c r="J413" s="24">
        <v>126.36</v>
      </c>
      <c r="K413" s="2">
        <f t="shared" si="18"/>
        <v>1.2636000000000001</v>
      </c>
    </row>
    <row r="414" spans="1:11" s="2" customFormat="1" ht="15" customHeight="1" thickBot="1">
      <c r="A414" s="8">
        <v>40451</v>
      </c>
      <c r="B414" s="5">
        <v>1.9E-3</v>
      </c>
      <c r="C414" s="10">
        <v>4.4999999999999998E-2</v>
      </c>
      <c r="D414" s="10">
        <f t="shared" si="19"/>
        <v>4.3099999999999999E-2</v>
      </c>
      <c r="E414" s="12">
        <f t="shared" si="20"/>
        <v>1.1808219178082192E-4</v>
      </c>
      <c r="F414" s="3">
        <f t="shared" si="21"/>
        <v>11.808219178082192</v>
      </c>
      <c r="G414" s="15">
        <v>0.96679999999999999</v>
      </c>
      <c r="I414" s="23">
        <v>40421</v>
      </c>
      <c r="J414" s="24">
        <v>145.34</v>
      </c>
      <c r="K414" s="2">
        <f t="shared" si="18"/>
        <v>1.4534</v>
      </c>
    </row>
    <row r="415" spans="1:11" s="2" customFormat="1" ht="15" customHeight="1" thickBot="1">
      <c r="A415" s="8">
        <v>40482</v>
      </c>
      <c r="B415" s="5">
        <v>1.9E-3</v>
      </c>
      <c r="C415" s="10">
        <v>4.4999999999999998E-2</v>
      </c>
      <c r="D415" s="10">
        <f t="shared" si="19"/>
        <v>4.3099999999999999E-2</v>
      </c>
      <c r="E415" s="12">
        <f t="shared" si="20"/>
        <v>1.1808219178082192E-4</v>
      </c>
      <c r="F415" s="3">
        <f t="shared" si="21"/>
        <v>11.808219178082192</v>
      </c>
      <c r="G415" s="15">
        <v>0.98370000000000002</v>
      </c>
      <c r="I415" s="23">
        <v>40451</v>
      </c>
      <c r="J415" s="24">
        <v>140.62727000000001</v>
      </c>
      <c r="K415" s="2">
        <f t="shared" si="18"/>
        <v>1.4062727000000002</v>
      </c>
    </row>
    <row r="416" spans="1:11" s="2" customFormat="1" ht="15" customHeight="1" thickBot="1">
      <c r="A416" s="8">
        <v>40512</v>
      </c>
      <c r="B416" s="5">
        <v>1.9E-3</v>
      </c>
      <c r="C416" s="10">
        <v>4.7274999999999998E-2</v>
      </c>
      <c r="D416" s="10">
        <f t="shared" si="19"/>
        <v>4.5374999999999999E-2</v>
      </c>
      <c r="E416" s="12">
        <f t="shared" si="20"/>
        <v>1.2431506849315069E-4</v>
      </c>
      <c r="F416" s="3">
        <f t="shared" si="21"/>
        <v>12.431506849315069</v>
      </c>
      <c r="G416" s="15">
        <v>0.9577</v>
      </c>
      <c r="I416" s="23">
        <v>40482</v>
      </c>
      <c r="J416" s="24">
        <v>148.48095000000001</v>
      </c>
      <c r="K416" s="2">
        <f t="shared" si="18"/>
        <v>1.4848095000000001</v>
      </c>
    </row>
    <row r="417" spans="1:11" s="2" customFormat="1" ht="15" customHeight="1" thickBot="1">
      <c r="A417" s="8">
        <v>40543</v>
      </c>
      <c r="B417" s="5">
        <v>1.8E-3</v>
      </c>
      <c r="C417" s="10">
        <v>4.7500000000000001E-2</v>
      </c>
      <c r="D417" s="10">
        <f t="shared" si="19"/>
        <v>4.5699999999999998E-2</v>
      </c>
      <c r="E417" s="12">
        <f t="shared" si="20"/>
        <v>1.2520547945205478E-4</v>
      </c>
      <c r="F417" s="3">
        <f t="shared" si="21"/>
        <v>12.520547945205477</v>
      </c>
      <c r="G417" s="15">
        <v>1.0217000000000001</v>
      </c>
      <c r="I417" s="23">
        <v>40512</v>
      </c>
      <c r="J417" s="24">
        <v>156.1</v>
      </c>
      <c r="K417" s="2">
        <f t="shared" si="18"/>
        <v>1.5609999999999999</v>
      </c>
    </row>
    <row r="418" spans="1:11" s="2" customFormat="1" ht="15" customHeight="1" thickBot="1">
      <c r="A418" s="8">
        <v>40574</v>
      </c>
      <c r="B418" s="5">
        <v>1.7000000000000001E-3</v>
      </c>
      <c r="C418" s="10">
        <v>4.7500000000000001E-2</v>
      </c>
      <c r="D418" s="10">
        <f t="shared" si="19"/>
        <v>4.58E-2</v>
      </c>
      <c r="E418" s="12">
        <f t="shared" si="20"/>
        <v>1.2547945205479451E-4</v>
      </c>
      <c r="F418" s="3">
        <f t="shared" si="21"/>
        <v>12.547945205479451</v>
      </c>
      <c r="G418" s="15">
        <v>0.99670000000000003</v>
      </c>
      <c r="I418" s="23">
        <v>40543</v>
      </c>
      <c r="J418" s="24">
        <v>163.1</v>
      </c>
      <c r="K418" s="2">
        <f t="shared" si="18"/>
        <v>1.631</v>
      </c>
    </row>
    <row r="419" spans="1:11" s="2" customFormat="1" ht="15" customHeight="1" thickBot="1">
      <c r="A419" s="8">
        <v>40602</v>
      </c>
      <c r="B419" s="5">
        <v>1.6000000000000001E-3</v>
      </c>
      <c r="C419" s="10">
        <v>4.7500000000000001E-2</v>
      </c>
      <c r="D419" s="10">
        <f t="shared" si="19"/>
        <v>4.5900000000000003E-2</v>
      </c>
      <c r="E419" s="12">
        <f t="shared" si="20"/>
        <v>1.2575342465753425E-4</v>
      </c>
      <c r="F419" s="3">
        <f t="shared" si="21"/>
        <v>12.575342465753424</v>
      </c>
      <c r="G419" s="15">
        <v>1.0185999999999999</v>
      </c>
      <c r="I419" s="23">
        <v>40574</v>
      </c>
      <c r="J419" s="24">
        <v>179.18</v>
      </c>
      <c r="K419" s="2">
        <f t="shared" si="18"/>
        <v>1.7918000000000001</v>
      </c>
    </row>
    <row r="420" spans="1:11" s="2" customFormat="1" ht="15" customHeight="1" thickBot="1">
      <c r="A420" s="8">
        <v>40633</v>
      </c>
      <c r="B420" s="5">
        <v>1.4000000000000002E-3</v>
      </c>
      <c r="C420" s="10">
        <v>4.7500000000000001E-2</v>
      </c>
      <c r="D420" s="10">
        <f t="shared" si="19"/>
        <v>4.6100000000000002E-2</v>
      </c>
      <c r="E420" s="12">
        <f t="shared" si="20"/>
        <v>1.2630136986301369E-4</v>
      </c>
      <c r="F420" s="3">
        <f t="shared" si="21"/>
        <v>12.63013698630137</v>
      </c>
      <c r="G420" s="15">
        <v>1.0327999999999999</v>
      </c>
      <c r="I420" s="23">
        <v>40602</v>
      </c>
      <c r="J420" s="24">
        <v>187.18</v>
      </c>
      <c r="K420" s="2">
        <f t="shared" si="18"/>
        <v>1.8718000000000001</v>
      </c>
    </row>
    <row r="421" spans="1:11" s="2" customFormat="1" ht="15" customHeight="1" thickBot="1">
      <c r="A421" s="8">
        <v>40663</v>
      </c>
      <c r="B421" s="5">
        <v>1E-3</v>
      </c>
      <c r="C421" s="10">
        <v>4.7500000000000001E-2</v>
      </c>
      <c r="D421" s="10">
        <f t="shared" si="19"/>
        <v>4.65E-2</v>
      </c>
      <c r="E421" s="12">
        <f t="shared" si="20"/>
        <v>1.2739726027397261E-4</v>
      </c>
      <c r="F421" s="3">
        <f t="shared" si="21"/>
        <v>12.739726027397261</v>
      </c>
      <c r="G421" s="15">
        <v>1.0967</v>
      </c>
      <c r="I421" s="23">
        <v>40633</v>
      </c>
      <c r="J421" s="24">
        <v>169.36</v>
      </c>
      <c r="K421" s="2">
        <f t="shared" si="18"/>
        <v>1.6936000000000002</v>
      </c>
    </row>
    <row r="422" spans="1:11" s="2" customFormat="1" ht="15" customHeight="1" thickBot="1">
      <c r="A422" s="8">
        <v>40694</v>
      </c>
      <c r="B422" s="5">
        <v>8.9999999999999998E-4</v>
      </c>
      <c r="C422" s="10">
        <v>4.7500000000000001E-2</v>
      </c>
      <c r="D422" s="10">
        <f t="shared" si="19"/>
        <v>4.6600000000000003E-2</v>
      </c>
      <c r="E422" s="12">
        <f t="shared" si="20"/>
        <v>1.2767123287671234E-4</v>
      </c>
      <c r="F422" s="3">
        <f t="shared" si="21"/>
        <v>12.767123287671234</v>
      </c>
      <c r="G422" s="15">
        <v>1.0670999999999999</v>
      </c>
      <c r="I422" s="23">
        <v>40663</v>
      </c>
      <c r="J422" s="24">
        <v>179.33</v>
      </c>
      <c r="K422" s="2">
        <f t="shared" si="18"/>
        <v>1.7933000000000001</v>
      </c>
    </row>
    <row r="423" spans="1:11" s="2" customFormat="1" ht="15" customHeight="1" thickBot="1">
      <c r="A423" s="8">
        <v>40724</v>
      </c>
      <c r="B423" s="5">
        <v>8.9999999999999998E-4</v>
      </c>
      <c r="C423" s="10">
        <v>4.7500000000000001E-2</v>
      </c>
      <c r="D423" s="10">
        <f t="shared" si="19"/>
        <v>4.6600000000000003E-2</v>
      </c>
      <c r="E423" s="12">
        <f t="shared" si="20"/>
        <v>1.2767123287671234E-4</v>
      </c>
      <c r="F423" s="3">
        <f t="shared" si="21"/>
        <v>12.767123287671234</v>
      </c>
      <c r="G423" s="15">
        <v>1.0722</v>
      </c>
      <c r="I423" s="23">
        <v>40694</v>
      </c>
      <c r="J423" s="24">
        <v>177.05</v>
      </c>
      <c r="K423" s="2">
        <f t="shared" si="18"/>
        <v>1.7705000000000002</v>
      </c>
    </row>
    <row r="424" spans="1:11" s="2" customFormat="1" ht="15" customHeight="1" thickBot="1">
      <c r="A424" s="8">
        <v>40755</v>
      </c>
      <c r="B424" s="5">
        <v>7.000000000000001E-4</v>
      </c>
      <c r="C424" s="10">
        <v>4.7500000000000001E-2</v>
      </c>
      <c r="D424" s="10">
        <f t="shared" si="19"/>
        <v>4.6800000000000001E-2</v>
      </c>
      <c r="E424" s="12">
        <f t="shared" si="20"/>
        <v>1.2821917808219179E-4</v>
      </c>
      <c r="F424" s="3">
        <f t="shared" si="21"/>
        <v>12.82191780821918</v>
      </c>
      <c r="G424" s="15">
        <v>1.0994999999999999</v>
      </c>
      <c r="I424" s="23">
        <v>40724</v>
      </c>
      <c r="J424" s="24">
        <v>170.88</v>
      </c>
      <c r="K424" s="2">
        <f t="shared" ref="K424:K468" si="22">J424/100</f>
        <v>1.7087999999999999</v>
      </c>
    </row>
    <row r="425" spans="1:11" s="2" customFormat="1" ht="15" customHeight="1" thickBot="1">
      <c r="A425" s="8">
        <v>40786</v>
      </c>
      <c r="B425" s="5">
        <v>1E-3</v>
      </c>
      <c r="C425" s="10">
        <v>4.7500000000000001E-2</v>
      </c>
      <c r="D425" s="10">
        <f t="shared" si="19"/>
        <v>4.65E-2</v>
      </c>
      <c r="E425" s="12">
        <f t="shared" si="20"/>
        <v>1.2739726027397261E-4</v>
      </c>
      <c r="F425" s="3">
        <f t="shared" si="21"/>
        <v>12.739726027397261</v>
      </c>
      <c r="G425" s="15">
        <v>1.0702</v>
      </c>
      <c r="I425" s="23">
        <v>40755</v>
      </c>
      <c r="J425" s="24">
        <v>172.98</v>
      </c>
      <c r="K425" s="2">
        <f t="shared" si="22"/>
        <v>1.7298</v>
      </c>
    </row>
    <row r="426" spans="1:11" s="2" customFormat="1" ht="15" customHeight="1" thickBot="1">
      <c r="A426" s="8">
        <v>40816</v>
      </c>
      <c r="B426" s="5">
        <v>8.0000000000000004E-4</v>
      </c>
      <c r="C426" s="10">
        <v>4.7500000000000001E-2</v>
      </c>
      <c r="D426" s="10">
        <f t="shared" si="19"/>
        <v>4.6699999999999998E-2</v>
      </c>
      <c r="E426" s="12">
        <f t="shared" si="20"/>
        <v>1.2794520547945205E-4</v>
      </c>
      <c r="F426" s="3">
        <f t="shared" si="21"/>
        <v>12.794520547945206</v>
      </c>
      <c r="G426" s="15">
        <v>0.96640000000000004</v>
      </c>
      <c r="I426" s="23">
        <v>40786</v>
      </c>
      <c r="J426" s="24">
        <v>177.5</v>
      </c>
      <c r="K426" s="2">
        <f t="shared" si="22"/>
        <v>1.7749999999999999</v>
      </c>
    </row>
    <row r="427" spans="1:11" s="2" customFormat="1" ht="15" customHeight="1" thickBot="1">
      <c r="A427" s="8">
        <v>40847</v>
      </c>
      <c r="B427" s="5">
        <v>7.000000000000001E-4</v>
      </c>
      <c r="C427" s="10">
        <v>4.7500000000000001E-2</v>
      </c>
      <c r="D427" s="10">
        <f t="shared" si="19"/>
        <v>4.6800000000000001E-2</v>
      </c>
      <c r="E427" s="12">
        <f t="shared" si="20"/>
        <v>1.2821917808219179E-4</v>
      </c>
      <c r="F427" s="3">
        <f t="shared" si="21"/>
        <v>12.82191780821918</v>
      </c>
      <c r="G427" s="15">
        <v>1.0536000000000001</v>
      </c>
      <c r="I427" s="23">
        <v>40816</v>
      </c>
      <c r="J427" s="24">
        <v>177.23</v>
      </c>
      <c r="K427" s="2">
        <f t="shared" si="22"/>
        <v>1.7723</v>
      </c>
    </row>
    <row r="428" spans="1:11" s="2" customFormat="1" ht="15" customHeight="1" thickBot="1">
      <c r="A428" s="8">
        <v>40877</v>
      </c>
      <c r="B428" s="5">
        <v>8.0000000000000004E-4</v>
      </c>
      <c r="C428" s="10">
        <v>4.5124999999999998E-2</v>
      </c>
      <c r="D428" s="10">
        <f t="shared" si="19"/>
        <v>4.4324999999999996E-2</v>
      </c>
      <c r="E428" s="12">
        <f t="shared" si="20"/>
        <v>1.2143835616438355E-4</v>
      </c>
      <c r="F428" s="3">
        <f t="shared" si="21"/>
        <v>12.143835616438356</v>
      </c>
      <c r="G428" s="15">
        <v>1.0276000000000001</v>
      </c>
      <c r="I428" s="23">
        <v>40847</v>
      </c>
      <c r="J428" s="24">
        <v>150.43</v>
      </c>
      <c r="K428" s="2">
        <f t="shared" si="22"/>
        <v>1.5043</v>
      </c>
    </row>
    <row r="429" spans="1:11" s="2" customFormat="1" ht="15" customHeight="1" thickBot="1">
      <c r="A429" s="8">
        <v>40908</v>
      </c>
      <c r="B429" s="5">
        <v>7.000000000000001E-4</v>
      </c>
      <c r="C429" s="10">
        <v>4.2999999999999997E-2</v>
      </c>
      <c r="D429" s="10">
        <f t="shared" si="19"/>
        <v>4.2299999999999997E-2</v>
      </c>
      <c r="E429" s="12">
        <f t="shared" si="20"/>
        <v>1.158904109589041E-4</v>
      </c>
      <c r="F429" s="3">
        <f t="shared" si="21"/>
        <v>11.58904109589041</v>
      </c>
      <c r="G429" s="15">
        <v>1.0227999999999999</v>
      </c>
      <c r="I429" s="23">
        <v>40877</v>
      </c>
      <c r="J429" s="24">
        <v>135.54</v>
      </c>
      <c r="K429" s="2">
        <f t="shared" si="22"/>
        <v>1.3553999999999999</v>
      </c>
    </row>
    <row r="430" spans="1:11" s="2" customFormat="1" ht="15" customHeight="1" thickBot="1">
      <c r="A430" s="8">
        <v>40939</v>
      </c>
      <c r="B430" s="5">
        <v>8.0000000000000004E-4</v>
      </c>
      <c r="C430" s="10">
        <v>4.2500000000000003E-2</v>
      </c>
      <c r="D430" s="10">
        <f t="shared" si="19"/>
        <v>4.1700000000000001E-2</v>
      </c>
      <c r="E430" s="12">
        <f t="shared" si="20"/>
        <v>1.1424657534246576E-4</v>
      </c>
      <c r="F430" s="3">
        <f t="shared" si="21"/>
        <v>11.424657534246576</v>
      </c>
      <c r="G430" s="15">
        <v>1.0616000000000001</v>
      </c>
      <c r="I430" s="23">
        <v>40908</v>
      </c>
      <c r="J430" s="24">
        <v>136.38999999999999</v>
      </c>
      <c r="K430" s="2">
        <f t="shared" si="22"/>
        <v>1.3638999999999999</v>
      </c>
    </row>
    <row r="431" spans="1:11" s="2" customFormat="1" ht="15" customHeight="1" thickBot="1">
      <c r="A431" s="8">
        <v>40968</v>
      </c>
      <c r="B431" s="5">
        <v>1E-3</v>
      </c>
      <c r="C431" s="10">
        <v>4.2500000000000003E-2</v>
      </c>
      <c r="D431" s="10">
        <f t="shared" si="19"/>
        <v>4.1500000000000002E-2</v>
      </c>
      <c r="E431" s="12">
        <f t="shared" si="20"/>
        <v>1.1369863013698631E-4</v>
      </c>
      <c r="F431" s="3">
        <f t="shared" si="21"/>
        <v>11.369863013698632</v>
      </c>
      <c r="G431" s="15">
        <v>1.0731999999999999</v>
      </c>
      <c r="I431" s="23">
        <v>40939</v>
      </c>
      <c r="J431" s="24">
        <v>140.26</v>
      </c>
      <c r="K431" s="2">
        <f t="shared" si="22"/>
        <v>1.4025999999999998</v>
      </c>
    </row>
    <row r="432" spans="1:11" s="2" customFormat="1" ht="15" customHeight="1" thickBot="1">
      <c r="A432" s="8">
        <v>40999</v>
      </c>
      <c r="B432" s="5">
        <v>1.2999999999999999E-3</v>
      </c>
      <c r="C432" s="10">
        <v>4.2500000000000003E-2</v>
      </c>
      <c r="D432" s="10">
        <f t="shared" si="19"/>
        <v>4.1200000000000001E-2</v>
      </c>
      <c r="E432" s="12">
        <f t="shared" si="20"/>
        <v>1.1287671232876712E-4</v>
      </c>
      <c r="F432" s="3">
        <f t="shared" si="21"/>
        <v>11.287671232876711</v>
      </c>
      <c r="G432" s="15">
        <v>1.0346</v>
      </c>
      <c r="I432" s="23">
        <v>40968</v>
      </c>
      <c r="J432" s="24">
        <v>140.4</v>
      </c>
      <c r="K432" s="2">
        <f t="shared" si="22"/>
        <v>1.4040000000000001</v>
      </c>
    </row>
    <row r="433" spans="1:11" s="2" customFormat="1" ht="15" customHeight="1" thickBot="1">
      <c r="A433" s="8">
        <v>41029</v>
      </c>
      <c r="B433" s="5">
        <v>1.4000000000000002E-3</v>
      </c>
      <c r="C433" s="10">
        <v>4.2500000000000003E-2</v>
      </c>
      <c r="D433" s="10">
        <f t="shared" si="19"/>
        <v>4.1100000000000005E-2</v>
      </c>
      <c r="E433" s="12">
        <f t="shared" si="20"/>
        <v>1.1260273972602741E-4</v>
      </c>
      <c r="F433" s="3">
        <f t="shared" si="21"/>
        <v>11.260273972602741</v>
      </c>
      <c r="G433" s="15">
        <v>1.0426</v>
      </c>
      <c r="I433" s="23">
        <v>40999</v>
      </c>
      <c r="J433" s="24">
        <v>144.66</v>
      </c>
      <c r="K433" s="2">
        <f t="shared" si="22"/>
        <v>1.4465999999999999</v>
      </c>
    </row>
    <row r="434" spans="1:11" s="2" customFormat="1" ht="15" customHeight="1" thickBot="1">
      <c r="A434" s="8">
        <v>41060</v>
      </c>
      <c r="B434" s="5">
        <v>1.6000000000000001E-3</v>
      </c>
      <c r="C434" s="10">
        <v>3.7725000000000002E-2</v>
      </c>
      <c r="D434" s="10">
        <f t="shared" si="19"/>
        <v>3.6125000000000004E-2</v>
      </c>
      <c r="E434" s="12">
        <f t="shared" si="20"/>
        <v>9.8972602739726037E-5</v>
      </c>
      <c r="F434" s="3">
        <f t="shared" si="21"/>
        <v>9.8972602739726039</v>
      </c>
      <c r="G434" s="15">
        <v>0.97289999999999999</v>
      </c>
      <c r="I434" s="23">
        <v>41029</v>
      </c>
      <c r="J434" s="24">
        <v>147.63999999999999</v>
      </c>
      <c r="K434" s="2">
        <f t="shared" si="22"/>
        <v>1.4763999999999999</v>
      </c>
    </row>
    <row r="435" spans="1:11" s="2" customFormat="1" ht="15" customHeight="1" thickBot="1">
      <c r="A435" s="8">
        <v>41090</v>
      </c>
      <c r="B435" s="5">
        <v>1.6000000000000001E-3</v>
      </c>
      <c r="C435" s="10">
        <v>3.5375000000000004E-2</v>
      </c>
      <c r="D435" s="10">
        <f t="shared" si="19"/>
        <v>3.3775000000000006E-2</v>
      </c>
      <c r="E435" s="12">
        <f t="shared" si="20"/>
        <v>9.2534246575342479E-5</v>
      </c>
      <c r="F435" s="3">
        <f t="shared" si="21"/>
        <v>9.2534246575342483</v>
      </c>
      <c r="G435" s="15">
        <v>1.024</v>
      </c>
      <c r="I435" s="23">
        <v>41060</v>
      </c>
      <c r="J435" s="24">
        <v>136.61000000000001</v>
      </c>
      <c r="K435" s="2">
        <f t="shared" si="22"/>
        <v>1.3661000000000001</v>
      </c>
    </row>
    <row r="436" spans="1:11" s="2" customFormat="1" ht="15" customHeight="1" thickBot="1">
      <c r="A436" s="8">
        <v>41121</v>
      </c>
      <c r="B436" s="5">
        <v>1.6000000000000001E-3</v>
      </c>
      <c r="C436" s="10">
        <v>3.5000000000000003E-2</v>
      </c>
      <c r="D436" s="10">
        <f t="shared" si="19"/>
        <v>3.3400000000000006E-2</v>
      </c>
      <c r="E436" s="12">
        <f t="shared" si="20"/>
        <v>9.1506849315068511E-5</v>
      </c>
      <c r="F436" s="3">
        <f t="shared" si="21"/>
        <v>9.1506849315068504</v>
      </c>
      <c r="G436" s="15">
        <v>1.0502</v>
      </c>
      <c r="I436" s="23">
        <v>41090</v>
      </c>
      <c r="J436" s="24">
        <v>134.66</v>
      </c>
      <c r="K436" s="2">
        <f t="shared" si="22"/>
        <v>1.3466</v>
      </c>
    </row>
    <row r="437" spans="1:11" s="2" customFormat="1" ht="15" customHeight="1" thickBot="1">
      <c r="A437" s="8">
        <v>41152</v>
      </c>
      <c r="B437" s="5">
        <v>1.2999999999999999E-3</v>
      </c>
      <c r="C437" s="10">
        <v>3.5000000000000003E-2</v>
      </c>
      <c r="D437" s="10">
        <f t="shared" si="19"/>
        <v>3.3700000000000001E-2</v>
      </c>
      <c r="E437" s="12">
        <f t="shared" si="20"/>
        <v>9.2328767123287677E-5</v>
      </c>
      <c r="F437" s="3">
        <f t="shared" si="21"/>
        <v>9.2328767123287676</v>
      </c>
      <c r="G437" s="15">
        <v>1.0322</v>
      </c>
      <c r="I437" s="23">
        <v>41121</v>
      </c>
      <c r="J437" s="24">
        <v>127.94</v>
      </c>
      <c r="K437" s="2">
        <f t="shared" si="22"/>
        <v>1.2793999999999999</v>
      </c>
    </row>
    <row r="438" spans="1:11" s="2" customFormat="1" ht="15" customHeight="1" thickBot="1">
      <c r="A438" s="8">
        <v>41182</v>
      </c>
      <c r="B438" s="5">
        <v>1.4000000000000002E-3</v>
      </c>
      <c r="C438" s="10">
        <v>3.5000000000000003E-2</v>
      </c>
      <c r="D438" s="10">
        <f t="shared" si="19"/>
        <v>3.3600000000000005E-2</v>
      </c>
      <c r="E438" s="12">
        <f t="shared" si="20"/>
        <v>9.2054794520547955E-5</v>
      </c>
      <c r="F438" s="3">
        <f t="shared" si="21"/>
        <v>9.2054794520547958</v>
      </c>
      <c r="G438" s="15">
        <v>1.0378000000000001</v>
      </c>
      <c r="I438" s="23">
        <v>41152</v>
      </c>
      <c r="J438" s="24">
        <v>107.5</v>
      </c>
      <c r="K438" s="2">
        <f t="shared" si="22"/>
        <v>1.075</v>
      </c>
    </row>
    <row r="439" spans="1:11" s="2" customFormat="1" ht="15" customHeight="1" thickBot="1">
      <c r="A439" s="8">
        <v>41213</v>
      </c>
      <c r="B439" s="5">
        <v>1.6000000000000001E-3</v>
      </c>
      <c r="C439" s="10">
        <v>3.2724999999999997E-2</v>
      </c>
      <c r="D439" s="10">
        <f t="shared" si="19"/>
        <v>3.1124999999999996E-2</v>
      </c>
      <c r="E439" s="12">
        <f t="shared" si="20"/>
        <v>8.5273972602739715E-5</v>
      </c>
      <c r="F439" s="3">
        <f t="shared" si="21"/>
        <v>8.5273972602739718</v>
      </c>
      <c r="G439" s="15">
        <v>1.0375000000000001</v>
      </c>
      <c r="I439" s="23">
        <v>41182</v>
      </c>
      <c r="J439" s="24">
        <v>99.47</v>
      </c>
      <c r="K439" s="2">
        <f t="shared" si="22"/>
        <v>0.99470000000000003</v>
      </c>
    </row>
    <row r="440" spans="1:11" s="2" customFormat="1" ht="15" customHeight="1" thickBot="1">
      <c r="A440" s="8">
        <v>41243</v>
      </c>
      <c r="B440" s="5">
        <v>1.6000000000000001E-3</v>
      </c>
      <c r="C440" s="10">
        <v>3.2500000000000001E-2</v>
      </c>
      <c r="D440" s="10">
        <f t="shared" si="19"/>
        <v>3.09E-2</v>
      </c>
      <c r="E440" s="12">
        <f t="shared" si="20"/>
        <v>8.465753424657535E-5</v>
      </c>
      <c r="F440" s="3">
        <f t="shared" si="21"/>
        <v>8.4657534246575352</v>
      </c>
      <c r="G440" s="15">
        <v>1.0427999999999999</v>
      </c>
      <c r="I440" s="23">
        <v>41213</v>
      </c>
      <c r="J440" s="24">
        <v>113.95</v>
      </c>
      <c r="K440" s="2">
        <f t="shared" si="22"/>
        <v>1.1395</v>
      </c>
    </row>
    <row r="441" spans="1:11" s="2" customFormat="1" ht="15" customHeight="1" thickBot="1">
      <c r="A441" s="8">
        <v>41274</v>
      </c>
      <c r="B441" s="5">
        <v>1.6000000000000001E-3</v>
      </c>
      <c r="C441" s="10">
        <v>3.0275E-2</v>
      </c>
      <c r="D441" s="10">
        <f t="shared" si="19"/>
        <v>2.8674999999999999E-2</v>
      </c>
      <c r="E441" s="12">
        <f t="shared" si="20"/>
        <v>7.8561643835616435E-5</v>
      </c>
      <c r="F441" s="3">
        <f t="shared" si="21"/>
        <v>7.8561643835616435</v>
      </c>
      <c r="G441" s="15">
        <v>1.0394000000000001</v>
      </c>
      <c r="I441" s="23">
        <v>41243</v>
      </c>
      <c r="J441" s="24">
        <v>120.35</v>
      </c>
      <c r="K441" s="2">
        <f t="shared" si="22"/>
        <v>1.2035</v>
      </c>
    </row>
    <row r="442" spans="1:11" s="2" customFormat="1" ht="15" customHeight="1" thickBot="1">
      <c r="A442" s="8">
        <v>41305</v>
      </c>
      <c r="B442" s="5">
        <v>1.4000000000000002E-3</v>
      </c>
      <c r="C442" s="10">
        <v>0.03</v>
      </c>
      <c r="D442" s="10">
        <f t="shared" si="19"/>
        <v>2.86E-2</v>
      </c>
      <c r="E442" s="12">
        <f t="shared" si="20"/>
        <v>7.8356164383561647E-5</v>
      </c>
      <c r="F442" s="3">
        <f t="shared" si="21"/>
        <v>7.8356164383561646</v>
      </c>
      <c r="G442" s="15">
        <v>1.0424</v>
      </c>
      <c r="I442" s="23">
        <v>41274</v>
      </c>
      <c r="J442" s="24">
        <v>128.51111</v>
      </c>
      <c r="K442" s="2">
        <f t="shared" si="22"/>
        <v>1.2851111</v>
      </c>
    </row>
    <row r="443" spans="1:11" s="2" customFormat="1" ht="15" customHeight="1" thickBot="1">
      <c r="A443" s="8">
        <v>41333</v>
      </c>
      <c r="B443" s="5">
        <v>1.5E-3</v>
      </c>
      <c r="C443" s="10">
        <v>0.03</v>
      </c>
      <c r="D443" s="10">
        <f t="shared" si="19"/>
        <v>2.8499999999999998E-2</v>
      </c>
      <c r="E443" s="12">
        <f t="shared" si="20"/>
        <v>7.8082191780821911E-5</v>
      </c>
      <c r="F443" s="3">
        <f t="shared" si="21"/>
        <v>7.808219178082191</v>
      </c>
      <c r="G443" s="15">
        <v>1.0214000000000001</v>
      </c>
      <c r="I443" s="23">
        <v>41305</v>
      </c>
      <c r="J443" s="24">
        <v>150.49091000000001</v>
      </c>
      <c r="K443" s="2">
        <f t="shared" si="22"/>
        <v>1.5049091000000001</v>
      </c>
    </row>
    <row r="444" spans="1:11" s="2" customFormat="1" ht="15" customHeight="1" thickBot="1">
      <c r="A444" s="8">
        <v>41364</v>
      </c>
      <c r="B444" s="5">
        <v>1.4000000000000002E-3</v>
      </c>
      <c r="C444" s="10">
        <v>0.03</v>
      </c>
      <c r="D444" s="10">
        <f t="shared" si="19"/>
        <v>2.86E-2</v>
      </c>
      <c r="E444" s="12">
        <f t="shared" si="20"/>
        <v>7.8356164383561647E-5</v>
      </c>
      <c r="F444" s="3">
        <f t="shared" si="21"/>
        <v>7.8356164383561646</v>
      </c>
      <c r="G444" s="15">
        <v>1.0419</v>
      </c>
      <c r="I444" s="23">
        <v>41333</v>
      </c>
      <c r="J444" s="24">
        <v>154.63889</v>
      </c>
      <c r="K444" s="2">
        <f t="shared" si="22"/>
        <v>1.5463889</v>
      </c>
    </row>
    <row r="445" spans="1:11" s="2" customFormat="1" ht="15" customHeight="1" thickBot="1">
      <c r="A445" s="8">
        <v>41394</v>
      </c>
      <c r="B445" s="5">
        <v>1.5E-3</v>
      </c>
      <c r="C445" s="10">
        <v>0.03</v>
      </c>
      <c r="D445" s="10">
        <f t="shared" si="19"/>
        <v>2.8499999999999998E-2</v>
      </c>
      <c r="E445" s="12">
        <f t="shared" si="20"/>
        <v>7.8082191780821911E-5</v>
      </c>
      <c r="F445" s="3">
        <f t="shared" si="21"/>
        <v>7.808219178082191</v>
      </c>
      <c r="G445" s="15">
        <v>1.0370999999999999</v>
      </c>
      <c r="I445" s="23">
        <v>41364</v>
      </c>
      <c r="J445" s="24">
        <v>139.87</v>
      </c>
      <c r="K445" s="2">
        <f t="shared" si="22"/>
        <v>1.3987000000000001</v>
      </c>
    </row>
    <row r="446" spans="1:11" s="2" customFormat="1" ht="15" customHeight="1" thickBot="1">
      <c r="A446" s="8">
        <v>41425</v>
      </c>
      <c r="B446" s="5">
        <v>1.1000000000000001E-3</v>
      </c>
      <c r="C446" s="10">
        <v>2.7999999999999997E-2</v>
      </c>
      <c r="D446" s="10">
        <f t="shared" si="19"/>
        <v>2.6899999999999997E-2</v>
      </c>
      <c r="E446" s="12">
        <f t="shared" si="20"/>
        <v>7.369863013698629E-5</v>
      </c>
      <c r="F446" s="3">
        <f t="shared" si="21"/>
        <v>7.3698630136986294</v>
      </c>
      <c r="G446" s="15">
        <v>0.95730000000000004</v>
      </c>
      <c r="I446" s="23">
        <v>41394</v>
      </c>
      <c r="J446" s="24">
        <v>137.39090999999999</v>
      </c>
      <c r="K446" s="2">
        <f t="shared" si="22"/>
        <v>1.3739090999999999</v>
      </c>
    </row>
    <row r="447" spans="1:11" s="2" customFormat="1" ht="15" customHeight="1" thickBot="1">
      <c r="A447" s="8">
        <v>41455</v>
      </c>
      <c r="B447" s="5">
        <v>8.9999999999999998E-4</v>
      </c>
      <c r="C447" s="10">
        <v>2.75E-2</v>
      </c>
      <c r="D447" s="10">
        <f t="shared" si="19"/>
        <v>2.6599999999999999E-2</v>
      </c>
      <c r="E447" s="12">
        <f t="shared" si="20"/>
        <v>7.2876712328767123E-5</v>
      </c>
      <c r="F447" s="3">
        <f t="shared" si="21"/>
        <v>7.2876712328767121</v>
      </c>
      <c r="G447" s="15">
        <v>0.91369999999999996</v>
      </c>
      <c r="I447" s="23">
        <v>41425</v>
      </c>
      <c r="J447" s="24">
        <v>124.00951999999999</v>
      </c>
      <c r="K447" s="2">
        <f t="shared" si="22"/>
        <v>1.2400951999999998</v>
      </c>
    </row>
    <row r="448" spans="1:11" s="2" customFormat="1" ht="15" customHeight="1" thickBot="1">
      <c r="A448" s="8">
        <v>41486</v>
      </c>
      <c r="B448" s="5">
        <v>8.9999999999999998E-4</v>
      </c>
      <c r="C448" s="10">
        <v>2.75E-2</v>
      </c>
      <c r="D448" s="10">
        <f t="shared" si="19"/>
        <v>2.6599999999999999E-2</v>
      </c>
      <c r="E448" s="12">
        <f t="shared" si="20"/>
        <v>7.2876712328767123E-5</v>
      </c>
      <c r="F448" s="3">
        <f t="shared" si="21"/>
        <v>7.2876712328767121</v>
      </c>
      <c r="G448" s="15">
        <v>0.8982</v>
      </c>
      <c r="I448" s="23">
        <v>41455</v>
      </c>
      <c r="J448" s="24">
        <v>114.815</v>
      </c>
      <c r="K448" s="2">
        <f t="shared" si="22"/>
        <v>1.14815</v>
      </c>
    </row>
    <row r="449" spans="1:11" s="2" customFormat="1" ht="15" customHeight="1" thickBot="1">
      <c r="A449" s="8">
        <v>41517</v>
      </c>
      <c r="B449" s="5">
        <v>8.0000000000000004E-4</v>
      </c>
      <c r="C449" s="10">
        <v>2.5499999999999998E-2</v>
      </c>
      <c r="D449" s="10">
        <f t="shared" si="19"/>
        <v>2.47E-2</v>
      </c>
      <c r="E449" s="12">
        <f t="shared" si="20"/>
        <v>6.7671232876712322E-5</v>
      </c>
      <c r="F449" s="3">
        <f t="shared" si="21"/>
        <v>6.7671232876712324</v>
      </c>
      <c r="G449" s="15">
        <v>0.89</v>
      </c>
      <c r="I449" s="23">
        <v>41486</v>
      </c>
      <c r="J449" s="24">
        <v>127.1913</v>
      </c>
      <c r="K449" s="2">
        <f t="shared" si="22"/>
        <v>1.2719130000000001</v>
      </c>
    </row>
    <row r="450" spans="1:11" s="2" customFormat="1" ht="15" customHeight="1" thickBot="1">
      <c r="A450" s="8">
        <v>41547</v>
      </c>
      <c r="B450" s="5">
        <v>8.0000000000000004E-4</v>
      </c>
      <c r="C450" s="10">
        <v>2.5000000000000001E-2</v>
      </c>
      <c r="D450" s="10">
        <f t="shared" si="19"/>
        <v>2.4200000000000003E-2</v>
      </c>
      <c r="E450" s="12">
        <f t="shared" si="20"/>
        <v>6.6301369863013712E-5</v>
      </c>
      <c r="F450" s="3">
        <f t="shared" si="21"/>
        <v>6.6301369863013715</v>
      </c>
      <c r="G450" s="15">
        <v>0.93169999999999997</v>
      </c>
      <c r="I450" s="23">
        <v>41517</v>
      </c>
      <c r="J450" s="24">
        <v>137.05500000000001</v>
      </c>
      <c r="K450" s="2">
        <f t="shared" si="22"/>
        <v>1.3705500000000002</v>
      </c>
    </row>
    <row r="451" spans="1:11" s="2" customFormat="1" ht="15" customHeight="1" thickBot="1">
      <c r="A451" s="8">
        <v>41578</v>
      </c>
      <c r="B451" s="5">
        <v>8.9999999999999998E-4</v>
      </c>
      <c r="C451" s="10">
        <v>2.5000000000000001E-2</v>
      </c>
      <c r="D451" s="10">
        <f t="shared" ref="D451:D467" si="23">C451-B451</f>
        <v>2.41E-2</v>
      </c>
      <c r="E451" s="12">
        <f t="shared" ref="E451:E467" si="24">D451/365</f>
        <v>6.6027397260273976E-5</v>
      </c>
      <c r="F451" s="3">
        <f t="shared" ref="F451:F467" si="25">E451*$G$1</f>
        <v>6.6027397260273979</v>
      </c>
      <c r="G451" s="15">
        <v>0.94589999999999996</v>
      </c>
      <c r="I451" s="23">
        <v>41547</v>
      </c>
      <c r="J451" s="24">
        <v>134.18571</v>
      </c>
      <c r="K451" s="2">
        <f t="shared" si="22"/>
        <v>1.3418570999999999</v>
      </c>
    </row>
    <row r="452" spans="1:11" s="2" customFormat="1" ht="15" customHeight="1" thickBot="1">
      <c r="A452" s="8">
        <v>41608</v>
      </c>
      <c r="B452" s="5">
        <v>8.0000000000000004E-4</v>
      </c>
      <c r="C452" s="10">
        <v>2.5000000000000001E-2</v>
      </c>
      <c r="D452" s="10">
        <f t="shared" si="23"/>
        <v>2.4200000000000003E-2</v>
      </c>
      <c r="E452" s="12">
        <f t="shared" si="24"/>
        <v>6.6301369863013712E-5</v>
      </c>
      <c r="F452" s="3">
        <f t="shared" si="25"/>
        <v>6.6301369863013715</v>
      </c>
      <c r="G452" s="15">
        <v>0.91120000000000001</v>
      </c>
      <c r="I452" s="23">
        <v>41578</v>
      </c>
      <c r="J452" s="24">
        <v>132.57273000000001</v>
      </c>
      <c r="K452" s="2">
        <f t="shared" si="22"/>
        <v>1.3257273000000001</v>
      </c>
    </row>
    <row r="453" spans="1:11" s="2" customFormat="1" ht="15" customHeight="1" thickBot="1">
      <c r="A453" s="8">
        <v>41639</v>
      </c>
      <c r="B453" s="5">
        <v>8.9999999999999998E-4</v>
      </c>
      <c r="C453" s="10">
        <v>2.5000000000000001E-2</v>
      </c>
      <c r="D453" s="10">
        <f t="shared" si="23"/>
        <v>2.41E-2</v>
      </c>
      <c r="E453" s="12">
        <f t="shared" si="24"/>
        <v>6.6027397260273976E-5</v>
      </c>
      <c r="F453" s="3">
        <f t="shared" si="25"/>
        <v>6.6027397260273979</v>
      </c>
      <c r="G453" s="15">
        <v>0.89180000000000004</v>
      </c>
      <c r="I453" s="23">
        <v>41608</v>
      </c>
      <c r="J453" s="24">
        <v>136.32381000000001</v>
      </c>
      <c r="K453" s="2">
        <f t="shared" si="22"/>
        <v>1.3632381</v>
      </c>
    </row>
    <row r="454" spans="1:11" s="2" customFormat="1" ht="15" customHeight="1" thickBot="1">
      <c r="A454" s="8">
        <v>41670</v>
      </c>
      <c r="B454" s="5">
        <v>7.000000000000001E-4</v>
      </c>
      <c r="C454" s="10">
        <v>2.5000000000000001E-2</v>
      </c>
      <c r="D454" s="10">
        <f t="shared" si="23"/>
        <v>2.4300000000000002E-2</v>
      </c>
      <c r="E454" s="12">
        <f t="shared" si="24"/>
        <v>6.6575342465753434E-5</v>
      </c>
      <c r="F454" s="3">
        <f t="shared" si="25"/>
        <v>6.6575342465753433</v>
      </c>
      <c r="G454" s="15">
        <v>0.87560000000000004</v>
      </c>
      <c r="I454" s="23">
        <v>41639</v>
      </c>
      <c r="J454" s="24">
        <v>135.79048</v>
      </c>
      <c r="K454" s="2">
        <f t="shared" si="22"/>
        <v>1.3579048</v>
      </c>
    </row>
    <row r="455" spans="1:11" s="2" customFormat="1" ht="15" customHeight="1" thickBot="1">
      <c r="A455" s="8">
        <v>41698</v>
      </c>
      <c r="B455" s="5">
        <v>7.000000000000001E-4</v>
      </c>
      <c r="C455" s="10">
        <v>2.5000000000000001E-2</v>
      </c>
      <c r="D455" s="10">
        <f t="shared" si="23"/>
        <v>2.4300000000000002E-2</v>
      </c>
      <c r="E455" s="12">
        <f t="shared" si="24"/>
        <v>6.6575342465753434E-5</v>
      </c>
      <c r="F455" s="3">
        <f t="shared" si="25"/>
        <v>6.6575342465753433</v>
      </c>
      <c r="G455" s="15">
        <v>0.89290000000000003</v>
      </c>
      <c r="I455" s="23">
        <v>41670</v>
      </c>
      <c r="J455" s="24">
        <v>128.119</v>
      </c>
      <c r="K455" s="2">
        <f t="shared" si="22"/>
        <v>1.2811900000000001</v>
      </c>
    </row>
    <row r="456" spans="1:11" s="2" customFormat="1" ht="15" customHeight="1" thickBot="1">
      <c r="A456" s="8">
        <v>41729</v>
      </c>
      <c r="B456" s="5">
        <v>8.0000000000000004E-4</v>
      </c>
      <c r="C456" s="10">
        <v>2.5000000000000001E-2</v>
      </c>
      <c r="D456" s="10">
        <f t="shared" si="23"/>
        <v>2.4200000000000003E-2</v>
      </c>
      <c r="E456" s="12">
        <f t="shared" si="24"/>
        <v>6.6301369863013712E-5</v>
      </c>
      <c r="F456" s="3">
        <f t="shared" si="25"/>
        <v>6.6301369863013715</v>
      </c>
      <c r="G456" s="15">
        <v>0.9264</v>
      </c>
      <c r="I456" s="23">
        <v>41698</v>
      </c>
      <c r="J456" s="24">
        <v>121.37</v>
      </c>
      <c r="K456" s="2">
        <f t="shared" si="22"/>
        <v>1.2137</v>
      </c>
    </row>
    <row r="457" spans="1:11" s="2" customFormat="1" ht="15" customHeight="1" thickBot="1">
      <c r="A457" s="8">
        <v>41759</v>
      </c>
      <c r="B457" s="5">
        <v>8.9999999999999998E-4</v>
      </c>
      <c r="C457" s="10">
        <v>2.5000000000000001E-2</v>
      </c>
      <c r="D457" s="10">
        <f t="shared" si="23"/>
        <v>2.41E-2</v>
      </c>
      <c r="E457" s="12">
        <f t="shared" si="24"/>
        <v>6.6027397260273976E-5</v>
      </c>
      <c r="F457" s="3">
        <f t="shared" si="25"/>
        <v>6.6027397260273979</v>
      </c>
      <c r="G457" s="15">
        <v>0.92879999999999996</v>
      </c>
      <c r="I457" s="23">
        <v>41729</v>
      </c>
      <c r="J457" s="24">
        <v>111.833</v>
      </c>
      <c r="K457" s="2">
        <f t="shared" si="22"/>
        <v>1.11833</v>
      </c>
    </row>
    <row r="458" spans="1:11" s="2" customFormat="1" ht="15" customHeight="1" thickBot="1">
      <c r="A458" s="8">
        <v>41790</v>
      </c>
      <c r="B458" s="5">
        <v>8.9999999999999998E-4</v>
      </c>
      <c r="C458" s="10">
        <v>2.5000000000000001E-2</v>
      </c>
      <c r="D458" s="10">
        <f t="shared" si="23"/>
        <v>2.41E-2</v>
      </c>
      <c r="E458" s="12">
        <f t="shared" si="24"/>
        <v>6.6027397260273976E-5</v>
      </c>
      <c r="F458" s="3">
        <f t="shared" si="25"/>
        <v>6.6027397260273979</v>
      </c>
      <c r="G458" s="15">
        <v>0.93120000000000003</v>
      </c>
      <c r="I458" s="23">
        <v>41759</v>
      </c>
      <c r="J458" s="24">
        <v>114.581</v>
      </c>
      <c r="K458" s="2">
        <f t="shared" si="22"/>
        <v>1.14581</v>
      </c>
    </row>
    <row r="459" spans="1:11" s="2" customFormat="1" ht="15" customHeight="1" thickBot="1">
      <c r="A459" s="8">
        <v>41820</v>
      </c>
      <c r="B459" s="5">
        <v>1E-3</v>
      </c>
      <c r="C459" s="10">
        <v>2.5000000000000001E-2</v>
      </c>
      <c r="D459" s="10">
        <f t="shared" si="23"/>
        <v>2.4E-2</v>
      </c>
      <c r="E459" s="12">
        <f t="shared" si="24"/>
        <v>6.5753424657534254E-5</v>
      </c>
      <c r="F459" s="3">
        <f t="shared" si="25"/>
        <v>6.5753424657534252</v>
      </c>
      <c r="G459" s="15">
        <v>0.94320000000000004</v>
      </c>
      <c r="I459" s="23">
        <v>41790</v>
      </c>
      <c r="J459" s="24">
        <v>100.56</v>
      </c>
      <c r="K459" s="2">
        <f t="shared" si="22"/>
        <v>1.0056</v>
      </c>
    </row>
    <row r="460" spans="1:11" ht="15" customHeight="1" thickBot="1">
      <c r="A460" s="8">
        <v>41851</v>
      </c>
      <c r="B460" s="5">
        <v>8.9999999999999998E-4</v>
      </c>
      <c r="C460" s="10">
        <v>2.5000000000000001E-2</v>
      </c>
      <c r="D460" s="10">
        <f t="shared" si="23"/>
        <v>2.41E-2</v>
      </c>
      <c r="E460" s="12">
        <f t="shared" si="24"/>
        <v>6.6027397260273976E-5</v>
      </c>
      <c r="F460" s="3">
        <f t="shared" si="25"/>
        <v>6.6027397260273979</v>
      </c>
      <c r="G460" s="15">
        <v>0.92959999999999998</v>
      </c>
      <c r="I460" s="23">
        <v>41820</v>
      </c>
      <c r="J460" s="24">
        <v>92.742999999999995</v>
      </c>
      <c r="K460" s="2">
        <f t="shared" si="22"/>
        <v>0.92742999999999998</v>
      </c>
    </row>
    <row r="461" spans="1:11" ht="15" customHeight="1" thickBot="1">
      <c r="A461" s="8">
        <v>41882</v>
      </c>
      <c r="B461" s="5">
        <v>8.9999999999999998E-4</v>
      </c>
      <c r="C461" s="10">
        <v>2.5000000000000001E-2</v>
      </c>
      <c r="D461" s="10">
        <f t="shared" si="23"/>
        <v>2.41E-2</v>
      </c>
      <c r="E461" s="12">
        <f t="shared" si="24"/>
        <v>6.6027397260273976E-5</v>
      </c>
      <c r="F461" s="3">
        <f t="shared" si="25"/>
        <v>6.6027397260273979</v>
      </c>
      <c r="G461" s="15">
        <v>0.93379999999999996</v>
      </c>
      <c r="I461" s="23">
        <v>41851</v>
      </c>
      <c r="J461" s="24">
        <v>96.05</v>
      </c>
      <c r="K461" s="2">
        <f t="shared" si="22"/>
        <v>0.96050000000000002</v>
      </c>
    </row>
    <row r="462" spans="1:11" ht="15" customHeight="1" thickBot="1">
      <c r="A462" s="8">
        <v>41912</v>
      </c>
      <c r="B462" s="5">
        <v>8.9999999999999998E-4</v>
      </c>
      <c r="C462" s="10">
        <v>2.5000000000000001E-2</v>
      </c>
      <c r="D462" s="10">
        <f t="shared" si="23"/>
        <v>2.41E-2</v>
      </c>
      <c r="E462" s="12">
        <f t="shared" si="24"/>
        <v>6.6027397260273976E-5</v>
      </c>
      <c r="F462" s="3">
        <f t="shared" si="25"/>
        <v>6.6027397260273979</v>
      </c>
      <c r="G462" s="15">
        <v>0.87460000000000004</v>
      </c>
      <c r="I462" s="23">
        <v>41882</v>
      </c>
      <c r="J462" s="24">
        <v>92.614000000000004</v>
      </c>
      <c r="K462" s="2">
        <f t="shared" si="22"/>
        <v>0.92614000000000007</v>
      </c>
    </row>
    <row r="463" spans="1:11" ht="15" customHeight="1" thickBot="1">
      <c r="A463" s="8">
        <v>41943</v>
      </c>
      <c r="B463" s="5">
        <v>8.9999999999999998E-4</v>
      </c>
      <c r="C463" s="10">
        <v>2.5000000000000001E-2</v>
      </c>
      <c r="D463" s="10">
        <f t="shared" si="23"/>
        <v>2.41E-2</v>
      </c>
      <c r="E463" s="12">
        <f t="shared" si="24"/>
        <v>6.6027397260273976E-5</v>
      </c>
      <c r="F463" s="3">
        <f t="shared" si="25"/>
        <v>6.6027397260273979</v>
      </c>
      <c r="G463" s="15">
        <v>0.87980000000000003</v>
      </c>
      <c r="I463" s="23">
        <v>41912</v>
      </c>
      <c r="J463" s="24">
        <v>82.379549999999995</v>
      </c>
      <c r="K463" s="2">
        <f t="shared" si="22"/>
        <v>0.8237954999999999</v>
      </c>
    </row>
    <row r="464" spans="1:11" ht="15" customHeight="1" thickBot="1">
      <c r="A464" s="8">
        <v>41973</v>
      </c>
      <c r="B464" s="5">
        <v>8.9999999999999998E-4</v>
      </c>
      <c r="C464" s="10">
        <v>2.5000000000000001E-2</v>
      </c>
      <c r="D464" s="10">
        <f t="shared" si="23"/>
        <v>2.41E-2</v>
      </c>
      <c r="E464" s="12">
        <f t="shared" si="24"/>
        <v>6.6027397260273976E-5</v>
      </c>
      <c r="F464" s="3">
        <f t="shared" si="25"/>
        <v>6.6027397260273979</v>
      </c>
      <c r="G464" s="15">
        <v>0.85099999999999998</v>
      </c>
      <c r="I464" s="23">
        <v>41943</v>
      </c>
      <c r="J464" s="24">
        <v>81</v>
      </c>
      <c r="K464" s="2">
        <f t="shared" si="22"/>
        <v>0.81</v>
      </c>
    </row>
    <row r="465" spans="1:11" ht="15" customHeight="1" thickBot="1">
      <c r="A465" s="8">
        <v>42004</v>
      </c>
      <c r="B465" s="5">
        <v>1.1999999999999999E-3</v>
      </c>
      <c r="C465" s="10">
        <v>2.5000000000000001E-2</v>
      </c>
      <c r="D465" s="10">
        <f t="shared" si="23"/>
        <v>2.3800000000000002E-2</v>
      </c>
      <c r="E465" s="12">
        <f t="shared" si="24"/>
        <v>6.5205479452054796E-5</v>
      </c>
      <c r="F465" s="3">
        <f t="shared" si="25"/>
        <v>6.5205479452054798</v>
      </c>
      <c r="G465" s="15">
        <v>0.81699999999999995</v>
      </c>
      <c r="I465" s="23">
        <v>41973</v>
      </c>
      <c r="J465" s="24">
        <v>74</v>
      </c>
      <c r="K465" s="2">
        <f t="shared" si="22"/>
        <v>0.74</v>
      </c>
    </row>
    <row r="466" spans="1:11" ht="15" customHeight="1" thickBot="1">
      <c r="A466" s="8">
        <v>42035</v>
      </c>
      <c r="B466" s="5">
        <v>1.1000000000000001E-3</v>
      </c>
      <c r="C466" s="10">
        <v>2.5000000000000001E-2</v>
      </c>
      <c r="D466" s="10">
        <f t="shared" si="23"/>
        <v>2.3900000000000001E-2</v>
      </c>
      <c r="E466" s="12">
        <f t="shared" si="24"/>
        <v>6.5479452054794518E-5</v>
      </c>
      <c r="F466" s="3">
        <f t="shared" si="25"/>
        <v>6.5479452054794516</v>
      </c>
      <c r="G466" s="15">
        <v>0.77690000000000003</v>
      </c>
      <c r="I466" s="23">
        <v>42004</v>
      </c>
      <c r="J466" s="24">
        <v>68</v>
      </c>
      <c r="K466" s="2">
        <f t="shared" si="22"/>
        <v>0.68</v>
      </c>
    </row>
    <row r="467" spans="1:11" ht="15" customHeight="1">
      <c r="A467" s="8">
        <v>42063</v>
      </c>
      <c r="B467" s="5">
        <v>1.1000000000000001E-3</v>
      </c>
      <c r="C467" s="10">
        <v>2.2749999999999999E-2</v>
      </c>
      <c r="D467" s="10">
        <f t="shared" si="23"/>
        <v>2.1649999999999999E-2</v>
      </c>
      <c r="E467" s="12">
        <f t="shared" si="24"/>
        <v>5.9315068493150683E-5</v>
      </c>
      <c r="F467" s="3">
        <f t="shared" si="25"/>
        <v>5.9315068493150687</v>
      </c>
      <c r="G467" s="15">
        <v>0.78120000000000001</v>
      </c>
      <c r="I467" s="23">
        <v>42035</v>
      </c>
      <c r="J467" s="24">
        <v>68</v>
      </c>
      <c r="K467" s="2">
        <f t="shared" si="22"/>
        <v>0.68</v>
      </c>
    </row>
    <row r="468" spans="1:11" ht="15" customHeight="1">
      <c r="C468" s="10"/>
      <c r="I468" s="23">
        <v>42063</v>
      </c>
      <c r="J468" s="24">
        <v>63</v>
      </c>
      <c r="K468" s="2">
        <f t="shared" si="22"/>
        <v>0.63</v>
      </c>
    </row>
    <row r="469" spans="1:11" ht="15" customHeight="1">
      <c r="C469" s="10"/>
    </row>
    <row r="470" spans="1:11" ht="15" customHeight="1">
      <c r="C470" s="10"/>
    </row>
    <row r="471" spans="1:11" ht="15" customHeight="1">
      <c r="C471" s="10"/>
    </row>
    <row r="472" spans="1:11" ht="15" customHeight="1">
      <c r="C472" s="10"/>
    </row>
    <row r="473" spans="1:11" ht="15" customHeight="1">
      <c r="C473" s="10"/>
    </row>
    <row r="474" spans="1:11" ht="15" customHeight="1">
      <c r="C474" s="10"/>
    </row>
    <row r="475" spans="1:11" ht="15" customHeight="1">
      <c r="C475" s="10"/>
    </row>
    <row r="476" spans="1:11" ht="15" customHeight="1">
      <c r="C476" s="10"/>
    </row>
    <row r="477" spans="1:11" ht="15" customHeight="1">
      <c r="C477" s="10"/>
    </row>
    <row r="478" spans="1:11" ht="15" customHeight="1">
      <c r="C478" s="10"/>
    </row>
    <row r="479" spans="1:11" ht="15" customHeight="1">
      <c r="C479" s="10"/>
    </row>
    <row r="480" spans="1:11" ht="15" customHeight="1">
      <c r="C480" s="10"/>
    </row>
    <row r="481" spans="3:3" ht="15" customHeight="1">
      <c r="C481" s="10"/>
    </row>
    <row r="482" spans="3:3" ht="15" customHeight="1">
      <c r="C482" s="10"/>
    </row>
    <row r="483" spans="3:3" ht="15" customHeight="1">
      <c r="C483" s="10"/>
    </row>
    <row r="484" spans="3:3" ht="15" customHeight="1">
      <c r="C484" s="10"/>
    </row>
    <row r="485" spans="3:3" ht="15" customHeight="1">
      <c r="C485" s="10"/>
    </row>
    <row r="486" spans="3:3" ht="15" customHeight="1">
      <c r="C486" s="10"/>
    </row>
    <row r="487" spans="3:3" ht="15" customHeight="1">
      <c r="C487" s="10"/>
    </row>
    <row r="488" spans="3:3" ht="15" customHeight="1">
      <c r="C488" s="10"/>
    </row>
    <row r="489" spans="3:3" ht="15" customHeight="1">
      <c r="C489" s="10"/>
    </row>
    <row r="490" spans="3:3" ht="15" customHeight="1">
      <c r="C490" s="10"/>
    </row>
    <row r="491" spans="3:3" ht="15" customHeight="1">
      <c r="C491" s="10"/>
    </row>
    <row r="492" spans="3:3" ht="15" customHeight="1">
      <c r="C492" s="10"/>
    </row>
    <row r="493" spans="3:3" ht="15" customHeight="1">
      <c r="C493" s="10"/>
    </row>
    <row r="494" spans="3:3" ht="15" customHeight="1">
      <c r="C494" s="10"/>
    </row>
    <row r="495" spans="3:3" ht="15" customHeight="1">
      <c r="C495" s="10"/>
    </row>
    <row r="496" spans="3:3" ht="15" customHeight="1">
      <c r="C496" s="10"/>
    </row>
    <row r="497" spans="3:3" ht="15" customHeight="1">
      <c r="C497" s="10"/>
    </row>
    <row r="498" spans="3:3" ht="15" customHeight="1">
      <c r="C498" s="10"/>
    </row>
    <row r="499" spans="3:3" ht="15" customHeight="1">
      <c r="C499" s="10"/>
    </row>
    <row r="500" spans="3:3" ht="15" customHeight="1">
      <c r="C500" s="10"/>
    </row>
    <row r="501" spans="3:3" ht="15" customHeight="1">
      <c r="C501" s="10"/>
    </row>
    <row r="502" spans="3:3" ht="15" customHeight="1">
      <c r="C502" s="10"/>
    </row>
    <row r="503" spans="3:3" ht="15" customHeight="1">
      <c r="C503" s="10"/>
    </row>
    <row r="504" spans="3:3" ht="15" customHeight="1">
      <c r="C504" s="10"/>
    </row>
    <row r="505" spans="3:3" ht="15" customHeight="1">
      <c r="C505" s="10"/>
    </row>
    <row r="506" spans="3:3" ht="15" customHeight="1">
      <c r="C506" s="10"/>
    </row>
    <row r="507" spans="3:3" ht="15" customHeight="1">
      <c r="C507" s="10"/>
    </row>
    <row r="508" spans="3:3" ht="15" customHeight="1">
      <c r="C508" s="10"/>
    </row>
    <row r="509" spans="3:3" ht="15" customHeight="1">
      <c r="C509" s="10"/>
    </row>
    <row r="510" spans="3:3" ht="15" customHeight="1">
      <c r="C510" s="10"/>
    </row>
    <row r="511" spans="3:3" ht="15" customHeight="1">
      <c r="C511" s="10"/>
    </row>
    <row r="512" spans="3:3" ht="15" customHeight="1">
      <c r="C512" s="10"/>
    </row>
    <row r="513" spans="3:3" ht="15" customHeight="1">
      <c r="C513" s="10"/>
    </row>
    <row r="514" spans="3:3" ht="15" customHeight="1">
      <c r="C514" s="10"/>
    </row>
    <row r="515" spans="3:3" ht="15" customHeight="1">
      <c r="C515" s="10"/>
    </row>
    <row r="516" spans="3:3" ht="15" customHeight="1">
      <c r="C516" s="10"/>
    </row>
    <row r="517" spans="3:3" ht="15" customHeight="1">
      <c r="C517" s="10"/>
    </row>
    <row r="518" spans="3:3" ht="15" customHeight="1">
      <c r="C518" s="10"/>
    </row>
    <row r="519" spans="3:3" ht="15" customHeight="1">
      <c r="C519" s="10"/>
    </row>
    <row r="520" spans="3:3" ht="15" customHeight="1">
      <c r="C520" s="10"/>
    </row>
    <row r="521" spans="3:3" ht="15" customHeight="1">
      <c r="C521" s="10"/>
    </row>
    <row r="522" spans="3:3" ht="15" customHeight="1">
      <c r="C522" s="10"/>
    </row>
    <row r="523" spans="3:3" ht="15" customHeight="1">
      <c r="C523" s="10"/>
    </row>
    <row r="524" spans="3:3" ht="15" customHeight="1">
      <c r="C524" s="10"/>
    </row>
    <row r="525" spans="3:3" ht="15" customHeight="1">
      <c r="C525" s="10"/>
    </row>
    <row r="526" spans="3:3" ht="15" customHeight="1">
      <c r="C526" s="10"/>
    </row>
    <row r="527" spans="3:3" ht="15" customHeight="1">
      <c r="C527" s="10"/>
    </row>
    <row r="528" spans="3:3" ht="15" customHeight="1">
      <c r="C528" s="10"/>
    </row>
    <row r="529" spans="3:3" ht="15" customHeight="1">
      <c r="C529" s="10"/>
    </row>
    <row r="530" spans="3:3" ht="15" customHeight="1">
      <c r="C530" s="10"/>
    </row>
    <row r="531" spans="3:3" ht="15" customHeight="1">
      <c r="C531" s="10"/>
    </row>
    <row r="532" spans="3:3" ht="15" customHeight="1">
      <c r="C532" s="10"/>
    </row>
    <row r="533" spans="3:3" ht="15" customHeight="1">
      <c r="C533" s="10"/>
    </row>
    <row r="534" spans="3:3" ht="15" customHeight="1">
      <c r="C534" s="10"/>
    </row>
    <row r="535" spans="3:3" ht="15" customHeight="1">
      <c r="C535" s="10"/>
    </row>
    <row r="536" spans="3:3" ht="15" customHeight="1">
      <c r="C536" s="10"/>
    </row>
    <row r="537" spans="3:3" ht="15" customHeight="1">
      <c r="C537" s="10"/>
    </row>
    <row r="538" spans="3:3" ht="15" customHeight="1">
      <c r="C538" s="10"/>
    </row>
    <row r="539" spans="3:3" ht="15" customHeight="1">
      <c r="C539" s="10"/>
    </row>
    <row r="540" spans="3:3" ht="15" customHeight="1">
      <c r="C540" s="10"/>
    </row>
    <row r="541" spans="3:3" ht="15" customHeight="1">
      <c r="C541" s="10"/>
    </row>
    <row r="542" spans="3:3" ht="15" customHeight="1">
      <c r="C542" s="10"/>
    </row>
    <row r="543" spans="3:3" ht="15" customHeight="1">
      <c r="C543" s="10"/>
    </row>
    <row r="544" spans="3:3" ht="15" customHeight="1">
      <c r="C544" s="10"/>
    </row>
    <row r="545" spans="3:3" ht="15" customHeight="1">
      <c r="C545" s="10"/>
    </row>
    <row r="546" spans="3:3" ht="15" customHeight="1">
      <c r="C546" s="10"/>
    </row>
    <row r="547" spans="3:3" ht="15" customHeight="1">
      <c r="C547" s="10"/>
    </row>
    <row r="548" spans="3:3" ht="15" customHeight="1">
      <c r="C548" s="10"/>
    </row>
    <row r="549" spans="3:3" ht="15" customHeight="1">
      <c r="C549" s="10"/>
    </row>
    <row r="550" spans="3:3" ht="15" customHeight="1">
      <c r="C550" s="10"/>
    </row>
    <row r="551" spans="3:3" ht="15" customHeight="1">
      <c r="C551" s="10"/>
    </row>
    <row r="552" spans="3:3" ht="15" customHeight="1">
      <c r="C552" s="10"/>
    </row>
    <row r="553" spans="3:3" ht="15" customHeight="1">
      <c r="C553" s="10"/>
    </row>
    <row r="554" spans="3:3" ht="15" customHeight="1">
      <c r="C554" s="10"/>
    </row>
    <row r="555" spans="3:3" ht="15" customHeight="1">
      <c r="C555" s="10"/>
    </row>
    <row r="556" spans="3:3" ht="15" customHeight="1">
      <c r="C556" s="10"/>
    </row>
    <row r="557" spans="3:3" ht="15" customHeight="1">
      <c r="C557" s="10"/>
    </row>
    <row r="558" spans="3:3" ht="15" customHeight="1">
      <c r="C558" s="10"/>
    </row>
    <row r="559" spans="3:3" ht="15" customHeight="1">
      <c r="C559" s="10"/>
    </row>
    <row r="560" spans="3:3" ht="15" customHeight="1">
      <c r="C560" s="10"/>
    </row>
    <row r="561" spans="3:3" ht="15" customHeight="1">
      <c r="C561" s="10"/>
    </row>
    <row r="562" spans="3:3" ht="15" customHeight="1">
      <c r="C562" s="10"/>
    </row>
    <row r="563" spans="3:3" ht="15" customHeight="1">
      <c r="C563" s="10"/>
    </row>
    <row r="564" spans="3:3" ht="15" customHeight="1">
      <c r="C564" s="10"/>
    </row>
    <row r="565" spans="3:3" ht="15" customHeight="1">
      <c r="C565" s="10"/>
    </row>
    <row r="566" spans="3:3" ht="15" customHeight="1">
      <c r="C566" s="10"/>
    </row>
    <row r="567" spans="3:3" ht="15" customHeight="1">
      <c r="C567" s="10"/>
    </row>
    <row r="568" spans="3:3" ht="15" customHeight="1">
      <c r="C568" s="10"/>
    </row>
    <row r="569" spans="3:3" ht="15" customHeight="1">
      <c r="C569" s="10"/>
    </row>
    <row r="570" spans="3:3" ht="15" customHeight="1">
      <c r="C570" s="10"/>
    </row>
    <row r="571" spans="3:3" ht="15" customHeight="1">
      <c r="C571" s="10"/>
    </row>
    <row r="572" spans="3:3" ht="15" customHeight="1">
      <c r="C572" s="10"/>
    </row>
    <row r="573" spans="3:3" ht="15" customHeight="1">
      <c r="C573" s="10"/>
    </row>
    <row r="574" spans="3:3" ht="15" customHeight="1">
      <c r="C574" s="10"/>
    </row>
    <row r="575" spans="3:3" ht="15" customHeight="1">
      <c r="C575" s="10"/>
    </row>
    <row r="576" spans="3:3" ht="15" customHeight="1">
      <c r="C576" s="10"/>
    </row>
    <row r="577" spans="3:3" ht="15" customHeight="1">
      <c r="C577" s="10"/>
    </row>
    <row r="578" spans="3:3" ht="15" customHeight="1">
      <c r="C578" s="10"/>
    </row>
    <row r="579" spans="3:3" ht="15" customHeight="1">
      <c r="C579" s="10"/>
    </row>
    <row r="580" spans="3:3" ht="15" customHeight="1">
      <c r="C580" s="10"/>
    </row>
    <row r="581" spans="3:3" ht="15" customHeight="1">
      <c r="C581" s="10"/>
    </row>
    <row r="582" spans="3:3" ht="15" customHeight="1">
      <c r="C582" s="10"/>
    </row>
    <row r="583" spans="3:3" ht="15" customHeight="1">
      <c r="C583" s="10"/>
    </row>
    <row r="584" spans="3:3" ht="15" customHeight="1">
      <c r="C584" s="10"/>
    </row>
    <row r="585" spans="3:3" ht="15" customHeight="1">
      <c r="C585" s="10"/>
    </row>
    <row r="586" spans="3:3" ht="15" customHeight="1">
      <c r="C586" s="10"/>
    </row>
    <row r="587" spans="3:3" ht="15" customHeight="1">
      <c r="C587" s="10"/>
    </row>
    <row r="588" spans="3:3" ht="15" customHeight="1">
      <c r="C588" s="10"/>
    </row>
    <row r="589" spans="3:3" ht="15" customHeight="1">
      <c r="C589" s="10"/>
    </row>
    <row r="590" spans="3:3" ht="15" customHeight="1">
      <c r="C590" s="10"/>
    </row>
    <row r="591" spans="3:3" ht="15" customHeight="1">
      <c r="C591" s="10"/>
    </row>
    <row r="592" spans="3:3" ht="15" customHeight="1">
      <c r="C592" s="10"/>
    </row>
    <row r="593" spans="3:3" ht="15" customHeight="1">
      <c r="C593" s="10"/>
    </row>
    <row r="594" spans="3:3" ht="15" customHeight="1">
      <c r="C594" s="10"/>
    </row>
    <row r="595" spans="3:3" ht="15" customHeight="1">
      <c r="C595" s="10"/>
    </row>
    <row r="596" spans="3:3" ht="15" customHeight="1">
      <c r="C596" s="10"/>
    </row>
    <row r="597" spans="3:3" ht="15" customHeight="1">
      <c r="C597" s="10"/>
    </row>
    <row r="598" spans="3:3" ht="15" customHeight="1">
      <c r="C598" s="10"/>
    </row>
    <row r="599" spans="3:3" ht="15" customHeight="1">
      <c r="C599" s="10"/>
    </row>
    <row r="600" spans="3:3" ht="15" customHeight="1">
      <c r="C600" s="10"/>
    </row>
    <row r="601" spans="3:3" ht="15" customHeight="1">
      <c r="C601" s="10"/>
    </row>
    <row r="602" spans="3:3" ht="15" customHeight="1">
      <c r="C602" s="10"/>
    </row>
    <row r="603" spans="3:3" ht="15" customHeight="1">
      <c r="C603" s="10"/>
    </row>
    <row r="604" spans="3:3" ht="15" customHeight="1">
      <c r="C604" s="10"/>
    </row>
    <row r="605" spans="3:3" ht="15" customHeight="1">
      <c r="C605" s="10"/>
    </row>
    <row r="606" spans="3:3" ht="15" customHeight="1">
      <c r="C606" s="10"/>
    </row>
    <row r="607" spans="3:3" ht="15" customHeight="1">
      <c r="C607" s="10"/>
    </row>
    <row r="608" spans="3:3" ht="15" customHeight="1">
      <c r="C608" s="10"/>
    </row>
    <row r="609" spans="3:3" ht="15" customHeight="1">
      <c r="C609" s="10"/>
    </row>
    <row r="610" spans="3:3" ht="15" customHeight="1">
      <c r="C610" s="10"/>
    </row>
    <row r="611" spans="3:3" ht="15" customHeight="1">
      <c r="C611" s="10"/>
    </row>
    <row r="612" spans="3:3" ht="15" customHeight="1">
      <c r="C612" s="10"/>
    </row>
    <row r="613" spans="3:3" ht="15" customHeight="1">
      <c r="C613" s="10"/>
    </row>
    <row r="614" spans="3:3" ht="15" customHeight="1">
      <c r="C614" s="10"/>
    </row>
    <row r="615" spans="3:3" ht="15" customHeight="1">
      <c r="C615" s="10"/>
    </row>
    <row r="616" spans="3:3" ht="15" customHeight="1">
      <c r="C616" s="10"/>
    </row>
    <row r="617" spans="3:3" ht="15" customHeight="1">
      <c r="C617" s="10"/>
    </row>
    <row r="618" spans="3:3" ht="15" customHeight="1">
      <c r="C618" s="10"/>
    </row>
    <row r="619" spans="3:3" ht="15" customHeight="1">
      <c r="C619" s="10"/>
    </row>
    <row r="620" spans="3:3" ht="15" customHeight="1">
      <c r="C620" s="10"/>
    </row>
    <row r="621" spans="3:3" ht="15" customHeight="1">
      <c r="C621" s="10"/>
    </row>
    <row r="622" spans="3:3" ht="15" customHeight="1">
      <c r="C622" s="10"/>
    </row>
  </sheetData>
  <printOptions headings="1" gridLines="1"/>
  <pageMargins left="0.70866141732283472" right="0.70866141732283472" top="0.74803149606299213" bottom="0.74803149606299213" header="0.31496062992125984" footer="0.31496062992125984"/>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2607-EEE0-48E5-907D-3955D4A655D8}">
  <dimension ref="A1:N5666"/>
  <sheetViews>
    <sheetView topLeftCell="C40" workbookViewId="0">
      <selection activeCell="H33" sqref="H33"/>
    </sheetView>
  </sheetViews>
  <sheetFormatPr defaultRowHeight="14.25"/>
  <cols>
    <col min="1" max="1" width="11.33203125" style="24" customWidth="1"/>
    <col min="2" max="2" width="10.86328125" style="24" customWidth="1"/>
    <col min="3" max="3" width="9.1328125" style="24" customWidth="1"/>
    <col min="4" max="4" width="14" style="47" customWidth="1"/>
    <col min="5" max="5" width="4.53125" customWidth="1"/>
    <col min="6" max="6" width="10.46484375" customWidth="1"/>
    <col min="7" max="7" width="10.33203125" customWidth="1"/>
  </cols>
  <sheetData>
    <row r="1" spans="1:4" s="42" customFormat="1">
      <c r="A1" s="22" t="s">
        <v>0</v>
      </c>
      <c r="B1" s="22" t="s">
        <v>193</v>
      </c>
      <c r="C1" s="22" t="s">
        <v>194</v>
      </c>
      <c r="D1" s="121" t="s">
        <v>195</v>
      </c>
    </row>
    <row r="2" spans="1:4">
      <c r="A2" s="122">
        <v>42095</v>
      </c>
      <c r="B2" s="24">
        <v>0.76039999999999996</v>
      </c>
      <c r="C2" s="24">
        <v>5860.8</v>
      </c>
      <c r="D2" s="47">
        <f>C2*B2</f>
        <v>4456.5523199999998</v>
      </c>
    </row>
    <row r="3" spans="1:4">
      <c r="A3" s="122">
        <v>42094</v>
      </c>
      <c r="B3" s="24">
        <v>0.76119999999999999</v>
      </c>
      <c r="C3" s="24">
        <v>5891.5</v>
      </c>
      <c r="D3" s="47">
        <f t="shared" ref="D3:D66" si="0">C3*B3</f>
        <v>4484.6098000000002</v>
      </c>
    </row>
    <row r="4" spans="1:4">
      <c r="A4" s="122">
        <v>42093</v>
      </c>
      <c r="B4" s="24">
        <v>0.76559999999999995</v>
      </c>
      <c r="C4" s="24">
        <v>5846.1</v>
      </c>
      <c r="D4" s="47">
        <f t="shared" si="0"/>
        <v>4475.7741599999999</v>
      </c>
    </row>
    <row r="5" spans="1:4">
      <c r="A5" s="122">
        <v>42092</v>
      </c>
      <c r="B5" s="24">
        <v>0.7732</v>
      </c>
      <c r="C5" s="24">
        <v>5919.9</v>
      </c>
      <c r="D5" s="47">
        <f t="shared" si="0"/>
        <v>4577.2666799999997</v>
      </c>
    </row>
    <row r="6" spans="1:4">
      <c r="A6" s="122">
        <v>42091</v>
      </c>
      <c r="B6" s="24">
        <v>0.77229999999999999</v>
      </c>
      <c r="C6" s="24">
        <v>5879.1</v>
      </c>
      <c r="D6" s="47">
        <f t="shared" si="0"/>
        <v>4540.42893</v>
      </c>
    </row>
    <row r="7" spans="1:4">
      <c r="A7" s="122">
        <v>42090</v>
      </c>
      <c r="B7" s="24">
        <v>0.77229999999999999</v>
      </c>
      <c r="C7" s="24">
        <v>5973.3</v>
      </c>
      <c r="D7" s="47">
        <f t="shared" si="0"/>
        <v>4613.1795899999997</v>
      </c>
    </row>
    <row r="8" spans="1:4">
      <c r="A8" s="122">
        <v>42089</v>
      </c>
      <c r="B8" s="24">
        <v>0.78310000000000002</v>
      </c>
      <c r="C8" s="24">
        <v>5969.1</v>
      </c>
      <c r="D8" s="47">
        <f t="shared" si="0"/>
        <v>4674.4022100000002</v>
      </c>
    </row>
    <row r="9" spans="1:4">
      <c r="A9" s="122">
        <v>42088</v>
      </c>
      <c r="B9" s="24">
        <v>0.7823</v>
      </c>
      <c r="C9" s="24">
        <v>5956.1</v>
      </c>
      <c r="D9" s="47">
        <f t="shared" si="0"/>
        <v>4659.4570300000005</v>
      </c>
    </row>
    <row r="10" spans="1:4">
      <c r="A10" s="122">
        <v>42087</v>
      </c>
      <c r="B10" s="24">
        <v>0.78590000000000004</v>
      </c>
      <c r="C10" s="24">
        <v>5975.5</v>
      </c>
      <c r="D10" s="47">
        <f t="shared" si="0"/>
        <v>4696.14545</v>
      </c>
    </row>
    <row r="11" spans="1:4">
      <c r="A11" s="122">
        <v>42086</v>
      </c>
      <c r="B11" s="24">
        <v>0.7873</v>
      </c>
      <c r="C11" s="24">
        <v>5950.8</v>
      </c>
      <c r="D11" s="47">
        <f t="shared" si="0"/>
        <v>4685.06484</v>
      </c>
    </row>
    <row r="12" spans="1:4">
      <c r="A12" s="122">
        <v>42085</v>
      </c>
      <c r="B12" s="24">
        <v>0.77810000000000001</v>
      </c>
      <c r="C12" s="24">
        <v>5842.3</v>
      </c>
      <c r="D12" s="47">
        <f t="shared" si="0"/>
        <v>4545.8936300000005</v>
      </c>
    </row>
    <row r="13" spans="1:4">
      <c r="A13" s="122">
        <v>42084</v>
      </c>
      <c r="B13" s="24">
        <v>0.77759999999999996</v>
      </c>
      <c r="C13" s="24">
        <v>5842.1</v>
      </c>
      <c r="D13" s="47">
        <f t="shared" si="0"/>
        <v>4542.8169600000001</v>
      </c>
    </row>
    <row r="14" spans="1:4">
      <c r="A14" s="122">
        <v>42083</v>
      </c>
      <c r="B14" s="24">
        <v>0.77759999999999996</v>
      </c>
      <c r="C14" s="24">
        <v>5797.7</v>
      </c>
      <c r="D14" s="47">
        <f t="shared" si="0"/>
        <v>4508.2915199999998</v>
      </c>
    </row>
    <row r="15" spans="1:4">
      <c r="A15" s="122">
        <v>42082</v>
      </c>
      <c r="B15" s="24">
        <v>0.76559999999999995</v>
      </c>
      <c r="C15" s="24">
        <v>5814.5</v>
      </c>
      <c r="D15" s="47">
        <f t="shared" si="0"/>
        <v>4451.5811999999996</v>
      </c>
    </row>
    <row r="16" spans="1:4">
      <c r="A16" s="122">
        <v>42081</v>
      </c>
      <c r="B16" s="24">
        <v>0.77769999999999995</v>
      </c>
      <c r="C16" s="24">
        <v>5850.2</v>
      </c>
      <c r="D16" s="47">
        <f t="shared" si="0"/>
        <v>4549.7005399999998</v>
      </c>
    </row>
    <row r="17" spans="1:7">
      <c r="A17" s="122">
        <v>42080</v>
      </c>
      <c r="B17" s="24">
        <v>0.76249999999999996</v>
      </c>
      <c r="C17" s="24">
        <v>5793.2</v>
      </c>
      <c r="D17" s="47">
        <f t="shared" si="0"/>
        <v>4417.3149999999996</v>
      </c>
    </row>
    <row r="18" spans="1:7">
      <c r="A18" s="122">
        <v>42079</v>
      </c>
      <c r="B18" s="24">
        <v>0.76449999999999996</v>
      </c>
      <c r="C18" s="24">
        <v>5824.2</v>
      </c>
      <c r="D18" s="47">
        <f t="shared" si="0"/>
        <v>4452.6008999999995</v>
      </c>
    </row>
    <row r="19" spans="1:7">
      <c r="A19" s="122">
        <v>42078</v>
      </c>
      <c r="B19" s="24">
        <v>0.76129999999999998</v>
      </c>
      <c r="C19" s="24">
        <v>5821.3</v>
      </c>
      <c r="D19" s="47">
        <f t="shared" si="0"/>
        <v>4431.75569</v>
      </c>
    </row>
    <row r="20" spans="1:7">
      <c r="A20" s="122">
        <v>42077</v>
      </c>
      <c r="B20" s="24">
        <v>0.76319999999999999</v>
      </c>
      <c r="C20" s="24">
        <v>5898.9</v>
      </c>
      <c r="D20" s="47">
        <f t="shared" si="0"/>
        <v>4502.0404799999997</v>
      </c>
    </row>
    <row r="21" spans="1:7">
      <c r="A21" s="122">
        <v>42076</v>
      </c>
      <c r="B21" s="24">
        <v>0.76319999999999999</v>
      </c>
      <c r="C21" s="24">
        <v>5904.2</v>
      </c>
      <c r="D21" s="47">
        <f t="shared" si="0"/>
        <v>4506.0854399999998</v>
      </c>
    </row>
    <row r="22" spans="1:7">
      <c r="A22" s="122">
        <v>42075</v>
      </c>
      <c r="B22" s="24">
        <v>0.77039999999999997</v>
      </c>
      <c r="C22" s="24">
        <v>5901.6</v>
      </c>
      <c r="D22" s="47">
        <f t="shared" si="0"/>
        <v>4546.5926399999998</v>
      </c>
    </row>
    <row r="23" spans="1:7">
      <c r="A23" s="122">
        <v>42074</v>
      </c>
      <c r="B23" s="24">
        <v>0.76019999999999999</v>
      </c>
      <c r="C23" s="24">
        <v>5933.9</v>
      </c>
      <c r="D23" s="47">
        <f t="shared" si="0"/>
        <v>4510.9507799999992</v>
      </c>
    </row>
    <row r="24" spans="1:7">
      <c r="A24" s="122">
        <v>42073</v>
      </c>
      <c r="B24" s="24">
        <v>0.7641</v>
      </c>
      <c r="C24" s="24">
        <v>5958.9</v>
      </c>
      <c r="D24" s="47">
        <f t="shared" si="0"/>
        <v>4553.1954900000001</v>
      </c>
    </row>
    <row r="25" spans="1:7">
      <c r="A25" s="122">
        <v>42072</v>
      </c>
      <c r="B25" s="24">
        <v>0.76800000000000002</v>
      </c>
      <c r="C25" s="24">
        <v>5928.8</v>
      </c>
      <c r="D25" s="47">
        <f t="shared" si="0"/>
        <v>4553.3184000000001</v>
      </c>
    </row>
    <row r="26" spans="1:7">
      <c r="A26" s="122">
        <v>42071</v>
      </c>
      <c r="B26" s="24">
        <v>0.77210000000000001</v>
      </c>
      <c r="C26" s="24">
        <v>5908.5</v>
      </c>
      <c r="D26" s="47">
        <f t="shared" si="0"/>
        <v>4561.9528499999997</v>
      </c>
    </row>
    <row r="27" spans="1:7">
      <c r="A27" s="122">
        <v>42070</v>
      </c>
      <c r="B27" s="24">
        <v>0.77139999999999997</v>
      </c>
      <c r="C27" s="24">
        <v>5944.9</v>
      </c>
      <c r="D27" s="47">
        <f t="shared" si="0"/>
        <v>4585.8958599999996</v>
      </c>
    </row>
    <row r="28" spans="1:7">
      <c r="A28" s="122">
        <v>42069</v>
      </c>
      <c r="B28" s="24">
        <v>0.77139999999999997</v>
      </c>
      <c r="C28" s="24">
        <v>5927</v>
      </c>
      <c r="D28" s="47">
        <f t="shared" si="0"/>
        <v>4572.0878000000002</v>
      </c>
    </row>
    <row r="29" spans="1:7">
      <c r="A29" s="122">
        <v>42068</v>
      </c>
      <c r="B29" s="24">
        <v>0.77839999999999998</v>
      </c>
      <c r="C29" s="24">
        <v>5908</v>
      </c>
      <c r="D29" s="47">
        <f t="shared" si="0"/>
        <v>4598.7871999999998</v>
      </c>
    </row>
    <row r="30" spans="1:7">
      <c r="A30" s="122">
        <v>42067</v>
      </c>
      <c r="B30" s="24">
        <v>0.78220000000000001</v>
      </c>
      <c r="C30" s="24">
        <v>5881.5</v>
      </c>
      <c r="D30" s="47">
        <f t="shared" si="0"/>
        <v>4600.5092999999997</v>
      </c>
      <c r="F30" s="42" t="s">
        <v>196</v>
      </c>
      <c r="G30" s="59" t="s">
        <v>197</v>
      </c>
    </row>
    <row r="31" spans="1:7">
      <c r="A31" s="122">
        <v>42066</v>
      </c>
      <c r="B31" s="24">
        <v>0.78220000000000001</v>
      </c>
      <c r="C31" s="24">
        <v>5904.2</v>
      </c>
      <c r="D31" s="47">
        <f t="shared" si="0"/>
        <v>4618.2652399999997</v>
      </c>
      <c r="G31" s="59" t="s">
        <v>198</v>
      </c>
    </row>
    <row r="32" spans="1:7">
      <c r="A32" s="122">
        <v>42065</v>
      </c>
      <c r="B32" s="24">
        <v>0.7752</v>
      </c>
      <c r="C32" s="24">
        <v>5915.7</v>
      </c>
      <c r="D32" s="47">
        <f t="shared" si="0"/>
        <v>4585.8506399999997</v>
      </c>
    </row>
    <row r="33" spans="1:11">
      <c r="A33" s="122">
        <v>42064</v>
      </c>
      <c r="B33" s="24">
        <v>0.77810000000000001</v>
      </c>
      <c r="C33" s="24">
        <v>5858.2</v>
      </c>
      <c r="D33" s="47">
        <f t="shared" si="0"/>
        <v>4558.2654199999997</v>
      </c>
      <c r="F33" t="s">
        <v>224</v>
      </c>
    </row>
    <row r="34" spans="1:11">
      <c r="A34" s="122">
        <v>42063</v>
      </c>
      <c r="B34" s="24">
        <v>0.78069999999999995</v>
      </c>
      <c r="C34" s="24">
        <v>5888.7</v>
      </c>
      <c r="D34" s="47">
        <f t="shared" si="0"/>
        <v>4597.3080899999995</v>
      </c>
      <c r="F34" t="s">
        <v>205</v>
      </c>
    </row>
    <row r="35" spans="1:11">
      <c r="A35" s="122">
        <v>42062</v>
      </c>
      <c r="B35" s="24">
        <v>0.78069999999999995</v>
      </c>
      <c r="C35" s="24">
        <v>5877.5</v>
      </c>
      <c r="D35" s="47">
        <f t="shared" si="0"/>
        <v>4588.5642499999994</v>
      </c>
      <c r="F35" t="s">
        <v>199</v>
      </c>
    </row>
    <row r="36" spans="1:11">
      <c r="A36" s="122">
        <v>42061</v>
      </c>
      <c r="B36" s="24">
        <v>0.78059999999999996</v>
      </c>
      <c r="C36" s="24">
        <v>5743.6</v>
      </c>
      <c r="D36" s="47">
        <f t="shared" si="0"/>
        <v>4483.4541600000002</v>
      </c>
    </row>
    <row r="37" spans="1:11">
      <c r="A37" s="122">
        <v>42060</v>
      </c>
      <c r="B37" s="24">
        <v>0.78800000000000003</v>
      </c>
      <c r="C37" s="24">
        <v>5769.1</v>
      </c>
      <c r="D37" s="47">
        <f t="shared" si="0"/>
        <v>4546.0508000000009</v>
      </c>
      <c r="F37" t="s">
        <v>206</v>
      </c>
    </row>
    <row r="38" spans="1:11">
      <c r="A38" s="122">
        <v>42059</v>
      </c>
      <c r="B38" s="24">
        <v>0.78339999999999999</v>
      </c>
      <c r="C38" s="24">
        <v>5800.6</v>
      </c>
      <c r="D38" s="47">
        <f t="shared" si="0"/>
        <v>4544.1900400000004</v>
      </c>
      <c r="F38" t="s">
        <v>225</v>
      </c>
    </row>
    <row r="39" spans="1:11">
      <c r="A39" s="122">
        <v>42058</v>
      </c>
      <c r="B39" s="24">
        <v>0.77980000000000005</v>
      </c>
      <c r="C39" s="24">
        <v>5814.9</v>
      </c>
      <c r="D39" s="47">
        <f t="shared" si="0"/>
        <v>4534.4590200000002</v>
      </c>
    </row>
    <row r="40" spans="1:11">
      <c r="A40" s="122">
        <v>42057</v>
      </c>
      <c r="B40" s="24">
        <v>0.78439999999999999</v>
      </c>
      <c r="C40" s="24">
        <v>5820.2</v>
      </c>
      <c r="D40" s="47">
        <f t="shared" si="0"/>
        <v>4565.3648800000001</v>
      </c>
      <c r="F40" t="s">
        <v>248</v>
      </c>
    </row>
    <row r="41" spans="1:11">
      <c r="A41" s="122">
        <v>42056</v>
      </c>
      <c r="B41" s="24">
        <v>0.78400000000000003</v>
      </c>
      <c r="C41" s="24">
        <v>5811</v>
      </c>
      <c r="D41" s="47">
        <f t="shared" si="0"/>
        <v>4555.8240000000005</v>
      </c>
      <c r="F41" t="s">
        <v>249</v>
      </c>
    </row>
    <row r="42" spans="1:11">
      <c r="A42" s="122">
        <v>42055</v>
      </c>
      <c r="B42" s="24">
        <v>0.78420000000000001</v>
      </c>
      <c r="C42" s="24">
        <v>5777.3</v>
      </c>
      <c r="D42" s="47">
        <f t="shared" si="0"/>
        <v>4530.5586600000006</v>
      </c>
      <c r="F42" t="s">
        <v>208</v>
      </c>
    </row>
    <row r="43" spans="1:11">
      <c r="A43" s="122">
        <v>42054</v>
      </c>
      <c r="B43" s="24">
        <v>0.77910000000000001</v>
      </c>
      <c r="C43" s="24">
        <v>5707.4</v>
      </c>
      <c r="D43" s="47">
        <f t="shared" si="0"/>
        <v>4446.6353399999998</v>
      </c>
      <c r="F43" t="s">
        <v>209</v>
      </c>
    </row>
    <row r="44" spans="1:11">
      <c r="A44" s="122">
        <v>42053</v>
      </c>
      <c r="B44" s="24">
        <v>0.78069999999999995</v>
      </c>
      <c r="C44" s="24">
        <v>5625.3</v>
      </c>
      <c r="D44" s="47">
        <f t="shared" si="0"/>
        <v>4391.6717099999996</v>
      </c>
    </row>
    <row r="45" spans="1:11">
      <c r="A45" s="122">
        <v>42052</v>
      </c>
      <c r="B45" s="24">
        <v>0.78100000000000003</v>
      </c>
      <c r="C45" s="24">
        <v>5588.3</v>
      </c>
      <c r="D45" s="47">
        <f t="shared" si="0"/>
        <v>4364.4623000000001</v>
      </c>
      <c r="G45" s="49" t="s">
        <v>0</v>
      </c>
      <c r="H45" s="49" t="s">
        <v>193</v>
      </c>
      <c r="I45" s="49" t="s">
        <v>226</v>
      </c>
      <c r="J45" s="49" t="s">
        <v>227</v>
      </c>
      <c r="K45" s="50"/>
    </row>
    <row r="46" spans="1:11">
      <c r="A46" s="122">
        <v>42051</v>
      </c>
      <c r="B46" s="24">
        <v>0.77549999999999997</v>
      </c>
      <c r="C46" s="24">
        <v>5569.5</v>
      </c>
      <c r="D46" s="47">
        <f t="shared" si="0"/>
        <v>4319.14725</v>
      </c>
      <c r="F46" s="101" t="s">
        <v>200</v>
      </c>
      <c r="G46" s="126">
        <v>40161</v>
      </c>
      <c r="H46" s="50">
        <v>0.91679999999999995</v>
      </c>
      <c r="I46" s="50">
        <v>6771.9</v>
      </c>
      <c r="J46" s="109">
        <v>6208.4779199999994</v>
      </c>
      <c r="K46" s="101"/>
    </row>
    <row r="47" spans="1:11">
      <c r="A47" s="122">
        <v>42050</v>
      </c>
      <c r="B47" s="24">
        <v>0.77629999999999999</v>
      </c>
      <c r="C47" s="24">
        <v>5552.8</v>
      </c>
      <c r="D47" s="47">
        <f t="shared" si="0"/>
        <v>4310.6386400000001</v>
      </c>
      <c r="F47" s="101" t="s">
        <v>202</v>
      </c>
      <c r="G47" s="126">
        <v>42095</v>
      </c>
      <c r="H47" s="50">
        <v>0.76039999999999996</v>
      </c>
      <c r="I47" s="50">
        <v>5860.8</v>
      </c>
      <c r="J47" s="109">
        <f>I47*H47</f>
        <v>4456.5523199999998</v>
      </c>
      <c r="K47" s="112">
        <f>(J46-J47)/J46</f>
        <v>0.2821827865983616</v>
      </c>
    </row>
    <row r="48" spans="1:11">
      <c r="A48" s="122">
        <v>42049</v>
      </c>
      <c r="B48" s="24">
        <v>0.77490000000000003</v>
      </c>
      <c r="C48" s="24">
        <v>5547.2</v>
      </c>
      <c r="D48" s="47">
        <f t="shared" si="0"/>
        <v>4298.5252799999998</v>
      </c>
      <c r="F48" s="101" t="s">
        <v>207</v>
      </c>
      <c r="G48" s="112">
        <f>K47</f>
        <v>0.2821827865983616</v>
      </c>
      <c r="H48" s="101"/>
      <c r="I48" s="101"/>
      <c r="J48" s="101"/>
      <c r="K48" s="101"/>
    </row>
    <row r="49" spans="1:14">
      <c r="A49" s="122">
        <v>42048</v>
      </c>
      <c r="B49" s="24">
        <v>0.77669999999999995</v>
      </c>
      <c r="C49" s="24">
        <v>5501.8</v>
      </c>
      <c r="D49" s="47">
        <f t="shared" si="0"/>
        <v>4273.2480599999999</v>
      </c>
    </row>
    <row r="50" spans="1:14">
      <c r="A50" s="122">
        <v>42047</v>
      </c>
      <c r="B50" s="24">
        <v>0.77659999999999996</v>
      </c>
      <c r="C50" s="24">
        <v>5501.8</v>
      </c>
      <c r="D50" s="47">
        <f t="shared" si="0"/>
        <v>4272.6978799999997</v>
      </c>
      <c r="K50" s="49" t="s">
        <v>201</v>
      </c>
      <c r="L50" s="49" t="s">
        <v>93</v>
      </c>
    </row>
    <row r="51" spans="1:14">
      <c r="A51" s="122">
        <v>42046</v>
      </c>
      <c r="B51" s="24">
        <v>0.77129999999999999</v>
      </c>
      <c r="C51" s="24">
        <v>5419.9</v>
      </c>
      <c r="D51" s="47">
        <f t="shared" si="0"/>
        <v>4180.3688699999993</v>
      </c>
      <c r="K51" s="50">
        <v>25</v>
      </c>
      <c r="L51" s="51">
        <v>2</v>
      </c>
    </row>
    <row r="52" spans="1:14">
      <c r="A52" s="122">
        <v>42045</v>
      </c>
      <c r="B52" s="24">
        <v>0.77790000000000004</v>
      </c>
      <c r="C52" s="24">
        <v>5393.4</v>
      </c>
      <c r="D52" s="47">
        <f t="shared" si="0"/>
        <v>4195.5258599999997</v>
      </c>
      <c r="K52" s="50">
        <v>20</v>
      </c>
      <c r="L52" s="51">
        <v>3</v>
      </c>
    </row>
    <row r="53" spans="1:14">
      <c r="A53" s="122">
        <v>42044</v>
      </c>
      <c r="B53" s="24">
        <v>0.77959999999999996</v>
      </c>
      <c r="C53" s="24">
        <v>5307.7</v>
      </c>
      <c r="D53" s="47">
        <f t="shared" si="0"/>
        <v>4137.88292</v>
      </c>
      <c r="K53" s="50">
        <v>18</v>
      </c>
      <c r="L53" s="51">
        <v>5</v>
      </c>
    </row>
    <row r="54" spans="1:14">
      <c r="A54" s="122">
        <v>42043</v>
      </c>
      <c r="B54" s="24">
        <v>0.77680000000000005</v>
      </c>
      <c r="C54" s="24">
        <v>5309.1</v>
      </c>
      <c r="D54" s="47">
        <f t="shared" si="0"/>
        <v>4124.1088800000007</v>
      </c>
      <c r="K54" s="50">
        <v>16</v>
      </c>
      <c r="L54" s="51">
        <v>7</v>
      </c>
    </row>
    <row r="55" spans="1:14">
      <c r="A55" s="122">
        <v>42042</v>
      </c>
      <c r="B55" s="24">
        <v>0.7792</v>
      </c>
      <c r="C55" s="24">
        <v>5299.2</v>
      </c>
      <c r="D55" s="47">
        <f t="shared" si="0"/>
        <v>4129.1366399999997</v>
      </c>
      <c r="K55" s="50">
        <v>14</v>
      </c>
      <c r="L55" s="51">
        <v>9</v>
      </c>
    </row>
    <row r="56" spans="1:14">
      <c r="A56" s="122">
        <v>42041</v>
      </c>
      <c r="B56" s="24">
        <v>0.77969999999999995</v>
      </c>
      <c r="C56" s="24">
        <v>5331.4</v>
      </c>
      <c r="D56" s="47">
        <f t="shared" si="0"/>
        <v>4156.8925799999997</v>
      </c>
      <c r="K56" s="50">
        <v>12</v>
      </c>
      <c r="L56" s="51">
        <v>10</v>
      </c>
      <c r="N56" t="s">
        <v>204</v>
      </c>
    </row>
    <row r="57" spans="1:14">
      <c r="A57" s="122">
        <v>42040</v>
      </c>
      <c r="B57" s="24">
        <v>0.77939999999999998</v>
      </c>
      <c r="C57" s="24">
        <v>5353.6</v>
      </c>
      <c r="D57" s="47">
        <f t="shared" si="0"/>
        <v>4172.59584</v>
      </c>
      <c r="K57" s="50">
        <v>10</v>
      </c>
      <c r="L57" s="51">
        <v>9</v>
      </c>
    </row>
    <row r="58" spans="1:14">
      <c r="A58" s="122">
        <v>42039</v>
      </c>
      <c r="B58" s="24">
        <v>0.77569999999999995</v>
      </c>
      <c r="C58" s="24">
        <v>5404.7</v>
      </c>
      <c r="D58" s="47">
        <f t="shared" si="0"/>
        <v>4192.4257899999993</v>
      </c>
      <c r="K58" s="50">
        <v>8</v>
      </c>
      <c r="L58" s="51">
        <v>7</v>
      </c>
    </row>
    <row r="59" spans="1:14">
      <c r="A59" s="122">
        <v>42038</v>
      </c>
      <c r="B59" s="24">
        <v>0.77590000000000003</v>
      </c>
      <c r="C59" s="24">
        <v>5422.7</v>
      </c>
      <c r="D59" s="47">
        <f t="shared" si="0"/>
        <v>4207.4729299999999</v>
      </c>
      <c r="K59" s="50">
        <v>6</v>
      </c>
      <c r="L59" s="51">
        <v>5</v>
      </c>
    </row>
    <row r="60" spans="1:14">
      <c r="A60" s="122">
        <v>42037</v>
      </c>
      <c r="B60" s="24">
        <v>0.78029999999999999</v>
      </c>
      <c r="C60" s="24">
        <v>5465.6</v>
      </c>
      <c r="D60" s="47">
        <f t="shared" si="0"/>
        <v>4264.8076799999999</v>
      </c>
      <c r="K60" s="50">
        <v>4</v>
      </c>
      <c r="L60" s="51">
        <v>3</v>
      </c>
    </row>
    <row r="61" spans="1:14">
      <c r="A61" s="122">
        <v>42036</v>
      </c>
      <c r="B61" s="24">
        <v>0.77810000000000001</v>
      </c>
      <c r="C61" s="24">
        <v>5381.5</v>
      </c>
      <c r="D61" s="47">
        <f t="shared" si="0"/>
        <v>4187.3451500000001</v>
      </c>
      <c r="K61" s="50">
        <v>2</v>
      </c>
      <c r="L61" s="51">
        <v>2</v>
      </c>
    </row>
    <row r="62" spans="1:14">
      <c r="A62" s="122">
        <v>42035</v>
      </c>
      <c r="B62" s="24">
        <v>0.77600000000000002</v>
      </c>
      <c r="C62" s="24">
        <v>5353.6</v>
      </c>
      <c r="D62" s="47">
        <f t="shared" si="0"/>
        <v>4154.3936000000003</v>
      </c>
      <c r="K62" s="52">
        <v>0</v>
      </c>
      <c r="L62" s="52">
        <v>0</v>
      </c>
    </row>
    <row r="63" spans="1:14">
      <c r="A63" s="122">
        <v>42034</v>
      </c>
      <c r="B63" s="24">
        <v>0.77659999999999996</v>
      </c>
      <c r="C63" s="24">
        <v>5364.8</v>
      </c>
      <c r="D63" s="47">
        <f t="shared" si="0"/>
        <v>4166.30368</v>
      </c>
      <c r="K63" s="50">
        <v>-2</v>
      </c>
      <c r="L63" s="53">
        <v>-2</v>
      </c>
    </row>
    <row r="64" spans="1:14">
      <c r="A64" s="122">
        <v>42033</v>
      </c>
      <c r="B64" s="24">
        <v>0.77900000000000003</v>
      </c>
      <c r="C64" s="24">
        <v>5450.3</v>
      </c>
      <c r="D64" s="47">
        <f t="shared" si="0"/>
        <v>4245.7837</v>
      </c>
      <c r="K64" s="50">
        <v>-4</v>
      </c>
      <c r="L64" s="53">
        <v>-3</v>
      </c>
    </row>
    <row r="65" spans="1:14">
      <c r="A65" s="122">
        <v>42032</v>
      </c>
      <c r="B65" s="24">
        <v>0.78969999999999996</v>
      </c>
      <c r="C65" s="24">
        <v>5435.9</v>
      </c>
      <c r="D65" s="47">
        <f t="shared" si="0"/>
        <v>4292.7302299999992</v>
      </c>
      <c r="K65" s="50">
        <v>-6</v>
      </c>
      <c r="L65" s="53">
        <v>-5</v>
      </c>
    </row>
    <row r="66" spans="1:14">
      <c r="A66" s="122">
        <v>42031</v>
      </c>
      <c r="B66" s="24">
        <v>0.79179999999999995</v>
      </c>
      <c r="C66" s="24">
        <v>5411</v>
      </c>
      <c r="D66" s="47">
        <f t="shared" si="0"/>
        <v>4284.4297999999999</v>
      </c>
      <c r="K66" s="50">
        <v>-8</v>
      </c>
      <c r="L66" s="53">
        <v>-7</v>
      </c>
    </row>
    <row r="67" spans="1:14">
      <c r="A67" s="122">
        <v>42030</v>
      </c>
      <c r="B67" s="24">
        <v>0.79200000000000004</v>
      </c>
      <c r="C67" s="24">
        <v>5416.6</v>
      </c>
      <c r="D67" s="47">
        <f t="shared" ref="D67:D130" si="1">C67*B67</f>
        <v>4289.9472000000005</v>
      </c>
      <c r="K67" s="50">
        <v>-10</v>
      </c>
      <c r="L67" s="53">
        <v>-9</v>
      </c>
    </row>
    <row r="68" spans="1:14">
      <c r="A68" s="122">
        <v>42029</v>
      </c>
      <c r="B68" s="24">
        <v>0.78569999999999995</v>
      </c>
      <c r="C68" s="24">
        <v>5473.8</v>
      </c>
      <c r="D68" s="47">
        <f t="shared" si="1"/>
        <v>4300.7646599999998</v>
      </c>
      <c r="K68" s="50">
        <v>-12</v>
      </c>
      <c r="L68" s="53">
        <v>-10</v>
      </c>
      <c r="N68" t="s">
        <v>203</v>
      </c>
    </row>
    <row r="69" spans="1:14">
      <c r="A69" s="122">
        <v>42028</v>
      </c>
      <c r="B69" s="24">
        <v>0.79069999999999996</v>
      </c>
      <c r="C69" s="24">
        <v>5394.5</v>
      </c>
      <c r="D69" s="47">
        <f t="shared" si="1"/>
        <v>4265.4311499999994</v>
      </c>
      <c r="K69" s="50">
        <v>-14</v>
      </c>
      <c r="L69" s="53">
        <v>-9</v>
      </c>
    </row>
    <row r="70" spans="1:14">
      <c r="A70" s="122">
        <v>42027</v>
      </c>
      <c r="B70" s="24">
        <v>0.79079999999999995</v>
      </c>
      <c r="C70" s="24">
        <v>5380.9</v>
      </c>
      <c r="D70" s="47">
        <f t="shared" si="1"/>
        <v>4255.2157199999992</v>
      </c>
      <c r="K70" s="50">
        <v>-16</v>
      </c>
      <c r="L70" s="53">
        <v>-7</v>
      </c>
    </row>
    <row r="71" spans="1:14">
      <c r="A71" s="122">
        <v>42026</v>
      </c>
      <c r="B71" s="24">
        <v>0.80210000000000004</v>
      </c>
      <c r="C71" s="24">
        <v>5442</v>
      </c>
      <c r="D71" s="47">
        <f t="shared" si="1"/>
        <v>4365.0281999999997</v>
      </c>
      <c r="K71" s="50">
        <v>-18</v>
      </c>
      <c r="L71" s="53">
        <v>-5</v>
      </c>
    </row>
    <row r="72" spans="1:14">
      <c r="A72" s="122">
        <v>42025</v>
      </c>
      <c r="B72" s="24">
        <v>0.80969999999999998</v>
      </c>
      <c r="C72" s="24">
        <v>5338.6</v>
      </c>
      <c r="D72" s="47">
        <f t="shared" si="1"/>
        <v>4322.6644200000001</v>
      </c>
      <c r="K72" s="50">
        <v>-20</v>
      </c>
      <c r="L72" s="53">
        <v>-3</v>
      </c>
    </row>
    <row r="73" spans="1:14">
      <c r="A73" s="122">
        <v>42024</v>
      </c>
      <c r="B73" s="24">
        <v>0.81630000000000003</v>
      </c>
      <c r="C73" s="24">
        <v>5210.8</v>
      </c>
      <c r="D73" s="47">
        <f t="shared" si="1"/>
        <v>4253.5760399999999</v>
      </c>
      <c r="K73" s="50">
        <v>-25</v>
      </c>
      <c r="L73" s="53">
        <v>-2</v>
      </c>
    </row>
    <row r="74" spans="1:14">
      <c r="A74" s="122">
        <v>42023</v>
      </c>
      <c r="B74" s="24">
        <v>0.81940000000000002</v>
      </c>
      <c r="C74" s="24">
        <v>5161.8999999999996</v>
      </c>
      <c r="D74" s="47">
        <f t="shared" si="1"/>
        <v>4229.66086</v>
      </c>
    </row>
    <row r="75" spans="1:14">
      <c r="A75" s="122">
        <v>42022</v>
      </c>
      <c r="B75" s="24">
        <v>0.82269999999999999</v>
      </c>
      <c r="C75" s="24">
        <v>5152.3</v>
      </c>
      <c r="D75" s="47">
        <f t="shared" si="1"/>
        <v>4238.7972099999997</v>
      </c>
    </row>
    <row r="76" spans="1:14">
      <c r="A76" s="122">
        <v>42021</v>
      </c>
      <c r="B76" s="24">
        <v>0.82230000000000003</v>
      </c>
      <c r="C76" s="24">
        <v>5186.1000000000004</v>
      </c>
      <c r="D76" s="47">
        <f t="shared" si="1"/>
        <v>4264.5300300000008</v>
      </c>
    </row>
    <row r="77" spans="1:14">
      <c r="A77" s="122">
        <v>42020</v>
      </c>
      <c r="B77" s="24">
        <v>0.82210000000000005</v>
      </c>
      <c r="C77" s="24">
        <v>5219.6000000000004</v>
      </c>
      <c r="D77" s="47">
        <f t="shared" si="1"/>
        <v>4291.0331600000009</v>
      </c>
    </row>
    <row r="78" spans="1:14">
      <c r="A78" s="122">
        <v>42019</v>
      </c>
      <c r="B78" s="24">
        <v>0.82210000000000005</v>
      </c>
      <c r="C78" s="24">
        <v>5231</v>
      </c>
      <c r="D78" s="47">
        <f t="shared" si="1"/>
        <v>4300.4050999999999</v>
      </c>
      <c r="K78" s="24"/>
      <c r="L78" s="24"/>
    </row>
    <row r="79" spans="1:14">
      <c r="A79" s="122">
        <v>42018</v>
      </c>
      <c r="B79" s="24">
        <v>0.81399999999999995</v>
      </c>
      <c r="C79" s="24">
        <v>5259</v>
      </c>
      <c r="D79" s="47">
        <f t="shared" si="1"/>
        <v>4280.826</v>
      </c>
    </row>
    <row r="80" spans="1:14">
      <c r="A80" s="122">
        <v>42017</v>
      </c>
      <c r="B80" s="24">
        <v>0.81699999999999995</v>
      </c>
      <c r="C80" s="24">
        <v>5282.7</v>
      </c>
      <c r="D80" s="47">
        <f t="shared" si="1"/>
        <v>4315.9658999999992</v>
      </c>
    </row>
    <row r="81" spans="1:4">
      <c r="A81" s="122">
        <v>42016</v>
      </c>
      <c r="B81" s="24">
        <v>0.81459999999999999</v>
      </c>
      <c r="C81" s="24">
        <v>5338.6</v>
      </c>
      <c r="D81" s="47">
        <f t="shared" si="1"/>
        <v>4348.8235599999998</v>
      </c>
    </row>
    <row r="82" spans="1:4">
      <c r="A82" s="122">
        <v>42015</v>
      </c>
      <c r="B82" s="24">
        <v>0.82199999999999995</v>
      </c>
      <c r="C82" s="24">
        <v>5335.3</v>
      </c>
      <c r="D82" s="47">
        <f t="shared" si="1"/>
        <v>4385.6166000000003</v>
      </c>
    </row>
    <row r="83" spans="1:4">
      <c r="A83" s="122">
        <v>42014</v>
      </c>
      <c r="B83" s="24">
        <v>0.82020000000000004</v>
      </c>
      <c r="C83" s="24">
        <v>5368.8</v>
      </c>
      <c r="D83" s="47">
        <f t="shared" si="1"/>
        <v>4403.4897600000004</v>
      </c>
    </row>
    <row r="84" spans="1:4">
      <c r="A84" s="122">
        <v>42013</v>
      </c>
      <c r="B84" s="24">
        <v>0.8196</v>
      </c>
      <c r="C84" s="24">
        <v>5321.8</v>
      </c>
      <c r="D84" s="47">
        <f t="shared" si="1"/>
        <v>4361.7472800000005</v>
      </c>
    </row>
    <row r="85" spans="1:4">
      <c r="A85" s="122">
        <v>42012</v>
      </c>
      <c r="B85" s="24">
        <v>0.81089999999999995</v>
      </c>
      <c r="C85" s="24">
        <v>5281.3</v>
      </c>
      <c r="D85" s="47">
        <f t="shared" si="1"/>
        <v>4282.60617</v>
      </c>
    </row>
    <row r="86" spans="1:4">
      <c r="A86" s="122">
        <v>42011</v>
      </c>
      <c r="B86" s="24">
        <v>0.80769999999999997</v>
      </c>
      <c r="C86" s="24">
        <v>5207.7</v>
      </c>
      <c r="D86" s="47">
        <f t="shared" si="1"/>
        <v>4206.25929</v>
      </c>
    </row>
    <row r="87" spans="1:4">
      <c r="A87" s="122">
        <v>42010</v>
      </c>
      <c r="B87" s="24">
        <v>0.8075</v>
      </c>
      <c r="C87" s="24">
        <v>5313</v>
      </c>
      <c r="D87" s="47">
        <f t="shared" si="1"/>
        <v>4290.2475000000004</v>
      </c>
    </row>
    <row r="88" spans="1:4">
      <c r="A88" s="122">
        <v>42009</v>
      </c>
      <c r="B88" s="24">
        <v>0.80969999999999998</v>
      </c>
      <c r="C88" s="24">
        <v>5332.4</v>
      </c>
      <c r="D88" s="47">
        <f t="shared" si="1"/>
        <v>4317.6442799999995</v>
      </c>
    </row>
    <row r="89" spans="1:4">
      <c r="A89" s="122">
        <v>42008</v>
      </c>
      <c r="B89" s="24">
        <v>0.80659999999999998</v>
      </c>
      <c r="C89" s="24">
        <v>5396.2</v>
      </c>
      <c r="D89" s="47">
        <f t="shared" si="1"/>
        <v>4352.57492</v>
      </c>
    </row>
    <row r="90" spans="1:4">
      <c r="A90" s="122">
        <v>42007</v>
      </c>
      <c r="B90" s="24">
        <v>0.80879999999999996</v>
      </c>
      <c r="C90" s="24">
        <v>5334.8</v>
      </c>
      <c r="D90" s="47">
        <f t="shared" si="1"/>
        <v>4314.7862400000004</v>
      </c>
    </row>
    <row r="91" spans="1:4">
      <c r="A91" s="122">
        <v>42006</v>
      </c>
      <c r="B91" s="24">
        <v>0.80930000000000002</v>
      </c>
      <c r="C91" s="24">
        <v>5361.8</v>
      </c>
      <c r="D91" s="47">
        <f t="shared" si="1"/>
        <v>4339.3047400000005</v>
      </c>
    </row>
    <row r="92" spans="1:4">
      <c r="A92" s="122">
        <v>42005</v>
      </c>
      <c r="B92" s="24">
        <v>0.81759999999999999</v>
      </c>
      <c r="C92" s="24">
        <v>5304.3</v>
      </c>
      <c r="D92" s="47">
        <f t="shared" si="1"/>
        <v>4336.7956800000002</v>
      </c>
    </row>
    <row r="93" spans="1:4">
      <c r="A93" s="122">
        <v>42004</v>
      </c>
      <c r="B93" s="24">
        <v>0.81610000000000005</v>
      </c>
      <c r="C93" s="24">
        <v>5316.2</v>
      </c>
      <c r="D93" s="47">
        <f t="shared" si="1"/>
        <v>4338.5508200000004</v>
      </c>
    </row>
    <row r="94" spans="1:4">
      <c r="A94" s="122">
        <v>42003</v>
      </c>
      <c r="B94" s="24">
        <v>0.81820000000000004</v>
      </c>
      <c r="C94" s="24">
        <v>5368.8</v>
      </c>
      <c r="D94" s="47">
        <f t="shared" si="1"/>
        <v>4392.75216</v>
      </c>
    </row>
    <row r="95" spans="1:4">
      <c r="A95" s="122">
        <v>42002</v>
      </c>
      <c r="B95" s="24">
        <v>0.81279999999999997</v>
      </c>
      <c r="C95" s="24">
        <v>5399.7</v>
      </c>
      <c r="D95" s="47">
        <f t="shared" si="1"/>
        <v>4388.8761599999998</v>
      </c>
    </row>
    <row r="96" spans="1:4">
      <c r="A96" s="122">
        <v>42001</v>
      </c>
      <c r="B96" s="24">
        <v>0.81140000000000001</v>
      </c>
      <c r="C96" s="24">
        <v>5412.5</v>
      </c>
      <c r="D96" s="47">
        <f t="shared" si="1"/>
        <v>4391.7025000000003</v>
      </c>
    </row>
    <row r="97" spans="1:4">
      <c r="A97" s="122">
        <v>42000</v>
      </c>
      <c r="B97" s="24">
        <v>0.81069999999999998</v>
      </c>
      <c r="C97" s="24">
        <v>5454.3</v>
      </c>
      <c r="D97" s="47">
        <f t="shared" si="1"/>
        <v>4421.8010100000001</v>
      </c>
    </row>
    <row r="98" spans="1:4">
      <c r="A98" s="122">
        <v>41999</v>
      </c>
      <c r="B98" s="24">
        <v>0.8115</v>
      </c>
      <c r="C98" s="24">
        <v>5442.7</v>
      </c>
      <c r="D98" s="47">
        <f t="shared" si="1"/>
        <v>4416.7510499999999</v>
      </c>
    </row>
    <row r="99" spans="1:4">
      <c r="A99" s="122">
        <v>41998</v>
      </c>
      <c r="B99" s="24">
        <v>0.81069999999999998</v>
      </c>
      <c r="C99" s="24">
        <v>5463.1</v>
      </c>
      <c r="D99" s="47">
        <f t="shared" si="1"/>
        <v>4428.9351699999997</v>
      </c>
    </row>
    <row r="100" spans="1:4">
      <c r="A100" s="122">
        <v>41997</v>
      </c>
      <c r="B100" s="24">
        <v>0.81059999999999999</v>
      </c>
      <c r="C100" s="24">
        <v>5517.1</v>
      </c>
      <c r="D100" s="47">
        <f t="shared" si="1"/>
        <v>4472.1612599999999</v>
      </c>
    </row>
    <row r="101" spans="1:4">
      <c r="A101" s="122">
        <v>41996</v>
      </c>
      <c r="B101" s="24">
        <v>0.8115</v>
      </c>
      <c r="C101" s="24">
        <v>5524</v>
      </c>
      <c r="D101" s="47">
        <f t="shared" si="1"/>
        <v>4482.7259999999997</v>
      </c>
    </row>
    <row r="102" spans="1:4">
      <c r="A102" s="122">
        <v>41995</v>
      </c>
      <c r="B102" s="24">
        <v>0.81200000000000006</v>
      </c>
      <c r="C102" s="24">
        <v>5549.1</v>
      </c>
      <c r="D102" s="47">
        <f t="shared" si="1"/>
        <v>4505.869200000001</v>
      </c>
    </row>
    <row r="103" spans="1:4">
      <c r="A103" s="122">
        <v>41994</v>
      </c>
      <c r="B103" s="24">
        <v>0.81479999999999997</v>
      </c>
      <c r="C103" s="24">
        <v>5506.1</v>
      </c>
      <c r="D103" s="47">
        <f t="shared" si="1"/>
        <v>4486.3702800000001</v>
      </c>
    </row>
    <row r="104" spans="1:4">
      <c r="A104" s="122">
        <v>41993</v>
      </c>
      <c r="B104" s="24">
        <v>0.81399999999999995</v>
      </c>
      <c r="C104" s="24">
        <v>5517.9</v>
      </c>
      <c r="D104" s="47">
        <f t="shared" si="1"/>
        <v>4491.5705999999991</v>
      </c>
    </row>
    <row r="105" spans="1:4">
      <c r="A105" s="122">
        <v>41992</v>
      </c>
      <c r="B105" s="24">
        <v>0.81389999999999996</v>
      </c>
      <c r="C105" s="24">
        <v>5519.9</v>
      </c>
      <c r="D105" s="47">
        <f t="shared" si="1"/>
        <v>4492.6466099999998</v>
      </c>
    </row>
    <row r="106" spans="1:4">
      <c r="A106" s="122">
        <v>41991</v>
      </c>
      <c r="B106" s="24">
        <v>0.81689999999999996</v>
      </c>
      <c r="C106" s="24">
        <v>5506.9</v>
      </c>
      <c r="D106" s="47">
        <f t="shared" si="1"/>
        <v>4498.5866099999994</v>
      </c>
    </row>
    <row r="107" spans="1:4">
      <c r="A107" s="122">
        <v>41990</v>
      </c>
      <c r="B107" s="24">
        <v>0.81220000000000003</v>
      </c>
      <c r="C107" s="24">
        <v>5526.6</v>
      </c>
      <c r="D107" s="47">
        <f t="shared" si="1"/>
        <v>4488.7045200000002</v>
      </c>
    </row>
    <row r="108" spans="1:4">
      <c r="A108" s="122">
        <v>41989</v>
      </c>
      <c r="B108" s="24">
        <v>0.82230000000000003</v>
      </c>
      <c r="C108" s="24">
        <v>5476.2</v>
      </c>
      <c r="D108" s="47">
        <f t="shared" si="1"/>
        <v>4503.0792600000004</v>
      </c>
    </row>
    <row r="109" spans="1:4">
      <c r="A109" s="122">
        <v>41988</v>
      </c>
      <c r="B109" s="24">
        <v>0.82120000000000004</v>
      </c>
      <c r="C109" s="24">
        <v>5447.7</v>
      </c>
      <c r="D109" s="47">
        <f t="shared" si="1"/>
        <v>4473.6512400000001</v>
      </c>
    </row>
    <row r="110" spans="1:4">
      <c r="A110" s="122">
        <v>41987</v>
      </c>
      <c r="B110" s="24">
        <v>0.82079999999999997</v>
      </c>
      <c r="C110" s="24">
        <v>5452.6</v>
      </c>
      <c r="D110" s="47">
        <f t="shared" si="1"/>
        <v>4475.4940800000004</v>
      </c>
    </row>
    <row r="111" spans="1:4">
      <c r="A111" s="122">
        <v>41986</v>
      </c>
      <c r="B111" s="24">
        <v>0.82410000000000005</v>
      </c>
      <c r="C111" s="24">
        <v>5459</v>
      </c>
      <c r="D111" s="47">
        <f t="shared" si="1"/>
        <v>4498.7619000000004</v>
      </c>
    </row>
    <row r="112" spans="1:4">
      <c r="A112" s="122">
        <v>41985</v>
      </c>
      <c r="B112" s="24">
        <v>0.82499999999999996</v>
      </c>
      <c r="C112" s="24">
        <v>5412.2</v>
      </c>
      <c r="D112" s="47">
        <f t="shared" si="1"/>
        <v>4465.0649999999996</v>
      </c>
    </row>
    <row r="113" spans="1:4">
      <c r="A113" s="122">
        <v>41984</v>
      </c>
      <c r="B113" s="24">
        <v>0.82440000000000002</v>
      </c>
      <c r="C113" s="24">
        <v>5383.1</v>
      </c>
      <c r="D113" s="47">
        <f t="shared" si="1"/>
        <v>4437.8276400000004</v>
      </c>
    </row>
    <row r="114" spans="1:4">
      <c r="A114" s="122">
        <v>41983</v>
      </c>
      <c r="B114" s="24">
        <v>0.83350000000000002</v>
      </c>
      <c r="C114" s="24">
        <v>5385.9</v>
      </c>
      <c r="D114" s="47">
        <f t="shared" si="1"/>
        <v>4489.1476499999999</v>
      </c>
    </row>
    <row r="115" spans="1:4">
      <c r="A115" s="122">
        <v>41982</v>
      </c>
      <c r="B115" s="24">
        <v>0.83</v>
      </c>
      <c r="C115" s="24">
        <v>5325</v>
      </c>
      <c r="D115" s="47">
        <f t="shared" si="1"/>
        <v>4419.75</v>
      </c>
    </row>
    <row r="116" spans="1:4">
      <c r="A116" s="122">
        <v>41981</v>
      </c>
      <c r="B116" s="24">
        <v>0.83</v>
      </c>
      <c r="C116" s="24">
        <v>5319.4</v>
      </c>
      <c r="D116" s="47">
        <f t="shared" si="1"/>
        <v>4415.1019999999999</v>
      </c>
    </row>
    <row r="117" spans="1:4">
      <c r="A117" s="122">
        <v>41980</v>
      </c>
      <c r="B117" s="24">
        <v>0.83089999999999997</v>
      </c>
      <c r="C117" s="24">
        <v>5271.7</v>
      </c>
      <c r="D117" s="47">
        <f t="shared" si="1"/>
        <v>4380.2555299999995</v>
      </c>
    </row>
    <row r="118" spans="1:4">
      <c r="A118" s="122">
        <v>41979</v>
      </c>
      <c r="B118" s="24">
        <v>0.83179999999999998</v>
      </c>
      <c r="C118" s="24">
        <v>5254.9</v>
      </c>
      <c r="D118" s="47">
        <f t="shared" si="1"/>
        <v>4371.0258199999998</v>
      </c>
    </row>
    <row r="119" spans="1:4">
      <c r="A119" s="122">
        <v>41978</v>
      </c>
      <c r="B119" s="24">
        <v>0.8327</v>
      </c>
      <c r="C119" s="24">
        <v>5245.6</v>
      </c>
      <c r="D119" s="47">
        <f t="shared" si="1"/>
        <v>4368.0111200000001</v>
      </c>
    </row>
    <row r="120" spans="1:4">
      <c r="A120" s="122">
        <v>41977</v>
      </c>
      <c r="B120" s="24">
        <v>0.83840000000000003</v>
      </c>
      <c r="C120" s="24">
        <v>5207.3999999999996</v>
      </c>
      <c r="D120" s="47">
        <f t="shared" si="1"/>
        <v>4365.8841599999996</v>
      </c>
    </row>
    <row r="121" spans="1:4">
      <c r="A121" s="122">
        <v>41976</v>
      </c>
      <c r="B121" s="24">
        <v>0.83940000000000003</v>
      </c>
      <c r="C121" s="24">
        <v>5155.5</v>
      </c>
      <c r="D121" s="47">
        <f t="shared" si="1"/>
        <v>4327.5267000000003</v>
      </c>
    </row>
    <row r="122" spans="1:4">
      <c r="A122" s="122">
        <v>41975</v>
      </c>
      <c r="B122" s="24">
        <v>0.84599999999999997</v>
      </c>
      <c r="C122" s="24">
        <v>5188.3</v>
      </c>
      <c r="D122" s="47">
        <f t="shared" si="1"/>
        <v>4389.3018000000002</v>
      </c>
    </row>
    <row r="123" spans="1:4">
      <c r="A123" s="122">
        <v>41974</v>
      </c>
      <c r="B123" s="24">
        <v>0.84750000000000003</v>
      </c>
      <c r="C123" s="24">
        <v>5296.7</v>
      </c>
      <c r="D123" s="47">
        <f t="shared" si="1"/>
        <v>4488.9532499999996</v>
      </c>
    </row>
    <row r="124" spans="1:4">
      <c r="A124" s="122">
        <v>41973</v>
      </c>
      <c r="B124" s="24">
        <v>0.8427</v>
      </c>
      <c r="C124" s="24">
        <v>5241.3</v>
      </c>
      <c r="D124" s="47">
        <f t="shared" si="1"/>
        <v>4416.8435100000006</v>
      </c>
    </row>
    <row r="125" spans="1:4">
      <c r="A125" s="122">
        <v>41972</v>
      </c>
      <c r="B125" s="24">
        <v>0.85029999999999994</v>
      </c>
      <c r="C125" s="24">
        <v>5284.2</v>
      </c>
      <c r="D125" s="47">
        <f t="shared" si="1"/>
        <v>4493.1552599999995</v>
      </c>
    </row>
    <row r="126" spans="1:4">
      <c r="A126" s="122">
        <v>41971</v>
      </c>
      <c r="B126" s="24">
        <v>0.85109999999999997</v>
      </c>
      <c r="C126" s="24">
        <v>5292.9</v>
      </c>
      <c r="D126" s="47">
        <f t="shared" si="1"/>
        <v>4504.7871899999991</v>
      </c>
    </row>
    <row r="127" spans="1:4">
      <c r="A127" s="122">
        <v>41970</v>
      </c>
      <c r="B127" s="24">
        <v>0.85170000000000001</v>
      </c>
      <c r="C127" s="24">
        <v>5318.2</v>
      </c>
      <c r="D127" s="47">
        <f t="shared" si="1"/>
        <v>4529.5109400000001</v>
      </c>
    </row>
    <row r="128" spans="1:4">
      <c r="A128" s="122">
        <v>41969</v>
      </c>
      <c r="B128" s="24">
        <v>0.85289999999999999</v>
      </c>
      <c r="C128" s="24">
        <v>5297.7</v>
      </c>
      <c r="D128" s="47">
        <f t="shared" si="1"/>
        <v>4518.4083300000002</v>
      </c>
    </row>
    <row r="129" spans="1:4">
      <c r="A129" s="122">
        <v>41968</v>
      </c>
      <c r="B129" s="24">
        <v>0.85619999999999996</v>
      </c>
      <c r="C129" s="24">
        <v>5334.1</v>
      </c>
      <c r="D129" s="47">
        <f t="shared" si="1"/>
        <v>4567.0564199999999</v>
      </c>
    </row>
    <row r="130" spans="1:4">
      <c r="A130" s="122">
        <v>41967</v>
      </c>
      <c r="B130" s="24">
        <v>0.85899999999999999</v>
      </c>
      <c r="C130" s="24">
        <v>5292.8</v>
      </c>
      <c r="D130" s="47">
        <f t="shared" si="1"/>
        <v>4546.5151999999998</v>
      </c>
    </row>
    <row r="131" spans="1:4">
      <c r="A131" s="122">
        <v>41966</v>
      </c>
      <c r="B131" s="24">
        <v>0.86799999999999999</v>
      </c>
      <c r="C131" s="24">
        <v>5264.2</v>
      </c>
      <c r="D131" s="47">
        <f t="shared" ref="D131:D194" si="2">C131*B131</f>
        <v>4569.3256000000001</v>
      </c>
    </row>
    <row r="132" spans="1:4">
      <c r="A132" s="122">
        <v>41965</v>
      </c>
      <c r="B132" s="24">
        <v>0.86660000000000004</v>
      </c>
      <c r="C132" s="24">
        <v>5313.4</v>
      </c>
      <c r="D132" s="47">
        <f t="shared" si="2"/>
        <v>4604.5924399999994</v>
      </c>
    </row>
    <row r="133" spans="1:4">
      <c r="A133" s="122">
        <v>41964</v>
      </c>
      <c r="B133" s="24">
        <v>0.86660000000000004</v>
      </c>
      <c r="C133" s="24">
        <v>5382.2</v>
      </c>
      <c r="D133" s="47">
        <f t="shared" si="2"/>
        <v>4664.2145200000004</v>
      </c>
    </row>
    <row r="134" spans="1:4">
      <c r="A134" s="122">
        <v>41963</v>
      </c>
      <c r="B134" s="24">
        <v>0.86170000000000002</v>
      </c>
      <c r="C134" s="24">
        <v>5375.8</v>
      </c>
      <c r="D134" s="47">
        <f t="shared" si="2"/>
        <v>4632.3268600000001</v>
      </c>
    </row>
    <row r="135" spans="1:4">
      <c r="A135" s="122">
        <v>41962</v>
      </c>
      <c r="B135" s="24">
        <v>0.85929999999999995</v>
      </c>
      <c r="C135" s="24">
        <v>5415.7</v>
      </c>
      <c r="D135" s="47">
        <f t="shared" si="2"/>
        <v>4653.71101</v>
      </c>
    </row>
    <row r="136" spans="1:4">
      <c r="A136" s="122">
        <v>41961</v>
      </c>
      <c r="B136" s="24">
        <v>0.87060000000000004</v>
      </c>
      <c r="C136" s="24">
        <v>5363</v>
      </c>
      <c r="D136" s="47">
        <f t="shared" si="2"/>
        <v>4669.0277999999998</v>
      </c>
    </row>
    <row r="137" spans="1:4">
      <c r="A137" s="122">
        <v>41960</v>
      </c>
      <c r="B137" s="24">
        <v>0.87060000000000004</v>
      </c>
      <c r="C137" s="24">
        <v>5433.1</v>
      </c>
      <c r="D137" s="47">
        <f t="shared" si="2"/>
        <v>4730.0568600000006</v>
      </c>
    </row>
    <row r="138" spans="1:4">
      <c r="A138" s="122">
        <v>41959</v>
      </c>
      <c r="B138" s="24">
        <v>0.87460000000000004</v>
      </c>
      <c r="C138" s="24">
        <v>5415.8</v>
      </c>
      <c r="D138" s="47">
        <f t="shared" si="2"/>
        <v>4736.6586800000005</v>
      </c>
    </row>
    <row r="139" spans="1:4">
      <c r="A139" s="122">
        <v>41958</v>
      </c>
      <c r="B139" s="24">
        <v>0.87450000000000006</v>
      </c>
      <c r="C139" s="24">
        <v>5407.3</v>
      </c>
      <c r="D139" s="47">
        <f t="shared" si="2"/>
        <v>4728.6838500000003</v>
      </c>
    </row>
    <row r="140" spans="1:4">
      <c r="A140" s="122">
        <v>41957</v>
      </c>
      <c r="B140" s="24">
        <v>0.87480000000000002</v>
      </c>
      <c r="C140" s="24">
        <v>5445.4</v>
      </c>
      <c r="D140" s="47">
        <f t="shared" si="2"/>
        <v>4763.6359199999997</v>
      </c>
    </row>
    <row r="141" spans="1:4">
      <c r="A141" s="122">
        <v>41956</v>
      </c>
      <c r="B141" s="24">
        <v>0.87029999999999996</v>
      </c>
      <c r="C141" s="24">
        <v>5473.5</v>
      </c>
      <c r="D141" s="47">
        <f t="shared" si="2"/>
        <v>4763.5870500000001</v>
      </c>
    </row>
    <row r="142" spans="1:4">
      <c r="A142" s="122">
        <v>41955</v>
      </c>
      <c r="B142" s="24">
        <v>0.87060000000000004</v>
      </c>
      <c r="C142" s="24">
        <v>5531.1</v>
      </c>
      <c r="D142" s="47">
        <f t="shared" si="2"/>
        <v>4815.3756600000006</v>
      </c>
    </row>
    <row r="143" spans="1:4">
      <c r="A143" s="122">
        <v>41954</v>
      </c>
      <c r="B143" s="24">
        <v>0.87060000000000004</v>
      </c>
      <c r="C143" s="24">
        <v>5546.1</v>
      </c>
      <c r="D143" s="47">
        <f t="shared" si="2"/>
        <v>4828.4346600000008</v>
      </c>
    </row>
    <row r="144" spans="1:4">
      <c r="A144" s="122">
        <v>41953</v>
      </c>
      <c r="B144" s="24">
        <v>0.86329999999999996</v>
      </c>
      <c r="C144" s="24">
        <v>5574.3</v>
      </c>
      <c r="D144" s="47">
        <f t="shared" si="2"/>
        <v>4812.2931900000003</v>
      </c>
    </row>
    <row r="145" spans="1:4">
      <c r="A145" s="122">
        <v>41952</v>
      </c>
      <c r="B145" s="24">
        <v>0.86439999999999995</v>
      </c>
      <c r="C145" s="24">
        <v>5607.9</v>
      </c>
      <c r="D145" s="47">
        <f t="shared" si="2"/>
        <v>4847.4687599999997</v>
      </c>
    </row>
    <row r="146" spans="1:4">
      <c r="A146" s="122">
        <v>41951</v>
      </c>
      <c r="B146" s="24">
        <v>0.86299999999999999</v>
      </c>
      <c r="C146" s="24">
        <v>5577</v>
      </c>
      <c r="D146" s="47">
        <f t="shared" si="2"/>
        <v>4812.951</v>
      </c>
    </row>
    <row r="147" spans="1:4">
      <c r="A147" s="122">
        <v>41950</v>
      </c>
      <c r="B147" s="24">
        <v>0.86299999999999999</v>
      </c>
      <c r="C147" s="24">
        <v>5598.7</v>
      </c>
      <c r="D147" s="47">
        <f t="shared" si="2"/>
        <v>4831.6781000000001</v>
      </c>
    </row>
    <row r="148" spans="1:4">
      <c r="A148" s="122">
        <v>41949</v>
      </c>
      <c r="B148" s="24">
        <v>0.85609999999999997</v>
      </c>
      <c r="C148" s="24">
        <v>5631.3</v>
      </c>
      <c r="D148" s="47">
        <f t="shared" si="2"/>
        <v>4820.9559300000001</v>
      </c>
    </row>
    <row r="149" spans="1:4">
      <c r="A149" s="122">
        <v>41948</v>
      </c>
      <c r="B149" s="24">
        <v>0.85780000000000001</v>
      </c>
      <c r="C149" s="24">
        <v>5656.1</v>
      </c>
      <c r="D149" s="47">
        <f t="shared" si="2"/>
        <v>4851.8025800000005</v>
      </c>
    </row>
    <row r="150" spans="1:4">
      <c r="A150" s="122">
        <v>41947</v>
      </c>
      <c r="B150" s="24">
        <v>0.87490000000000001</v>
      </c>
      <c r="C150" s="24">
        <v>5658.5</v>
      </c>
      <c r="D150" s="47">
        <f t="shared" si="2"/>
        <v>4950.62165</v>
      </c>
    </row>
    <row r="151" spans="1:4">
      <c r="A151" s="122">
        <v>41946</v>
      </c>
      <c r="B151" s="24">
        <v>0.86880000000000002</v>
      </c>
      <c r="C151" s="24">
        <v>5629.8</v>
      </c>
      <c r="D151" s="47">
        <f t="shared" si="2"/>
        <v>4891.1702400000004</v>
      </c>
    </row>
    <row r="152" spans="1:4">
      <c r="A152" s="122">
        <v>41945</v>
      </c>
      <c r="B152" s="24">
        <v>0.87480000000000002</v>
      </c>
      <c r="C152" s="24">
        <v>5625.9</v>
      </c>
      <c r="D152" s="47">
        <f t="shared" si="2"/>
        <v>4921.5373199999995</v>
      </c>
    </row>
    <row r="153" spans="1:4">
      <c r="A153" s="122">
        <v>41944</v>
      </c>
      <c r="B153" s="24">
        <v>0.87960000000000005</v>
      </c>
      <c r="C153" s="24">
        <v>5624.4</v>
      </c>
      <c r="D153" s="47">
        <f t="shared" si="2"/>
        <v>4947.2222400000001</v>
      </c>
    </row>
    <row r="154" spans="1:4">
      <c r="A154" s="122">
        <v>41943</v>
      </c>
      <c r="B154" s="24">
        <v>0.87960000000000005</v>
      </c>
      <c r="C154" s="24">
        <v>5651.2</v>
      </c>
      <c r="D154" s="47">
        <f t="shared" si="2"/>
        <v>4970.7955199999997</v>
      </c>
    </row>
    <row r="155" spans="1:4">
      <c r="A155" s="122">
        <v>41942</v>
      </c>
      <c r="B155" s="24">
        <v>0.8821</v>
      </c>
      <c r="C155" s="24">
        <v>5637.6</v>
      </c>
      <c r="D155" s="47">
        <f t="shared" si="2"/>
        <v>4972.9269600000007</v>
      </c>
    </row>
    <row r="156" spans="1:4">
      <c r="A156" s="122">
        <v>41941</v>
      </c>
      <c r="B156" s="24">
        <v>0.87629999999999997</v>
      </c>
      <c r="C156" s="24">
        <v>5634.9</v>
      </c>
      <c r="D156" s="47">
        <f t="shared" si="2"/>
        <v>4937.8628699999999</v>
      </c>
    </row>
    <row r="157" spans="1:4">
      <c r="A157" s="122">
        <v>41940</v>
      </c>
      <c r="B157" s="24">
        <v>0.88590000000000002</v>
      </c>
      <c r="C157" s="24">
        <v>5645.6</v>
      </c>
      <c r="D157" s="47">
        <f t="shared" si="2"/>
        <v>5001.4370400000007</v>
      </c>
    </row>
    <row r="158" spans="1:4">
      <c r="A158" s="122">
        <v>41939</v>
      </c>
      <c r="B158" s="24">
        <v>0.88049999999999995</v>
      </c>
      <c r="C158" s="24">
        <v>5638.9</v>
      </c>
      <c r="D158" s="47">
        <f t="shared" si="2"/>
        <v>4965.051449999999</v>
      </c>
    </row>
    <row r="159" spans="1:4">
      <c r="A159" s="122">
        <v>41938</v>
      </c>
      <c r="B159" s="24">
        <v>0.87970000000000004</v>
      </c>
      <c r="C159" s="24">
        <v>5634.6</v>
      </c>
      <c r="D159" s="47">
        <f t="shared" si="2"/>
        <v>4956.7576200000003</v>
      </c>
    </row>
    <row r="160" spans="1:4">
      <c r="A160" s="122">
        <v>41937</v>
      </c>
      <c r="B160" s="24">
        <v>0.87939999999999996</v>
      </c>
      <c r="C160" s="24">
        <v>5623.8</v>
      </c>
      <c r="D160" s="47">
        <f t="shared" si="2"/>
        <v>4945.5697199999995</v>
      </c>
    </row>
    <row r="161" spans="1:4">
      <c r="A161" s="122">
        <v>41936</v>
      </c>
      <c r="B161" s="24">
        <v>0.87939999999999996</v>
      </c>
      <c r="C161" s="24">
        <v>5587.1</v>
      </c>
      <c r="D161" s="47">
        <f t="shared" si="2"/>
        <v>4913.2957400000005</v>
      </c>
    </row>
    <row r="162" spans="1:4">
      <c r="A162" s="122">
        <v>41935</v>
      </c>
      <c r="B162" s="24">
        <v>0.87549999999999994</v>
      </c>
      <c r="C162" s="24">
        <v>5566.5</v>
      </c>
      <c r="D162" s="47">
        <f t="shared" si="2"/>
        <v>4873.4707499999995</v>
      </c>
    </row>
    <row r="163" spans="1:4">
      <c r="A163" s="122">
        <v>41934</v>
      </c>
      <c r="B163" s="24">
        <v>0.87639999999999996</v>
      </c>
      <c r="C163" s="24">
        <v>5548.5</v>
      </c>
      <c r="D163" s="47">
        <f t="shared" si="2"/>
        <v>4862.7053999999998</v>
      </c>
    </row>
    <row r="164" spans="1:4">
      <c r="A164" s="122">
        <v>41933</v>
      </c>
      <c r="B164" s="24">
        <v>0.87709999999999999</v>
      </c>
      <c r="C164" s="24">
        <v>5514.7</v>
      </c>
      <c r="D164" s="47">
        <f t="shared" si="2"/>
        <v>4836.94337</v>
      </c>
    </row>
    <row r="165" spans="1:4">
      <c r="A165" s="122">
        <v>41932</v>
      </c>
      <c r="B165" s="24">
        <v>0.87739999999999996</v>
      </c>
      <c r="C165" s="24">
        <v>5530.3</v>
      </c>
      <c r="D165" s="47">
        <f t="shared" si="2"/>
        <v>4852.2852199999998</v>
      </c>
    </row>
    <row r="166" spans="1:4">
      <c r="A166" s="122">
        <v>41931</v>
      </c>
      <c r="B166" s="24">
        <v>0.87529999999999997</v>
      </c>
      <c r="C166" s="24">
        <v>5457</v>
      </c>
      <c r="D166" s="47">
        <f t="shared" si="2"/>
        <v>4776.5120999999999</v>
      </c>
    </row>
    <row r="167" spans="1:4">
      <c r="A167" s="122">
        <v>41930</v>
      </c>
      <c r="B167" s="24">
        <v>0.87439999999999996</v>
      </c>
      <c r="C167" s="24">
        <v>5435.3</v>
      </c>
      <c r="D167" s="47">
        <f t="shared" si="2"/>
        <v>4752.6263200000003</v>
      </c>
    </row>
    <row r="168" spans="1:4">
      <c r="A168" s="122">
        <v>41929</v>
      </c>
      <c r="B168" s="24">
        <v>0.87439999999999996</v>
      </c>
      <c r="C168" s="24">
        <v>5509</v>
      </c>
      <c r="D168" s="47">
        <f t="shared" si="2"/>
        <v>4817.0695999999998</v>
      </c>
    </row>
    <row r="169" spans="1:4">
      <c r="A169" s="122">
        <v>41928</v>
      </c>
      <c r="B169" s="24">
        <v>0.87690000000000001</v>
      </c>
      <c r="C169" s="24">
        <v>5512</v>
      </c>
      <c r="D169" s="47">
        <f t="shared" si="2"/>
        <v>4833.4728000000005</v>
      </c>
    </row>
    <row r="170" spans="1:4">
      <c r="A170" s="122">
        <v>41927</v>
      </c>
      <c r="B170" s="24">
        <v>0.87909999999999999</v>
      </c>
      <c r="C170" s="24">
        <v>5518.6</v>
      </c>
      <c r="D170" s="47">
        <f t="shared" si="2"/>
        <v>4851.4012600000005</v>
      </c>
    </row>
    <row r="171" spans="1:4">
      <c r="A171" s="122">
        <v>41926</v>
      </c>
      <c r="B171" s="24">
        <v>0.87080000000000002</v>
      </c>
      <c r="C171" s="24">
        <v>5540.9</v>
      </c>
      <c r="D171" s="47">
        <f t="shared" si="2"/>
        <v>4825.0157199999994</v>
      </c>
    </row>
    <row r="172" spans="1:4">
      <c r="A172" s="122">
        <v>41925</v>
      </c>
      <c r="B172" s="24">
        <v>0.875</v>
      </c>
      <c r="C172" s="24">
        <v>5556.4</v>
      </c>
      <c r="D172" s="47">
        <f t="shared" si="2"/>
        <v>4861.8499999999995</v>
      </c>
    </row>
    <row r="173" spans="1:4">
      <c r="A173" s="122">
        <v>41924</v>
      </c>
      <c r="B173" s="24">
        <v>0.86699999999999999</v>
      </c>
      <c r="C173" s="24">
        <v>5632.9</v>
      </c>
      <c r="D173" s="47">
        <f t="shared" si="2"/>
        <v>4883.7242999999999</v>
      </c>
    </row>
    <row r="174" spans="1:4">
      <c r="A174" s="122">
        <v>41923</v>
      </c>
      <c r="B174" s="24">
        <v>0.86799999999999999</v>
      </c>
      <c r="C174" s="24">
        <v>5622.9</v>
      </c>
      <c r="D174" s="47">
        <f t="shared" si="2"/>
        <v>4880.6772000000001</v>
      </c>
    </row>
    <row r="175" spans="1:4">
      <c r="A175" s="122">
        <v>41922</v>
      </c>
      <c r="B175" s="24">
        <v>0.86799999999999999</v>
      </c>
      <c r="C175" s="24">
        <v>5588.4</v>
      </c>
      <c r="D175" s="47">
        <f t="shared" si="2"/>
        <v>4850.7311999999993</v>
      </c>
    </row>
    <row r="176" spans="1:4">
      <c r="A176" s="122">
        <v>41921</v>
      </c>
      <c r="B176" s="24">
        <v>0.876</v>
      </c>
      <c r="C176" s="24">
        <v>5577.4</v>
      </c>
      <c r="D176" s="47">
        <f t="shared" si="2"/>
        <v>4885.8023999999996</v>
      </c>
    </row>
    <row r="177" spans="1:4">
      <c r="A177" s="122">
        <v>41920</v>
      </c>
      <c r="B177" s="24">
        <v>0.88360000000000005</v>
      </c>
      <c r="C177" s="24">
        <v>5583.5</v>
      </c>
      <c r="D177" s="47">
        <f t="shared" si="2"/>
        <v>4933.5806000000002</v>
      </c>
    </row>
    <row r="178" spans="1:4">
      <c r="A178" s="122">
        <v>41919</v>
      </c>
      <c r="B178" s="24">
        <v>0.88090000000000002</v>
      </c>
      <c r="C178" s="24">
        <v>5587.8</v>
      </c>
      <c r="D178" s="47">
        <f t="shared" si="2"/>
        <v>4922.2930200000001</v>
      </c>
    </row>
    <row r="179" spans="1:4">
      <c r="A179" s="122">
        <v>41918</v>
      </c>
      <c r="B179" s="24">
        <v>0.87660000000000005</v>
      </c>
      <c r="C179" s="24">
        <v>5576.7</v>
      </c>
      <c r="D179" s="47">
        <f t="shared" si="2"/>
        <v>4888.5352199999998</v>
      </c>
    </row>
    <row r="180" spans="1:4">
      <c r="A180" s="122">
        <v>41917</v>
      </c>
      <c r="B180" s="24">
        <v>0.86650000000000005</v>
      </c>
      <c r="C180" s="24">
        <v>5543.3</v>
      </c>
      <c r="D180" s="47">
        <f t="shared" si="2"/>
        <v>4803.2694500000007</v>
      </c>
    </row>
    <row r="181" spans="1:4">
      <c r="A181" s="122">
        <v>41916</v>
      </c>
      <c r="B181" s="24">
        <v>0.86739999999999995</v>
      </c>
      <c r="C181" s="24">
        <v>5539.9</v>
      </c>
      <c r="D181" s="47">
        <f t="shared" si="2"/>
        <v>4805.3092599999991</v>
      </c>
    </row>
    <row r="182" spans="1:4">
      <c r="A182" s="122">
        <v>41915</v>
      </c>
      <c r="B182" s="24">
        <v>0.86739999999999995</v>
      </c>
      <c r="C182" s="24">
        <v>5531.7</v>
      </c>
      <c r="D182" s="47">
        <f t="shared" si="2"/>
        <v>4798.1965799999998</v>
      </c>
    </row>
    <row r="183" spans="1:4">
      <c r="A183" s="122">
        <v>41914</v>
      </c>
      <c r="B183" s="24">
        <v>0.87960000000000005</v>
      </c>
      <c r="C183" s="24">
        <v>5522.4</v>
      </c>
      <c r="D183" s="47">
        <f t="shared" si="2"/>
        <v>4857.5030399999996</v>
      </c>
    </row>
    <row r="184" spans="1:4">
      <c r="A184" s="122">
        <v>41913</v>
      </c>
      <c r="B184" s="24">
        <v>0.87370000000000003</v>
      </c>
      <c r="C184" s="24">
        <v>5518.9</v>
      </c>
      <c r="D184" s="47">
        <f t="shared" si="2"/>
        <v>4821.8629300000002</v>
      </c>
    </row>
    <row r="185" spans="1:4">
      <c r="A185" s="122">
        <v>41912</v>
      </c>
      <c r="B185" s="24">
        <v>0.87350000000000005</v>
      </c>
      <c r="C185" s="24">
        <v>5511.3</v>
      </c>
      <c r="D185" s="47">
        <f t="shared" si="2"/>
        <v>4814.1205500000005</v>
      </c>
    </row>
    <row r="186" spans="1:4">
      <c r="A186" s="122">
        <v>41911</v>
      </c>
      <c r="B186" s="24">
        <v>0.87129999999999996</v>
      </c>
      <c r="C186" s="24">
        <v>5511.4</v>
      </c>
      <c r="D186" s="47">
        <f t="shared" si="2"/>
        <v>4802.0828199999996</v>
      </c>
    </row>
    <row r="187" spans="1:4">
      <c r="A187" s="122">
        <v>41910</v>
      </c>
      <c r="B187" s="24">
        <v>0.87360000000000004</v>
      </c>
      <c r="C187" s="24">
        <v>5486.8</v>
      </c>
      <c r="D187" s="47">
        <f t="shared" si="2"/>
        <v>4793.2684800000006</v>
      </c>
    </row>
    <row r="188" spans="1:4">
      <c r="A188" s="122">
        <v>41909</v>
      </c>
      <c r="B188" s="24">
        <v>0.87629999999999997</v>
      </c>
      <c r="C188" s="24">
        <v>5464.4</v>
      </c>
      <c r="D188" s="47">
        <f t="shared" si="2"/>
        <v>4788.4537199999995</v>
      </c>
    </row>
    <row r="189" spans="1:4">
      <c r="A189" s="122">
        <v>41908</v>
      </c>
      <c r="B189" s="24">
        <v>0.87629999999999997</v>
      </c>
      <c r="C189" s="24">
        <v>5452.5</v>
      </c>
      <c r="D189" s="47">
        <f t="shared" si="2"/>
        <v>4778.0257499999998</v>
      </c>
    </row>
    <row r="190" spans="1:4">
      <c r="A190" s="122">
        <v>41907</v>
      </c>
      <c r="B190" s="24">
        <v>0.88029999999999997</v>
      </c>
      <c r="C190" s="24">
        <v>5510.9</v>
      </c>
      <c r="D190" s="47">
        <f t="shared" si="2"/>
        <v>4851.2452699999994</v>
      </c>
    </row>
    <row r="191" spans="1:4">
      <c r="A191" s="122">
        <v>41906</v>
      </c>
      <c r="B191" s="24">
        <v>0.88549999999999995</v>
      </c>
      <c r="C191" s="24">
        <v>5518.9</v>
      </c>
      <c r="D191" s="47">
        <f t="shared" si="2"/>
        <v>4886.9859499999993</v>
      </c>
    </row>
    <row r="192" spans="1:4">
      <c r="A192" s="122">
        <v>41905</v>
      </c>
      <c r="B192" s="24">
        <v>0.88570000000000004</v>
      </c>
      <c r="C192" s="24">
        <v>5525</v>
      </c>
      <c r="D192" s="47">
        <f t="shared" si="2"/>
        <v>4893.4925000000003</v>
      </c>
    </row>
    <row r="193" spans="1:4">
      <c r="A193" s="122">
        <v>41904</v>
      </c>
      <c r="B193" s="24">
        <v>0.88759999999999994</v>
      </c>
      <c r="C193" s="24">
        <v>5491.2</v>
      </c>
      <c r="D193" s="47">
        <f t="shared" si="2"/>
        <v>4873.9891199999993</v>
      </c>
    </row>
    <row r="194" spans="1:4">
      <c r="A194" s="122">
        <v>41903</v>
      </c>
      <c r="B194" s="24">
        <v>0.89400000000000002</v>
      </c>
      <c r="C194" s="24">
        <v>5455.4</v>
      </c>
      <c r="D194" s="47">
        <f t="shared" si="2"/>
        <v>4877.1275999999998</v>
      </c>
    </row>
    <row r="195" spans="1:4">
      <c r="A195" s="122">
        <v>41902</v>
      </c>
      <c r="B195" s="24">
        <v>0.89200000000000002</v>
      </c>
      <c r="C195" s="24">
        <v>5375.9</v>
      </c>
      <c r="D195" s="47">
        <f t="shared" ref="D195:D258" si="3">C195*B195</f>
        <v>4795.3027999999995</v>
      </c>
    </row>
    <row r="196" spans="1:4">
      <c r="A196" s="122">
        <v>41901</v>
      </c>
      <c r="B196" s="24">
        <v>0.89200000000000002</v>
      </c>
      <c r="C196" s="24">
        <v>5395.7</v>
      </c>
      <c r="D196" s="47">
        <f t="shared" si="3"/>
        <v>4812.9643999999998</v>
      </c>
    </row>
    <row r="197" spans="1:4">
      <c r="A197" s="122">
        <v>41900</v>
      </c>
      <c r="B197" s="24">
        <v>0.89829999999999999</v>
      </c>
      <c r="C197" s="24">
        <v>5445.1</v>
      </c>
      <c r="D197" s="47">
        <f t="shared" si="3"/>
        <v>4891.3333300000004</v>
      </c>
    </row>
    <row r="198" spans="1:4">
      <c r="A198" s="122">
        <v>41899</v>
      </c>
      <c r="B198" s="24">
        <v>0.89580000000000004</v>
      </c>
      <c r="C198" s="24">
        <v>5464.3</v>
      </c>
      <c r="D198" s="47">
        <f t="shared" si="3"/>
        <v>4894.9199400000007</v>
      </c>
    </row>
    <row r="199" spans="1:4">
      <c r="A199" s="122">
        <v>41898</v>
      </c>
      <c r="B199" s="24">
        <v>0.90800000000000003</v>
      </c>
      <c r="C199" s="24">
        <v>5402</v>
      </c>
      <c r="D199" s="47">
        <f t="shared" si="3"/>
        <v>4905.0160000000005</v>
      </c>
    </row>
    <row r="200" spans="1:4">
      <c r="A200" s="122">
        <v>41897</v>
      </c>
      <c r="B200" s="24">
        <v>0.90349999999999997</v>
      </c>
      <c r="C200" s="24">
        <v>5432.8</v>
      </c>
      <c r="D200" s="47">
        <f t="shared" si="3"/>
        <v>4908.5348000000004</v>
      </c>
    </row>
    <row r="201" spans="1:4">
      <c r="A201" s="122">
        <v>41896</v>
      </c>
      <c r="B201" s="24">
        <v>0.90149999999999997</v>
      </c>
      <c r="C201" s="24">
        <v>5453.3</v>
      </c>
      <c r="D201" s="47">
        <f t="shared" si="3"/>
        <v>4916.14995</v>
      </c>
    </row>
    <row r="202" spans="1:4">
      <c r="A202" s="122">
        <v>41895</v>
      </c>
      <c r="B202" s="24">
        <v>0.90349999999999997</v>
      </c>
      <c r="C202" s="24">
        <v>5419.5</v>
      </c>
      <c r="D202" s="47">
        <f t="shared" si="3"/>
        <v>4896.5182500000001</v>
      </c>
    </row>
    <row r="203" spans="1:4">
      <c r="A203" s="122">
        <v>41894</v>
      </c>
      <c r="B203" s="24">
        <v>0.90349999999999997</v>
      </c>
      <c r="C203" s="24">
        <v>5468.2</v>
      </c>
      <c r="D203" s="47">
        <f t="shared" si="3"/>
        <v>4940.5186999999996</v>
      </c>
    </row>
    <row r="204" spans="1:4">
      <c r="A204" s="122">
        <v>41893</v>
      </c>
      <c r="B204" s="24">
        <v>0.90939999999999999</v>
      </c>
      <c r="C204" s="24">
        <v>5382.7</v>
      </c>
      <c r="D204" s="47">
        <f t="shared" si="3"/>
        <v>4895.0273799999995</v>
      </c>
    </row>
    <row r="205" spans="1:4">
      <c r="A205" s="122">
        <v>41892</v>
      </c>
      <c r="B205" s="24">
        <v>0.91579999999999995</v>
      </c>
      <c r="C205" s="24">
        <v>5400.7</v>
      </c>
      <c r="D205" s="47">
        <f t="shared" si="3"/>
        <v>4945.9610599999996</v>
      </c>
    </row>
    <row r="206" spans="1:4">
      <c r="A206" s="122">
        <v>41891</v>
      </c>
      <c r="B206" s="24">
        <v>0.92069999999999996</v>
      </c>
      <c r="C206" s="24">
        <v>5412.3</v>
      </c>
      <c r="D206" s="47">
        <f t="shared" si="3"/>
        <v>4983.1046100000003</v>
      </c>
    </row>
    <row r="207" spans="1:4">
      <c r="A207" s="122">
        <v>41890</v>
      </c>
      <c r="B207" s="24">
        <v>0.9274</v>
      </c>
      <c r="C207" s="24">
        <v>5405.1</v>
      </c>
      <c r="D207" s="47">
        <f t="shared" si="3"/>
        <v>5012.6897400000007</v>
      </c>
    </row>
    <row r="208" spans="1:4">
      <c r="A208" s="122">
        <v>41889</v>
      </c>
      <c r="B208" s="24">
        <v>0.9365</v>
      </c>
      <c r="C208" s="24">
        <v>5428.8</v>
      </c>
      <c r="D208" s="47">
        <f t="shared" si="3"/>
        <v>5084.0712000000003</v>
      </c>
    </row>
    <row r="209" spans="1:4">
      <c r="A209" s="122">
        <v>41888</v>
      </c>
      <c r="B209" s="24">
        <v>0.93759999999999999</v>
      </c>
      <c r="C209" s="24">
        <v>5454</v>
      </c>
      <c r="D209" s="47">
        <f t="shared" si="3"/>
        <v>5113.6704</v>
      </c>
    </row>
    <row r="210" spans="1:4">
      <c r="A210" s="122">
        <v>41887</v>
      </c>
      <c r="B210" s="24">
        <v>0.93759999999999999</v>
      </c>
      <c r="C210" s="24">
        <v>5469.7</v>
      </c>
      <c r="D210" s="47">
        <f t="shared" si="3"/>
        <v>5128.3907199999994</v>
      </c>
    </row>
    <row r="211" spans="1:4">
      <c r="A211" s="122">
        <v>41886</v>
      </c>
      <c r="B211" s="24">
        <v>0.93320000000000003</v>
      </c>
      <c r="C211" s="24">
        <v>5464</v>
      </c>
      <c r="D211" s="47">
        <f t="shared" si="3"/>
        <v>5099.0048000000006</v>
      </c>
    </row>
    <row r="212" spans="1:4">
      <c r="A212" s="122">
        <v>41885</v>
      </c>
      <c r="B212" s="24">
        <v>0.93400000000000005</v>
      </c>
      <c r="C212" s="24">
        <v>5436.9</v>
      </c>
      <c r="D212" s="47">
        <f t="shared" si="3"/>
        <v>5078.0645999999997</v>
      </c>
    </row>
    <row r="213" spans="1:4">
      <c r="A213" s="122">
        <v>41884</v>
      </c>
      <c r="B213" s="24">
        <v>0.92730000000000001</v>
      </c>
      <c r="C213" s="24">
        <v>5444.8</v>
      </c>
      <c r="D213" s="47">
        <f t="shared" si="3"/>
        <v>5048.9630400000005</v>
      </c>
    </row>
    <row r="214" spans="1:4">
      <c r="A214" s="122">
        <v>41883</v>
      </c>
      <c r="B214" s="24">
        <v>0.93310000000000004</v>
      </c>
      <c r="C214" s="24">
        <v>5479.7</v>
      </c>
      <c r="D214" s="47">
        <f t="shared" si="3"/>
        <v>5113.1080700000002</v>
      </c>
    </row>
    <row r="215" spans="1:4">
      <c r="A215" s="122">
        <v>41882</v>
      </c>
      <c r="B215" s="24">
        <v>0.9325</v>
      </c>
      <c r="C215" s="24">
        <v>5518.5</v>
      </c>
      <c r="D215" s="47">
        <f t="shared" si="3"/>
        <v>5146.0012500000003</v>
      </c>
    </row>
    <row r="216" spans="1:4">
      <c r="A216" s="122">
        <v>41881</v>
      </c>
      <c r="B216" s="24">
        <v>0.93330000000000002</v>
      </c>
      <c r="C216" s="24">
        <v>5492.5</v>
      </c>
      <c r="D216" s="47">
        <f t="shared" si="3"/>
        <v>5126.1502499999997</v>
      </c>
    </row>
    <row r="217" spans="1:4">
      <c r="A217" s="122">
        <v>41880</v>
      </c>
      <c r="B217" s="24">
        <v>0.93330000000000002</v>
      </c>
      <c r="C217" s="24">
        <v>5519.5</v>
      </c>
      <c r="D217" s="47">
        <f t="shared" si="3"/>
        <v>5151.3493500000004</v>
      </c>
    </row>
    <row r="218" spans="1:4">
      <c r="A218" s="122">
        <v>41879</v>
      </c>
      <c r="B218" s="24">
        <v>0.93479999999999996</v>
      </c>
      <c r="C218" s="24">
        <v>5527.2</v>
      </c>
      <c r="D218" s="47">
        <f t="shared" si="3"/>
        <v>5166.8265599999995</v>
      </c>
    </row>
    <row r="219" spans="1:4">
      <c r="A219" s="122">
        <v>41878</v>
      </c>
      <c r="B219" s="24">
        <v>0.9335</v>
      </c>
      <c r="C219" s="24">
        <v>5511.7</v>
      </c>
      <c r="D219" s="47">
        <f t="shared" si="3"/>
        <v>5145.1719499999999</v>
      </c>
    </row>
    <row r="220" spans="1:4">
      <c r="A220" s="122">
        <v>41877</v>
      </c>
      <c r="B220" s="24">
        <v>0.93159999999999998</v>
      </c>
      <c r="C220" s="24">
        <v>5512.8</v>
      </c>
      <c r="D220" s="47">
        <f t="shared" si="3"/>
        <v>5135.7244799999999</v>
      </c>
    </row>
    <row r="221" spans="1:4">
      <c r="A221" s="122">
        <v>41876</v>
      </c>
      <c r="B221" s="24">
        <v>0.92759999999999998</v>
      </c>
      <c r="C221" s="24">
        <v>5492.8</v>
      </c>
      <c r="D221" s="47">
        <f t="shared" si="3"/>
        <v>5095.1212800000003</v>
      </c>
    </row>
    <row r="222" spans="1:4">
      <c r="A222" s="122">
        <v>41874</v>
      </c>
      <c r="B222" s="24">
        <v>0.93110000000000004</v>
      </c>
      <c r="C222" s="24">
        <v>5479.9</v>
      </c>
      <c r="D222" s="47">
        <f t="shared" si="3"/>
        <v>5102.3348900000001</v>
      </c>
    </row>
    <row r="223" spans="1:4">
      <c r="A223" s="122">
        <v>41873</v>
      </c>
      <c r="B223" s="24">
        <v>0.93110000000000004</v>
      </c>
      <c r="C223" s="24">
        <v>5424.6</v>
      </c>
      <c r="D223" s="47">
        <f t="shared" si="3"/>
        <v>5050.8450600000006</v>
      </c>
    </row>
    <row r="224" spans="1:4">
      <c r="A224" s="122">
        <v>41872</v>
      </c>
      <c r="B224" s="24">
        <v>0.93020000000000003</v>
      </c>
      <c r="C224" s="24">
        <v>5420.4</v>
      </c>
      <c r="D224" s="47">
        <f t="shared" si="3"/>
        <v>5042.0560799999994</v>
      </c>
    </row>
    <row r="225" spans="1:4">
      <c r="A225" s="122">
        <v>41871</v>
      </c>
      <c r="B225" s="24">
        <v>0.92910000000000004</v>
      </c>
      <c r="C225" s="24">
        <v>5409</v>
      </c>
      <c r="D225" s="47">
        <f t="shared" si="3"/>
        <v>5025.5019000000002</v>
      </c>
    </row>
    <row r="226" spans="1:4">
      <c r="A226" s="122">
        <v>41870</v>
      </c>
      <c r="B226" s="24">
        <v>0.92869999999999997</v>
      </c>
      <c r="C226" s="24">
        <v>5479</v>
      </c>
      <c r="D226" s="47">
        <f t="shared" si="3"/>
        <v>5088.3472999999994</v>
      </c>
    </row>
    <row r="227" spans="1:4">
      <c r="A227" s="122">
        <v>41869</v>
      </c>
      <c r="B227" s="24">
        <v>0.93189999999999995</v>
      </c>
      <c r="C227" s="24">
        <v>5510.8</v>
      </c>
      <c r="D227" s="47">
        <f t="shared" si="3"/>
        <v>5135.5145199999997</v>
      </c>
    </row>
    <row r="228" spans="1:4">
      <c r="A228" s="122">
        <v>41868</v>
      </c>
      <c r="B228" s="24">
        <v>0.93149999999999999</v>
      </c>
      <c r="C228" s="24">
        <v>5496.5</v>
      </c>
      <c r="D228" s="47">
        <f t="shared" si="3"/>
        <v>5119.9897499999997</v>
      </c>
    </row>
    <row r="229" spans="1:4">
      <c r="A229" s="122">
        <v>41867</v>
      </c>
      <c r="B229" s="24">
        <v>0.93189999999999995</v>
      </c>
      <c r="C229" s="24">
        <v>5498.2</v>
      </c>
      <c r="D229" s="47">
        <f t="shared" si="3"/>
        <v>5123.7725799999998</v>
      </c>
    </row>
    <row r="230" spans="1:4">
      <c r="A230" s="122">
        <v>41866</v>
      </c>
      <c r="B230" s="24">
        <v>0.93189999999999995</v>
      </c>
      <c r="C230" s="24">
        <v>5448.4</v>
      </c>
      <c r="D230" s="47">
        <f t="shared" si="3"/>
        <v>5077.3639599999997</v>
      </c>
    </row>
    <row r="231" spans="1:4">
      <c r="A231" s="122">
        <v>41865</v>
      </c>
      <c r="B231" s="24">
        <v>0.93189999999999995</v>
      </c>
      <c r="C231" s="24">
        <v>5460.8</v>
      </c>
      <c r="D231" s="47">
        <f t="shared" si="3"/>
        <v>5088.9195199999995</v>
      </c>
    </row>
    <row r="232" spans="1:4">
      <c r="A232" s="122">
        <v>41864</v>
      </c>
      <c r="B232" s="24">
        <v>0.93030000000000002</v>
      </c>
      <c r="C232" s="24">
        <v>5476.8</v>
      </c>
      <c r="D232" s="47">
        <f t="shared" si="3"/>
        <v>5095.0670399999999</v>
      </c>
    </row>
    <row r="233" spans="1:4">
      <c r="A233" s="122">
        <v>41863</v>
      </c>
      <c r="B233" s="24">
        <v>0.92669999999999997</v>
      </c>
      <c r="C233" s="24">
        <v>5435.8</v>
      </c>
      <c r="D233" s="47">
        <f t="shared" si="3"/>
        <v>5037.3558599999997</v>
      </c>
    </row>
    <row r="234" spans="1:4">
      <c r="A234" s="122">
        <v>41862</v>
      </c>
      <c r="B234" s="24">
        <v>0.92630000000000001</v>
      </c>
      <c r="C234" s="24">
        <v>5481.4</v>
      </c>
      <c r="D234" s="47">
        <f t="shared" si="3"/>
        <v>5077.4208199999994</v>
      </c>
    </row>
    <row r="235" spans="1:4">
      <c r="A235" s="122">
        <v>41861</v>
      </c>
      <c r="B235" s="24">
        <v>0.92779999999999996</v>
      </c>
      <c r="C235" s="24">
        <v>5462.2</v>
      </c>
      <c r="D235" s="47">
        <f t="shared" si="3"/>
        <v>5067.8291599999993</v>
      </c>
    </row>
    <row r="236" spans="1:4">
      <c r="A236" s="122">
        <v>41860</v>
      </c>
      <c r="B236" s="24">
        <v>0.9274</v>
      </c>
      <c r="C236" s="24">
        <v>5458.1</v>
      </c>
      <c r="D236" s="47">
        <f t="shared" si="3"/>
        <v>5061.8419400000002</v>
      </c>
    </row>
    <row r="237" spans="1:4">
      <c r="A237" s="122">
        <v>41859</v>
      </c>
      <c r="B237" s="24">
        <v>0.9274</v>
      </c>
      <c r="C237" s="24">
        <v>5448.8</v>
      </c>
      <c r="D237" s="47">
        <f t="shared" si="3"/>
        <v>5053.2171200000003</v>
      </c>
    </row>
    <row r="238" spans="1:4">
      <c r="A238" s="122">
        <v>41858</v>
      </c>
      <c r="B238" s="24">
        <v>0.92679999999999996</v>
      </c>
      <c r="C238" s="24">
        <v>5489.1</v>
      </c>
      <c r="D238" s="47">
        <f t="shared" si="3"/>
        <v>5087.2978800000001</v>
      </c>
    </row>
    <row r="239" spans="1:4">
      <c r="A239" s="122">
        <v>41857</v>
      </c>
      <c r="B239" s="24">
        <v>0.93430000000000002</v>
      </c>
      <c r="C239" s="24">
        <v>5486.6</v>
      </c>
      <c r="D239" s="47">
        <f t="shared" si="3"/>
        <v>5126.1303800000005</v>
      </c>
    </row>
    <row r="240" spans="1:4">
      <c r="A240" s="122">
        <v>41856</v>
      </c>
      <c r="B240" s="24">
        <v>0.93010000000000004</v>
      </c>
      <c r="C240" s="24">
        <v>5536.1</v>
      </c>
      <c r="D240" s="47">
        <f t="shared" si="3"/>
        <v>5149.1266100000003</v>
      </c>
    </row>
    <row r="241" spans="1:4">
      <c r="A241" s="122">
        <v>41855</v>
      </c>
      <c r="B241" s="24">
        <v>0.93300000000000005</v>
      </c>
      <c r="C241" s="24">
        <v>5531</v>
      </c>
      <c r="D241" s="47">
        <f t="shared" si="3"/>
        <v>5160.4230000000007</v>
      </c>
    </row>
    <row r="242" spans="1:4">
      <c r="A242" s="122">
        <v>41854</v>
      </c>
      <c r="B242" s="24">
        <v>0.93089999999999995</v>
      </c>
      <c r="C242" s="24">
        <v>5517.8</v>
      </c>
      <c r="D242" s="47">
        <f t="shared" si="3"/>
        <v>5136.5200199999999</v>
      </c>
    </row>
    <row r="243" spans="1:4">
      <c r="A243" s="122">
        <v>41853</v>
      </c>
      <c r="B243" s="24">
        <v>0.93100000000000005</v>
      </c>
      <c r="C243" s="24">
        <v>5479.3</v>
      </c>
      <c r="D243" s="47">
        <f t="shared" si="3"/>
        <v>5101.2283000000007</v>
      </c>
    </row>
    <row r="244" spans="1:4">
      <c r="A244" s="122">
        <v>41852</v>
      </c>
      <c r="B244" s="24">
        <v>0.93100000000000005</v>
      </c>
      <c r="C244" s="24">
        <v>5454.2</v>
      </c>
      <c r="D244" s="47">
        <f t="shared" si="3"/>
        <v>5077.8602000000001</v>
      </c>
    </row>
    <row r="245" spans="1:4">
      <c r="A245" s="122">
        <v>41851</v>
      </c>
      <c r="B245" s="24">
        <v>0.93010000000000004</v>
      </c>
      <c r="C245" s="24">
        <v>5420.3</v>
      </c>
      <c r="D245" s="47">
        <f t="shared" si="3"/>
        <v>5041.4210300000004</v>
      </c>
    </row>
    <row r="246" spans="1:4">
      <c r="A246" s="122">
        <v>41850</v>
      </c>
      <c r="B246" s="24">
        <v>0.9325</v>
      </c>
      <c r="C246" s="24">
        <v>5388.2</v>
      </c>
      <c r="D246" s="47">
        <f t="shared" si="3"/>
        <v>5024.4965000000002</v>
      </c>
    </row>
    <row r="247" spans="1:4">
      <c r="A247" s="122">
        <v>41849</v>
      </c>
      <c r="B247" s="24">
        <v>0.9385</v>
      </c>
      <c r="C247" s="24">
        <v>5358.9</v>
      </c>
      <c r="D247" s="47">
        <f t="shared" si="3"/>
        <v>5029.3276499999993</v>
      </c>
    </row>
    <row r="248" spans="1:4">
      <c r="A248" s="122">
        <v>41848</v>
      </c>
      <c r="B248" s="24">
        <v>0.94120000000000004</v>
      </c>
      <c r="C248" s="24">
        <v>5428.6</v>
      </c>
      <c r="D248" s="47">
        <f t="shared" si="3"/>
        <v>5109.3983200000002</v>
      </c>
    </row>
    <row r="249" spans="1:4">
      <c r="A249" s="122">
        <v>41847</v>
      </c>
      <c r="B249" s="24">
        <v>0.94</v>
      </c>
      <c r="C249" s="24">
        <v>5480.8</v>
      </c>
      <c r="D249" s="47">
        <f t="shared" si="3"/>
        <v>5151.9520000000002</v>
      </c>
    </row>
    <row r="250" spans="1:4">
      <c r="A250" s="122">
        <v>41846</v>
      </c>
      <c r="B250" s="24">
        <v>0.93940000000000001</v>
      </c>
      <c r="C250" s="24">
        <v>5463.8</v>
      </c>
      <c r="D250" s="47">
        <f t="shared" si="3"/>
        <v>5132.6937200000002</v>
      </c>
    </row>
    <row r="251" spans="1:4">
      <c r="A251" s="122">
        <v>41845</v>
      </c>
      <c r="B251" s="24">
        <v>0.93940000000000001</v>
      </c>
      <c r="C251" s="24">
        <v>5410.6</v>
      </c>
      <c r="D251" s="47">
        <f t="shared" si="3"/>
        <v>5082.7176400000008</v>
      </c>
    </row>
    <row r="252" spans="1:4">
      <c r="A252" s="122">
        <v>41844</v>
      </c>
      <c r="B252" s="24">
        <v>0.94179999999999997</v>
      </c>
      <c r="C252" s="24">
        <v>5413.7</v>
      </c>
      <c r="D252" s="47">
        <f t="shared" si="3"/>
        <v>5098.62266</v>
      </c>
    </row>
    <row r="253" spans="1:4">
      <c r="A253" s="122">
        <v>41843</v>
      </c>
      <c r="B253" s="24">
        <v>0.94379999999999997</v>
      </c>
      <c r="C253" s="24">
        <v>5422.8</v>
      </c>
      <c r="D253" s="47">
        <f t="shared" si="3"/>
        <v>5118.0386399999998</v>
      </c>
    </row>
    <row r="254" spans="1:4">
      <c r="A254" s="122">
        <v>41842</v>
      </c>
      <c r="B254" s="24">
        <v>0.93869999999999998</v>
      </c>
      <c r="C254" s="24">
        <v>5409.9</v>
      </c>
      <c r="D254" s="47">
        <f t="shared" si="3"/>
        <v>5078.2731299999996</v>
      </c>
    </row>
    <row r="255" spans="1:4">
      <c r="A255" s="122">
        <v>41841</v>
      </c>
      <c r="B255" s="24">
        <v>0.93679999999999997</v>
      </c>
      <c r="C255" s="24">
        <v>5403.3</v>
      </c>
      <c r="D255" s="47">
        <f t="shared" si="3"/>
        <v>5061.8114400000004</v>
      </c>
    </row>
    <row r="256" spans="1:4">
      <c r="A256" s="122">
        <v>41840</v>
      </c>
      <c r="B256" s="24">
        <v>0.93940000000000001</v>
      </c>
      <c r="C256" s="24">
        <v>5389.2</v>
      </c>
      <c r="D256" s="47">
        <f t="shared" si="3"/>
        <v>5062.6144800000002</v>
      </c>
    </row>
    <row r="257" spans="1:4">
      <c r="A257" s="122">
        <v>41839</v>
      </c>
      <c r="B257" s="24">
        <v>0.93879999999999997</v>
      </c>
      <c r="C257" s="24">
        <v>5394.8</v>
      </c>
      <c r="D257" s="47">
        <f t="shared" si="3"/>
        <v>5064.6382400000002</v>
      </c>
    </row>
    <row r="258" spans="1:4">
      <c r="A258" s="122">
        <v>41838</v>
      </c>
      <c r="B258" s="24">
        <v>0.93879999999999997</v>
      </c>
      <c r="C258" s="24">
        <v>5366.9</v>
      </c>
      <c r="D258" s="47">
        <f t="shared" si="3"/>
        <v>5038.4457199999997</v>
      </c>
    </row>
    <row r="259" spans="1:4">
      <c r="A259" s="122">
        <v>41837</v>
      </c>
      <c r="B259" s="24">
        <v>0.93379999999999996</v>
      </c>
      <c r="C259" s="24">
        <v>5350.1</v>
      </c>
      <c r="D259" s="47">
        <f t="shared" ref="D259:D322" si="4">C259*B259</f>
        <v>4995.9233800000002</v>
      </c>
    </row>
    <row r="260" spans="1:4">
      <c r="A260" s="122">
        <v>41836</v>
      </c>
      <c r="B260" s="24">
        <v>0.93700000000000006</v>
      </c>
      <c r="C260" s="24">
        <v>5376.8</v>
      </c>
      <c r="D260" s="47">
        <f t="shared" si="4"/>
        <v>5038.0616000000009</v>
      </c>
    </row>
    <row r="261" spans="1:4">
      <c r="A261" s="122">
        <v>41835</v>
      </c>
      <c r="B261" s="24">
        <v>0.93600000000000005</v>
      </c>
      <c r="C261" s="24">
        <v>5336.6</v>
      </c>
      <c r="D261" s="47">
        <f t="shared" si="4"/>
        <v>4995.057600000001</v>
      </c>
    </row>
    <row r="262" spans="1:4">
      <c r="A262" s="122">
        <v>41834</v>
      </c>
      <c r="B262" s="24">
        <v>0.93920000000000003</v>
      </c>
      <c r="C262" s="24">
        <v>5346.9</v>
      </c>
      <c r="D262" s="47">
        <f t="shared" si="4"/>
        <v>5021.8084799999997</v>
      </c>
    </row>
    <row r="263" spans="1:4">
      <c r="A263" s="122">
        <v>41833</v>
      </c>
      <c r="B263" s="24">
        <v>0.9385</v>
      </c>
      <c r="C263" s="24">
        <v>5338.1</v>
      </c>
      <c r="D263" s="47">
        <f t="shared" si="4"/>
        <v>5009.8068499999999</v>
      </c>
    </row>
    <row r="264" spans="1:4">
      <c r="A264" s="122">
        <v>41832</v>
      </c>
      <c r="B264" s="24">
        <v>0.93889999999999996</v>
      </c>
      <c r="C264" s="24">
        <v>5294</v>
      </c>
      <c r="D264" s="47">
        <f t="shared" si="4"/>
        <v>4970.5365999999995</v>
      </c>
    </row>
    <row r="265" spans="1:4">
      <c r="A265" s="122">
        <v>41831</v>
      </c>
      <c r="B265" s="24">
        <v>0.93889999999999996</v>
      </c>
      <c r="C265" s="24">
        <v>5355.6</v>
      </c>
      <c r="D265" s="47">
        <f t="shared" si="4"/>
        <v>5028.37284</v>
      </c>
    </row>
    <row r="266" spans="1:4">
      <c r="A266" s="122">
        <v>41830</v>
      </c>
      <c r="B266" s="24">
        <v>0.9385</v>
      </c>
      <c r="C266" s="24">
        <v>5344.6</v>
      </c>
      <c r="D266" s="47">
        <f t="shared" si="4"/>
        <v>5015.9071000000004</v>
      </c>
    </row>
    <row r="267" spans="1:4">
      <c r="A267" s="122">
        <v>41829</v>
      </c>
      <c r="B267" s="24">
        <v>0.94230000000000003</v>
      </c>
      <c r="C267" s="24">
        <v>5317.6</v>
      </c>
      <c r="D267" s="47">
        <f t="shared" si="4"/>
        <v>5010.77448</v>
      </c>
    </row>
    <row r="268" spans="1:4">
      <c r="A268" s="122">
        <v>41828</v>
      </c>
      <c r="B268" s="24">
        <v>0.94089999999999996</v>
      </c>
      <c r="C268" s="24">
        <v>5329.4</v>
      </c>
      <c r="D268" s="47">
        <f t="shared" si="4"/>
        <v>5014.4324599999991</v>
      </c>
    </row>
    <row r="269" spans="1:4">
      <c r="A269" s="122">
        <v>41827</v>
      </c>
      <c r="B269" s="24">
        <v>0.93720000000000003</v>
      </c>
      <c r="C269" s="24">
        <v>5412.6</v>
      </c>
      <c r="D269" s="47">
        <f t="shared" si="4"/>
        <v>5072.6887200000001</v>
      </c>
    </row>
    <row r="270" spans="1:4">
      <c r="A270" s="122">
        <v>41826</v>
      </c>
      <c r="B270" s="24">
        <v>0.93559999999999999</v>
      </c>
      <c r="C270" s="24">
        <v>5384.2</v>
      </c>
      <c r="D270" s="47">
        <f t="shared" si="4"/>
        <v>5037.4575199999999</v>
      </c>
    </row>
    <row r="271" spans="1:4">
      <c r="A271" s="122">
        <v>41825</v>
      </c>
      <c r="B271" s="24">
        <v>0.93620000000000003</v>
      </c>
      <c r="C271" s="24">
        <v>5413.8</v>
      </c>
      <c r="D271" s="47">
        <f t="shared" si="4"/>
        <v>5068.3995600000007</v>
      </c>
    </row>
    <row r="272" spans="1:4">
      <c r="A272" s="122">
        <v>41824</v>
      </c>
      <c r="B272" s="24">
        <v>0.93620000000000003</v>
      </c>
      <c r="C272" s="24">
        <v>5411.5</v>
      </c>
      <c r="D272" s="47">
        <f t="shared" si="4"/>
        <v>5066.2462999999998</v>
      </c>
    </row>
    <row r="273" spans="1:4">
      <c r="A273" s="122">
        <v>41823</v>
      </c>
      <c r="B273" s="24">
        <v>0.93500000000000005</v>
      </c>
      <c r="C273" s="24">
        <v>5462.3</v>
      </c>
      <c r="D273" s="47">
        <f t="shared" si="4"/>
        <v>5107.2505000000001</v>
      </c>
    </row>
    <row r="274" spans="1:4">
      <c r="A274" s="122">
        <v>41822</v>
      </c>
      <c r="B274" s="24">
        <v>0.94310000000000005</v>
      </c>
      <c r="C274" s="24">
        <v>5445.9</v>
      </c>
      <c r="D274" s="47">
        <f t="shared" si="4"/>
        <v>5136.0282900000002</v>
      </c>
    </row>
    <row r="275" spans="1:4">
      <c r="A275" s="122">
        <v>41821</v>
      </c>
      <c r="B275" s="24">
        <v>0.9496</v>
      </c>
      <c r="C275" s="24">
        <v>5446.2</v>
      </c>
      <c r="D275" s="47">
        <f t="shared" si="4"/>
        <v>5171.7115199999998</v>
      </c>
    </row>
    <row r="276" spans="1:4">
      <c r="A276" s="122">
        <v>41820</v>
      </c>
      <c r="B276" s="24">
        <v>0.94310000000000005</v>
      </c>
      <c r="C276" s="24">
        <v>5400.2</v>
      </c>
      <c r="D276" s="47">
        <f t="shared" si="4"/>
        <v>5092.9286199999997</v>
      </c>
    </row>
    <row r="277" spans="1:4">
      <c r="A277" s="122">
        <v>41819</v>
      </c>
      <c r="B277" s="24">
        <v>0.94130000000000003</v>
      </c>
      <c r="C277" s="24">
        <v>5384.3</v>
      </c>
      <c r="D277" s="47">
        <f t="shared" si="4"/>
        <v>5068.2415900000005</v>
      </c>
    </row>
    <row r="278" spans="1:4">
      <c r="A278" s="122">
        <v>41818</v>
      </c>
      <c r="B278" s="24">
        <v>0.94220000000000004</v>
      </c>
      <c r="C278" s="24">
        <v>5404.8</v>
      </c>
      <c r="D278" s="47">
        <f t="shared" si="4"/>
        <v>5092.4025600000004</v>
      </c>
    </row>
    <row r="279" spans="1:4">
      <c r="A279" s="122">
        <v>41817</v>
      </c>
      <c r="B279" s="24">
        <v>0.94220000000000004</v>
      </c>
      <c r="C279" s="24">
        <v>5411.4</v>
      </c>
      <c r="D279" s="47">
        <f t="shared" si="4"/>
        <v>5098.6210799999999</v>
      </c>
    </row>
    <row r="280" spans="1:4">
      <c r="A280" s="122">
        <v>41816</v>
      </c>
      <c r="B280" s="24">
        <v>0.9405</v>
      </c>
      <c r="C280" s="24">
        <v>5437</v>
      </c>
      <c r="D280" s="47">
        <f t="shared" si="4"/>
        <v>5113.4984999999997</v>
      </c>
    </row>
    <row r="281" spans="1:4">
      <c r="A281" s="122">
        <v>41815</v>
      </c>
      <c r="B281" s="24">
        <v>0.94040000000000001</v>
      </c>
      <c r="C281" s="24">
        <v>5433.8</v>
      </c>
      <c r="D281" s="47">
        <f t="shared" si="4"/>
        <v>5109.9455200000002</v>
      </c>
    </row>
    <row r="282" spans="1:4">
      <c r="A282" s="122">
        <v>41814</v>
      </c>
      <c r="B282" s="24">
        <v>0.93600000000000005</v>
      </c>
      <c r="C282" s="24">
        <v>5440.2</v>
      </c>
      <c r="D282" s="47">
        <f t="shared" si="4"/>
        <v>5092.0272000000004</v>
      </c>
    </row>
    <row r="283" spans="1:4">
      <c r="A283" s="122">
        <v>41813</v>
      </c>
      <c r="B283" s="24">
        <v>0.94220000000000004</v>
      </c>
      <c r="C283" s="24">
        <v>5438.7</v>
      </c>
      <c r="D283" s="47">
        <f t="shared" si="4"/>
        <v>5124.3431399999999</v>
      </c>
    </row>
    <row r="284" spans="1:4">
      <c r="A284" s="122">
        <v>41812</v>
      </c>
      <c r="B284" s="24">
        <v>0.93859999999999999</v>
      </c>
      <c r="C284" s="24">
        <v>5412.3</v>
      </c>
      <c r="D284" s="47">
        <f t="shared" si="4"/>
        <v>5079.9847799999998</v>
      </c>
    </row>
    <row r="285" spans="1:4">
      <c r="A285" s="122">
        <v>41811</v>
      </c>
      <c r="B285" s="24">
        <v>0.93840000000000001</v>
      </c>
      <c r="C285" s="24">
        <v>5408.2</v>
      </c>
      <c r="D285" s="47">
        <f t="shared" si="4"/>
        <v>5075.0548799999997</v>
      </c>
    </row>
    <row r="286" spans="1:4">
      <c r="A286" s="122">
        <v>41810</v>
      </c>
      <c r="B286" s="24">
        <v>0.93840000000000001</v>
      </c>
      <c r="C286" s="24">
        <v>5392.8</v>
      </c>
      <c r="D286" s="47">
        <f t="shared" si="4"/>
        <v>5060.6035200000006</v>
      </c>
    </row>
    <row r="287" spans="1:4">
      <c r="A287" s="122">
        <v>41809</v>
      </c>
      <c r="B287" s="24">
        <v>0.93979999999999997</v>
      </c>
      <c r="C287" s="24">
        <v>5382.9</v>
      </c>
      <c r="D287" s="47">
        <f t="shared" si="4"/>
        <v>5058.8494199999996</v>
      </c>
    </row>
    <row r="288" spans="1:4">
      <c r="A288" s="122">
        <v>41808</v>
      </c>
      <c r="B288" s="24">
        <v>0.93989999999999996</v>
      </c>
      <c r="C288" s="24">
        <v>5356.3</v>
      </c>
      <c r="D288" s="47">
        <f t="shared" si="4"/>
        <v>5034.3863700000002</v>
      </c>
    </row>
    <row r="289" spans="1:4">
      <c r="A289" s="122">
        <v>41807</v>
      </c>
      <c r="B289" s="24">
        <v>0.9335</v>
      </c>
      <c r="C289" s="24">
        <v>5308.1</v>
      </c>
      <c r="D289" s="47">
        <f t="shared" si="4"/>
        <v>4955.1113500000001</v>
      </c>
    </row>
    <row r="290" spans="1:4">
      <c r="A290" s="122">
        <v>41806</v>
      </c>
      <c r="B290" s="24">
        <v>0.93910000000000005</v>
      </c>
      <c r="C290" s="24">
        <v>5310.1</v>
      </c>
      <c r="D290" s="47">
        <f t="shared" si="4"/>
        <v>4986.7149100000006</v>
      </c>
    </row>
    <row r="291" spans="1:4">
      <c r="A291" s="122">
        <v>41805</v>
      </c>
      <c r="B291" s="24">
        <v>0.93889999999999996</v>
      </c>
      <c r="C291" s="24">
        <v>5254.5</v>
      </c>
      <c r="D291" s="47">
        <f t="shared" si="4"/>
        <v>4933.4500499999995</v>
      </c>
    </row>
    <row r="292" spans="1:4">
      <c r="A292" s="122">
        <v>41804</v>
      </c>
      <c r="B292" s="24">
        <v>0.94</v>
      </c>
      <c r="C292" s="24">
        <v>5222.1000000000004</v>
      </c>
      <c r="D292" s="47">
        <f t="shared" si="4"/>
        <v>4908.7740000000003</v>
      </c>
    </row>
    <row r="293" spans="1:4">
      <c r="A293" s="122">
        <v>41803</v>
      </c>
      <c r="B293" s="24">
        <v>0.94</v>
      </c>
      <c r="C293" s="24">
        <v>5166.5</v>
      </c>
      <c r="D293" s="47">
        <f t="shared" si="4"/>
        <v>4856.5099999999993</v>
      </c>
    </row>
    <row r="294" spans="1:4">
      <c r="A294" s="122">
        <v>41802</v>
      </c>
      <c r="B294" s="24">
        <v>0.94259999999999999</v>
      </c>
      <c r="C294" s="24">
        <v>5131.3999999999996</v>
      </c>
      <c r="D294" s="47">
        <f t="shared" si="4"/>
        <v>4836.8576399999993</v>
      </c>
    </row>
    <row r="295" spans="1:4">
      <c r="A295" s="122">
        <v>41801</v>
      </c>
      <c r="B295" s="24">
        <v>0.93820000000000003</v>
      </c>
      <c r="C295" s="24">
        <v>5070.3</v>
      </c>
      <c r="D295" s="47">
        <f t="shared" si="4"/>
        <v>4756.9554600000001</v>
      </c>
    </row>
    <row r="296" spans="1:4">
      <c r="A296" s="122">
        <v>41800</v>
      </c>
      <c r="B296" s="24">
        <v>0.93679999999999997</v>
      </c>
      <c r="C296" s="24">
        <v>5097.1000000000004</v>
      </c>
      <c r="D296" s="47">
        <f t="shared" si="4"/>
        <v>4774.9632799999999</v>
      </c>
    </row>
    <row r="297" spans="1:4">
      <c r="A297" s="122">
        <v>41799</v>
      </c>
      <c r="B297" s="24">
        <v>0.9345</v>
      </c>
      <c r="C297" s="24">
        <v>5187.8999999999996</v>
      </c>
      <c r="D297" s="47">
        <f t="shared" si="4"/>
        <v>4848.0925499999994</v>
      </c>
    </row>
    <row r="298" spans="1:4">
      <c r="A298" s="122">
        <v>41798</v>
      </c>
      <c r="B298" s="24">
        <v>0.93369999999999997</v>
      </c>
      <c r="C298" s="24">
        <v>5190</v>
      </c>
      <c r="D298" s="47">
        <f t="shared" si="4"/>
        <v>4845.9030000000002</v>
      </c>
    </row>
    <row r="299" spans="1:4">
      <c r="A299" s="122">
        <v>41797</v>
      </c>
      <c r="B299" s="24">
        <v>0.93300000000000005</v>
      </c>
      <c r="C299" s="24">
        <v>5188.1000000000004</v>
      </c>
      <c r="D299" s="47">
        <f t="shared" si="4"/>
        <v>4840.4973000000009</v>
      </c>
    </row>
    <row r="300" spans="1:4">
      <c r="A300" s="122">
        <v>41796</v>
      </c>
      <c r="B300" s="24">
        <v>0.93300000000000005</v>
      </c>
      <c r="C300" s="24">
        <v>5229</v>
      </c>
      <c r="D300" s="47">
        <f t="shared" si="4"/>
        <v>4878.6570000000002</v>
      </c>
    </row>
    <row r="301" spans="1:4">
      <c r="A301" s="122">
        <v>41795</v>
      </c>
      <c r="B301" s="24">
        <v>0.93269999999999997</v>
      </c>
      <c r="C301" s="24">
        <v>5175.1000000000004</v>
      </c>
      <c r="D301" s="47">
        <f t="shared" si="4"/>
        <v>4826.8157700000002</v>
      </c>
    </row>
    <row r="302" spans="1:4">
      <c r="A302" s="122">
        <v>41794</v>
      </c>
      <c r="B302" s="24">
        <v>0.92720000000000002</v>
      </c>
      <c r="C302" s="24">
        <v>5240.8999999999996</v>
      </c>
      <c r="D302" s="47">
        <f t="shared" si="4"/>
        <v>4859.3624799999998</v>
      </c>
    </row>
    <row r="303" spans="1:4">
      <c r="A303" s="122">
        <v>41793</v>
      </c>
      <c r="B303" s="24">
        <v>0.92569999999999997</v>
      </c>
      <c r="C303" s="24">
        <v>5263</v>
      </c>
      <c r="D303" s="47">
        <f t="shared" si="4"/>
        <v>4871.9591</v>
      </c>
    </row>
    <row r="304" spans="1:4">
      <c r="A304" s="122">
        <v>41792</v>
      </c>
      <c r="B304" s="24">
        <v>0.92330000000000001</v>
      </c>
      <c r="C304" s="24">
        <v>5319.8</v>
      </c>
      <c r="D304" s="47">
        <f t="shared" si="4"/>
        <v>4911.7713400000002</v>
      </c>
    </row>
    <row r="305" spans="1:4">
      <c r="A305" s="122">
        <v>41791</v>
      </c>
      <c r="B305" s="24">
        <v>0.92989999999999995</v>
      </c>
      <c r="C305" s="24">
        <v>5331.5</v>
      </c>
      <c r="D305" s="47">
        <f t="shared" si="4"/>
        <v>4957.7618499999999</v>
      </c>
    </row>
    <row r="306" spans="1:4">
      <c r="A306" s="122">
        <v>41790</v>
      </c>
      <c r="B306" s="24">
        <v>0.9304</v>
      </c>
      <c r="C306" s="24">
        <v>5295</v>
      </c>
      <c r="D306" s="47">
        <f t="shared" si="4"/>
        <v>4926.4679999999998</v>
      </c>
    </row>
    <row r="307" spans="1:4">
      <c r="A307" s="122">
        <v>41789</v>
      </c>
      <c r="B307" s="24">
        <v>0.9304</v>
      </c>
      <c r="C307" s="24">
        <v>5305.9</v>
      </c>
      <c r="D307" s="47">
        <f t="shared" si="4"/>
        <v>4936.6093599999995</v>
      </c>
    </row>
    <row r="308" spans="1:4">
      <c r="A308" s="122">
        <v>41788</v>
      </c>
      <c r="B308" s="24">
        <v>0.93130000000000002</v>
      </c>
      <c r="C308" s="24">
        <v>5309.1</v>
      </c>
      <c r="D308" s="47">
        <f t="shared" si="4"/>
        <v>4944.3648300000004</v>
      </c>
    </row>
    <row r="309" spans="1:4">
      <c r="A309" s="122">
        <v>41787</v>
      </c>
      <c r="B309" s="24">
        <v>0.92220000000000002</v>
      </c>
      <c r="C309" s="24">
        <v>5245.4</v>
      </c>
      <c r="D309" s="47">
        <f t="shared" si="4"/>
        <v>4837.3078799999994</v>
      </c>
    </row>
    <row r="310" spans="1:4">
      <c r="A310" s="122">
        <v>41786</v>
      </c>
      <c r="B310" s="24">
        <v>0.9264</v>
      </c>
      <c r="C310" s="24">
        <v>5212</v>
      </c>
      <c r="D310" s="47">
        <f t="shared" si="4"/>
        <v>4828.3968000000004</v>
      </c>
    </row>
    <row r="311" spans="1:4">
      <c r="A311" s="122">
        <v>41785</v>
      </c>
      <c r="B311" s="24">
        <v>0.92559999999999998</v>
      </c>
      <c r="C311" s="24">
        <v>5292.1</v>
      </c>
      <c r="D311" s="47">
        <f t="shared" si="4"/>
        <v>4898.3677600000001</v>
      </c>
    </row>
    <row r="312" spans="1:4">
      <c r="A312" s="122">
        <v>41784</v>
      </c>
      <c r="B312" s="24">
        <v>0.92400000000000004</v>
      </c>
      <c r="C312" s="24">
        <v>5312.4</v>
      </c>
      <c r="D312" s="47">
        <f t="shared" si="4"/>
        <v>4908.6575999999995</v>
      </c>
    </row>
    <row r="313" spans="1:4">
      <c r="A313" s="122">
        <v>41783</v>
      </c>
      <c r="B313" s="24">
        <v>0.92269999999999996</v>
      </c>
      <c r="C313" s="24">
        <v>5324.4</v>
      </c>
      <c r="D313" s="47">
        <f t="shared" si="4"/>
        <v>4912.8238799999999</v>
      </c>
    </row>
    <row r="314" spans="1:4">
      <c r="A314" s="122">
        <v>41782</v>
      </c>
      <c r="B314" s="24">
        <v>0.92269999999999996</v>
      </c>
      <c r="C314" s="24">
        <v>5316</v>
      </c>
      <c r="D314" s="47">
        <f t="shared" si="4"/>
        <v>4905.0731999999998</v>
      </c>
    </row>
    <row r="315" spans="1:4">
      <c r="A315" s="122">
        <v>41781</v>
      </c>
      <c r="B315" s="24">
        <v>0.92259999999999998</v>
      </c>
      <c r="C315" s="24">
        <v>5317</v>
      </c>
      <c r="D315" s="47">
        <f t="shared" si="4"/>
        <v>4905.4641999999994</v>
      </c>
    </row>
    <row r="316" spans="1:4">
      <c r="A316" s="122">
        <v>41780</v>
      </c>
      <c r="B316" s="24">
        <v>0.92330000000000001</v>
      </c>
      <c r="C316" s="24">
        <v>5324.9</v>
      </c>
      <c r="D316" s="47">
        <f t="shared" si="4"/>
        <v>4916.4801699999998</v>
      </c>
    </row>
    <row r="317" spans="1:4">
      <c r="A317" s="122">
        <v>41779</v>
      </c>
      <c r="B317" s="24">
        <v>0.92310000000000003</v>
      </c>
      <c r="C317" s="24">
        <v>5350.1</v>
      </c>
      <c r="D317" s="47">
        <f t="shared" si="4"/>
        <v>4938.6773100000009</v>
      </c>
    </row>
    <row r="318" spans="1:4">
      <c r="A318" s="122">
        <v>41778</v>
      </c>
      <c r="B318" s="24">
        <v>0.93340000000000001</v>
      </c>
      <c r="C318" s="24">
        <v>5367.9</v>
      </c>
      <c r="D318" s="47">
        <f t="shared" si="4"/>
        <v>5010.39786</v>
      </c>
    </row>
    <row r="319" spans="1:4">
      <c r="A319" s="122">
        <v>41776</v>
      </c>
      <c r="B319" s="24">
        <v>0.93589999999999995</v>
      </c>
      <c r="C319" s="24">
        <v>5352.2</v>
      </c>
      <c r="D319" s="47">
        <f t="shared" si="4"/>
        <v>5009.1239799999994</v>
      </c>
    </row>
    <row r="320" spans="1:4">
      <c r="A320" s="122">
        <v>41775</v>
      </c>
      <c r="B320" s="24">
        <v>0.93589999999999995</v>
      </c>
      <c r="C320" s="24">
        <v>5356.8</v>
      </c>
      <c r="D320" s="47">
        <f t="shared" si="4"/>
        <v>5013.4291199999998</v>
      </c>
    </row>
    <row r="321" spans="1:4">
      <c r="A321" s="122">
        <v>41774</v>
      </c>
      <c r="B321" s="24">
        <v>0.93569999999999998</v>
      </c>
      <c r="C321" s="24">
        <v>5324.1</v>
      </c>
      <c r="D321" s="47">
        <f t="shared" si="4"/>
        <v>4981.76037</v>
      </c>
    </row>
    <row r="322" spans="1:4">
      <c r="A322" s="122">
        <v>41773</v>
      </c>
      <c r="B322" s="24">
        <v>0.93689999999999996</v>
      </c>
      <c r="C322" s="24">
        <v>5327.2</v>
      </c>
      <c r="D322" s="47">
        <f t="shared" si="4"/>
        <v>4991.05368</v>
      </c>
    </row>
    <row r="323" spans="1:4">
      <c r="A323" s="122">
        <v>41772</v>
      </c>
      <c r="B323" s="24">
        <v>0.93640000000000001</v>
      </c>
      <c r="C323" s="24">
        <v>5291.9</v>
      </c>
      <c r="D323" s="47">
        <f t="shared" ref="D323:D386" si="5">C323*B323</f>
        <v>4955.3351599999996</v>
      </c>
    </row>
    <row r="324" spans="1:4">
      <c r="A324" s="122">
        <v>41771</v>
      </c>
      <c r="B324" s="24">
        <v>0.93579999999999997</v>
      </c>
      <c r="C324" s="24">
        <v>5265.2</v>
      </c>
      <c r="D324" s="47">
        <f t="shared" si="5"/>
        <v>4927.1741599999996</v>
      </c>
    </row>
    <row r="325" spans="1:4">
      <c r="A325" s="122">
        <v>41770</v>
      </c>
      <c r="B325" s="24">
        <v>0.93620000000000003</v>
      </c>
      <c r="C325" s="24">
        <v>5202.2</v>
      </c>
      <c r="D325" s="47">
        <f t="shared" si="5"/>
        <v>4870.2996400000002</v>
      </c>
    </row>
    <row r="326" spans="1:4">
      <c r="A326" s="122">
        <v>41769</v>
      </c>
      <c r="B326" s="24">
        <v>0.93579999999999997</v>
      </c>
      <c r="C326" s="24">
        <v>5096.1000000000004</v>
      </c>
      <c r="D326" s="47">
        <f t="shared" si="5"/>
        <v>4768.9303799999998</v>
      </c>
    </row>
    <row r="327" spans="1:4">
      <c r="A327" s="122">
        <v>41768</v>
      </c>
      <c r="B327" s="24">
        <v>0.93579999999999997</v>
      </c>
      <c r="C327" s="24">
        <v>5103.2</v>
      </c>
      <c r="D327" s="47">
        <f t="shared" si="5"/>
        <v>4775.57456</v>
      </c>
    </row>
    <row r="328" spans="1:4">
      <c r="A328" s="122">
        <v>41767</v>
      </c>
      <c r="B328" s="24">
        <v>0.93679999999999997</v>
      </c>
      <c r="C328" s="24">
        <v>5089.6000000000004</v>
      </c>
      <c r="D328" s="47">
        <f t="shared" si="5"/>
        <v>4767.9372800000001</v>
      </c>
    </row>
    <row r="329" spans="1:4">
      <c r="A329" s="122">
        <v>41766</v>
      </c>
      <c r="B329" s="24">
        <v>0.9325</v>
      </c>
      <c r="C329" s="24">
        <v>5098.3999999999996</v>
      </c>
      <c r="D329" s="47">
        <f t="shared" si="5"/>
        <v>4754.2579999999998</v>
      </c>
    </row>
    <row r="330" spans="1:4">
      <c r="A330" s="122">
        <v>41765</v>
      </c>
      <c r="B330" s="24">
        <v>0.93510000000000004</v>
      </c>
      <c r="C330" s="24">
        <v>5062.5</v>
      </c>
      <c r="D330" s="47">
        <f t="shared" si="5"/>
        <v>4733.9437500000004</v>
      </c>
    </row>
    <row r="331" spans="1:4">
      <c r="A331" s="122">
        <v>41764</v>
      </c>
      <c r="B331" s="24">
        <v>0.9284</v>
      </c>
      <c r="C331" s="24">
        <v>5104.3</v>
      </c>
      <c r="D331" s="47">
        <f t="shared" si="5"/>
        <v>4738.83212</v>
      </c>
    </row>
    <row r="332" spans="1:4">
      <c r="A332" s="122">
        <v>41763</v>
      </c>
      <c r="B332" s="24">
        <v>0.92730000000000001</v>
      </c>
      <c r="C332" s="24">
        <v>5143.6000000000004</v>
      </c>
      <c r="D332" s="47">
        <f t="shared" si="5"/>
        <v>4769.6602800000001</v>
      </c>
    </row>
    <row r="333" spans="1:4">
      <c r="A333" s="122">
        <v>41762</v>
      </c>
      <c r="B333" s="24">
        <v>0.92749999999999999</v>
      </c>
      <c r="C333" s="24">
        <v>5144.3999999999996</v>
      </c>
      <c r="D333" s="47">
        <f t="shared" si="5"/>
        <v>4771.4309999999996</v>
      </c>
    </row>
    <row r="334" spans="1:4">
      <c r="A334" s="122">
        <v>41761</v>
      </c>
      <c r="B334" s="24">
        <v>0.92700000000000005</v>
      </c>
      <c r="C334" s="24">
        <v>5186</v>
      </c>
      <c r="D334" s="47">
        <f t="shared" si="5"/>
        <v>4807.4220000000005</v>
      </c>
    </row>
    <row r="335" spans="1:4">
      <c r="A335" s="122">
        <v>41760</v>
      </c>
      <c r="B335" s="24">
        <v>0.92730000000000001</v>
      </c>
      <c r="C335" s="24">
        <v>5198</v>
      </c>
      <c r="D335" s="47">
        <f t="shared" si="5"/>
        <v>4820.1054000000004</v>
      </c>
    </row>
    <row r="336" spans="1:4">
      <c r="A336" s="122">
        <v>41759</v>
      </c>
      <c r="B336" s="24">
        <v>0.92849999999999999</v>
      </c>
      <c r="C336" s="24">
        <v>5273.8</v>
      </c>
      <c r="D336" s="47">
        <f t="shared" si="5"/>
        <v>4896.7233000000006</v>
      </c>
    </row>
    <row r="337" spans="1:4">
      <c r="A337" s="122">
        <v>41758</v>
      </c>
      <c r="B337" s="24">
        <v>0.92749999999999999</v>
      </c>
      <c r="C337" s="24">
        <v>5256.1</v>
      </c>
      <c r="D337" s="47">
        <f t="shared" si="5"/>
        <v>4875.0327500000003</v>
      </c>
    </row>
    <row r="338" spans="1:4">
      <c r="A338" s="122">
        <v>41757</v>
      </c>
      <c r="B338" s="24">
        <v>0.92500000000000004</v>
      </c>
      <c r="C338" s="24">
        <v>5279.5</v>
      </c>
      <c r="D338" s="47">
        <f t="shared" si="5"/>
        <v>4883.5375000000004</v>
      </c>
    </row>
    <row r="339" spans="1:4">
      <c r="A339" s="122">
        <v>41756</v>
      </c>
      <c r="B339" s="24">
        <v>0.92710000000000004</v>
      </c>
      <c r="C339" s="24">
        <v>5320.1</v>
      </c>
      <c r="D339" s="47">
        <f t="shared" si="5"/>
        <v>4932.2647100000004</v>
      </c>
    </row>
    <row r="340" spans="1:4">
      <c r="A340" s="122">
        <v>41755</v>
      </c>
      <c r="B340" s="24">
        <v>0.92700000000000005</v>
      </c>
      <c r="C340" s="24">
        <v>5334.3</v>
      </c>
      <c r="D340" s="47">
        <f t="shared" si="5"/>
        <v>4944.8961000000008</v>
      </c>
    </row>
    <row r="341" spans="1:4">
      <c r="A341" s="122">
        <v>41754</v>
      </c>
      <c r="B341" s="24">
        <v>0.92700000000000005</v>
      </c>
      <c r="C341" s="24">
        <v>5332.9</v>
      </c>
      <c r="D341" s="47">
        <f t="shared" si="5"/>
        <v>4943.5982999999997</v>
      </c>
    </row>
    <row r="342" spans="1:4">
      <c r="A342" s="122">
        <v>41753</v>
      </c>
      <c r="B342" s="24">
        <v>0.92710000000000004</v>
      </c>
      <c r="C342" s="24">
        <v>5357</v>
      </c>
      <c r="D342" s="47">
        <f t="shared" si="5"/>
        <v>4966.4746999999998</v>
      </c>
    </row>
    <row r="343" spans="1:4">
      <c r="A343" s="122">
        <v>41752</v>
      </c>
      <c r="B343" s="24">
        <v>0.92910000000000004</v>
      </c>
      <c r="C343" s="24">
        <v>5352.8</v>
      </c>
      <c r="D343" s="47">
        <f t="shared" si="5"/>
        <v>4973.2864800000007</v>
      </c>
    </row>
    <row r="344" spans="1:4">
      <c r="A344" s="122">
        <v>41751</v>
      </c>
      <c r="B344" s="24">
        <v>0.93720000000000003</v>
      </c>
      <c r="C344" s="24">
        <v>5335.9</v>
      </c>
      <c r="D344" s="47">
        <f t="shared" si="5"/>
        <v>5000.80548</v>
      </c>
    </row>
    <row r="345" spans="1:4">
      <c r="A345" s="122">
        <v>41750</v>
      </c>
      <c r="B345" s="24">
        <v>0.93359999999999999</v>
      </c>
      <c r="C345" s="24">
        <v>5288.3</v>
      </c>
      <c r="D345" s="47">
        <f t="shared" si="5"/>
        <v>4937.1568800000005</v>
      </c>
    </row>
    <row r="346" spans="1:4">
      <c r="A346" s="122">
        <v>41749</v>
      </c>
      <c r="B346" s="24">
        <v>0.93310000000000004</v>
      </c>
      <c r="C346" s="24">
        <v>5307.7</v>
      </c>
      <c r="D346" s="47">
        <f t="shared" si="5"/>
        <v>4952.6148700000003</v>
      </c>
    </row>
    <row r="347" spans="1:4">
      <c r="A347" s="122">
        <v>41748</v>
      </c>
      <c r="B347" s="24">
        <v>0.93240000000000001</v>
      </c>
      <c r="C347" s="24">
        <v>5352.9</v>
      </c>
      <c r="D347" s="47">
        <f t="shared" si="5"/>
        <v>4991.04396</v>
      </c>
    </row>
    <row r="348" spans="1:4">
      <c r="A348" s="122">
        <v>41747</v>
      </c>
      <c r="B348" s="24">
        <v>0.93240000000000001</v>
      </c>
      <c r="C348" s="24">
        <v>5384.7</v>
      </c>
      <c r="D348" s="47">
        <f t="shared" si="5"/>
        <v>5020.6942799999997</v>
      </c>
    </row>
    <row r="349" spans="1:4">
      <c r="A349" s="122">
        <v>41746</v>
      </c>
      <c r="B349" s="24">
        <v>0.93279999999999996</v>
      </c>
      <c r="C349" s="24">
        <v>5401.7</v>
      </c>
      <c r="D349" s="47">
        <f t="shared" si="5"/>
        <v>5038.7057599999998</v>
      </c>
    </row>
    <row r="350" spans="1:4">
      <c r="A350" s="122">
        <v>41745</v>
      </c>
      <c r="B350" s="24">
        <v>0.93740000000000001</v>
      </c>
      <c r="C350" s="24">
        <v>5355.4</v>
      </c>
      <c r="D350" s="47">
        <f t="shared" si="5"/>
        <v>5020.1519600000001</v>
      </c>
    </row>
    <row r="351" spans="1:4">
      <c r="A351" s="122">
        <v>41744</v>
      </c>
      <c r="B351" s="24">
        <v>0.93400000000000005</v>
      </c>
      <c r="C351" s="24">
        <v>5319.2</v>
      </c>
      <c r="D351" s="47">
        <f t="shared" si="5"/>
        <v>4968.1328000000003</v>
      </c>
    </row>
    <row r="352" spans="1:4">
      <c r="A352" s="122">
        <v>41743</v>
      </c>
      <c r="B352" s="24">
        <v>0.94099999999999995</v>
      </c>
      <c r="C352" s="24">
        <v>5393.1</v>
      </c>
      <c r="D352" s="47">
        <f t="shared" si="5"/>
        <v>5074.9071000000004</v>
      </c>
    </row>
    <row r="353" spans="1:4">
      <c r="A353" s="122">
        <v>41742</v>
      </c>
      <c r="B353" s="24">
        <v>0.93789999999999996</v>
      </c>
      <c r="C353" s="24">
        <v>5387.1</v>
      </c>
      <c r="D353" s="47">
        <f t="shared" si="5"/>
        <v>5052.5610900000001</v>
      </c>
    </row>
    <row r="354" spans="1:4">
      <c r="A354" s="122">
        <v>41741</v>
      </c>
      <c r="B354" s="24">
        <v>0.93920000000000003</v>
      </c>
      <c r="C354" s="24">
        <v>5400.7</v>
      </c>
      <c r="D354" s="47">
        <f t="shared" si="5"/>
        <v>5072.3374400000002</v>
      </c>
    </row>
    <row r="355" spans="1:4">
      <c r="A355" s="122">
        <v>41740</v>
      </c>
      <c r="B355" s="24">
        <v>0.93920000000000003</v>
      </c>
      <c r="C355" s="24">
        <v>5422</v>
      </c>
      <c r="D355" s="47">
        <f t="shared" si="5"/>
        <v>5092.3424000000005</v>
      </c>
    </row>
    <row r="356" spans="1:4">
      <c r="A356" s="122">
        <v>41739</v>
      </c>
      <c r="B356" s="24">
        <v>0.94120000000000004</v>
      </c>
      <c r="C356" s="24">
        <v>5433.8</v>
      </c>
      <c r="D356" s="47">
        <f t="shared" si="5"/>
        <v>5114.2925600000008</v>
      </c>
    </row>
    <row r="357" spans="1:4">
      <c r="A357" s="122">
        <v>41738</v>
      </c>
      <c r="B357" s="24">
        <v>0.93759999999999999</v>
      </c>
      <c r="C357" s="24">
        <v>5432</v>
      </c>
      <c r="D357" s="47">
        <f t="shared" si="5"/>
        <v>5093.0432000000001</v>
      </c>
    </row>
    <row r="358" spans="1:4">
      <c r="A358" s="122">
        <v>41737</v>
      </c>
      <c r="B358" s="24">
        <v>0.93489999999999995</v>
      </c>
      <c r="C358" s="24">
        <v>5390.5</v>
      </c>
      <c r="D358" s="47">
        <f t="shared" si="5"/>
        <v>5039.57845</v>
      </c>
    </row>
    <row r="359" spans="1:4">
      <c r="A359" s="122">
        <v>41736</v>
      </c>
      <c r="B359" s="24">
        <v>0.9264</v>
      </c>
      <c r="C359" s="24">
        <v>5411.1</v>
      </c>
      <c r="D359" s="47">
        <f t="shared" si="5"/>
        <v>5012.8430400000007</v>
      </c>
    </row>
    <row r="360" spans="1:4">
      <c r="A360" s="122">
        <v>41735</v>
      </c>
      <c r="B360" s="24">
        <v>0.92869999999999997</v>
      </c>
      <c r="C360" s="24">
        <v>5425.5</v>
      </c>
      <c r="D360" s="47">
        <f t="shared" si="5"/>
        <v>5038.6618499999995</v>
      </c>
    </row>
    <row r="361" spans="1:4">
      <c r="A361" s="122">
        <v>41734</v>
      </c>
      <c r="B361" s="24">
        <v>0.92849999999999999</v>
      </c>
      <c r="C361" s="24">
        <v>5430.9</v>
      </c>
      <c r="D361" s="47">
        <f t="shared" si="5"/>
        <v>5042.5906499999992</v>
      </c>
    </row>
    <row r="362" spans="1:4">
      <c r="A362" s="122">
        <v>41733</v>
      </c>
      <c r="B362" s="24">
        <v>0.92849999999999999</v>
      </c>
      <c r="C362" s="24">
        <v>5415.5</v>
      </c>
      <c r="D362" s="47">
        <f t="shared" si="5"/>
        <v>5028.2917500000003</v>
      </c>
    </row>
    <row r="363" spans="1:4">
      <c r="A363" s="122">
        <v>41732</v>
      </c>
      <c r="B363" s="24">
        <v>0.9234</v>
      </c>
      <c r="C363" s="24">
        <v>5441.4</v>
      </c>
      <c r="D363" s="47">
        <f t="shared" si="5"/>
        <v>5024.5887599999996</v>
      </c>
    </row>
    <row r="364" spans="1:4">
      <c r="A364" s="122">
        <v>41731</v>
      </c>
      <c r="B364" s="24">
        <v>0.92459999999999998</v>
      </c>
      <c r="C364" s="24">
        <v>5386.3</v>
      </c>
      <c r="D364" s="47">
        <f t="shared" si="5"/>
        <v>4980.1729800000003</v>
      </c>
    </row>
    <row r="365" spans="1:4">
      <c r="A365" s="122">
        <v>41730</v>
      </c>
      <c r="B365" s="24">
        <v>0.92459999999999998</v>
      </c>
      <c r="C365" s="24">
        <v>5372.9</v>
      </c>
      <c r="D365" s="47">
        <f t="shared" si="5"/>
        <v>4967.78334</v>
      </c>
    </row>
    <row r="366" spans="1:4">
      <c r="A366" s="122">
        <v>41729</v>
      </c>
      <c r="B366" s="24">
        <v>0.92630000000000001</v>
      </c>
      <c r="C366" s="24">
        <v>5356.1</v>
      </c>
      <c r="D366" s="47">
        <f t="shared" si="5"/>
        <v>4961.3554300000005</v>
      </c>
    </row>
    <row r="367" spans="1:4">
      <c r="A367" s="122">
        <v>41728</v>
      </c>
      <c r="B367" s="24">
        <v>0.92579999999999996</v>
      </c>
      <c r="C367" s="24">
        <v>5373.1</v>
      </c>
      <c r="D367" s="47">
        <f t="shared" si="5"/>
        <v>4974.4159799999998</v>
      </c>
    </row>
    <row r="368" spans="1:4">
      <c r="A368" s="122">
        <v>41727</v>
      </c>
      <c r="B368" s="24">
        <v>0.9244</v>
      </c>
      <c r="C368" s="24">
        <v>5351.8</v>
      </c>
      <c r="D368" s="47">
        <f t="shared" si="5"/>
        <v>4947.2039199999999</v>
      </c>
    </row>
    <row r="369" spans="1:4">
      <c r="A369" s="122">
        <v>41726</v>
      </c>
      <c r="B369" s="24">
        <v>0.9244</v>
      </c>
      <c r="C369" s="24">
        <v>5321.5</v>
      </c>
      <c r="D369" s="47">
        <f t="shared" si="5"/>
        <v>4919.1945999999998</v>
      </c>
    </row>
    <row r="370" spans="1:4">
      <c r="A370" s="122">
        <v>41725</v>
      </c>
      <c r="B370" s="24">
        <v>0.92669999999999997</v>
      </c>
      <c r="C370" s="24">
        <v>5283.1</v>
      </c>
      <c r="D370" s="47">
        <f t="shared" si="5"/>
        <v>4895.8487700000005</v>
      </c>
    </row>
    <row r="371" spans="1:4">
      <c r="A371" s="122">
        <v>41724</v>
      </c>
      <c r="B371" s="24">
        <v>0.92159999999999997</v>
      </c>
      <c r="C371" s="24">
        <v>5262.9</v>
      </c>
      <c r="D371" s="47">
        <f t="shared" si="5"/>
        <v>4850.2886399999998</v>
      </c>
    </row>
    <row r="372" spans="1:4">
      <c r="A372" s="122">
        <v>41723</v>
      </c>
      <c r="B372" s="24">
        <v>0.91590000000000005</v>
      </c>
      <c r="C372" s="24">
        <v>5259.1</v>
      </c>
      <c r="D372" s="47">
        <f t="shared" si="5"/>
        <v>4816.809690000001</v>
      </c>
    </row>
    <row r="373" spans="1:4">
      <c r="A373" s="122">
        <v>41722</v>
      </c>
      <c r="B373" s="24">
        <v>0.91300000000000003</v>
      </c>
      <c r="C373" s="24">
        <v>5207.8999999999996</v>
      </c>
      <c r="D373" s="47">
        <f t="shared" si="5"/>
        <v>4754.8126999999995</v>
      </c>
    </row>
    <row r="374" spans="1:4">
      <c r="A374" s="122">
        <v>41721</v>
      </c>
      <c r="B374" s="24">
        <v>0.90920000000000001</v>
      </c>
      <c r="C374" s="24">
        <v>5230.8999999999996</v>
      </c>
      <c r="D374" s="47">
        <f t="shared" si="5"/>
        <v>4755.9342799999995</v>
      </c>
    </row>
    <row r="375" spans="1:4">
      <c r="A375" s="122">
        <v>41720</v>
      </c>
      <c r="B375" s="24">
        <v>0.90800000000000003</v>
      </c>
      <c r="C375" s="24">
        <v>5147.1000000000004</v>
      </c>
      <c r="D375" s="47">
        <f t="shared" si="5"/>
        <v>4673.5668000000005</v>
      </c>
    </row>
    <row r="376" spans="1:4">
      <c r="A376" s="122">
        <v>41719</v>
      </c>
      <c r="B376" s="24">
        <v>0.90800000000000003</v>
      </c>
      <c r="C376" s="24">
        <v>5153</v>
      </c>
      <c r="D376" s="47">
        <f t="shared" si="5"/>
        <v>4678.924</v>
      </c>
    </row>
    <row r="377" spans="1:4">
      <c r="A377" s="122">
        <v>41718</v>
      </c>
      <c r="B377" s="24">
        <v>0.90359999999999996</v>
      </c>
      <c r="C377" s="24">
        <v>5149.3999999999996</v>
      </c>
      <c r="D377" s="47">
        <f t="shared" si="5"/>
        <v>4652.9978399999991</v>
      </c>
    </row>
    <row r="378" spans="1:4">
      <c r="A378" s="122">
        <v>41717</v>
      </c>
      <c r="B378" s="24">
        <v>0.90269999999999995</v>
      </c>
      <c r="C378" s="24">
        <v>5161.1000000000004</v>
      </c>
      <c r="D378" s="47">
        <f t="shared" si="5"/>
        <v>4658.92497</v>
      </c>
    </row>
    <row r="379" spans="1:4">
      <c r="A379" s="122">
        <v>41716</v>
      </c>
      <c r="B379" s="24">
        <v>0.91290000000000004</v>
      </c>
      <c r="C379" s="24">
        <v>5208</v>
      </c>
      <c r="D379" s="47">
        <f t="shared" si="5"/>
        <v>4754.3832000000002</v>
      </c>
    </row>
    <row r="380" spans="1:4">
      <c r="A380" s="122">
        <v>41715</v>
      </c>
      <c r="B380" s="24">
        <v>0.9083</v>
      </c>
      <c r="C380" s="24">
        <v>5234.8999999999996</v>
      </c>
      <c r="D380" s="47">
        <f t="shared" si="5"/>
        <v>4754.8596699999998</v>
      </c>
    </row>
    <row r="381" spans="1:4">
      <c r="A381" s="122">
        <v>41714</v>
      </c>
      <c r="B381" s="24">
        <v>0.90280000000000005</v>
      </c>
      <c r="C381" s="24">
        <v>5215.6000000000004</v>
      </c>
      <c r="D381" s="47">
        <f t="shared" si="5"/>
        <v>4708.6436800000001</v>
      </c>
    </row>
    <row r="382" spans="1:4">
      <c r="A382" s="122">
        <v>41713</v>
      </c>
      <c r="B382" s="24">
        <v>0.90280000000000005</v>
      </c>
      <c r="C382" s="24">
        <v>5206.8</v>
      </c>
      <c r="D382" s="47">
        <f t="shared" si="5"/>
        <v>4700.6990400000004</v>
      </c>
    </row>
    <row r="383" spans="1:4">
      <c r="A383" s="122">
        <v>41712</v>
      </c>
      <c r="B383" s="24">
        <v>0.90280000000000005</v>
      </c>
      <c r="C383" s="24">
        <v>5218.8999999999996</v>
      </c>
      <c r="D383" s="47">
        <f t="shared" si="5"/>
        <v>4711.6229199999998</v>
      </c>
    </row>
    <row r="384" spans="1:4">
      <c r="A384" s="122">
        <v>41711</v>
      </c>
      <c r="B384" s="24">
        <v>0.90280000000000005</v>
      </c>
      <c r="C384" s="24">
        <v>5307.1</v>
      </c>
      <c r="D384" s="47">
        <f t="shared" si="5"/>
        <v>4791.2498800000003</v>
      </c>
    </row>
    <row r="385" spans="1:4">
      <c r="A385" s="122">
        <v>41710</v>
      </c>
      <c r="B385" s="24">
        <v>0.89939999999999998</v>
      </c>
      <c r="C385" s="24">
        <v>5294.5</v>
      </c>
      <c r="D385" s="47">
        <f t="shared" si="5"/>
        <v>4761.8733000000002</v>
      </c>
    </row>
    <row r="386" spans="1:4">
      <c r="A386" s="122">
        <v>41709</v>
      </c>
      <c r="B386" s="24">
        <v>0.89570000000000005</v>
      </c>
      <c r="C386" s="24">
        <v>5275.9</v>
      </c>
      <c r="D386" s="47">
        <f t="shared" si="5"/>
        <v>4725.62363</v>
      </c>
    </row>
    <row r="387" spans="1:4">
      <c r="A387" s="122">
        <v>41708</v>
      </c>
      <c r="B387" s="24">
        <v>0.90269999999999995</v>
      </c>
      <c r="C387" s="24">
        <v>5234.2</v>
      </c>
      <c r="D387" s="47">
        <f t="shared" ref="D387:D450" si="6">C387*B387</f>
        <v>4724.9123399999999</v>
      </c>
    </row>
    <row r="388" spans="1:4">
      <c r="A388" s="122">
        <v>41707</v>
      </c>
      <c r="B388" s="24">
        <v>0.90559999999999996</v>
      </c>
      <c r="C388" s="24">
        <v>5252.5</v>
      </c>
      <c r="D388" s="47">
        <f t="shared" si="6"/>
        <v>4756.6639999999998</v>
      </c>
    </row>
    <row r="389" spans="1:4">
      <c r="A389" s="122">
        <v>41706</v>
      </c>
      <c r="B389" s="24">
        <v>0.90610000000000002</v>
      </c>
      <c r="C389" s="24">
        <v>5276.7</v>
      </c>
      <c r="D389" s="47">
        <f t="shared" si="6"/>
        <v>4781.2178699999995</v>
      </c>
    </row>
    <row r="390" spans="1:4">
      <c r="A390" s="122">
        <v>41705</v>
      </c>
      <c r="B390" s="24">
        <v>0.90659999999999996</v>
      </c>
      <c r="C390" s="24">
        <v>5295.6</v>
      </c>
      <c r="D390" s="47">
        <f t="shared" si="6"/>
        <v>4800.9909600000001</v>
      </c>
    </row>
    <row r="391" spans="1:4">
      <c r="A391" s="122">
        <v>41704</v>
      </c>
      <c r="B391" s="24">
        <v>0.91049999999999998</v>
      </c>
      <c r="C391" s="24">
        <v>5238.1000000000004</v>
      </c>
      <c r="D391" s="47">
        <f t="shared" si="6"/>
        <v>4769.2900500000005</v>
      </c>
    </row>
    <row r="392" spans="1:4">
      <c r="A392" s="122">
        <v>41703</v>
      </c>
      <c r="B392" s="24">
        <v>0.89759999999999995</v>
      </c>
      <c r="C392" s="24">
        <v>5251.2</v>
      </c>
      <c r="D392" s="47">
        <f t="shared" si="6"/>
        <v>4713.4771199999996</v>
      </c>
    </row>
    <row r="393" spans="1:4">
      <c r="A393" s="122">
        <v>41702</v>
      </c>
      <c r="B393" s="24">
        <v>0.89490000000000003</v>
      </c>
      <c r="C393" s="24">
        <v>5248</v>
      </c>
      <c r="D393" s="47">
        <f t="shared" si="6"/>
        <v>4696.4351999999999</v>
      </c>
    </row>
    <row r="394" spans="1:4">
      <c r="A394" s="122">
        <v>41701</v>
      </c>
      <c r="B394" s="24">
        <v>0.89249999999999996</v>
      </c>
      <c r="C394" s="24">
        <v>5219.6000000000004</v>
      </c>
      <c r="D394" s="47">
        <f t="shared" si="6"/>
        <v>4658.4930000000004</v>
      </c>
    </row>
    <row r="395" spans="1:4">
      <c r="A395" s="122">
        <v>41700</v>
      </c>
      <c r="B395" s="24">
        <v>0.89059999999999995</v>
      </c>
      <c r="C395" s="24">
        <v>5242.5</v>
      </c>
      <c r="D395" s="47">
        <f t="shared" si="6"/>
        <v>4668.9704999999994</v>
      </c>
    </row>
    <row r="396" spans="1:4">
      <c r="A396" s="122">
        <v>41699</v>
      </c>
      <c r="B396" s="24">
        <v>0.89219999999999999</v>
      </c>
      <c r="C396" s="24">
        <v>5234.3999999999996</v>
      </c>
      <c r="D396" s="47">
        <f t="shared" si="6"/>
        <v>4670.1316799999995</v>
      </c>
    </row>
    <row r="397" spans="1:4">
      <c r="A397" s="122">
        <v>41698</v>
      </c>
      <c r="B397" s="24">
        <v>0.8921</v>
      </c>
      <c r="C397" s="24">
        <v>5201.2</v>
      </c>
      <c r="D397" s="47">
        <f t="shared" si="6"/>
        <v>4639.9905200000003</v>
      </c>
    </row>
    <row r="398" spans="1:4">
      <c r="A398" s="122">
        <v>41697</v>
      </c>
      <c r="B398" s="24">
        <v>0.89539999999999997</v>
      </c>
      <c r="C398" s="24">
        <v>5181.5</v>
      </c>
      <c r="D398" s="47">
        <f t="shared" si="6"/>
        <v>4639.5150999999996</v>
      </c>
    </row>
    <row r="399" spans="1:4">
      <c r="A399" s="122">
        <v>41696</v>
      </c>
      <c r="B399" s="24">
        <v>0.8962</v>
      </c>
      <c r="C399" s="24">
        <v>5145</v>
      </c>
      <c r="D399" s="47">
        <f t="shared" si="6"/>
        <v>4610.9489999999996</v>
      </c>
    </row>
    <row r="400" spans="1:4">
      <c r="A400" s="122">
        <v>41695</v>
      </c>
      <c r="B400" s="24">
        <v>0.90069999999999995</v>
      </c>
      <c r="C400" s="24">
        <v>5142.5</v>
      </c>
      <c r="D400" s="47">
        <f t="shared" si="6"/>
        <v>4631.8497499999994</v>
      </c>
    </row>
    <row r="401" spans="1:4">
      <c r="A401" s="122">
        <v>41694</v>
      </c>
      <c r="B401" s="24">
        <v>0.90369999999999995</v>
      </c>
      <c r="C401" s="24">
        <v>5161.6000000000004</v>
      </c>
      <c r="D401" s="47">
        <f t="shared" si="6"/>
        <v>4664.5379199999998</v>
      </c>
    </row>
    <row r="402" spans="1:4">
      <c r="A402" s="122">
        <v>41693</v>
      </c>
      <c r="B402" s="24">
        <v>0.89749999999999996</v>
      </c>
      <c r="C402" s="24">
        <v>5196.6000000000004</v>
      </c>
      <c r="D402" s="47">
        <f t="shared" si="6"/>
        <v>4663.9485000000004</v>
      </c>
    </row>
    <row r="403" spans="1:4">
      <c r="A403" s="122">
        <v>41692</v>
      </c>
      <c r="B403" s="24">
        <v>0.89739999999999998</v>
      </c>
      <c r="C403" s="24">
        <v>5188.3</v>
      </c>
      <c r="D403" s="47">
        <f t="shared" si="6"/>
        <v>4655.9804199999999</v>
      </c>
    </row>
    <row r="404" spans="1:4">
      <c r="A404" s="122">
        <v>41691</v>
      </c>
      <c r="B404" s="24">
        <v>0.89659999999999995</v>
      </c>
      <c r="C404" s="24">
        <v>5135</v>
      </c>
      <c r="D404" s="47">
        <f t="shared" si="6"/>
        <v>4604.0410000000002</v>
      </c>
    </row>
    <row r="405" spans="1:4">
      <c r="A405" s="122">
        <v>41690</v>
      </c>
      <c r="B405" s="24">
        <v>0.90059999999999996</v>
      </c>
      <c r="C405" s="24">
        <v>5092.3999999999996</v>
      </c>
      <c r="D405" s="47">
        <f t="shared" si="6"/>
        <v>4586.215439999999</v>
      </c>
    </row>
    <row r="406" spans="1:4">
      <c r="A406" s="122">
        <v>41689</v>
      </c>
      <c r="B406" s="24">
        <v>0.89939999999999998</v>
      </c>
      <c r="C406" s="24">
        <v>5087.2</v>
      </c>
      <c r="D406" s="47">
        <f t="shared" si="6"/>
        <v>4575.4276799999998</v>
      </c>
    </row>
    <row r="407" spans="1:4">
      <c r="A407" s="122">
        <v>41688</v>
      </c>
      <c r="B407" s="24">
        <v>0.90180000000000005</v>
      </c>
      <c r="C407" s="24">
        <v>5141.2</v>
      </c>
      <c r="D407" s="47">
        <f t="shared" si="6"/>
        <v>4636.3341600000003</v>
      </c>
    </row>
    <row r="408" spans="1:4">
      <c r="A408" s="122">
        <v>41687</v>
      </c>
      <c r="B408" s="24">
        <v>0.90349999999999997</v>
      </c>
      <c r="C408" s="24">
        <v>5135.3999999999996</v>
      </c>
      <c r="D408" s="47">
        <f t="shared" si="6"/>
        <v>4639.8338999999996</v>
      </c>
    </row>
    <row r="409" spans="1:4">
      <c r="A409" s="122">
        <v>41686</v>
      </c>
      <c r="B409" s="24">
        <v>0.90529999999999999</v>
      </c>
      <c r="C409" s="24">
        <v>5123.3999999999996</v>
      </c>
      <c r="D409" s="47">
        <f t="shared" si="6"/>
        <v>4638.2140199999994</v>
      </c>
    </row>
    <row r="410" spans="1:4">
      <c r="A410" s="122">
        <v>41685</v>
      </c>
      <c r="B410" s="24">
        <v>0.90280000000000005</v>
      </c>
      <c r="C410" s="24">
        <v>5075.7</v>
      </c>
      <c r="D410" s="47">
        <f t="shared" si="6"/>
        <v>4582.3419599999997</v>
      </c>
    </row>
    <row r="411" spans="1:4">
      <c r="A411" s="122">
        <v>41684</v>
      </c>
      <c r="B411" s="24">
        <v>0.90290000000000004</v>
      </c>
      <c r="C411" s="24">
        <v>5100</v>
      </c>
      <c r="D411" s="47">
        <f t="shared" si="6"/>
        <v>4604.79</v>
      </c>
    </row>
    <row r="412" spans="1:4">
      <c r="A412" s="122">
        <v>41683</v>
      </c>
      <c r="B412" s="24">
        <v>0.89849999999999997</v>
      </c>
      <c r="C412" s="24">
        <v>5078.2</v>
      </c>
      <c r="D412" s="47">
        <f t="shared" si="6"/>
        <v>4562.7626999999993</v>
      </c>
    </row>
    <row r="413" spans="1:4">
      <c r="A413" s="122">
        <v>41682</v>
      </c>
      <c r="B413" s="24">
        <v>0.90210000000000001</v>
      </c>
      <c r="C413" s="24">
        <v>5112.5</v>
      </c>
      <c r="D413" s="47">
        <f t="shared" si="6"/>
        <v>4611.9862499999999</v>
      </c>
    </row>
    <row r="414" spans="1:4">
      <c r="A414" s="122">
        <v>41681</v>
      </c>
      <c r="B414" s="24">
        <v>0.90390000000000004</v>
      </c>
      <c r="C414" s="24">
        <v>5113.8999999999996</v>
      </c>
      <c r="D414" s="47">
        <f t="shared" si="6"/>
        <v>4622.4542099999999</v>
      </c>
    </row>
    <row r="415" spans="1:4">
      <c r="A415" s="122">
        <v>41680</v>
      </c>
      <c r="B415" s="24">
        <v>0.89439999999999997</v>
      </c>
      <c r="C415" s="24">
        <v>5152.3999999999996</v>
      </c>
      <c r="D415" s="47">
        <f t="shared" si="6"/>
        <v>4608.3065599999991</v>
      </c>
    </row>
    <row r="416" spans="1:4">
      <c r="A416" s="122">
        <v>41679</v>
      </c>
      <c r="B416" s="24">
        <v>0.89429999999999998</v>
      </c>
      <c r="C416" s="24">
        <v>5157.3999999999996</v>
      </c>
      <c r="D416" s="47">
        <f t="shared" si="6"/>
        <v>4612.2628199999999</v>
      </c>
    </row>
    <row r="417" spans="1:4">
      <c r="A417" s="122">
        <v>41678</v>
      </c>
      <c r="B417" s="24">
        <v>0.89559999999999995</v>
      </c>
      <c r="C417" s="24">
        <v>5157.7</v>
      </c>
      <c r="D417" s="47">
        <f t="shared" si="6"/>
        <v>4619.2361199999996</v>
      </c>
    </row>
    <row r="418" spans="1:4">
      <c r="A418" s="122">
        <v>41677</v>
      </c>
      <c r="B418" s="24">
        <v>0.89580000000000004</v>
      </c>
      <c r="C418" s="24">
        <v>5108.7</v>
      </c>
      <c r="D418" s="47">
        <f t="shared" si="6"/>
        <v>4576.3734599999998</v>
      </c>
    </row>
    <row r="419" spans="1:4">
      <c r="A419" s="122">
        <v>41676</v>
      </c>
      <c r="B419" s="24">
        <v>0.89459999999999995</v>
      </c>
      <c r="C419" s="24">
        <v>5055.2</v>
      </c>
      <c r="D419" s="47">
        <f t="shared" si="6"/>
        <v>4522.3819199999998</v>
      </c>
    </row>
    <row r="420" spans="1:4">
      <c r="A420" s="122">
        <v>41675</v>
      </c>
      <c r="B420" s="24">
        <v>0.8931</v>
      </c>
      <c r="C420" s="24">
        <v>5064.8</v>
      </c>
      <c r="D420" s="47">
        <f t="shared" si="6"/>
        <v>4523.3728799999999</v>
      </c>
    </row>
    <row r="421" spans="1:4">
      <c r="A421" s="122">
        <v>41674</v>
      </c>
      <c r="B421" s="24">
        <v>0.8911</v>
      </c>
      <c r="C421" s="24">
        <v>5011.3</v>
      </c>
      <c r="D421" s="47">
        <f t="shared" si="6"/>
        <v>4465.5694300000005</v>
      </c>
    </row>
    <row r="422" spans="1:4">
      <c r="A422" s="122">
        <v>41673</v>
      </c>
      <c r="B422" s="24">
        <v>0.87419999999999998</v>
      </c>
      <c r="C422" s="24">
        <v>5105.6000000000004</v>
      </c>
      <c r="D422" s="47">
        <f t="shared" si="6"/>
        <v>4463.3155200000001</v>
      </c>
    </row>
    <row r="423" spans="1:4">
      <c r="A423" s="122">
        <v>41672</v>
      </c>
      <c r="B423" s="24">
        <v>0.87480000000000002</v>
      </c>
      <c r="C423" s="24">
        <v>5111.3</v>
      </c>
      <c r="D423" s="47">
        <f t="shared" si="6"/>
        <v>4471.3652400000001</v>
      </c>
    </row>
    <row r="424" spans="1:4">
      <c r="A424" s="122">
        <v>41671</v>
      </c>
      <c r="B424" s="24">
        <v>0.87539999999999996</v>
      </c>
      <c r="C424" s="24">
        <v>5116.8</v>
      </c>
      <c r="D424" s="47">
        <f t="shared" si="6"/>
        <v>4479.2467200000001</v>
      </c>
    </row>
    <row r="425" spans="1:4">
      <c r="A425" s="122">
        <v>41670</v>
      </c>
      <c r="B425" s="24">
        <v>0.87539999999999996</v>
      </c>
      <c r="C425" s="24">
        <v>5061.5</v>
      </c>
      <c r="D425" s="47">
        <f t="shared" si="6"/>
        <v>4430.8370999999997</v>
      </c>
    </row>
    <row r="426" spans="1:4">
      <c r="A426" s="122">
        <v>41669</v>
      </c>
      <c r="B426" s="24">
        <v>0.88019999999999998</v>
      </c>
      <c r="C426" s="24">
        <v>5052</v>
      </c>
      <c r="D426" s="47">
        <f t="shared" si="6"/>
        <v>4446.7704000000003</v>
      </c>
    </row>
    <row r="427" spans="1:4">
      <c r="A427" s="122">
        <v>41668</v>
      </c>
      <c r="B427" s="24">
        <v>0.87380000000000002</v>
      </c>
      <c r="C427" s="24">
        <v>5047.2</v>
      </c>
      <c r="D427" s="47">
        <f t="shared" si="6"/>
        <v>4410.2433600000004</v>
      </c>
    </row>
    <row r="428" spans="1:4">
      <c r="A428" s="122">
        <v>41667</v>
      </c>
      <c r="B428" s="24">
        <v>0.87770000000000004</v>
      </c>
      <c r="C428" s="24">
        <v>5046.3</v>
      </c>
      <c r="D428" s="47">
        <f t="shared" si="6"/>
        <v>4429.1375100000005</v>
      </c>
    </row>
    <row r="429" spans="1:4">
      <c r="A429" s="122">
        <v>41666</v>
      </c>
      <c r="B429" s="24">
        <v>0.87260000000000004</v>
      </c>
      <c r="C429" s="24">
        <v>5042</v>
      </c>
      <c r="D429" s="47">
        <f t="shared" si="6"/>
        <v>4399.6491999999998</v>
      </c>
    </row>
    <row r="430" spans="1:4">
      <c r="A430" s="122">
        <v>41665</v>
      </c>
      <c r="B430" s="24">
        <v>0.86960000000000004</v>
      </c>
      <c r="C430" s="24">
        <v>5035.6000000000004</v>
      </c>
      <c r="D430" s="47">
        <f t="shared" si="6"/>
        <v>4378.9577600000002</v>
      </c>
    </row>
    <row r="431" spans="1:4">
      <c r="A431" s="122">
        <v>41664</v>
      </c>
      <c r="B431" s="24">
        <v>0.86819999999999997</v>
      </c>
      <c r="C431" s="24">
        <v>5035.1000000000004</v>
      </c>
      <c r="D431" s="47">
        <f t="shared" si="6"/>
        <v>4371.4738200000002</v>
      </c>
    </row>
    <row r="432" spans="1:4">
      <c r="A432" s="122">
        <v>41663</v>
      </c>
      <c r="B432" s="24">
        <v>0.86819999999999997</v>
      </c>
      <c r="C432" s="24">
        <v>5017.1000000000004</v>
      </c>
      <c r="D432" s="47">
        <f t="shared" si="6"/>
        <v>4355.8462200000004</v>
      </c>
    </row>
    <row r="433" spans="1:4">
      <c r="A433" s="122">
        <v>41662</v>
      </c>
      <c r="B433" s="24">
        <v>0.87590000000000001</v>
      </c>
      <c r="C433" s="24">
        <v>5001.8999999999996</v>
      </c>
      <c r="D433" s="47">
        <f t="shared" si="6"/>
        <v>4381.1642099999999</v>
      </c>
    </row>
    <row r="434" spans="1:4">
      <c r="A434" s="122">
        <v>41661</v>
      </c>
      <c r="B434" s="24">
        <v>0.88429999999999997</v>
      </c>
      <c r="C434" s="24">
        <v>4972.1000000000004</v>
      </c>
      <c r="D434" s="47">
        <f t="shared" si="6"/>
        <v>4396.8280300000006</v>
      </c>
    </row>
    <row r="435" spans="1:4">
      <c r="A435" s="122">
        <v>41660</v>
      </c>
      <c r="B435" s="24">
        <v>0.88070000000000004</v>
      </c>
      <c r="C435" s="24">
        <v>4993.3999999999996</v>
      </c>
      <c r="D435" s="47">
        <f t="shared" si="6"/>
        <v>4397.6873800000003</v>
      </c>
    </row>
    <row r="436" spans="1:4">
      <c r="A436" s="122">
        <v>41659</v>
      </c>
      <c r="B436" s="24">
        <v>0.88019999999999998</v>
      </c>
      <c r="C436" s="24">
        <v>4981.7</v>
      </c>
      <c r="D436" s="47">
        <f t="shared" si="6"/>
        <v>4384.8923399999994</v>
      </c>
    </row>
    <row r="437" spans="1:4">
      <c r="A437" s="122">
        <v>41658</v>
      </c>
      <c r="B437" s="24">
        <v>0.87719999999999998</v>
      </c>
      <c r="C437" s="24">
        <v>4986</v>
      </c>
      <c r="D437" s="47">
        <f t="shared" si="6"/>
        <v>4373.7191999999995</v>
      </c>
    </row>
    <row r="438" spans="1:4">
      <c r="A438" s="122">
        <v>41657</v>
      </c>
      <c r="B438" s="24">
        <v>0.87780000000000002</v>
      </c>
      <c r="C438" s="24">
        <v>4981.1000000000004</v>
      </c>
      <c r="D438" s="47">
        <f t="shared" si="6"/>
        <v>4372.4095800000005</v>
      </c>
    </row>
    <row r="439" spans="1:4">
      <c r="A439" s="122">
        <v>41656</v>
      </c>
      <c r="B439" s="24">
        <v>0.878</v>
      </c>
      <c r="C439" s="24">
        <v>4973.8999999999996</v>
      </c>
      <c r="D439" s="47">
        <f t="shared" si="6"/>
        <v>4367.0841999999993</v>
      </c>
    </row>
    <row r="440" spans="1:4">
      <c r="A440" s="122">
        <v>41655</v>
      </c>
      <c r="B440" s="24">
        <v>0.88190000000000002</v>
      </c>
      <c r="C440" s="24">
        <v>4965.7</v>
      </c>
      <c r="D440" s="47">
        <f t="shared" si="6"/>
        <v>4379.25083</v>
      </c>
    </row>
    <row r="441" spans="1:4">
      <c r="A441" s="122">
        <v>41654</v>
      </c>
      <c r="B441" s="24">
        <v>0.89019999999999999</v>
      </c>
      <c r="C441" s="24">
        <v>4901.3999999999996</v>
      </c>
      <c r="D441" s="47">
        <f t="shared" si="6"/>
        <v>4363.2262799999999</v>
      </c>
    </row>
    <row r="442" spans="1:4">
      <c r="A442" s="122">
        <v>41653</v>
      </c>
      <c r="B442" s="24">
        <v>0.89590000000000003</v>
      </c>
      <c r="C442" s="24">
        <v>4881.7</v>
      </c>
      <c r="D442" s="47">
        <f t="shared" si="6"/>
        <v>4373.5150299999996</v>
      </c>
    </row>
    <row r="443" spans="1:4">
      <c r="A443" s="122">
        <v>41652</v>
      </c>
      <c r="B443" s="24">
        <v>0.90459999999999996</v>
      </c>
      <c r="C443" s="24">
        <v>4809.5</v>
      </c>
      <c r="D443" s="47">
        <f t="shared" si="6"/>
        <v>4350.6736999999994</v>
      </c>
    </row>
    <row r="444" spans="1:4">
      <c r="A444" s="122">
        <v>41651</v>
      </c>
      <c r="B444" s="24">
        <v>0.90139999999999998</v>
      </c>
      <c r="C444" s="24">
        <v>4841.7</v>
      </c>
      <c r="D444" s="47">
        <f t="shared" si="6"/>
        <v>4364.3083799999995</v>
      </c>
    </row>
    <row r="445" spans="1:4">
      <c r="A445" s="122">
        <v>41650</v>
      </c>
      <c r="B445" s="24">
        <v>0.89939999999999998</v>
      </c>
      <c r="C445" s="24">
        <v>4794.7</v>
      </c>
      <c r="D445" s="47">
        <f t="shared" si="6"/>
        <v>4312.3531800000001</v>
      </c>
    </row>
    <row r="446" spans="1:4">
      <c r="A446" s="122">
        <v>41649</v>
      </c>
      <c r="B446" s="24">
        <v>0.89939999999999998</v>
      </c>
      <c r="C446" s="24">
        <v>4744.1000000000004</v>
      </c>
      <c r="D446" s="47">
        <f t="shared" si="6"/>
        <v>4266.8435399999998</v>
      </c>
    </row>
    <row r="447" spans="1:4">
      <c r="A447" s="122">
        <v>41648</v>
      </c>
      <c r="B447" s="24">
        <v>0.88939999999999997</v>
      </c>
      <c r="C447" s="24">
        <v>4834</v>
      </c>
      <c r="D447" s="47">
        <f t="shared" si="6"/>
        <v>4299.3595999999998</v>
      </c>
    </row>
    <row r="448" spans="1:4">
      <c r="A448" s="122">
        <v>41647</v>
      </c>
      <c r="B448" s="24">
        <v>0.88880000000000003</v>
      </c>
      <c r="C448" s="24">
        <v>4710.3</v>
      </c>
      <c r="D448" s="47">
        <f t="shared" si="6"/>
        <v>4186.5146400000003</v>
      </c>
    </row>
    <row r="449" spans="1:4">
      <c r="A449" s="122">
        <v>41646</v>
      </c>
      <c r="B449" s="24">
        <v>0.89170000000000005</v>
      </c>
      <c r="C449" s="24">
        <v>4802.6000000000004</v>
      </c>
      <c r="D449" s="47">
        <f t="shared" si="6"/>
        <v>4282.4784200000004</v>
      </c>
    </row>
    <row r="450" spans="1:4">
      <c r="A450" s="122">
        <v>41645</v>
      </c>
      <c r="B450" s="24">
        <v>0.89659999999999995</v>
      </c>
      <c r="C450" s="24">
        <v>4811.3</v>
      </c>
      <c r="D450" s="47">
        <f t="shared" si="6"/>
        <v>4313.8115799999996</v>
      </c>
    </row>
    <row r="451" spans="1:4">
      <c r="A451" s="122">
        <v>41644</v>
      </c>
      <c r="B451" s="24">
        <v>0.89649999999999996</v>
      </c>
      <c r="C451" s="24">
        <v>4731.7</v>
      </c>
      <c r="D451" s="47">
        <f t="shared" ref="D451:D514" si="7">C451*B451</f>
        <v>4241.9690499999997</v>
      </c>
    </row>
    <row r="452" spans="1:4">
      <c r="A452" s="122">
        <v>41643</v>
      </c>
      <c r="B452" s="24">
        <v>0.89449999999999996</v>
      </c>
      <c r="C452" s="24">
        <v>4656</v>
      </c>
      <c r="D452" s="47">
        <f t="shared" si="7"/>
        <v>4164.7919999999995</v>
      </c>
    </row>
    <row r="453" spans="1:4">
      <c r="A453" s="122">
        <v>41642</v>
      </c>
      <c r="B453" s="24">
        <v>0.89429999999999998</v>
      </c>
      <c r="C453" s="24">
        <v>4669.1000000000004</v>
      </c>
      <c r="D453" s="47">
        <f t="shared" si="7"/>
        <v>4175.5761300000004</v>
      </c>
    </row>
    <row r="454" spans="1:4">
      <c r="A454" s="122">
        <v>41641</v>
      </c>
      <c r="B454" s="24">
        <v>0.89090000000000003</v>
      </c>
      <c r="C454" s="24">
        <v>4738.8</v>
      </c>
      <c r="D454" s="47">
        <f t="shared" si="7"/>
        <v>4221.7969200000007</v>
      </c>
    </row>
    <row r="455" spans="1:4">
      <c r="A455" s="122">
        <v>41640</v>
      </c>
      <c r="B455" s="24">
        <v>0.88900000000000001</v>
      </c>
      <c r="C455" s="24">
        <v>4758.3999999999996</v>
      </c>
      <c r="D455" s="47">
        <f t="shared" si="7"/>
        <v>4230.2175999999999</v>
      </c>
    </row>
    <row r="456" spans="1:4">
      <c r="A456" s="122">
        <v>41639</v>
      </c>
      <c r="B456" s="24">
        <v>0.89100000000000001</v>
      </c>
      <c r="C456" s="24">
        <v>4861.3999999999996</v>
      </c>
      <c r="D456" s="47">
        <f t="shared" si="7"/>
        <v>4331.5073999999995</v>
      </c>
    </row>
    <row r="457" spans="1:4">
      <c r="A457" s="122">
        <v>41638</v>
      </c>
      <c r="B457" s="24">
        <v>0.8921</v>
      </c>
      <c r="C457" s="24">
        <v>4814.3999999999996</v>
      </c>
      <c r="D457" s="47">
        <f t="shared" si="7"/>
        <v>4294.9262399999998</v>
      </c>
    </row>
    <row r="458" spans="1:4">
      <c r="A458" s="122">
        <v>41637</v>
      </c>
      <c r="B458" s="24">
        <v>0.88539999999999996</v>
      </c>
      <c r="C458" s="24">
        <v>4825.8999999999996</v>
      </c>
      <c r="D458" s="47">
        <f t="shared" si="7"/>
        <v>4272.8518599999998</v>
      </c>
    </row>
    <row r="459" spans="1:4">
      <c r="A459" s="122">
        <v>41636</v>
      </c>
      <c r="B459" s="24">
        <v>0.88670000000000004</v>
      </c>
      <c r="C459" s="24">
        <v>4791.8</v>
      </c>
      <c r="D459" s="47">
        <f t="shared" si="7"/>
        <v>4248.8890600000004</v>
      </c>
    </row>
    <row r="460" spans="1:4">
      <c r="A460" s="122">
        <v>41635</v>
      </c>
      <c r="B460" s="24">
        <v>0.88670000000000004</v>
      </c>
      <c r="C460" s="24">
        <v>4695.8</v>
      </c>
      <c r="D460" s="47">
        <f t="shared" si="7"/>
        <v>4163.7658600000004</v>
      </c>
    </row>
    <row r="461" spans="1:4">
      <c r="A461" s="122">
        <v>41634</v>
      </c>
      <c r="B461" s="24">
        <v>0.88849999999999996</v>
      </c>
      <c r="C461" s="24">
        <v>4724.5</v>
      </c>
      <c r="D461" s="47">
        <f t="shared" si="7"/>
        <v>4197.7182499999999</v>
      </c>
    </row>
    <row r="462" spans="1:4">
      <c r="A462" s="122">
        <v>41633</v>
      </c>
      <c r="B462" s="24">
        <v>0.89100000000000001</v>
      </c>
      <c r="C462" s="24">
        <v>4757.1000000000004</v>
      </c>
      <c r="D462" s="47">
        <f t="shared" si="7"/>
        <v>4238.5761000000002</v>
      </c>
    </row>
    <row r="463" spans="1:4">
      <c r="A463" s="122">
        <v>41632</v>
      </c>
      <c r="B463" s="24">
        <v>0.89190000000000003</v>
      </c>
      <c r="C463" s="24">
        <v>4737.7</v>
      </c>
      <c r="D463" s="47">
        <f t="shared" si="7"/>
        <v>4225.5546299999996</v>
      </c>
    </row>
    <row r="464" spans="1:4">
      <c r="A464" s="122">
        <v>41631</v>
      </c>
      <c r="B464" s="24">
        <v>0.89300000000000002</v>
      </c>
      <c r="C464" s="24">
        <v>4781.2</v>
      </c>
      <c r="D464" s="47">
        <f t="shared" si="7"/>
        <v>4269.6116000000002</v>
      </c>
    </row>
    <row r="465" spans="1:4">
      <c r="A465" s="122">
        <v>41630</v>
      </c>
      <c r="B465" s="24">
        <v>0.89219999999999999</v>
      </c>
      <c r="C465" s="24">
        <v>4835.2</v>
      </c>
      <c r="D465" s="47">
        <f t="shared" si="7"/>
        <v>4313.9654399999999</v>
      </c>
    </row>
    <row r="466" spans="1:4">
      <c r="A466" s="122">
        <v>41629</v>
      </c>
      <c r="B466" s="24">
        <v>0.89190000000000003</v>
      </c>
      <c r="C466" s="24">
        <v>4900.8</v>
      </c>
      <c r="D466" s="47">
        <f t="shared" si="7"/>
        <v>4371.0235200000006</v>
      </c>
    </row>
    <row r="467" spans="1:4">
      <c r="A467" s="122">
        <v>41628</v>
      </c>
      <c r="B467" s="24">
        <v>0.89190000000000003</v>
      </c>
      <c r="C467" s="24">
        <v>4888.3</v>
      </c>
      <c r="D467" s="47">
        <f t="shared" si="7"/>
        <v>4359.8747700000004</v>
      </c>
    </row>
    <row r="468" spans="1:4">
      <c r="A468" s="122">
        <v>41627</v>
      </c>
      <c r="B468" s="24">
        <v>0.88600000000000001</v>
      </c>
      <c r="C468" s="24">
        <v>4926.6000000000004</v>
      </c>
      <c r="D468" s="47">
        <f t="shared" si="7"/>
        <v>4364.9675999999999</v>
      </c>
    </row>
    <row r="469" spans="1:4">
      <c r="A469" s="122">
        <v>41626</v>
      </c>
      <c r="B469" s="24">
        <v>0.88419999999999999</v>
      </c>
      <c r="C469" s="24">
        <v>4930.7</v>
      </c>
      <c r="D469" s="47">
        <f t="shared" si="7"/>
        <v>4359.7249400000001</v>
      </c>
    </row>
    <row r="470" spans="1:4">
      <c r="A470" s="122">
        <v>41625</v>
      </c>
      <c r="B470" s="24">
        <v>0.89180000000000004</v>
      </c>
      <c r="C470" s="24">
        <v>4974.7</v>
      </c>
      <c r="D470" s="47">
        <f t="shared" si="7"/>
        <v>4436.4374600000001</v>
      </c>
    </row>
    <row r="471" spans="1:4">
      <c r="A471" s="122">
        <v>41624</v>
      </c>
      <c r="B471" s="24">
        <v>0.89380000000000004</v>
      </c>
      <c r="C471" s="24">
        <v>4970.7</v>
      </c>
      <c r="D471" s="47">
        <f t="shared" si="7"/>
        <v>4442.8116600000003</v>
      </c>
    </row>
    <row r="472" spans="1:4">
      <c r="A472" s="122">
        <v>41623</v>
      </c>
      <c r="B472" s="24">
        <v>0.8952</v>
      </c>
      <c r="C472" s="24">
        <v>4959.8999999999996</v>
      </c>
      <c r="D472" s="47">
        <f t="shared" si="7"/>
        <v>4440.1024799999996</v>
      </c>
    </row>
    <row r="473" spans="1:4">
      <c r="A473" s="122">
        <v>41622</v>
      </c>
      <c r="B473" s="24">
        <v>0.89570000000000005</v>
      </c>
      <c r="C473" s="24">
        <v>4983.5</v>
      </c>
      <c r="D473" s="47">
        <f t="shared" si="7"/>
        <v>4463.7209499999999</v>
      </c>
    </row>
    <row r="474" spans="1:4">
      <c r="A474" s="122">
        <v>41621</v>
      </c>
      <c r="B474" s="24">
        <v>0.89559999999999995</v>
      </c>
      <c r="C474" s="24">
        <v>5062.3999999999996</v>
      </c>
      <c r="D474" s="47">
        <f t="shared" si="7"/>
        <v>4533.8854399999991</v>
      </c>
    </row>
    <row r="475" spans="1:4">
      <c r="A475" s="122">
        <v>41620</v>
      </c>
      <c r="B475" s="24">
        <v>0.89259999999999995</v>
      </c>
      <c r="C475" s="24">
        <v>5165.3999999999996</v>
      </c>
      <c r="D475" s="47">
        <f t="shared" si="7"/>
        <v>4610.6360399999994</v>
      </c>
    </row>
    <row r="476" spans="1:4">
      <c r="A476" s="122">
        <v>41619</v>
      </c>
      <c r="B476" s="24">
        <v>0.90449999999999997</v>
      </c>
      <c r="C476" s="24">
        <v>5180.1000000000004</v>
      </c>
      <c r="D476" s="47">
        <f t="shared" si="7"/>
        <v>4685.4004500000001</v>
      </c>
    </row>
    <row r="477" spans="1:4">
      <c r="A477" s="122">
        <v>41618</v>
      </c>
      <c r="B477" s="24">
        <v>0.91439999999999999</v>
      </c>
      <c r="C477" s="24">
        <v>5209</v>
      </c>
      <c r="D477" s="47">
        <f t="shared" si="7"/>
        <v>4763.1095999999998</v>
      </c>
    </row>
    <row r="478" spans="1:4">
      <c r="A478" s="122">
        <v>41617</v>
      </c>
      <c r="B478" s="24">
        <v>0.90910000000000002</v>
      </c>
      <c r="C478" s="24">
        <v>5180.8</v>
      </c>
      <c r="D478" s="47">
        <f t="shared" si="7"/>
        <v>4709.86528</v>
      </c>
    </row>
    <row r="479" spans="1:4">
      <c r="A479" s="122">
        <v>41616</v>
      </c>
      <c r="B479" s="24">
        <v>0.91020000000000001</v>
      </c>
      <c r="C479" s="24">
        <v>5165.7</v>
      </c>
      <c r="D479" s="47">
        <f t="shared" si="7"/>
        <v>4701.8201399999998</v>
      </c>
    </row>
    <row r="480" spans="1:4">
      <c r="A480" s="122">
        <v>41615</v>
      </c>
      <c r="B480" s="24">
        <v>0.91010000000000002</v>
      </c>
      <c r="C480" s="24">
        <v>5191.7</v>
      </c>
      <c r="D480" s="47">
        <f t="shared" si="7"/>
        <v>4724.9661699999997</v>
      </c>
    </row>
    <row r="481" spans="1:4">
      <c r="A481" s="122">
        <v>41614</v>
      </c>
      <c r="B481" s="24">
        <v>0.91020000000000001</v>
      </c>
      <c r="C481" s="24">
        <v>5221</v>
      </c>
      <c r="D481" s="47">
        <f t="shared" si="7"/>
        <v>4752.1541999999999</v>
      </c>
    </row>
    <row r="482" spans="1:4">
      <c r="A482" s="122">
        <v>41613</v>
      </c>
      <c r="B482" s="24">
        <v>0.90620000000000001</v>
      </c>
      <c r="C482" s="24">
        <v>5210.3</v>
      </c>
      <c r="D482" s="47">
        <f t="shared" si="7"/>
        <v>4721.5738600000004</v>
      </c>
    </row>
    <row r="483" spans="1:4">
      <c r="A483" s="122">
        <v>41612</v>
      </c>
      <c r="B483" s="24">
        <v>0.90349999999999997</v>
      </c>
      <c r="C483" s="24">
        <v>5206.1000000000004</v>
      </c>
      <c r="D483" s="47">
        <f t="shared" si="7"/>
        <v>4703.7113500000005</v>
      </c>
    </row>
    <row r="484" spans="1:4">
      <c r="A484" s="122">
        <v>41611</v>
      </c>
      <c r="B484" s="24">
        <v>0.91290000000000004</v>
      </c>
      <c r="C484" s="24">
        <v>5198.3999999999996</v>
      </c>
      <c r="D484" s="47">
        <f t="shared" si="7"/>
        <v>4745.6193599999997</v>
      </c>
    </row>
    <row r="485" spans="1:4">
      <c r="A485" s="122">
        <v>41610</v>
      </c>
      <c r="B485" s="24">
        <v>0.91139999999999999</v>
      </c>
      <c r="C485" s="24">
        <v>5199.8</v>
      </c>
      <c r="D485" s="47">
        <f t="shared" si="7"/>
        <v>4739.0977199999998</v>
      </c>
    </row>
    <row r="486" spans="1:4">
      <c r="A486" s="122">
        <v>41609</v>
      </c>
      <c r="B486" s="24">
        <v>0.91200000000000003</v>
      </c>
      <c r="C486" s="24">
        <v>5143.7</v>
      </c>
      <c r="D486" s="47">
        <f t="shared" si="7"/>
        <v>4691.0544</v>
      </c>
    </row>
    <row r="487" spans="1:4">
      <c r="A487" s="122">
        <v>41608</v>
      </c>
      <c r="B487" s="24">
        <v>0.91069999999999995</v>
      </c>
      <c r="C487" s="24">
        <v>5156.2</v>
      </c>
      <c r="D487" s="47">
        <f t="shared" si="7"/>
        <v>4695.7513399999998</v>
      </c>
    </row>
    <row r="488" spans="1:4">
      <c r="A488" s="122">
        <v>41607</v>
      </c>
      <c r="B488" s="24">
        <v>0.91080000000000005</v>
      </c>
      <c r="C488" s="24">
        <v>5129.5</v>
      </c>
      <c r="D488" s="47">
        <f t="shared" si="7"/>
        <v>4671.9486000000006</v>
      </c>
    </row>
    <row r="489" spans="1:4">
      <c r="A489" s="122">
        <v>41606</v>
      </c>
      <c r="B489" s="24">
        <v>0.9083</v>
      </c>
      <c r="C489" s="24">
        <v>5130</v>
      </c>
      <c r="D489" s="47">
        <f t="shared" si="7"/>
        <v>4659.5789999999997</v>
      </c>
    </row>
    <row r="490" spans="1:4">
      <c r="A490" s="122">
        <v>41605</v>
      </c>
      <c r="B490" s="24">
        <v>0.9083</v>
      </c>
      <c r="C490" s="24">
        <v>5166.2</v>
      </c>
      <c r="D490" s="47">
        <f t="shared" si="7"/>
        <v>4692.45946</v>
      </c>
    </row>
    <row r="491" spans="1:4">
      <c r="A491" s="122">
        <v>41604</v>
      </c>
      <c r="B491" s="24">
        <v>0.91190000000000004</v>
      </c>
      <c r="C491" s="24">
        <v>5191.2</v>
      </c>
      <c r="D491" s="47">
        <f t="shared" si="7"/>
        <v>4733.8552799999998</v>
      </c>
    </row>
    <row r="492" spans="1:4">
      <c r="A492" s="122">
        <v>41603</v>
      </c>
      <c r="B492" s="24">
        <v>0.91949999999999998</v>
      </c>
      <c r="C492" s="24">
        <v>5125.8</v>
      </c>
      <c r="D492" s="47">
        <f t="shared" si="7"/>
        <v>4713.1731</v>
      </c>
    </row>
    <row r="493" spans="1:4">
      <c r="A493" s="122">
        <v>41602</v>
      </c>
      <c r="B493" s="24">
        <v>0.91659999999999997</v>
      </c>
      <c r="C493" s="24">
        <v>5097.5</v>
      </c>
      <c r="D493" s="47">
        <f t="shared" si="7"/>
        <v>4672.3684999999996</v>
      </c>
    </row>
    <row r="494" spans="1:4">
      <c r="A494" s="122">
        <v>41601</v>
      </c>
      <c r="B494" s="24">
        <v>0.91669999999999996</v>
      </c>
      <c r="C494" s="24">
        <v>5102.3999999999996</v>
      </c>
      <c r="D494" s="47">
        <f t="shared" si="7"/>
        <v>4677.3700799999997</v>
      </c>
    </row>
    <row r="495" spans="1:4">
      <c r="A495" s="122">
        <v>41600</v>
      </c>
      <c r="B495" s="24">
        <v>0.91639999999999999</v>
      </c>
      <c r="C495" s="24">
        <v>5016.2</v>
      </c>
      <c r="D495" s="47">
        <f t="shared" si="7"/>
        <v>4596.8456799999994</v>
      </c>
    </row>
    <row r="496" spans="1:4">
      <c r="A496" s="122">
        <v>41599</v>
      </c>
      <c r="B496" s="24">
        <v>0.92290000000000005</v>
      </c>
      <c r="C496" s="24">
        <v>4966.6000000000004</v>
      </c>
      <c r="D496" s="47">
        <f t="shared" si="7"/>
        <v>4583.6751400000003</v>
      </c>
    </row>
    <row r="497" spans="1:4">
      <c r="A497" s="122">
        <v>41598</v>
      </c>
      <c r="B497" s="24">
        <v>0.93289999999999995</v>
      </c>
      <c r="C497" s="24">
        <v>4931.8999999999996</v>
      </c>
      <c r="D497" s="47">
        <f t="shared" si="7"/>
        <v>4600.969509999999</v>
      </c>
    </row>
    <row r="498" spans="1:4">
      <c r="A498" s="122">
        <v>41597</v>
      </c>
      <c r="B498" s="24">
        <v>0.94430000000000003</v>
      </c>
      <c r="C498" s="24">
        <v>4924.3999999999996</v>
      </c>
      <c r="D498" s="47">
        <f t="shared" si="7"/>
        <v>4650.1109200000001</v>
      </c>
    </row>
    <row r="499" spans="1:4">
      <c r="A499" s="122">
        <v>41596</v>
      </c>
      <c r="B499" s="24">
        <v>0.93669999999999998</v>
      </c>
      <c r="C499" s="24">
        <v>5004.6000000000004</v>
      </c>
      <c r="D499" s="47">
        <f t="shared" si="7"/>
        <v>4687.8088200000002</v>
      </c>
    </row>
    <row r="500" spans="1:4">
      <c r="A500" s="122">
        <v>41595</v>
      </c>
      <c r="B500" s="24">
        <v>0.93689999999999996</v>
      </c>
      <c r="C500" s="24">
        <v>4950.8</v>
      </c>
      <c r="D500" s="47">
        <f t="shared" si="7"/>
        <v>4638.40452</v>
      </c>
    </row>
    <row r="501" spans="1:4">
      <c r="A501" s="122">
        <v>41594</v>
      </c>
      <c r="B501" s="24">
        <v>0.93679999999999997</v>
      </c>
      <c r="C501" s="24">
        <v>4967.8999999999996</v>
      </c>
      <c r="D501" s="47">
        <f t="shared" si="7"/>
        <v>4653.9287199999999</v>
      </c>
    </row>
    <row r="502" spans="1:4">
      <c r="A502" s="122">
        <v>41593</v>
      </c>
      <c r="B502" s="24">
        <v>0.93689999999999996</v>
      </c>
      <c r="C502" s="24">
        <v>5013.5</v>
      </c>
      <c r="D502" s="47">
        <f t="shared" si="7"/>
        <v>4697.14815</v>
      </c>
    </row>
    <row r="503" spans="1:4">
      <c r="A503" s="122">
        <v>41592</v>
      </c>
      <c r="B503" s="24">
        <v>0.93079999999999996</v>
      </c>
      <c r="C503" s="24">
        <v>5007.1000000000004</v>
      </c>
      <c r="D503" s="47">
        <f t="shared" si="7"/>
        <v>4660.6086800000003</v>
      </c>
    </row>
    <row r="504" spans="1:4">
      <c r="A504" s="122">
        <v>41591</v>
      </c>
      <c r="B504" s="24">
        <v>0.93659999999999999</v>
      </c>
      <c r="C504" s="24">
        <v>4968</v>
      </c>
      <c r="D504" s="47">
        <f t="shared" si="7"/>
        <v>4653.0288</v>
      </c>
    </row>
    <row r="505" spans="1:4">
      <c r="A505" s="122">
        <v>41590</v>
      </c>
      <c r="B505" s="24">
        <v>0.93030000000000002</v>
      </c>
      <c r="C505" s="24">
        <v>4976.8</v>
      </c>
      <c r="D505" s="47">
        <f t="shared" si="7"/>
        <v>4629.9170400000003</v>
      </c>
    </row>
    <row r="506" spans="1:4">
      <c r="A506" s="122">
        <v>41589</v>
      </c>
      <c r="B506" s="24">
        <v>0.9365</v>
      </c>
      <c r="C506" s="24">
        <v>4905.5</v>
      </c>
      <c r="D506" s="47">
        <f t="shared" si="7"/>
        <v>4594.0007500000002</v>
      </c>
    </row>
    <row r="507" spans="1:4">
      <c r="A507" s="122">
        <v>41588</v>
      </c>
      <c r="B507" s="24">
        <v>0.93679999999999997</v>
      </c>
      <c r="C507" s="24">
        <v>4891.3999999999996</v>
      </c>
      <c r="D507" s="47">
        <f t="shared" si="7"/>
        <v>4582.2635199999995</v>
      </c>
    </row>
    <row r="508" spans="1:4">
      <c r="A508" s="122">
        <v>41587</v>
      </c>
      <c r="B508" s="24">
        <v>0.93830000000000002</v>
      </c>
      <c r="C508" s="24">
        <v>4913.5</v>
      </c>
      <c r="D508" s="47">
        <f t="shared" si="7"/>
        <v>4610.3370500000001</v>
      </c>
    </row>
    <row r="509" spans="1:4">
      <c r="A509" s="122">
        <v>41586</v>
      </c>
      <c r="B509" s="24">
        <v>0.93779999999999997</v>
      </c>
      <c r="C509" s="24">
        <v>4957.7</v>
      </c>
      <c r="D509" s="47">
        <f t="shared" si="7"/>
        <v>4649.3310599999995</v>
      </c>
    </row>
    <row r="510" spans="1:4">
      <c r="A510" s="122">
        <v>41585</v>
      </c>
      <c r="B510" s="24">
        <v>0.94550000000000001</v>
      </c>
      <c r="C510" s="24">
        <v>4985.5</v>
      </c>
      <c r="D510" s="47">
        <f t="shared" si="7"/>
        <v>4713.79025</v>
      </c>
    </row>
    <row r="511" spans="1:4">
      <c r="A511" s="122">
        <v>41584</v>
      </c>
      <c r="B511" s="24">
        <v>0.95240000000000002</v>
      </c>
      <c r="C511" s="24">
        <v>4966.5</v>
      </c>
      <c r="D511" s="47">
        <f t="shared" si="7"/>
        <v>4730.0946000000004</v>
      </c>
    </row>
    <row r="512" spans="1:4">
      <c r="A512" s="122">
        <v>41583</v>
      </c>
      <c r="B512" s="24">
        <v>0.94979999999999998</v>
      </c>
      <c r="C512" s="24">
        <v>4995</v>
      </c>
      <c r="D512" s="47">
        <f t="shared" si="7"/>
        <v>4744.2510000000002</v>
      </c>
    </row>
    <row r="513" spans="1:4">
      <c r="A513" s="122">
        <v>41582</v>
      </c>
      <c r="B513" s="24">
        <v>0.95150000000000001</v>
      </c>
      <c r="C513" s="24">
        <v>4950.2</v>
      </c>
      <c r="D513" s="47">
        <f t="shared" si="7"/>
        <v>4710.1152999999995</v>
      </c>
    </row>
    <row r="514" spans="1:4">
      <c r="A514" s="122">
        <v>41581</v>
      </c>
      <c r="B514" s="24">
        <v>0.94669999999999999</v>
      </c>
      <c r="C514" s="24">
        <v>4990.2</v>
      </c>
      <c r="D514" s="47">
        <f t="shared" si="7"/>
        <v>4724.2223399999993</v>
      </c>
    </row>
    <row r="515" spans="1:4">
      <c r="A515" s="122">
        <v>41580</v>
      </c>
      <c r="B515" s="24">
        <v>0.94359999999999999</v>
      </c>
      <c r="C515" s="24">
        <v>4967.3</v>
      </c>
      <c r="D515" s="47">
        <f t="shared" ref="D515:D578" si="8">C515*B515</f>
        <v>4687.1442800000004</v>
      </c>
    </row>
    <row r="516" spans="1:4">
      <c r="A516" s="122">
        <v>41579</v>
      </c>
      <c r="B516" s="24">
        <v>0.94379999999999997</v>
      </c>
      <c r="C516" s="24">
        <v>4959.3999999999996</v>
      </c>
      <c r="D516" s="47">
        <f t="shared" si="8"/>
        <v>4680.6817199999996</v>
      </c>
    </row>
    <row r="517" spans="1:4">
      <c r="A517" s="122">
        <v>41578</v>
      </c>
      <c r="B517" s="24">
        <v>0.94550000000000001</v>
      </c>
      <c r="C517" s="24">
        <v>4967.3999999999996</v>
      </c>
      <c r="D517" s="47">
        <f t="shared" si="8"/>
        <v>4696.6767</v>
      </c>
    </row>
    <row r="518" spans="1:4">
      <c r="A518" s="122">
        <v>41577</v>
      </c>
      <c r="B518" s="24">
        <v>0.9466</v>
      </c>
      <c r="C518" s="24">
        <v>4987.3999999999996</v>
      </c>
      <c r="D518" s="47">
        <f t="shared" si="8"/>
        <v>4721.0728399999998</v>
      </c>
    </row>
    <row r="519" spans="1:4">
      <c r="A519" s="122">
        <v>41576</v>
      </c>
      <c r="B519" s="24">
        <v>0.94740000000000002</v>
      </c>
      <c r="C519" s="24">
        <v>5015.3999999999996</v>
      </c>
      <c r="D519" s="47">
        <f t="shared" si="8"/>
        <v>4751.5899599999993</v>
      </c>
    </row>
    <row r="520" spans="1:4">
      <c r="A520" s="122">
        <v>41575</v>
      </c>
      <c r="B520" s="24">
        <v>0.95409999999999995</v>
      </c>
      <c r="C520" s="24">
        <v>5120.2</v>
      </c>
      <c r="D520" s="47">
        <f t="shared" si="8"/>
        <v>4885.18282</v>
      </c>
    </row>
    <row r="521" spans="1:4">
      <c r="A521" s="122">
        <v>41574</v>
      </c>
      <c r="B521" s="24">
        <v>0.95979999999999999</v>
      </c>
      <c r="C521" s="24">
        <v>5032.2</v>
      </c>
      <c r="D521" s="47">
        <f t="shared" si="8"/>
        <v>4829.9055600000002</v>
      </c>
    </row>
    <row r="522" spans="1:4">
      <c r="A522" s="122">
        <v>41573</v>
      </c>
      <c r="B522" s="24">
        <v>0.95830000000000004</v>
      </c>
      <c r="C522" s="24">
        <v>5092.3999999999996</v>
      </c>
      <c r="D522" s="47">
        <f t="shared" si="8"/>
        <v>4880.0469199999998</v>
      </c>
    </row>
    <row r="523" spans="1:4">
      <c r="A523" s="122">
        <v>41572</v>
      </c>
      <c r="B523" s="24">
        <v>0.95830000000000004</v>
      </c>
      <c r="C523" s="24">
        <v>5117.8999999999996</v>
      </c>
      <c r="D523" s="47">
        <f t="shared" si="8"/>
        <v>4904.4835699999994</v>
      </c>
    </row>
    <row r="524" spans="1:4">
      <c r="A524" s="122">
        <v>41571</v>
      </c>
      <c r="B524" s="24">
        <v>0.96189999999999998</v>
      </c>
      <c r="C524" s="24">
        <v>5146.8999999999996</v>
      </c>
      <c r="D524" s="47">
        <f t="shared" si="8"/>
        <v>4950.8031099999998</v>
      </c>
    </row>
    <row r="525" spans="1:4">
      <c r="A525" s="122">
        <v>41570</v>
      </c>
      <c r="B525" s="24">
        <v>0.96440000000000003</v>
      </c>
      <c r="C525" s="24">
        <v>5123.3999999999996</v>
      </c>
      <c r="D525" s="47">
        <f t="shared" si="8"/>
        <v>4941.0069599999997</v>
      </c>
    </row>
    <row r="526" spans="1:4">
      <c r="A526" s="122">
        <v>41569</v>
      </c>
      <c r="B526" s="24">
        <v>0.97</v>
      </c>
      <c r="C526" s="24">
        <v>5109.2</v>
      </c>
      <c r="D526" s="47">
        <f t="shared" si="8"/>
        <v>4955.924</v>
      </c>
    </row>
    <row r="527" spans="1:4">
      <c r="A527" s="122">
        <v>41568</v>
      </c>
      <c r="B527" s="24">
        <v>0.96530000000000005</v>
      </c>
      <c r="C527" s="24">
        <v>5116.8</v>
      </c>
      <c r="D527" s="47">
        <f t="shared" si="8"/>
        <v>4939.2470400000002</v>
      </c>
    </row>
    <row r="528" spans="1:4">
      <c r="A528" s="122">
        <v>41567</v>
      </c>
      <c r="B528" s="24">
        <v>0.96589999999999998</v>
      </c>
      <c r="C528" s="24">
        <v>5075.3999999999996</v>
      </c>
      <c r="D528" s="47">
        <f t="shared" si="8"/>
        <v>4902.3288599999996</v>
      </c>
    </row>
    <row r="529" spans="1:4">
      <c r="A529" s="122">
        <v>41566</v>
      </c>
      <c r="B529" s="24">
        <v>0.9677</v>
      </c>
      <c r="C529" s="24">
        <v>5010.5</v>
      </c>
      <c r="D529" s="47">
        <f t="shared" si="8"/>
        <v>4848.6608500000002</v>
      </c>
    </row>
    <row r="530" spans="1:4">
      <c r="A530" s="122">
        <v>41565</v>
      </c>
      <c r="B530" s="24">
        <v>0.9677</v>
      </c>
      <c r="C530" s="24">
        <v>5086.1000000000004</v>
      </c>
      <c r="D530" s="47">
        <f t="shared" si="8"/>
        <v>4921.8189700000003</v>
      </c>
    </row>
    <row r="531" spans="1:4">
      <c r="A531" s="122">
        <v>41564</v>
      </c>
      <c r="B531" s="24">
        <v>0.96130000000000004</v>
      </c>
      <c r="C531" s="24">
        <v>5104.1000000000004</v>
      </c>
      <c r="D531" s="47">
        <f t="shared" si="8"/>
        <v>4906.5713300000007</v>
      </c>
    </row>
    <row r="532" spans="1:4">
      <c r="A532" s="122">
        <v>41563</v>
      </c>
      <c r="B532" s="24">
        <v>0.95440000000000003</v>
      </c>
      <c r="C532" s="24">
        <v>5036.6000000000004</v>
      </c>
      <c r="D532" s="47">
        <f t="shared" si="8"/>
        <v>4806.9310400000004</v>
      </c>
    </row>
    <row r="533" spans="1:4">
      <c r="A533" s="122">
        <v>41562</v>
      </c>
      <c r="B533" s="24">
        <v>0.95399999999999996</v>
      </c>
      <c r="C533" s="24">
        <v>5003.6000000000004</v>
      </c>
      <c r="D533" s="47">
        <f t="shared" si="8"/>
        <v>4773.4344000000001</v>
      </c>
    </row>
    <row r="534" spans="1:4">
      <c r="A534" s="122">
        <v>41561</v>
      </c>
      <c r="B534" s="24">
        <v>0.95130000000000003</v>
      </c>
      <c r="C534" s="24">
        <v>5055.8</v>
      </c>
      <c r="D534" s="47">
        <f t="shared" si="8"/>
        <v>4809.5825400000003</v>
      </c>
    </row>
    <row r="535" spans="1:4">
      <c r="A535" s="122">
        <v>41560</v>
      </c>
      <c r="B535" s="24">
        <v>0.9446</v>
      </c>
      <c r="C535" s="24">
        <v>5018.1000000000004</v>
      </c>
      <c r="D535" s="47">
        <f t="shared" si="8"/>
        <v>4740.0972600000005</v>
      </c>
    </row>
    <row r="536" spans="1:4">
      <c r="A536" s="122">
        <v>41559</v>
      </c>
      <c r="B536" s="24">
        <v>0.94669999999999999</v>
      </c>
      <c r="C536" s="24">
        <v>4980.1000000000004</v>
      </c>
      <c r="D536" s="47">
        <f t="shared" si="8"/>
        <v>4714.6606700000002</v>
      </c>
    </row>
    <row r="537" spans="1:4">
      <c r="A537" s="122">
        <v>41558</v>
      </c>
      <c r="B537" s="24">
        <v>0.94669999999999999</v>
      </c>
      <c r="C537" s="24">
        <v>5098.7</v>
      </c>
      <c r="D537" s="47">
        <f t="shared" si="8"/>
        <v>4826.9392899999993</v>
      </c>
    </row>
    <row r="538" spans="1:4">
      <c r="A538" s="122">
        <v>41557</v>
      </c>
      <c r="B538" s="24">
        <v>0.94550000000000001</v>
      </c>
      <c r="C538" s="24">
        <v>5081.8999999999996</v>
      </c>
      <c r="D538" s="47">
        <f t="shared" si="8"/>
        <v>4804.9364499999992</v>
      </c>
    </row>
    <row r="539" spans="1:4">
      <c r="A539" s="122">
        <v>41556</v>
      </c>
      <c r="B539" s="24">
        <v>0.94430000000000003</v>
      </c>
      <c r="C539" s="24">
        <v>5063.3999999999996</v>
      </c>
      <c r="D539" s="47">
        <f t="shared" si="8"/>
        <v>4781.3686200000002</v>
      </c>
    </row>
    <row r="540" spans="1:4">
      <c r="A540" s="122">
        <v>41555</v>
      </c>
      <c r="B540" s="24">
        <v>0.94220000000000004</v>
      </c>
      <c r="C540" s="24">
        <v>5033.8999999999996</v>
      </c>
      <c r="D540" s="47">
        <f t="shared" si="8"/>
        <v>4742.9405799999995</v>
      </c>
    </row>
    <row r="541" spans="1:4">
      <c r="A541" s="122">
        <v>41554</v>
      </c>
      <c r="B541" s="24">
        <v>0.94350000000000001</v>
      </c>
      <c r="C541" s="24">
        <v>5036.8999999999996</v>
      </c>
      <c r="D541" s="47">
        <f t="shared" si="8"/>
        <v>4752.3151499999994</v>
      </c>
    </row>
    <row r="542" spans="1:4">
      <c r="A542" s="122">
        <v>41553</v>
      </c>
      <c r="B542" s="24">
        <v>0.94410000000000005</v>
      </c>
      <c r="C542" s="24">
        <v>5003.7</v>
      </c>
      <c r="D542" s="47">
        <f t="shared" si="8"/>
        <v>4723.9931699999997</v>
      </c>
    </row>
    <row r="543" spans="1:4">
      <c r="A543" s="122">
        <v>41552</v>
      </c>
      <c r="B543" s="24">
        <v>0.94330000000000003</v>
      </c>
      <c r="C543" s="24">
        <v>4959</v>
      </c>
      <c r="D543" s="47">
        <f t="shared" si="8"/>
        <v>4677.8247000000001</v>
      </c>
    </row>
    <row r="544" spans="1:4">
      <c r="A544" s="122">
        <v>41551</v>
      </c>
      <c r="B544" s="24">
        <v>0.94330000000000003</v>
      </c>
      <c r="C544" s="24">
        <v>4959.5</v>
      </c>
      <c r="D544" s="47">
        <f t="shared" si="8"/>
        <v>4678.2963500000005</v>
      </c>
    </row>
    <row r="545" spans="1:4">
      <c r="A545" s="122">
        <v>41550</v>
      </c>
      <c r="B545" s="24">
        <v>0.93979999999999997</v>
      </c>
      <c r="C545" s="24">
        <v>4971.3</v>
      </c>
      <c r="D545" s="47">
        <f t="shared" si="8"/>
        <v>4672.0277400000004</v>
      </c>
    </row>
    <row r="546" spans="1:4">
      <c r="A546" s="122">
        <v>41549</v>
      </c>
      <c r="B546" s="24">
        <v>0.93810000000000004</v>
      </c>
      <c r="C546" s="24">
        <v>4935.7</v>
      </c>
      <c r="D546" s="47">
        <f t="shared" si="8"/>
        <v>4630.1801699999996</v>
      </c>
    </row>
    <row r="547" spans="1:4">
      <c r="A547" s="122">
        <v>41548</v>
      </c>
      <c r="B547" s="24">
        <v>0.93959999999999999</v>
      </c>
      <c r="C547" s="24">
        <v>4921</v>
      </c>
      <c r="D547" s="47">
        <f t="shared" si="8"/>
        <v>4623.7716</v>
      </c>
    </row>
    <row r="548" spans="1:4">
      <c r="A548" s="122">
        <v>41547</v>
      </c>
      <c r="B548" s="24">
        <v>0.93159999999999998</v>
      </c>
      <c r="C548" s="24">
        <v>4882.7</v>
      </c>
      <c r="D548" s="47">
        <f t="shared" si="8"/>
        <v>4548.7233200000001</v>
      </c>
    </row>
    <row r="549" spans="1:4">
      <c r="A549" s="122">
        <v>41546</v>
      </c>
      <c r="B549" s="24">
        <v>0.93</v>
      </c>
      <c r="C549" s="24">
        <v>4907.5</v>
      </c>
      <c r="D549" s="47">
        <f t="shared" si="8"/>
        <v>4563.9750000000004</v>
      </c>
    </row>
    <row r="550" spans="1:4">
      <c r="A550" s="122">
        <v>41545</v>
      </c>
      <c r="B550" s="24">
        <v>0.93140000000000001</v>
      </c>
      <c r="C550" s="24">
        <v>4921.1000000000004</v>
      </c>
      <c r="D550" s="47">
        <f t="shared" si="8"/>
        <v>4583.5125400000006</v>
      </c>
    </row>
    <row r="551" spans="1:4">
      <c r="A551" s="122">
        <v>41544</v>
      </c>
      <c r="B551" s="24">
        <v>0.93140000000000001</v>
      </c>
      <c r="C551" s="24">
        <v>4878.8</v>
      </c>
      <c r="D551" s="47">
        <f t="shared" si="8"/>
        <v>4544.1143200000006</v>
      </c>
    </row>
    <row r="552" spans="1:4">
      <c r="A552" s="122">
        <v>41543</v>
      </c>
      <c r="B552" s="24">
        <v>0.93559999999999999</v>
      </c>
      <c r="C552" s="24">
        <v>4896.7</v>
      </c>
      <c r="D552" s="47">
        <f t="shared" si="8"/>
        <v>4581.3525199999995</v>
      </c>
    </row>
    <row r="553" spans="1:4">
      <c r="A553" s="122">
        <v>41542</v>
      </c>
      <c r="B553" s="24">
        <v>0.93630000000000002</v>
      </c>
      <c r="C553" s="24">
        <v>4889</v>
      </c>
      <c r="D553" s="47">
        <f t="shared" si="8"/>
        <v>4577.5707000000002</v>
      </c>
    </row>
    <row r="554" spans="1:4">
      <c r="A554" s="122">
        <v>41541</v>
      </c>
      <c r="B554" s="24">
        <v>0.93820000000000003</v>
      </c>
      <c r="C554" s="24">
        <v>4835.2</v>
      </c>
      <c r="D554" s="47">
        <f t="shared" si="8"/>
        <v>4536.3846400000002</v>
      </c>
    </row>
    <row r="555" spans="1:4">
      <c r="A555" s="122">
        <v>41540</v>
      </c>
      <c r="B555" s="24">
        <v>0.94189999999999996</v>
      </c>
      <c r="C555" s="24">
        <v>4810.2</v>
      </c>
      <c r="D555" s="47">
        <f t="shared" si="8"/>
        <v>4530.7273799999994</v>
      </c>
    </row>
    <row r="556" spans="1:4">
      <c r="A556" s="122">
        <v>41539</v>
      </c>
      <c r="B556" s="24">
        <v>0.94010000000000005</v>
      </c>
      <c r="C556" s="24">
        <v>4787.8</v>
      </c>
      <c r="D556" s="47">
        <f t="shared" si="8"/>
        <v>4501.0107800000005</v>
      </c>
    </row>
    <row r="557" spans="1:4">
      <c r="A557" s="122">
        <v>41538</v>
      </c>
      <c r="B557" s="24">
        <v>0.93969999999999998</v>
      </c>
      <c r="C557" s="24">
        <v>4779.1000000000004</v>
      </c>
      <c r="D557" s="47">
        <f t="shared" si="8"/>
        <v>4490.9202700000005</v>
      </c>
    </row>
    <row r="558" spans="1:4">
      <c r="A558" s="122">
        <v>41537</v>
      </c>
      <c r="B558" s="24">
        <v>0.93969999999999998</v>
      </c>
      <c r="C558" s="24">
        <v>4777.5</v>
      </c>
      <c r="D558" s="47">
        <f t="shared" si="8"/>
        <v>4489.4167500000003</v>
      </c>
    </row>
    <row r="559" spans="1:4">
      <c r="A559" s="122">
        <v>41536</v>
      </c>
      <c r="B559" s="24">
        <v>0.94440000000000002</v>
      </c>
      <c r="C559" s="24">
        <v>4771.2</v>
      </c>
      <c r="D559" s="47">
        <f t="shared" si="8"/>
        <v>4505.9212799999996</v>
      </c>
    </row>
    <row r="560" spans="1:4">
      <c r="A560" s="122">
        <v>41535</v>
      </c>
      <c r="B560" s="24">
        <v>0.94950000000000001</v>
      </c>
      <c r="C560" s="24">
        <v>4756.6000000000004</v>
      </c>
      <c r="D560" s="47">
        <f t="shared" si="8"/>
        <v>4516.3917000000001</v>
      </c>
    </row>
    <row r="561" spans="1:4">
      <c r="A561" s="122">
        <v>41534</v>
      </c>
      <c r="B561" s="24">
        <v>0.93540000000000001</v>
      </c>
      <c r="C561" s="24">
        <v>4738.3999999999996</v>
      </c>
      <c r="D561" s="47">
        <f t="shared" si="8"/>
        <v>4432.29936</v>
      </c>
    </row>
    <row r="562" spans="1:4">
      <c r="A562" s="122">
        <v>41533</v>
      </c>
      <c r="B562" s="24">
        <v>0.93169999999999997</v>
      </c>
      <c r="C562" s="24">
        <v>4716.6000000000004</v>
      </c>
      <c r="D562" s="47">
        <f t="shared" si="8"/>
        <v>4394.45622</v>
      </c>
    </row>
    <row r="563" spans="1:4">
      <c r="A563" s="122">
        <v>41532</v>
      </c>
      <c r="B563" s="24">
        <v>0.93259999999999998</v>
      </c>
      <c r="C563" s="24">
        <v>4719.7</v>
      </c>
      <c r="D563" s="47">
        <f t="shared" si="8"/>
        <v>4401.5922199999995</v>
      </c>
    </row>
    <row r="564" spans="1:4">
      <c r="A564" s="122">
        <v>41531</v>
      </c>
      <c r="B564" s="24">
        <v>0.92420000000000002</v>
      </c>
      <c r="C564" s="24">
        <v>4709.5</v>
      </c>
      <c r="D564" s="47">
        <f t="shared" si="8"/>
        <v>4352.5199000000002</v>
      </c>
    </row>
    <row r="565" spans="1:4">
      <c r="A565" s="122">
        <v>41530</v>
      </c>
      <c r="B565" s="24">
        <v>0.92420000000000002</v>
      </c>
      <c r="C565" s="24">
        <v>4723</v>
      </c>
      <c r="D565" s="47">
        <f t="shared" si="8"/>
        <v>4364.9966000000004</v>
      </c>
    </row>
    <row r="566" spans="1:4">
      <c r="A566" s="122">
        <v>41529</v>
      </c>
      <c r="B566" s="24">
        <v>0.92669999999999997</v>
      </c>
      <c r="C566" s="24">
        <v>4708.1000000000004</v>
      </c>
      <c r="D566" s="47">
        <f t="shared" si="8"/>
        <v>4362.9962700000005</v>
      </c>
    </row>
    <row r="567" spans="1:4">
      <c r="A567" s="122">
        <v>41528</v>
      </c>
      <c r="B567" s="24">
        <v>0.93379999999999996</v>
      </c>
      <c r="C567" s="24">
        <v>4690.3</v>
      </c>
      <c r="D567" s="47">
        <f t="shared" si="8"/>
        <v>4379.8021399999998</v>
      </c>
    </row>
    <row r="568" spans="1:4">
      <c r="A568" s="122">
        <v>41527</v>
      </c>
      <c r="B568" s="24">
        <v>0.92979999999999996</v>
      </c>
      <c r="C568" s="24">
        <v>4717.3</v>
      </c>
      <c r="D568" s="47">
        <f t="shared" si="8"/>
        <v>4386.1455399999995</v>
      </c>
    </row>
    <row r="569" spans="1:4">
      <c r="A569" s="122">
        <v>41526</v>
      </c>
      <c r="B569" s="24">
        <v>0.92279999999999995</v>
      </c>
      <c r="C569" s="24">
        <v>4723.8</v>
      </c>
      <c r="D569" s="47">
        <f t="shared" si="8"/>
        <v>4359.1226399999996</v>
      </c>
    </row>
    <row r="570" spans="1:4">
      <c r="A570" s="122">
        <v>41525</v>
      </c>
      <c r="B570" s="24">
        <v>0.91869999999999996</v>
      </c>
      <c r="C570" s="24">
        <v>4740.7</v>
      </c>
      <c r="D570" s="47">
        <f t="shared" si="8"/>
        <v>4355.2810899999995</v>
      </c>
    </row>
    <row r="571" spans="1:4">
      <c r="A571" s="122">
        <v>41524</v>
      </c>
      <c r="B571" s="24">
        <v>0.91810000000000003</v>
      </c>
      <c r="C571" s="24">
        <v>4705.8999999999996</v>
      </c>
      <c r="D571" s="47">
        <f t="shared" si="8"/>
        <v>4320.4867899999999</v>
      </c>
    </row>
    <row r="572" spans="1:4">
      <c r="A572" s="122">
        <v>41523</v>
      </c>
      <c r="B572" s="24">
        <v>0.91810000000000003</v>
      </c>
      <c r="C572" s="24">
        <v>4649</v>
      </c>
      <c r="D572" s="47">
        <f t="shared" si="8"/>
        <v>4268.2469000000001</v>
      </c>
    </row>
    <row r="573" spans="1:4">
      <c r="A573" s="122">
        <v>41522</v>
      </c>
      <c r="B573" s="24">
        <v>0.91249999999999998</v>
      </c>
      <c r="C573" s="24">
        <v>4671.3</v>
      </c>
      <c r="D573" s="47">
        <f t="shared" si="8"/>
        <v>4262.5612499999997</v>
      </c>
    </row>
    <row r="574" spans="1:4">
      <c r="A574" s="122">
        <v>41521</v>
      </c>
      <c r="B574" s="24">
        <v>0.91669999999999996</v>
      </c>
      <c r="C574" s="24">
        <v>4648</v>
      </c>
      <c r="D574" s="47">
        <f t="shared" si="8"/>
        <v>4260.8216000000002</v>
      </c>
    </row>
    <row r="575" spans="1:4">
      <c r="A575" s="122">
        <v>41520</v>
      </c>
      <c r="B575" s="24">
        <v>0.90500000000000003</v>
      </c>
      <c r="C575" s="24">
        <v>4635.2</v>
      </c>
      <c r="D575" s="47">
        <f t="shared" si="8"/>
        <v>4194.8559999999998</v>
      </c>
    </row>
    <row r="576" spans="1:4">
      <c r="A576" s="122">
        <v>41519</v>
      </c>
      <c r="B576" s="24">
        <v>0.9</v>
      </c>
      <c r="C576" s="24">
        <v>4623.6000000000004</v>
      </c>
      <c r="D576" s="47">
        <f t="shared" si="8"/>
        <v>4161.2400000000007</v>
      </c>
    </row>
    <row r="577" spans="1:4">
      <c r="A577" s="122">
        <v>41518</v>
      </c>
      <c r="B577" s="24">
        <v>0.89339999999999997</v>
      </c>
      <c r="C577" s="24">
        <v>4634.1000000000004</v>
      </c>
      <c r="D577" s="47">
        <f t="shared" si="8"/>
        <v>4140.1049400000002</v>
      </c>
    </row>
    <row r="578" spans="1:4">
      <c r="A578" s="122">
        <v>41517</v>
      </c>
      <c r="B578" s="24">
        <v>0.88980000000000004</v>
      </c>
      <c r="C578" s="24">
        <v>4617.8</v>
      </c>
      <c r="D578" s="47">
        <f t="shared" si="8"/>
        <v>4108.9184400000004</v>
      </c>
    </row>
    <row r="579" spans="1:4">
      <c r="A579" s="122">
        <v>41516</v>
      </c>
      <c r="B579" s="24">
        <v>0.88980000000000004</v>
      </c>
      <c r="C579" s="24">
        <v>4595.2</v>
      </c>
      <c r="D579" s="47">
        <f t="shared" ref="D579:D642" si="9">C579*B579</f>
        <v>4088.8089599999998</v>
      </c>
    </row>
    <row r="580" spans="1:4">
      <c r="A580" s="122">
        <v>41515</v>
      </c>
      <c r="B580" s="24">
        <v>0.89200000000000002</v>
      </c>
      <c r="C580" s="24">
        <v>4573.3999999999996</v>
      </c>
      <c r="D580" s="47">
        <f t="shared" si="9"/>
        <v>4079.4727999999996</v>
      </c>
    </row>
    <row r="581" spans="1:4">
      <c r="A581" s="122">
        <v>41514</v>
      </c>
      <c r="B581" s="24">
        <v>0.8952</v>
      </c>
      <c r="C581" s="24">
        <v>4583.1000000000004</v>
      </c>
      <c r="D581" s="47">
        <f t="shared" si="9"/>
        <v>4102.7911199999999</v>
      </c>
    </row>
    <row r="582" spans="1:4">
      <c r="A582" s="122">
        <v>41513</v>
      </c>
      <c r="B582" s="24">
        <v>0.89249999999999996</v>
      </c>
      <c r="C582" s="24">
        <v>4582.8</v>
      </c>
      <c r="D582" s="47">
        <f t="shared" si="9"/>
        <v>4090.1489999999999</v>
      </c>
    </row>
    <row r="583" spans="1:4">
      <c r="A583" s="122">
        <v>41512</v>
      </c>
      <c r="B583" s="24">
        <v>0.90090000000000003</v>
      </c>
      <c r="C583" s="24">
        <v>4583.8</v>
      </c>
      <c r="D583" s="47">
        <f t="shared" si="9"/>
        <v>4129.5454200000004</v>
      </c>
    </row>
    <row r="584" spans="1:4">
      <c r="A584" s="122">
        <v>41511</v>
      </c>
      <c r="B584" s="24">
        <v>0.90259999999999996</v>
      </c>
      <c r="C584" s="24">
        <v>4576</v>
      </c>
      <c r="D584" s="47">
        <f t="shared" si="9"/>
        <v>4130.2975999999999</v>
      </c>
    </row>
    <row r="585" spans="1:4">
      <c r="A585" s="122">
        <v>41510</v>
      </c>
      <c r="B585" s="24">
        <v>0.9022</v>
      </c>
      <c r="C585" s="24">
        <v>4557.8999999999996</v>
      </c>
      <c r="D585" s="47">
        <f t="shared" si="9"/>
        <v>4112.1373800000001</v>
      </c>
    </row>
    <row r="586" spans="1:4">
      <c r="A586" s="122">
        <v>41509</v>
      </c>
      <c r="B586" s="24">
        <v>0.9022</v>
      </c>
      <c r="C586" s="24">
        <v>4551.8</v>
      </c>
      <c r="D586" s="47">
        <f t="shared" si="9"/>
        <v>4106.6339600000001</v>
      </c>
    </row>
    <row r="587" spans="1:4">
      <c r="A587" s="122">
        <v>41508</v>
      </c>
      <c r="B587" s="24">
        <v>0.90239999999999998</v>
      </c>
      <c r="C587" s="24">
        <v>4509.3</v>
      </c>
      <c r="D587" s="47">
        <f t="shared" si="9"/>
        <v>4069.1923200000001</v>
      </c>
    </row>
    <row r="588" spans="1:4">
      <c r="A588" s="122">
        <v>41507</v>
      </c>
      <c r="B588" s="24">
        <v>0.89670000000000005</v>
      </c>
      <c r="C588" s="24">
        <v>4520.3999999999996</v>
      </c>
      <c r="D588" s="47">
        <f t="shared" si="9"/>
        <v>4053.4426800000001</v>
      </c>
    </row>
    <row r="589" spans="1:4">
      <c r="A589" s="122">
        <v>41506</v>
      </c>
      <c r="B589" s="24">
        <v>0.90639999999999998</v>
      </c>
      <c r="C589" s="24">
        <v>4503.6000000000004</v>
      </c>
      <c r="D589" s="47">
        <f t="shared" si="9"/>
        <v>4082.0630400000005</v>
      </c>
    </row>
    <row r="590" spans="1:4">
      <c r="A590" s="122">
        <v>41505</v>
      </c>
      <c r="B590" s="24">
        <v>0.91159999999999997</v>
      </c>
      <c r="C590" s="24">
        <v>4531.5</v>
      </c>
      <c r="D590" s="47">
        <f t="shared" si="9"/>
        <v>4130.9153999999999</v>
      </c>
    </row>
    <row r="591" spans="1:4">
      <c r="A591" s="122">
        <v>41504</v>
      </c>
      <c r="B591" s="24">
        <v>0.92010000000000003</v>
      </c>
      <c r="C591" s="24">
        <v>4506</v>
      </c>
      <c r="D591" s="47">
        <f t="shared" si="9"/>
        <v>4145.9706000000006</v>
      </c>
    </row>
    <row r="592" spans="1:4">
      <c r="A592" s="122">
        <v>41503</v>
      </c>
      <c r="B592" s="24">
        <v>0.91820000000000002</v>
      </c>
      <c r="C592" s="24">
        <v>4477.7</v>
      </c>
      <c r="D592" s="47">
        <f t="shared" si="9"/>
        <v>4111.4241400000001</v>
      </c>
    </row>
    <row r="593" spans="1:4">
      <c r="A593" s="122">
        <v>41502</v>
      </c>
      <c r="B593" s="24">
        <v>0.91820000000000002</v>
      </c>
      <c r="C593" s="24">
        <v>4447.3</v>
      </c>
      <c r="D593" s="47">
        <f t="shared" si="9"/>
        <v>4083.5108600000003</v>
      </c>
    </row>
    <row r="594" spans="1:4">
      <c r="A594" s="122">
        <v>41501</v>
      </c>
      <c r="B594" s="24">
        <v>0.91249999999999998</v>
      </c>
      <c r="C594" s="24">
        <v>4456.8</v>
      </c>
      <c r="D594" s="47">
        <f t="shared" si="9"/>
        <v>4066.83</v>
      </c>
    </row>
    <row r="595" spans="1:4">
      <c r="A595" s="122">
        <v>41500</v>
      </c>
      <c r="B595" s="24">
        <v>0.91449999999999998</v>
      </c>
      <c r="C595" s="24">
        <v>4424.2</v>
      </c>
      <c r="D595" s="47">
        <f t="shared" si="9"/>
        <v>4045.9308999999998</v>
      </c>
    </row>
    <row r="596" spans="1:4">
      <c r="A596" s="122">
        <v>41499</v>
      </c>
      <c r="B596" s="24">
        <v>0.90959999999999996</v>
      </c>
      <c r="C596" s="24">
        <v>4413</v>
      </c>
      <c r="D596" s="47">
        <f t="shared" si="9"/>
        <v>4014.0647999999997</v>
      </c>
    </row>
    <row r="597" spans="1:4">
      <c r="A597" s="122">
        <v>41498</v>
      </c>
      <c r="B597" s="24">
        <v>0.91110000000000002</v>
      </c>
      <c r="C597" s="24">
        <v>4413.1000000000004</v>
      </c>
      <c r="D597" s="47">
        <f t="shared" si="9"/>
        <v>4020.7754100000006</v>
      </c>
    </row>
    <row r="598" spans="1:4">
      <c r="A598" s="122">
        <v>41497</v>
      </c>
      <c r="B598" s="24">
        <v>0.91849999999999998</v>
      </c>
      <c r="C598" s="24">
        <v>4369.5</v>
      </c>
      <c r="D598" s="47">
        <f t="shared" si="9"/>
        <v>4013.3857499999999</v>
      </c>
    </row>
    <row r="599" spans="1:4">
      <c r="A599" s="122">
        <v>41496</v>
      </c>
      <c r="B599" s="24">
        <v>0.91990000000000005</v>
      </c>
      <c r="C599" s="24">
        <v>4385.7</v>
      </c>
      <c r="D599" s="47">
        <f t="shared" si="9"/>
        <v>4034.4054300000003</v>
      </c>
    </row>
    <row r="600" spans="1:4">
      <c r="A600" s="122">
        <v>41495</v>
      </c>
      <c r="B600" s="24">
        <v>0.91990000000000005</v>
      </c>
      <c r="C600" s="24">
        <v>4361.3999999999996</v>
      </c>
      <c r="D600" s="47">
        <f t="shared" si="9"/>
        <v>4012.05186</v>
      </c>
    </row>
    <row r="601" spans="1:4">
      <c r="A601" s="122">
        <v>41494</v>
      </c>
      <c r="B601" s="24">
        <v>0.91020000000000001</v>
      </c>
      <c r="C601" s="24">
        <v>4336.8</v>
      </c>
      <c r="D601" s="47">
        <f t="shared" si="9"/>
        <v>3947.35536</v>
      </c>
    </row>
    <row r="602" spans="1:4">
      <c r="A602" s="122">
        <v>41493</v>
      </c>
      <c r="B602" s="24">
        <v>0.90010000000000001</v>
      </c>
      <c r="C602" s="24">
        <v>4349.3</v>
      </c>
      <c r="D602" s="47">
        <f t="shared" si="9"/>
        <v>3914.8049300000002</v>
      </c>
    </row>
    <row r="603" spans="1:4">
      <c r="A603" s="122">
        <v>41492</v>
      </c>
      <c r="B603" s="24">
        <v>0.89880000000000004</v>
      </c>
      <c r="C603" s="24">
        <v>4388.3999999999996</v>
      </c>
      <c r="D603" s="47">
        <f t="shared" si="9"/>
        <v>3944.2939200000001</v>
      </c>
    </row>
    <row r="604" spans="1:4">
      <c r="A604" s="122">
        <v>41491</v>
      </c>
      <c r="B604" s="24">
        <v>0.89100000000000001</v>
      </c>
      <c r="C604" s="24">
        <v>4379.8</v>
      </c>
      <c r="D604" s="47">
        <f t="shared" si="9"/>
        <v>3902.4018000000001</v>
      </c>
    </row>
    <row r="605" spans="1:4">
      <c r="A605" s="122">
        <v>41490</v>
      </c>
      <c r="B605" s="24">
        <v>0.89</v>
      </c>
      <c r="C605" s="24">
        <v>4448</v>
      </c>
      <c r="D605" s="47">
        <f t="shared" si="9"/>
        <v>3958.7200000000003</v>
      </c>
    </row>
    <row r="606" spans="1:4">
      <c r="A606" s="122">
        <v>41489</v>
      </c>
      <c r="B606" s="24">
        <v>0.8901</v>
      </c>
      <c r="C606" s="24">
        <v>4462</v>
      </c>
      <c r="D606" s="47">
        <f t="shared" si="9"/>
        <v>3971.6262000000002</v>
      </c>
    </row>
    <row r="607" spans="1:4">
      <c r="A607" s="122">
        <v>41488</v>
      </c>
      <c r="B607" s="24">
        <v>0.8901</v>
      </c>
      <c r="C607" s="24">
        <v>4483.8</v>
      </c>
      <c r="D607" s="47">
        <f t="shared" si="9"/>
        <v>3991.0303800000002</v>
      </c>
    </row>
    <row r="608" spans="1:4">
      <c r="A608" s="122">
        <v>41487</v>
      </c>
      <c r="B608" s="24">
        <v>0.89239999999999997</v>
      </c>
      <c r="C608" s="24">
        <v>4516.5</v>
      </c>
      <c r="D608" s="47">
        <f t="shared" si="9"/>
        <v>4030.5245999999997</v>
      </c>
    </row>
    <row r="609" spans="1:4">
      <c r="A609" s="122">
        <v>41486</v>
      </c>
      <c r="B609" s="24">
        <v>0.89810000000000001</v>
      </c>
      <c r="C609" s="24">
        <v>4484.8</v>
      </c>
      <c r="D609" s="47">
        <f t="shared" si="9"/>
        <v>4027.7988800000003</v>
      </c>
    </row>
    <row r="610" spans="1:4">
      <c r="A610" s="122">
        <v>41485</v>
      </c>
      <c r="B610" s="24">
        <v>0.90690000000000004</v>
      </c>
      <c r="C610" s="24">
        <v>4474.1000000000004</v>
      </c>
      <c r="D610" s="47">
        <f t="shared" si="9"/>
        <v>4057.5612900000006</v>
      </c>
    </row>
    <row r="611" spans="1:4">
      <c r="A611" s="122">
        <v>41484</v>
      </c>
      <c r="B611" s="24">
        <v>0.91859999999999997</v>
      </c>
      <c r="C611" s="24">
        <v>4460.1000000000004</v>
      </c>
      <c r="D611" s="47">
        <f t="shared" si="9"/>
        <v>4097.0478600000006</v>
      </c>
    </row>
    <row r="612" spans="1:4">
      <c r="A612" s="122">
        <v>41483</v>
      </c>
      <c r="B612" s="24">
        <v>0.92630000000000001</v>
      </c>
      <c r="C612" s="24">
        <v>4457.6000000000004</v>
      </c>
      <c r="D612" s="47">
        <f t="shared" si="9"/>
        <v>4129.0748800000001</v>
      </c>
    </row>
    <row r="613" spans="1:4">
      <c r="A613" s="122">
        <v>41482</v>
      </c>
      <c r="B613" s="24">
        <v>0.92600000000000005</v>
      </c>
      <c r="C613" s="24">
        <v>4517</v>
      </c>
      <c r="D613" s="47">
        <f t="shared" si="9"/>
        <v>4182.7420000000002</v>
      </c>
    </row>
    <row r="614" spans="1:4">
      <c r="A614" s="122">
        <v>41481</v>
      </c>
      <c r="B614" s="24">
        <v>0.92600000000000005</v>
      </c>
      <c r="C614" s="24">
        <v>4485.7</v>
      </c>
      <c r="D614" s="47">
        <f t="shared" si="9"/>
        <v>4153.7582000000002</v>
      </c>
    </row>
    <row r="615" spans="1:4">
      <c r="A615" s="122">
        <v>41480</v>
      </c>
      <c r="B615" s="24">
        <v>0.92320000000000002</v>
      </c>
      <c r="C615" s="24">
        <v>4476.8999999999996</v>
      </c>
      <c r="D615" s="47">
        <f t="shared" si="9"/>
        <v>4133.0740799999994</v>
      </c>
    </row>
    <row r="616" spans="1:4">
      <c r="A616" s="122">
        <v>41479</v>
      </c>
      <c r="B616" s="24">
        <v>0.91279999999999994</v>
      </c>
      <c r="C616" s="24">
        <v>4472.3999999999996</v>
      </c>
      <c r="D616" s="47">
        <f t="shared" si="9"/>
        <v>4082.4067199999995</v>
      </c>
    </row>
    <row r="617" spans="1:4">
      <c r="A617" s="122">
        <v>41478</v>
      </c>
      <c r="B617" s="24">
        <v>0.92930000000000001</v>
      </c>
      <c r="C617" s="24">
        <v>4510.5</v>
      </c>
      <c r="D617" s="47">
        <f t="shared" si="9"/>
        <v>4191.6076499999999</v>
      </c>
    </row>
    <row r="618" spans="1:4">
      <c r="A618" s="122">
        <v>41477</v>
      </c>
      <c r="B618" s="24">
        <v>0.92620000000000002</v>
      </c>
      <c r="C618" s="24">
        <v>4505.8</v>
      </c>
      <c r="D618" s="47">
        <f t="shared" si="9"/>
        <v>4173.27196</v>
      </c>
    </row>
    <row r="619" spans="1:4">
      <c r="A619" s="122">
        <v>41476</v>
      </c>
      <c r="B619" s="24">
        <v>0.92200000000000004</v>
      </c>
      <c r="C619" s="24">
        <v>4543.1000000000004</v>
      </c>
      <c r="D619" s="47">
        <f t="shared" si="9"/>
        <v>4188.7382000000007</v>
      </c>
    </row>
    <row r="620" spans="1:4">
      <c r="A620" s="122">
        <v>41475</v>
      </c>
      <c r="B620" s="24">
        <v>0.91710000000000003</v>
      </c>
      <c r="C620" s="24">
        <v>4541</v>
      </c>
      <c r="D620" s="47">
        <f t="shared" si="9"/>
        <v>4164.5510999999997</v>
      </c>
    </row>
    <row r="621" spans="1:4">
      <c r="A621" s="122">
        <v>41474</v>
      </c>
      <c r="B621" s="24">
        <v>0.91710000000000003</v>
      </c>
      <c r="C621" s="24">
        <v>4571.1000000000004</v>
      </c>
      <c r="D621" s="47">
        <f t="shared" si="9"/>
        <v>4192.1558100000002</v>
      </c>
    </row>
    <row r="622" spans="1:4">
      <c r="A622" s="122">
        <v>41473</v>
      </c>
      <c r="B622" s="24">
        <v>0.91810000000000003</v>
      </c>
      <c r="C622" s="24">
        <v>4559.3999999999996</v>
      </c>
      <c r="D622" s="47">
        <f t="shared" si="9"/>
        <v>4185.9851399999998</v>
      </c>
    </row>
    <row r="623" spans="1:4">
      <c r="A623" s="122">
        <v>41472</v>
      </c>
      <c r="B623" s="24">
        <v>0.92279999999999995</v>
      </c>
      <c r="C623" s="24">
        <v>4528.2</v>
      </c>
      <c r="D623" s="47">
        <f t="shared" si="9"/>
        <v>4178.6229599999997</v>
      </c>
    </row>
    <row r="624" spans="1:4">
      <c r="A624" s="122">
        <v>41471</v>
      </c>
      <c r="B624" s="24">
        <v>0.92479999999999996</v>
      </c>
      <c r="C624" s="24">
        <v>4491.5</v>
      </c>
      <c r="D624" s="47">
        <f t="shared" si="9"/>
        <v>4153.7392</v>
      </c>
    </row>
    <row r="625" spans="1:4">
      <c r="A625" s="122">
        <v>41470</v>
      </c>
      <c r="B625" s="24">
        <v>0.90880000000000005</v>
      </c>
      <c r="C625" s="24">
        <v>4483.3999999999996</v>
      </c>
      <c r="D625" s="47">
        <f t="shared" si="9"/>
        <v>4074.5139199999999</v>
      </c>
    </row>
    <row r="626" spans="1:4">
      <c r="A626" s="122">
        <v>41469</v>
      </c>
      <c r="B626" s="24">
        <v>0.9093</v>
      </c>
      <c r="C626" s="24">
        <v>4486.6000000000004</v>
      </c>
      <c r="D626" s="47">
        <f t="shared" si="9"/>
        <v>4079.6653800000004</v>
      </c>
    </row>
    <row r="627" spans="1:4">
      <c r="A627" s="122">
        <v>41468</v>
      </c>
      <c r="B627" s="24">
        <v>0.90449999999999997</v>
      </c>
      <c r="C627" s="24">
        <v>4483.5</v>
      </c>
      <c r="D627" s="47">
        <f t="shared" si="9"/>
        <v>4055.32575</v>
      </c>
    </row>
    <row r="628" spans="1:4">
      <c r="A628" s="122">
        <v>41467</v>
      </c>
      <c r="B628" s="24">
        <v>0.90449999999999997</v>
      </c>
      <c r="C628" s="24">
        <v>4490.7</v>
      </c>
      <c r="D628" s="47">
        <f t="shared" si="9"/>
        <v>4061.8381499999996</v>
      </c>
    </row>
    <row r="629" spans="1:4">
      <c r="A629" s="122">
        <v>41466</v>
      </c>
      <c r="B629" s="24">
        <v>0.91710000000000003</v>
      </c>
      <c r="C629" s="24">
        <v>4505.3</v>
      </c>
      <c r="D629" s="47">
        <f t="shared" si="9"/>
        <v>4131.8106299999999</v>
      </c>
    </row>
    <row r="630" spans="1:4">
      <c r="A630" s="122">
        <v>41465</v>
      </c>
      <c r="B630" s="24">
        <v>0.92789999999999995</v>
      </c>
      <c r="C630" s="24">
        <v>4481.8999999999996</v>
      </c>
      <c r="D630" s="47">
        <f t="shared" si="9"/>
        <v>4158.7550099999999</v>
      </c>
    </row>
    <row r="631" spans="1:4">
      <c r="A631" s="122">
        <v>41464</v>
      </c>
      <c r="B631" s="24">
        <v>0.91439999999999999</v>
      </c>
      <c r="C631" s="24">
        <v>4494.3999999999996</v>
      </c>
      <c r="D631" s="47">
        <f t="shared" si="9"/>
        <v>4109.6793599999992</v>
      </c>
    </row>
    <row r="632" spans="1:4">
      <c r="A632" s="122">
        <v>41463</v>
      </c>
      <c r="B632" s="24">
        <v>0.91159999999999997</v>
      </c>
      <c r="C632" s="24">
        <v>4452.3999999999996</v>
      </c>
      <c r="D632" s="47">
        <f t="shared" si="9"/>
        <v>4058.8078399999995</v>
      </c>
    </row>
    <row r="633" spans="1:4">
      <c r="A633" s="122">
        <v>41462</v>
      </c>
      <c r="B633" s="24">
        <v>0.90349999999999997</v>
      </c>
      <c r="C633" s="24">
        <v>4438.6000000000004</v>
      </c>
      <c r="D633" s="47">
        <f t="shared" si="9"/>
        <v>4010.2751000000003</v>
      </c>
    </row>
    <row r="634" spans="1:4">
      <c r="A634" s="122">
        <v>41461</v>
      </c>
      <c r="B634" s="24">
        <v>0.90669999999999995</v>
      </c>
      <c r="C634" s="24">
        <v>4433</v>
      </c>
      <c r="D634" s="47">
        <f t="shared" si="9"/>
        <v>4019.4010999999996</v>
      </c>
    </row>
    <row r="635" spans="1:4">
      <c r="A635" s="122">
        <v>41460</v>
      </c>
      <c r="B635" s="24">
        <v>0.90669999999999995</v>
      </c>
      <c r="C635" s="24">
        <v>4388.6000000000004</v>
      </c>
      <c r="D635" s="47">
        <f t="shared" si="9"/>
        <v>3979.1436200000003</v>
      </c>
    </row>
    <row r="636" spans="1:4">
      <c r="A636" s="122">
        <v>41459</v>
      </c>
      <c r="B636" s="24">
        <v>0.91410000000000002</v>
      </c>
      <c r="C636" s="24">
        <v>4387</v>
      </c>
      <c r="D636" s="47">
        <f t="shared" si="9"/>
        <v>4010.1567</v>
      </c>
    </row>
    <row r="637" spans="1:4">
      <c r="A637" s="122">
        <v>41458</v>
      </c>
      <c r="B637" s="24">
        <v>0.91180000000000005</v>
      </c>
      <c r="C637" s="24">
        <v>4384.2</v>
      </c>
      <c r="D637" s="47">
        <f t="shared" si="9"/>
        <v>3997.5135599999999</v>
      </c>
    </row>
    <row r="638" spans="1:4">
      <c r="A638" s="122">
        <v>41457</v>
      </c>
      <c r="B638" s="24">
        <v>0.91400000000000003</v>
      </c>
      <c r="C638" s="24">
        <v>4361.6000000000004</v>
      </c>
      <c r="D638" s="47">
        <f t="shared" si="9"/>
        <v>3986.5024000000003</v>
      </c>
    </row>
    <row r="639" spans="1:4">
      <c r="A639" s="122">
        <v>41456</v>
      </c>
      <c r="B639" s="24">
        <v>0.92379999999999995</v>
      </c>
      <c r="C639" s="24">
        <v>4372.8999999999996</v>
      </c>
      <c r="D639" s="47">
        <f t="shared" si="9"/>
        <v>4039.6850199999994</v>
      </c>
    </row>
    <row r="640" spans="1:4">
      <c r="A640" s="122">
        <v>41455</v>
      </c>
      <c r="B640" s="24">
        <v>0.9143</v>
      </c>
      <c r="C640" s="24">
        <v>4385.5</v>
      </c>
      <c r="D640" s="47">
        <f t="shared" si="9"/>
        <v>4009.6626500000002</v>
      </c>
    </row>
    <row r="641" spans="1:4">
      <c r="A641" s="122">
        <v>41454</v>
      </c>
      <c r="B641" s="24">
        <v>0.91400000000000003</v>
      </c>
      <c r="C641" s="24">
        <v>4408.3</v>
      </c>
      <c r="D641" s="47">
        <f t="shared" si="9"/>
        <v>4029.1862000000001</v>
      </c>
    </row>
    <row r="642" spans="1:4">
      <c r="A642" s="122">
        <v>41453</v>
      </c>
      <c r="B642" s="24">
        <v>0.91459999999999997</v>
      </c>
      <c r="C642" s="24">
        <v>4397.2</v>
      </c>
      <c r="D642" s="47">
        <f t="shared" si="9"/>
        <v>4021.6791199999998</v>
      </c>
    </row>
    <row r="643" spans="1:4">
      <c r="A643" s="122">
        <v>41452</v>
      </c>
      <c r="B643" s="24">
        <v>0.92600000000000005</v>
      </c>
      <c r="C643" s="24">
        <v>4418.3999999999996</v>
      </c>
      <c r="D643" s="47">
        <f t="shared" ref="D643:D706" si="10">C643*B643</f>
        <v>4091.4384</v>
      </c>
    </row>
    <row r="644" spans="1:4">
      <c r="A644" s="122">
        <v>41451</v>
      </c>
      <c r="B644" s="24">
        <v>0.92900000000000005</v>
      </c>
      <c r="C644" s="24">
        <v>4394.7</v>
      </c>
      <c r="D644" s="47">
        <f t="shared" si="10"/>
        <v>4082.6763000000001</v>
      </c>
    </row>
    <row r="645" spans="1:4">
      <c r="A645" s="122">
        <v>41450</v>
      </c>
      <c r="B645" s="24">
        <v>0.92420000000000002</v>
      </c>
      <c r="C645" s="24">
        <v>4402.5</v>
      </c>
      <c r="D645" s="47">
        <f t="shared" si="10"/>
        <v>4068.7905000000001</v>
      </c>
    </row>
    <row r="646" spans="1:4">
      <c r="A646" s="122">
        <v>41449</v>
      </c>
      <c r="B646" s="24">
        <v>0.92730000000000001</v>
      </c>
      <c r="C646" s="24">
        <v>4390</v>
      </c>
      <c r="D646" s="47">
        <f t="shared" si="10"/>
        <v>4070.8470000000002</v>
      </c>
    </row>
    <row r="647" spans="1:4">
      <c r="A647" s="122">
        <v>41448</v>
      </c>
      <c r="B647" s="24">
        <v>0.92510000000000003</v>
      </c>
      <c r="C647" s="24">
        <v>4339.3999999999996</v>
      </c>
      <c r="D647" s="47">
        <f t="shared" si="10"/>
        <v>4014.3789399999996</v>
      </c>
    </row>
    <row r="648" spans="1:4">
      <c r="A648" s="122">
        <v>41447</v>
      </c>
      <c r="B648" s="24">
        <v>0.92169999999999996</v>
      </c>
      <c r="C648" s="24">
        <v>4361.3</v>
      </c>
      <c r="D648" s="47">
        <f t="shared" si="10"/>
        <v>4019.8102100000001</v>
      </c>
    </row>
    <row r="649" spans="1:4">
      <c r="A649" s="122">
        <v>41446</v>
      </c>
      <c r="B649" s="24">
        <v>0.92169999999999996</v>
      </c>
      <c r="C649" s="24">
        <v>4325.8</v>
      </c>
      <c r="D649" s="47">
        <f t="shared" si="10"/>
        <v>3987.08986</v>
      </c>
    </row>
    <row r="650" spans="1:4">
      <c r="A650" s="122">
        <v>41445</v>
      </c>
      <c r="B650" s="24">
        <v>0.91920000000000002</v>
      </c>
      <c r="C650" s="24">
        <v>4333.8</v>
      </c>
      <c r="D650" s="47">
        <f t="shared" si="10"/>
        <v>3983.6289600000005</v>
      </c>
    </row>
    <row r="651" spans="1:4">
      <c r="A651" s="122">
        <v>41444</v>
      </c>
      <c r="B651" s="24">
        <v>0.92869999999999997</v>
      </c>
      <c r="C651" s="24">
        <v>4325.8</v>
      </c>
      <c r="D651" s="47">
        <f t="shared" si="10"/>
        <v>4017.3704600000001</v>
      </c>
    </row>
    <row r="652" spans="1:4">
      <c r="A652" s="122">
        <v>41443</v>
      </c>
      <c r="B652" s="24">
        <v>0.94650000000000001</v>
      </c>
      <c r="C652" s="24">
        <v>4312.8999999999996</v>
      </c>
      <c r="D652" s="47">
        <f t="shared" si="10"/>
        <v>4082.1598499999996</v>
      </c>
    </row>
    <row r="653" spans="1:4">
      <c r="A653" s="122">
        <v>41442</v>
      </c>
      <c r="B653" s="24">
        <v>0.95540000000000003</v>
      </c>
      <c r="C653" s="24">
        <v>4278.8</v>
      </c>
      <c r="D653" s="47">
        <f t="shared" si="10"/>
        <v>4087.9655200000002</v>
      </c>
    </row>
    <row r="654" spans="1:4">
      <c r="A654" s="122">
        <v>41441</v>
      </c>
      <c r="B654" s="24">
        <v>0.95709999999999995</v>
      </c>
      <c r="C654" s="24">
        <v>4303.5</v>
      </c>
      <c r="D654" s="47">
        <f t="shared" si="10"/>
        <v>4118.8798499999994</v>
      </c>
    </row>
    <row r="655" spans="1:4">
      <c r="A655" s="122">
        <v>41440</v>
      </c>
      <c r="B655" s="24">
        <v>0.95669999999999999</v>
      </c>
      <c r="C655" s="24">
        <v>4329.7</v>
      </c>
      <c r="D655" s="47">
        <f t="shared" si="10"/>
        <v>4142.2239899999995</v>
      </c>
    </row>
    <row r="656" spans="1:4">
      <c r="A656" s="122">
        <v>41439</v>
      </c>
      <c r="B656" s="24">
        <v>0.95669999999999999</v>
      </c>
      <c r="C656" s="24">
        <v>4316.1000000000004</v>
      </c>
      <c r="D656" s="47">
        <f t="shared" si="10"/>
        <v>4129.2128700000003</v>
      </c>
    </row>
    <row r="657" spans="1:4">
      <c r="A657" s="122">
        <v>41438</v>
      </c>
      <c r="B657" s="24">
        <v>0.96079999999999999</v>
      </c>
      <c r="C657" s="24">
        <v>4315.7</v>
      </c>
      <c r="D657" s="47">
        <f t="shared" si="10"/>
        <v>4146.5245599999998</v>
      </c>
    </row>
    <row r="658" spans="1:4">
      <c r="A658" s="122">
        <v>41437</v>
      </c>
      <c r="B658" s="24">
        <v>0.94720000000000004</v>
      </c>
      <c r="C658" s="24">
        <v>4356.3999999999996</v>
      </c>
      <c r="D658" s="47">
        <f t="shared" si="10"/>
        <v>4126.3820799999994</v>
      </c>
    </row>
    <row r="659" spans="1:4">
      <c r="A659" s="122">
        <v>41436</v>
      </c>
      <c r="B659" s="24">
        <v>0.94510000000000005</v>
      </c>
      <c r="C659" s="24">
        <v>4359.3999999999996</v>
      </c>
      <c r="D659" s="47">
        <f t="shared" si="10"/>
        <v>4120.0689400000001</v>
      </c>
    </row>
    <row r="660" spans="1:4">
      <c r="A660" s="122">
        <v>41435</v>
      </c>
      <c r="B660" s="24">
        <v>0.94599999999999995</v>
      </c>
      <c r="C660" s="24">
        <v>4343.7</v>
      </c>
      <c r="D660" s="47">
        <f t="shared" si="10"/>
        <v>4109.1401999999998</v>
      </c>
    </row>
    <row r="661" spans="1:4">
      <c r="A661" s="122">
        <v>41434</v>
      </c>
      <c r="B661" s="24">
        <v>0.94259999999999999</v>
      </c>
      <c r="C661" s="24">
        <v>4349</v>
      </c>
      <c r="D661" s="47">
        <f t="shared" si="10"/>
        <v>4099.3674000000001</v>
      </c>
    </row>
    <row r="662" spans="1:4">
      <c r="A662" s="122">
        <v>41433</v>
      </c>
      <c r="B662" s="24">
        <v>0.94940000000000002</v>
      </c>
      <c r="C662" s="24">
        <v>4383.7</v>
      </c>
      <c r="D662" s="47">
        <f t="shared" si="10"/>
        <v>4161.8847800000003</v>
      </c>
    </row>
    <row r="663" spans="1:4">
      <c r="A663" s="122">
        <v>41432</v>
      </c>
      <c r="B663" s="24">
        <v>0.94940000000000002</v>
      </c>
      <c r="C663" s="24">
        <v>4376</v>
      </c>
      <c r="D663" s="47">
        <f t="shared" si="10"/>
        <v>4154.5744000000004</v>
      </c>
    </row>
    <row r="664" spans="1:4">
      <c r="A664" s="122">
        <v>41431</v>
      </c>
      <c r="B664" s="24">
        <v>0.95630000000000004</v>
      </c>
      <c r="C664" s="24">
        <v>4383.3999999999996</v>
      </c>
      <c r="D664" s="47">
        <f t="shared" si="10"/>
        <v>4191.8454199999996</v>
      </c>
    </row>
    <row r="665" spans="1:4">
      <c r="A665" s="122">
        <v>41430</v>
      </c>
      <c r="B665" s="24">
        <v>0.95209999999999995</v>
      </c>
      <c r="C665" s="24">
        <v>4364.3</v>
      </c>
      <c r="D665" s="47">
        <f t="shared" si="10"/>
        <v>4155.2500300000002</v>
      </c>
    </row>
    <row r="666" spans="1:4">
      <c r="A666" s="122">
        <v>41429</v>
      </c>
      <c r="B666" s="24">
        <v>0.96499999999999997</v>
      </c>
      <c r="C666" s="24">
        <v>4370.1000000000004</v>
      </c>
      <c r="D666" s="47">
        <f t="shared" si="10"/>
        <v>4217.1464999999998</v>
      </c>
    </row>
    <row r="667" spans="1:4">
      <c r="A667" s="122">
        <v>41428</v>
      </c>
      <c r="B667" s="24">
        <v>0.97509999999999997</v>
      </c>
      <c r="C667" s="24">
        <v>4330.2</v>
      </c>
      <c r="D667" s="47">
        <f t="shared" si="10"/>
        <v>4222.3780200000001</v>
      </c>
    </row>
    <row r="668" spans="1:4">
      <c r="A668" s="122">
        <v>41427</v>
      </c>
      <c r="B668" s="24">
        <v>0.9627</v>
      </c>
      <c r="C668" s="24">
        <v>4281.2</v>
      </c>
      <c r="D668" s="47">
        <f t="shared" si="10"/>
        <v>4121.5112399999998</v>
      </c>
    </row>
    <row r="669" spans="1:4">
      <c r="A669" s="122">
        <v>41426</v>
      </c>
      <c r="B669" s="24">
        <v>0.95689999999999997</v>
      </c>
      <c r="C669" s="24">
        <v>4292.2</v>
      </c>
      <c r="D669" s="47">
        <f t="shared" si="10"/>
        <v>4107.2061800000001</v>
      </c>
    </row>
    <row r="670" spans="1:4">
      <c r="A670" s="122">
        <v>41425</v>
      </c>
      <c r="B670" s="24">
        <v>0.95689999999999997</v>
      </c>
      <c r="C670" s="24">
        <v>4283.3</v>
      </c>
      <c r="D670" s="47">
        <f t="shared" si="10"/>
        <v>4098.68977</v>
      </c>
    </row>
    <row r="671" spans="1:4">
      <c r="A671" s="122">
        <v>41424</v>
      </c>
      <c r="B671" s="24">
        <v>0.96660000000000001</v>
      </c>
      <c r="C671" s="24">
        <v>4277.3</v>
      </c>
      <c r="D671" s="47">
        <f t="shared" si="10"/>
        <v>4134.4381800000001</v>
      </c>
    </row>
    <row r="672" spans="1:4">
      <c r="A672" s="122">
        <v>41423</v>
      </c>
      <c r="B672" s="24">
        <v>0.96340000000000003</v>
      </c>
      <c r="C672" s="24">
        <v>4308.3</v>
      </c>
      <c r="D672" s="47">
        <f t="shared" si="10"/>
        <v>4150.6162199999999</v>
      </c>
    </row>
    <row r="673" spans="1:4">
      <c r="A673" s="122">
        <v>41422</v>
      </c>
      <c r="B673" s="24">
        <v>0.95660000000000001</v>
      </c>
      <c r="C673" s="24">
        <v>4312.6000000000004</v>
      </c>
      <c r="D673" s="47">
        <f t="shared" si="10"/>
        <v>4125.4331600000005</v>
      </c>
    </row>
    <row r="674" spans="1:4">
      <c r="A674" s="122">
        <v>41421</v>
      </c>
      <c r="B674" s="24">
        <v>0.96299999999999997</v>
      </c>
      <c r="C674" s="24">
        <v>4291.6000000000004</v>
      </c>
      <c r="D674" s="47">
        <f t="shared" si="10"/>
        <v>4132.8108000000002</v>
      </c>
    </row>
    <row r="675" spans="1:4">
      <c r="A675" s="122">
        <v>41420</v>
      </c>
      <c r="B675" s="24">
        <v>0.96350000000000002</v>
      </c>
      <c r="C675" s="24">
        <v>4272.6000000000004</v>
      </c>
      <c r="D675" s="47">
        <f t="shared" si="10"/>
        <v>4116.6501000000007</v>
      </c>
    </row>
    <row r="676" spans="1:4">
      <c r="A676" s="122">
        <v>41419</v>
      </c>
      <c r="B676" s="24">
        <v>0.9647</v>
      </c>
      <c r="C676" s="24">
        <v>4221.5</v>
      </c>
      <c r="D676" s="47">
        <f t="shared" si="10"/>
        <v>4072.4810499999999</v>
      </c>
    </row>
    <row r="677" spans="1:4">
      <c r="A677" s="122">
        <v>41418</v>
      </c>
      <c r="B677" s="24">
        <v>0.9647</v>
      </c>
      <c r="C677" s="24">
        <v>4269.5</v>
      </c>
      <c r="D677" s="47">
        <f t="shared" si="10"/>
        <v>4118.78665</v>
      </c>
    </row>
    <row r="678" spans="1:4">
      <c r="A678" s="122">
        <v>41417</v>
      </c>
      <c r="B678" s="24">
        <v>0.97440000000000004</v>
      </c>
      <c r="C678" s="24">
        <v>4262.8</v>
      </c>
      <c r="D678" s="47">
        <f t="shared" si="10"/>
        <v>4153.6723200000006</v>
      </c>
    </row>
    <row r="679" spans="1:4">
      <c r="A679" s="122">
        <v>41416</v>
      </c>
      <c r="B679" s="24">
        <v>0.96699999999999997</v>
      </c>
      <c r="C679" s="24">
        <v>4269.2</v>
      </c>
      <c r="D679" s="47">
        <f t="shared" si="10"/>
        <v>4128.3163999999997</v>
      </c>
    </row>
    <row r="680" spans="1:4">
      <c r="A680" s="122">
        <v>41415</v>
      </c>
      <c r="B680" s="24">
        <v>0.9819</v>
      </c>
      <c r="C680" s="24">
        <v>4245.7</v>
      </c>
      <c r="D680" s="47">
        <f t="shared" si="10"/>
        <v>4168.8528299999998</v>
      </c>
    </row>
    <row r="681" spans="1:4">
      <c r="A681" s="122">
        <v>41414</v>
      </c>
      <c r="B681" s="24">
        <v>0.98129999999999995</v>
      </c>
      <c r="C681" s="24">
        <v>4209.8</v>
      </c>
      <c r="D681" s="47">
        <f t="shared" si="10"/>
        <v>4131.0767399999995</v>
      </c>
    </row>
    <row r="682" spans="1:4">
      <c r="A682" s="122">
        <v>41413</v>
      </c>
      <c r="B682" s="24">
        <v>0.97650000000000003</v>
      </c>
      <c r="C682" s="24">
        <v>4147.7</v>
      </c>
      <c r="D682" s="47">
        <f t="shared" si="10"/>
        <v>4050.2290499999999</v>
      </c>
    </row>
    <row r="683" spans="1:4">
      <c r="A683" s="122">
        <v>41412</v>
      </c>
      <c r="B683" s="24">
        <v>0.97289999999999999</v>
      </c>
      <c r="C683" s="24">
        <v>4123.8999999999996</v>
      </c>
      <c r="D683" s="47">
        <f t="shared" si="10"/>
        <v>4012.1423099999997</v>
      </c>
    </row>
    <row r="684" spans="1:4">
      <c r="A684" s="122">
        <v>41411</v>
      </c>
      <c r="B684" s="24">
        <v>0.97289999999999999</v>
      </c>
      <c r="C684" s="24">
        <v>4133.2</v>
      </c>
      <c r="D684" s="47">
        <f t="shared" si="10"/>
        <v>4021.1902799999998</v>
      </c>
    </row>
    <row r="685" spans="1:4">
      <c r="A685" s="122">
        <v>41410</v>
      </c>
      <c r="B685" s="24">
        <v>0.98240000000000005</v>
      </c>
      <c r="C685" s="24">
        <v>4128.8999999999996</v>
      </c>
      <c r="D685" s="47">
        <f t="shared" si="10"/>
        <v>4056.2313599999998</v>
      </c>
    </row>
    <row r="686" spans="1:4">
      <c r="A686" s="122">
        <v>41409</v>
      </c>
      <c r="B686" s="24">
        <v>0.98980000000000001</v>
      </c>
      <c r="C686" s="24">
        <v>4199.1000000000004</v>
      </c>
      <c r="D686" s="47">
        <f t="shared" si="10"/>
        <v>4156.2691800000002</v>
      </c>
    </row>
    <row r="687" spans="1:4">
      <c r="A687" s="122">
        <v>41408</v>
      </c>
      <c r="B687" s="24">
        <v>0.99129999999999996</v>
      </c>
      <c r="C687" s="24">
        <v>4206.7</v>
      </c>
      <c r="D687" s="47">
        <f t="shared" si="10"/>
        <v>4170.1017099999999</v>
      </c>
    </row>
    <row r="688" spans="1:4">
      <c r="A688" s="122">
        <v>41407</v>
      </c>
      <c r="B688" s="24">
        <v>0.997</v>
      </c>
      <c r="C688" s="24">
        <v>4123.6000000000004</v>
      </c>
      <c r="D688" s="47">
        <f t="shared" si="10"/>
        <v>4111.2292000000007</v>
      </c>
    </row>
    <row r="689" spans="1:4">
      <c r="A689" s="122">
        <v>41406</v>
      </c>
      <c r="B689" s="24">
        <v>0.99819999999999998</v>
      </c>
      <c r="C689" s="24">
        <v>4140.8</v>
      </c>
      <c r="D689" s="47">
        <f t="shared" si="10"/>
        <v>4133.34656</v>
      </c>
    </row>
    <row r="690" spans="1:4">
      <c r="A690" s="122">
        <v>41405</v>
      </c>
      <c r="B690" s="24">
        <v>1.002</v>
      </c>
      <c r="C690" s="24">
        <v>4105.1000000000004</v>
      </c>
      <c r="D690" s="47">
        <f t="shared" si="10"/>
        <v>4113.3102000000008</v>
      </c>
    </row>
    <row r="691" spans="1:4">
      <c r="A691" s="122">
        <v>41404</v>
      </c>
      <c r="B691" s="24">
        <v>1.002</v>
      </c>
      <c r="C691" s="24">
        <v>4082.2</v>
      </c>
      <c r="D691" s="47">
        <f t="shared" si="10"/>
        <v>4090.3643999999999</v>
      </c>
    </row>
    <row r="692" spans="1:4">
      <c r="A692" s="122">
        <v>41403</v>
      </c>
      <c r="B692" s="24">
        <v>1.0075000000000001</v>
      </c>
      <c r="C692" s="24">
        <v>4068</v>
      </c>
      <c r="D692" s="47">
        <f t="shared" si="10"/>
        <v>4098.51</v>
      </c>
    </row>
    <row r="693" spans="1:4">
      <c r="A693" s="122">
        <v>41402</v>
      </c>
      <c r="B693" s="24">
        <v>1.0187999999999999</v>
      </c>
      <c r="C693" s="24">
        <v>4096.5</v>
      </c>
      <c r="D693" s="47">
        <f t="shared" si="10"/>
        <v>4173.5141999999996</v>
      </c>
    </row>
    <row r="694" spans="1:4">
      <c r="A694" s="122">
        <v>41401</v>
      </c>
      <c r="B694" s="24">
        <v>1.0173000000000001</v>
      </c>
      <c r="C694" s="24">
        <v>4098</v>
      </c>
      <c r="D694" s="47">
        <f t="shared" si="10"/>
        <v>4168.8954000000003</v>
      </c>
    </row>
    <row r="695" spans="1:4">
      <c r="A695" s="122">
        <v>41400</v>
      </c>
      <c r="B695" s="24">
        <v>1.024</v>
      </c>
      <c r="C695" s="24">
        <v>4118.3</v>
      </c>
      <c r="D695" s="47">
        <f t="shared" si="10"/>
        <v>4217.1392000000005</v>
      </c>
    </row>
    <row r="696" spans="1:4">
      <c r="A696" s="122">
        <v>41399</v>
      </c>
      <c r="B696" s="24">
        <v>1.0298</v>
      </c>
      <c r="C696" s="24">
        <v>4157.8</v>
      </c>
      <c r="D696" s="47">
        <f t="shared" si="10"/>
        <v>4281.70244</v>
      </c>
    </row>
    <row r="697" spans="1:4">
      <c r="A697" s="122">
        <v>41398</v>
      </c>
      <c r="B697" s="24">
        <v>1.0316000000000001</v>
      </c>
      <c r="C697" s="24">
        <v>4169.2</v>
      </c>
      <c r="D697" s="47">
        <f t="shared" si="10"/>
        <v>4300.9467199999999</v>
      </c>
    </row>
    <row r="698" spans="1:4">
      <c r="A698" s="122">
        <v>41397</v>
      </c>
      <c r="B698" s="24">
        <v>1.0316000000000001</v>
      </c>
      <c r="C698" s="24">
        <v>4172.2</v>
      </c>
      <c r="D698" s="47">
        <f t="shared" si="10"/>
        <v>4304.0415199999998</v>
      </c>
    </row>
    <row r="699" spans="1:4">
      <c r="A699" s="122">
        <v>41396</v>
      </c>
      <c r="B699" s="24">
        <v>1.0256000000000001</v>
      </c>
      <c r="C699" s="24">
        <v>4127.2</v>
      </c>
      <c r="D699" s="47">
        <f t="shared" si="10"/>
        <v>4232.8563199999999</v>
      </c>
    </row>
    <row r="700" spans="1:4">
      <c r="A700" s="122">
        <v>41395</v>
      </c>
      <c r="B700" s="24">
        <v>1.0277000000000001</v>
      </c>
      <c r="C700" s="24">
        <v>4133</v>
      </c>
      <c r="D700" s="47">
        <f t="shared" si="10"/>
        <v>4247.4841000000006</v>
      </c>
    </row>
    <row r="701" spans="1:4">
      <c r="A701" s="122">
        <v>41394</v>
      </c>
      <c r="B701" s="24">
        <v>1.0367999999999999</v>
      </c>
      <c r="C701" s="24">
        <v>4094.6</v>
      </c>
      <c r="D701" s="47">
        <f t="shared" si="10"/>
        <v>4245.2812799999992</v>
      </c>
    </row>
    <row r="702" spans="1:4">
      <c r="A702" s="122">
        <v>41393</v>
      </c>
      <c r="B702" s="24">
        <v>1.034</v>
      </c>
      <c r="C702" s="24">
        <v>4044.8</v>
      </c>
      <c r="D702" s="47">
        <f t="shared" si="10"/>
        <v>4182.3232000000007</v>
      </c>
    </row>
    <row r="703" spans="1:4">
      <c r="A703" s="122">
        <v>41392</v>
      </c>
      <c r="B703" s="24">
        <v>1.0285</v>
      </c>
      <c r="C703" s="24">
        <v>4043.2</v>
      </c>
      <c r="D703" s="47">
        <f t="shared" si="10"/>
        <v>4158.4312</v>
      </c>
    </row>
    <row r="704" spans="1:4">
      <c r="A704" s="122">
        <v>41391</v>
      </c>
      <c r="B704" s="24">
        <v>1.0278</v>
      </c>
      <c r="C704" s="24">
        <v>4013.3</v>
      </c>
      <c r="D704" s="47">
        <f t="shared" si="10"/>
        <v>4124.8697400000001</v>
      </c>
    </row>
    <row r="705" spans="1:4">
      <c r="A705" s="122">
        <v>41390</v>
      </c>
      <c r="B705" s="24">
        <v>1.0278</v>
      </c>
      <c r="C705" s="24">
        <v>4027.8</v>
      </c>
      <c r="D705" s="47">
        <f t="shared" si="10"/>
        <v>4139.7728400000005</v>
      </c>
    </row>
    <row r="706" spans="1:4">
      <c r="A706" s="122">
        <v>41389</v>
      </c>
      <c r="B706" s="24">
        <v>1.0290999999999999</v>
      </c>
      <c r="C706" s="24">
        <v>4048.2</v>
      </c>
      <c r="D706" s="47">
        <f t="shared" si="10"/>
        <v>4166.0026199999993</v>
      </c>
    </row>
    <row r="707" spans="1:4">
      <c r="A707" s="122">
        <v>41388</v>
      </c>
      <c r="B707" s="24">
        <v>1.0275000000000001</v>
      </c>
      <c r="C707" s="24">
        <v>4087.6</v>
      </c>
      <c r="D707" s="47">
        <f t="shared" ref="D707:D770" si="11">C707*B707</f>
        <v>4200.009</v>
      </c>
    </row>
    <row r="708" spans="1:4">
      <c r="A708" s="122">
        <v>41387</v>
      </c>
      <c r="B708" s="24">
        <v>1.0268999999999999</v>
      </c>
      <c r="C708" s="24">
        <v>4132.3999999999996</v>
      </c>
      <c r="D708" s="47">
        <f t="shared" si="11"/>
        <v>4243.5615599999992</v>
      </c>
    </row>
    <row r="709" spans="1:4">
      <c r="A709" s="122">
        <v>41386</v>
      </c>
      <c r="B709" s="24">
        <v>1.0259</v>
      </c>
      <c r="C709" s="24">
        <v>4123.3</v>
      </c>
      <c r="D709" s="47">
        <f t="shared" si="11"/>
        <v>4230.0934700000007</v>
      </c>
    </row>
    <row r="710" spans="1:4">
      <c r="A710" s="122">
        <v>41385</v>
      </c>
      <c r="B710" s="24">
        <v>1.0268999999999999</v>
      </c>
      <c r="C710" s="24">
        <v>4136.8999999999996</v>
      </c>
      <c r="D710" s="47">
        <f t="shared" si="11"/>
        <v>4248.1826099999989</v>
      </c>
    </row>
    <row r="711" spans="1:4">
      <c r="A711" s="122">
        <v>41384</v>
      </c>
      <c r="B711" s="24">
        <v>1.0275000000000001</v>
      </c>
      <c r="C711" s="24">
        <v>4057.3</v>
      </c>
      <c r="D711" s="47">
        <f t="shared" si="11"/>
        <v>4168.8757500000002</v>
      </c>
    </row>
    <row r="712" spans="1:4">
      <c r="A712" s="122">
        <v>41383</v>
      </c>
      <c r="B712" s="24">
        <v>1.0275000000000001</v>
      </c>
      <c r="C712" s="24">
        <v>4042.2</v>
      </c>
      <c r="D712" s="47">
        <f t="shared" si="11"/>
        <v>4153.3604999999998</v>
      </c>
    </row>
    <row r="713" spans="1:4">
      <c r="A713" s="122">
        <v>41382</v>
      </c>
      <c r="B713" s="24">
        <v>1.0293000000000001</v>
      </c>
      <c r="C713" s="24">
        <v>4063.8</v>
      </c>
      <c r="D713" s="47">
        <f t="shared" si="11"/>
        <v>4182.8693400000002</v>
      </c>
    </row>
    <row r="714" spans="1:4">
      <c r="A714" s="122">
        <v>41381</v>
      </c>
      <c r="B714" s="24">
        <v>1.0301</v>
      </c>
      <c r="C714" s="24">
        <v>4072.9</v>
      </c>
      <c r="D714" s="47">
        <f t="shared" si="11"/>
        <v>4195.4942900000005</v>
      </c>
    </row>
    <row r="715" spans="1:4">
      <c r="A715" s="122">
        <v>41380</v>
      </c>
      <c r="B715" s="24">
        <v>1.0381</v>
      </c>
      <c r="C715" s="24">
        <v>4063.7</v>
      </c>
      <c r="D715" s="47">
        <f t="shared" si="11"/>
        <v>4218.5269699999999</v>
      </c>
    </row>
    <row r="716" spans="1:4">
      <c r="A716" s="122">
        <v>41379</v>
      </c>
      <c r="B716" s="24">
        <v>1.0336000000000001</v>
      </c>
      <c r="C716" s="24">
        <v>4108.6000000000004</v>
      </c>
      <c r="D716" s="47">
        <f t="shared" si="11"/>
        <v>4246.6489600000004</v>
      </c>
    </row>
    <row r="717" spans="1:4">
      <c r="A717" s="122">
        <v>41378</v>
      </c>
      <c r="B717" s="24">
        <v>1.0510999999999999</v>
      </c>
      <c r="C717" s="24">
        <v>4055.3</v>
      </c>
      <c r="D717" s="47">
        <f t="shared" si="11"/>
        <v>4262.5258299999996</v>
      </c>
    </row>
    <row r="718" spans="1:4">
      <c r="A718" s="122">
        <v>41377</v>
      </c>
      <c r="B718" s="24">
        <v>1.0502</v>
      </c>
      <c r="C718" s="24">
        <v>4043.7</v>
      </c>
      <c r="D718" s="47">
        <f t="shared" si="11"/>
        <v>4246.6937399999997</v>
      </c>
    </row>
    <row r="719" spans="1:4">
      <c r="A719" s="122">
        <v>41376</v>
      </c>
      <c r="B719" s="24">
        <v>1.0502</v>
      </c>
      <c r="C719" s="24">
        <v>3985</v>
      </c>
      <c r="D719" s="47">
        <f t="shared" si="11"/>
        <v>4185.0470000000005</v>
      </c>
    </row>
    <row r="720" spans="1:4">
      <c r="A720" s="122">
        <v>41375</v>
      </c>
      <c r="B720" s="24">
        <v>1.0543</v>
      </c>
      <c r="C720" s="24">
        <v>4063.9</v>
      </c>
      <c r="D720" s="47">
        <f t="shared" si="11"/>
        <v>4284.5697700000001</v>
      </c>
    </row>
    <row r="721" spans="1:4">
      <c r="A721" s="122">
        <v>41374</v>
      </c>
      <c r="B721" s="24">
        <v>1.054</v>
      </c>
      <c r="C721" s="24">
        <v>4076.3</v>
      </c>
      <c r="D721" s="47">
        <f t="shared" si="11"/>
        <v>4296.4202000000005</v>
      </c>
    </row>
    <row r="722" spans="1:4">
      <c r="A722" s="122">
        <v>41373</v>
      </c>
      <c r="B722" s="24">
        <v>1.0488999999999999</v>
      </c>
      <c r="C722" s="24">
        <v>4094.2</v>
      </c>
      <c r="D722" s="47">
        <f t="shared" si="11"/>
        <v>4294.4063799999994</v>
      </c>
    </row>
    <row r="723" spans="1:4">
      <c r="A723" s="122">
        <v>41372</v>
      </c>
      <c r="B723" s="24">
        <v>1.0419</v>
      </c>
      <c r="C723" s="24">
        <v>4114.3999999999996</v>
      </c>
      <c r="D723" s="47">
        <f t="shared" si="11"/>
        <v>4286.7933599999997</v>
      </c>
    </row>
    <row r="724" spans="1:4">
      <c r="A724" s="122">
        <v>41371</v>
      </c>
      <c r="B724" s="24">
        <v>1.0347999999999999</v>
      </c>
      <c r="C724" s="24">
        <v>4068</v>
      </c>
      <c r="D724" s="47">
        <f t="shared" si="11"/>
        <v>4209.5663999999997</v>
      </c>
    </row>
    <row r="725" spans="1:4">
      <c r="A725" s="122">
        <v>41370</v>
      </c>
      <c r="B725" s="24">
        <v>1.0418000000000001</v>
      </c>
      <c r="C725" s="24">
        <v>4029.2</v>
      </c>
      <c r="D725" s="47">
        <f t="shared" si="11"/>
        <v>4197.6205600000003</v>
      </c>
    </row>
    <row r="726" spans="1:4">
      <c r="A726" s="122">
        <v>41369</v>
      </c>
      <c r="B726" s="24">
        <v>1.038</v>
      </c>
      <c r="C726" s="24">
        <v>4055.8</v>
      </c>
      <c r="D726" s="47">
        <f t="shared" si="11"/>
        <v>4209.9204</v>
      </c>
    </row>
    <row r="727" spans="1:4">
      <c r="A727" s="122">
        <v>41368</v>
      </c>
      <c r="B727" s="24">
        <v>1.0425</v>
      </c>
      <c r="C727" s="24">
        <v>4067</v>
      </c>
      <c r="D727" s="47">
        <f t="shared" si="11"/>
        <v>4239.8474999999999</v>
      </c>
    </row>
    <row r="728" spans="1:4">
      <c r="A728" s="122">
        <v>41367</v>
      </c>
      <c r="B728" s="24">
        <v>1.0451999999999999</v>
      </c>
      <c r="C728" s="24">
        <v>4121</v>
      </c>
      <c r="D728" s="47">
        <f t="shared" si="11"/>
        <v>4307.2691999999997</v>
      </c>
    </row>
    <row r="729" spans="1:4">
      <c r="A729" s="122">
        <v>41366</v>
      </c>
      <c r="B729" s="24">
        <v>1.0456000000000001</v>
      </c>
      <c r="C729" s="24">
        <v>4073.6</v>
      </c>
      <c r="D729" s="47">
        <f t="shared" si="11"/>
        <v>4259.3561600000003</v>
      </c>
    </row>
    <row r="730" spans="1:4">
      <c r="A730" s="122">
        <v>41365</v>
      </c>
      <c r="B730" s="24">
        <v>1.0436000000000001</v>
      </c>
      <c r="C730" s="24">
        <v>4046.5</v>
      </c>
      <c r="D730" s="47">
        <f t="shared" si="11"/>
        <v>4222.9274000000005</v>
      </c>
    </row>
    <row r="731" spans="1:4">
      <c r="A731" s="122">
        <v>41364</v>
      </c>
      <c r="B731" s="24">
        <v>1.0408999999999999</v>
      </c>
      <c r="C731" s="24">
        <v>4157.3999999999996</v>
      </c>
      <c r="D731" s="47">
        <f t="shared" si="11"/>
        <v>4327.4376599999996</v>
      </c>
    </row>
    <row r="732" spans="1:4">
      <c r="A732" s="122">
        <v>41363</v>
      </c>
      <c r="B732" s="24">
        <v>1.0409999999999999</v>
      </c>
      <c r="C732" s="24">
        <v>4165.5</v>
      </c>
      <c r="D732" s="47">
        <f t="shared" si="11"/>
        <v>4336.2855</v>
      </c>
    </row>
    <row r="733" spans="1:4">
      <c r="A733" s="122">
        <v>41362</v>
      </c>
      <c r="B733" s="24">
        <v>1.0409999999999999</v>
      </c>
      <c r="C733" s="24">
        <v>4266.3</v>
      </c>
      <c r="D733" s="47">
        <f t="shared" si="11"/>
        <v>4441.2182999999995</v>
      </c>
    </row>
    <row r="734" spans="1:4">
      <c r="A734" s="122">
        <v>41361</v>
      </c>
      <c r="B734" s="24">
        <v>1.0418000000000001</v>
      </c>
      <c r="C734" s="24">
        <v>4297</v>
      </c>
      <c r="D734" s="47">
        <f t="shared" si="11"/>
        <v>4476.6145999999999</v>
      </c>
    </row>
    <row r="735" spans="1:4">
      <c r="A735" s="122">
        <v>41360</v>
      </c>
      <c r="B735" s="24">
        <v>1.0448</v>
      </c>
      <c r="C735" s="24">
        <v>4285.1000000000004</v>
      </c>
      <c r="D735" s="47">
        <f t="shared" si="11"/>
        <v>4477.0724799999998</v>
      </c>
    </row>
    <row r="736" spans="1:4">
      <c r="A736" s="122">
        <v>41359</v>
      </c>
      <c r="B736" s="24">
        <v>1.0471999999999999</v>
      </c>
      <c r="C736" s="24">
        <v>4295.6000000000004</v>
      </c>
      <c r="D736" s="47">
        <f t="shared" si="11"/>
        <v>4498.35232</v>
      </c>
    </row>
    <row r="737" spans="1:4">
      <c r="A737" s="122">
        <v>41358</v>
      </c>
      <c r="B737" s="24">
        <v>1.0461</v>
      </c>
      <c r="C737" s="24">
        <v>4275.1000000000004</v>
      </c>
      <c r="D737" s="47">
        <f t="shared" si="11"/>
        <v>4472.1821100000006</v>
      </c>
    </row>
    <row r="738" spans="1:4">
      <c r="A738" s="122">
        <v>41357</v>
      </c>
      <c r="B738" s="24">
        <v>1.046</v>
      </c>
      <c r="C738" s="24">
        <v>4314.3999999999996</v>
      </c>
      <c r="D738" s="47">
        <f t="shared" si="11"/>
        <v>4512.8624</v>
      </c>
    </row>
    <row r="739" spans="1:4">
      <c r="A739" s="122">
        <v>41356</v>
      </c>
      <c r="B739" s="24">
        <v>1.0442</v>
      </c>
      <c r="C739" s="24">
        <v>4301.3</v>
      </c>
      <c r="D739" s="47">
        <f t="shared" si="11"/>
        <v>4491.4174600000006</v>
      </c>
    </row>
    <row r="740" spans="1:4">
      <c r="A740" s="122">
        <v>41355</v>
      </c>
      <c r="B740" s="24">
        <v>1.0442</v>
      </c>
      <c r="C740" s="24">
        <v>4396</v>
      </c>
      <c r="D740" s="47">
        <f t="shared" si="11"/>
        <v>4590.3032000000003</v>
      </c>
    </row>
    <row r="741" spans="1:4">
      <c r="A741" s="122">
        <v>41354</v>
      </c>
      <c r="B741" s="24">
        <v>1.0438000000000001</v>
      </c>
      <c r="C741" s="24">
        <v>4429</v>
      </c>
      <c r="D741" s="47">
        <f t="shared" si="11"/>
        <v>4622.9902000000002</v>
      </c>
    </row>
    <row r="742" spans="1:4">
      <c r="A742" s="122">
        <v>41353</v>
      </c>
      <c r="B742" s="24">
        <v>1.0375000000000001</v>
      </c>
      <c r="C742" s="24">
        <v>4435.8999999999996</v>
      </c>
      <c r="D742" s="47">
        <f t="shared" si="11"/>
        <v>4602.2462500000001</v>
      </c>
    </row>
    <row r="743" spans="1:4">
      <c r="A743" s="122">
        <v>41352</v>
      </c>
      <c r="B743" s="24">
        <v>1.0358000000000001</v>
      </c>
      <c r="C743" s="24">
        <v>4429.5</v>
      </c>
      <c r="D743" s="47">
        <f t="shared" si="11"/>
        <v>4588.0761000000002</v>
      </c>
    </row>
    <row r="744" spans="1:4">
      <c r="A744" s="122">
        <v>41351</v>
      </c>
      <c r="B744" s="24">
        <v>1.0394000000000001</v>
      </c>
      <c r="C744" s="24">
        <v>4396.6000000000004</v>
      </c>
      <c r="D744" s="47">
        <f t="shared" si="11"/>
        <v>4569.8260400000008</v>
      </c>
    </row>
    <row r="745" spans="1:4">
      <c r="A745" s="122">
        <v>41350</v>
      </c>
      <c r="B745" s="24">
        <v>1.0355000000000001</v>
      </c>
      <c r="C745" s="24">
        <v>4362.1000000000004</v>
      </c>
      <c r="D745" s="47">
        <f t="shared" si="11"/>
        <v>4516.9545500000004</v>
      </c>
    </row>
    <row r="746" spans="1:4">
      <c r="A746" s="122">
        <v>41349</v>
      </c>
      <c r="B746" s="24">
        <v>1.0406</v>
      </c>
      <c r="C746" s="24">
        <v>4375.2</v>
      </c>
      <c r="D746" s="47">
        <f t="shared" si="11"/>
        <v>4552.8331199999993</v>
      </c>
    </row>
    <row r="747" spans="1:4">
      <c r="A747" s="122">
        <v>41348</v>
      </c>
      <c r="B747" s="24">
        <v>1.0406</v>
      </c>
      <c r="C747" s="24">
        <v>4360.3999999999996</v>
      </c>
      <c r="D747" s="47">
        <f t="shared" si="11"/>
        <v>4537.4322399999992</v>
      </c>
    </row>
    <row r="748" spans="1:4">
      <c r="A748" s="122">
        <v>41347</v>
      </c>
      <c r="B748" s="24">
        <v>1.0382</v>
      </c>
      <c r="C748" s="24">
        <v>4352.3999999999996</v>
      </c>
      <c r="D748" s="47">
        <f t="shared" si="11"/>
        <v>4518.6616799999993</v>
      </c>
    </row>
    <row r="749" spans="1:4">
      <c r="A749" s="122">
        <v>41346</v>
      </c>
      <c r="B749" s="24">
        <v>1.0293000000000001</v>
      </c>
      <c r="C749" s="24">
        <v>4366.5</v>
      </c>
      <c r="D749" s="47">
        <f t="shared" si="11"/>
        <v>4494.4384500000006</v>
      </c>
    </row>
    <row r="750" spans="1:4">
      <c r="A750" s="122">
        <v>41345</v>
      </c>
      <c r="B750" s="24">
        <v>1.0327</v>
      </c>
      <c r="C750" s="24">
        <v>4362.7</v>
      </c>
      <c r="D750" s="47">
        <f t="shared" si="11"/>
        <v>4505.3602899999996</v>
      </c>
    </row>
    <row r="751" spans="1:4">
      <c r="A751" s="122">
        <v>41344</v>
      </c>
      <c r="B751" s="24">
        <v>1.0271999999999999</v>
      </c>
      <c r="C751" s="24">
        <v>4348.7</v>
      </c>
      <c r="D751" s="47">
        <f t="shared" si="11"/>
        <v>4466.9846399999997</v>
      </c>
    </row>
    <row r="752" spans="1:4">
      <c r="A752" s="122">
        <v>41343</v>
      </c>
      <c r="B752" s="24">
        <v>1.0217000000000001</v>
      </c>
      <c r="C752" s="24">
        <v>4288.8</v>
      </c>
      <c r="D752" s="47">
        <f t="shared" si="11"/>
        <v>4381.8669600000003</v>
      </c>
    </row>
    <row r="753" spans="1:4">
      <c r="A753" s="122">
        <v>41342</v>
      </c>
      <c r="B753" s="24">
        <v>1.0232000000000001</v>
      </c>
      <c r="C753" s="24">
        <v>4302.3</v>
      </c>
      <c r="D753" s="47">
        <f t="shared" si="11"/>
        <v>4402.1133600000003</v>
      </c>
    </row>
    <row r="754" spans="1:4">
      <c r="A754" s="122">
        <v>41341</v>
      </c>
      <c r="B754" s="24">
        <v>1.0255000000000001</v>
      </c>
      <c r="C754" s="24">
        <v>4323.3</v>
      </c>
      <c r="D754" s="47">
        <f t="shared" si="11"/>
        <v>4433.5441500000006</v>
      </c>
    </row>
    <row r="755" spans="1:4">
      <c r="A755" s="122">
        <v>41340</v>
      </c>
      <c r="B755" s="24">
        <v>1.0266999999999999</v>
      </c>
      <c r="C755" s="24">
        <v>4280.6000000000004</v>
      </c>
      <c r="D755" s="47">
        <f t="shared" si="11"/>
        <v>4394.8920200000002</v>
      </c>
    </row>
    <row r="756" spans="1:4">
      <c r="A756" s="122">
        <v>41339</v>
      </c>
      <c r="B756" s="24">
        <v>1.0230999999999999</v>
      </c>
      <c r="C756" s="24">
        <v>4292.3</v>
      </c>
      <c r="D756" s="47">
        <f t="shared" si="11"/>
        <v>4391.4521299999997</v>
      </c>
    </row>
    <row r="757" spans="1:4">
      <c r="A757" s="122">
        <v>41338</v>
      </c>
      <c r="B757" s="24">
        <v>1.0264</v>
      </c>
      <c r="C757" s="24">
        <v>4319.8</v>
      </c>
      <c r="D757" s="47">
        <f t="shared" si="11"/>
        <v>4433.8427199999996</v>
      </c>
    </row>
    <row r="758" spans="1:4">
      <c r="A758" s="122">
        <v>41337</v>
      </c>
      <c r="B758" s="24">
        <v>1.0198</v>
      </c>
      <c r="C758" s="24">
        <v>4333.8999999999996</v>
      </c>
      <c r="D758" s="47">
        <f t="shared" si="11"/>
        <v>4419.7112200000001</v>
      </c>
    </row>
    <row r="759" spans="1:4">
      <c r="A759" s="122">
        <v>41336</v>
      </c>
      <c r="B759" s="24">
        <v>1.0194000000000001</v>
      </c>
      <c r="C759" s="24">
        <v>4337</v>
      </c>
      <c r="D759" s="47">
        <f t="shared" si="11"/>
        <v>4421.1378000000004</v>
      </c>
    </row>
    <row r="760" spans="1:4">
      <c r="A760" s="122">
        <v>41335</v>
      </c>
      <c r="B760" s="24">
        <v>1.0203</v>
      </c>
      <c r="C760" s="24">
        <v>4329.3</v>
      </c>
      <c r="D760" s="47">
        <f t="shared" si="11"/>
        <v>4417.1847900000002</v>
      </c>
    </row>
    <row r="761" spans="1:4">
      <c r="A761" s="122">
        <v>41334</v>
      </c>
      <c r="B761" s="24">
        <v>1.0203</v>
      </c>
      <c r="C761" s="24">
        <v>4335.2</v>
      </c>
      <c r="D761" s="47">
        <f t="shared" si="11"/>
        <v>4423.2045600000001</v>
      </c>
    </row>
    <row r="762" spans="1:4">
      <c r="A762" s="122">
        <v>41333</v>
      </c>
      <c r="B762" s="24">
        <v>1.0213000000000001</v>
      </c>
      <c r="C762" s="24">
        <v>4337.8999999999996</v>
      </c>
      <c r="D762" s="47">
        <f t="shared" si="11"/>
        <v>4430.29727</v>
      </c>
    </row>
    <row r="763" spans="1:4">
      <c r="A763" s="122">
        <v>41332</v>
      </c>
      <c r="B763" s="24">
        <v>1.0232000000000001</v>
      </c>
      <c r="C763" s="24">
        <v>4343.5</v>
      </c>
      <c r="D763" s="47">
        <f t="shared" si="11"/>
        <v>4444.2692000000006</v>
      </c>
    </row>
    <row r="764" spans="1:4">
      <c r="A764" s="122">
        <v>41331</v>
      </c>
      <c r="B764" s="24">
        <v>1.0226</v>
      </c>
      <c r="C764" s="24">
        <v>4301.3</v>
      </c>
      <c r="D764" s="47">
        <f t="shared" si="11"/>
        <v>4398.5093800000004</v>
      </c>
    </row>
    <row r="765" spans="1:4">
      <c r="A765" s="122">
        <v>41330</v>
      </c>
      <c r="B765" s="24">
        <v>1.0264</v>
      </c>
      <c r="C765" s="24">
        <v>4262.8</v>
      </c>
      <c r="D765" s="47">
        <f t="shared" si="11"/>
        <v>4375.3379199999999</v>
      </c>
    </row>
    <row r="766" spans="1:4">
      <c r="A766" s="122">
        <v>41329</v>
      </c>
      <c r="B766" s="24">
        <v>1.0293000000000001</v>
      </c>
      <c r="C766" s="24">
        <v>4270.3999999999996</v>
      </c>
      <c r="D766" s="47">
        <f t="shared" si="11"/>
        <v>4395.5227199999999</v>
      </c>
    </row>
    <row r="767" spans="1:4">
      <c r="A767" s="122">
        <v>41328</v>
      </c>
      <c r="B767" s="24">
        <v>1.0319</v>
      </c>
      <c r="C767" s="24">
        <v>4273.7</v>
      </c>
      <c r="D767" s="47">
        <f t="shared" si="11"/>
        <v>4410.0310300000001</v>
      </c>
    </row>
    <row r="768" spans="1:4">
      <c r="A768" s="122">
        <v>41327</v>
      </c>
      <c r="B768" s="24">
        <v>1.0313000000000001</v>
      </c>
      <c r="C768" s="24">
        <v>4254.3</v>
      </c>
      <c r="D768" s="47">
        <f t="shared" si="11"/>
        <v>4387.4595900000004</v>
      </c>
    </row>
    <row r="769" spans="1:4">
      <c r="A769" s="122">
        <v>41326</v>
      </c>
      <c r="B769" s="24">
        <v>1.0288999999999999</v>
      </c>
      <c r="C769" s="24">
        <v>4275</v>
      </c>
      <c r="D769" s="47">
        <f t="shared" si="11"/>
        <v>4398.5474999999997</v>
      </c>
    </row>
    <row r="770" spans="1:4">
      <c r="A770" s="122">
        <v>41325</v>
      </c>
      <c r="B770" s="24">
        <v>1.0245</v>
      </c>
      <c r="C770" s="24">
        <v>4290.8</v>
      </c>
      <c r="D770" s="47">
        <f t="shared" si="11"/>
        <v>4395.9246000000003</v>
      </c>
    </row>
    <row r="771" spans="1:4">
      <c r="A771" s="122">
        <v>41324</v>
      </c>
      <c r="B771" s="24">
        <v>1.0353000000000001</v>
      </c>
      <c r="C771" s="24">
        <v>4276.2</v>
      </c>
      <c r="D771" s="47">
        <f t="shared" ref="D771:D834" si="12">C771*B771</f>
        <v>4427.1498600000004</v>
      </c>
    </row>
    <row r="772" spans="1:4">
      <c r="A772" s="122">
        <v>41323</v>
      </c>
      <c r="B772" s="24">
        <v>1.0319</v>
      </c>
      <c r="C772" s="24">
        <v>4277.8</v>
      </c>
      <c r="D772" s="47">
        <f t="shared" si="12"/>
        <v>4414.2618200000006</v>
      </c>
    </row>
    <row r="773" spans="1:4">
      <c r="A773" s="122">
        <v>41322</v>
      </c>
      <c r="B773" s="24">
        <v>1.0297000000000001</v>
      </c>
      <c r="C773" s="24">
        <v>4287.2</v>
      </c>
      <c r="D773" s="47">
        <f t="shared" si="12"/>
        <v>4414.5298400000001</v>
      </c>
    </row>
    <row r="774" spans="1:4">
      <c r="A774" s="122">
        <v>41321</v>
      </c>
      <c r="B774" s="24">
        <v>1.0302</v>
      </c>
      <c r="C774" s="24">
        <v>4247.6000000000004</v>
      </c>
      <c r="D774" s="47">
        <f t="shared" si="12"/>
        <v>4375.87752</v>
      </c>
    </row>
    <row r="775" spans="1:4">
      <c r="A775" s="122">
        <v>41320</v>
      </c>
      <c r="B775" s="24">
        <v>1.0302</v>
      </c>
      <c r="C775" s="24">
        <v>4196.7</v>
      </c>
      <c r="D775" s="47">
        <f t="shared" si="12"/>
        <v>4323.4403400000001</v>
      </c>
    </row>
    <row r="776" spans="1:4">
      <c r="A776" s="122">
        <v>41319</v>
      </c>
      <c r="B776" s="24">
        <v>1.0345</v>
      </c>
      <c r="C776" s="24">
        <v>4212</v>
      </c>
      <c r="D776" s="47">
        <f t="shared" si="12"/>
        <v>4357.3140000000003</v>
      </c>
    </row>
    <row r="777" spans="1:4">
      <c r="A777" s="122">
        <v>41318</v>
      </c>
      <c r="B777" s="24">
        <v>1.0354000000000001</v>
      </c>
      <c r="C777" s="24">
        <v>4171</v>
      </c>
      <c r="D777" s="47">
        <f t="shared" si="12"/>
        <v>4318.6534000000001</v>
      </c>
    </row>
    <row r="778" spans="1:4">
      <c r="A778" s="122">
        <v>41317</v>
      </c>
      <c r="B778" s="24">
        <v>1.0314000000000001</v>
      </c>
      <c r="C778" s="24">
        <v>4143.7</v>
      </c>
      <c r="D778" s="47">
        <f t="shared" si="12"/>
        <v>4273.8121799999999</v>
      </c>
    </row>
    <row r="779" spans="1:4">
      <c r="A779" s="122">
        <v>41316</v>
      </c>
      <c r="B779" s="24">
        <v>1.0259</v>
      </c>
      <c r="C779" s="24">
        <v>4204.7</v>
      </c>
      <c r="D779" s="47">
        <f t="shared" si="12"/>
        <v>4313.6017300000003</v>
      </c>
    </row>
    <row r="780" spans="1:4">
      <c r="A780" s="122">
        <v>41315</v>
      </c>
      <c r="B780" s="24">
        <v>1.0321</v>
      </c>
      <c r="C780" s="24">
        <v>4263</v>
      </c>
      <c r="D780" s="47">
        <f t="shared" si="12"/>
        <v>4399.8423000000003</v>
      </c>
    </row>
    <row r="781" spans="1:4">
      <c r="A781" s="122">
        <v>41314</v>
      </c>
      <c r="B781" s="24">
        <v>1.0317000000000001</v>
      </c>
      <c r="C781" s="24">
        <v>4273.1000000000004</v>
      </c>
      <c r="D781" s="47">
        <f t="shared" si="12"/>
        <v>4408.5572700000002</v>
      </c>
    </row>
    <row r="782" spans="1:4">
      <c r="A782" s="122">
        <v>41313</v>
      </c>
      <c r="B782" s="24">
        <v>1.0317000000000001</v>
      </c>
      <c r="C782" s="24">
        <v>4255.5</v>
      </c>
      <c r="D782" s="47">
        <f t="shared" si="12"/>
        <v>4390.3993500000006</v>
      </c>
    </row>
    <row r="783" spans="1:4">
      <c r="A783" s="122">
        <v>41312</v>
      </c>
      <c r="B783" s="24">
        <v>1.0290999999999999</v>
      </c>
      <c r="C783" s="24">
        <v>4298.5</v>
      </c>
      <c r="D783" s="47">
        <f t="shared" si="12"/>
        <v>4423.5863499999996</v>
      </c>
    </row>
    <row r="784" spans="1:4">
      <c r="A784" s="122">
        <v>41311</v>
      </c>
      <c r="B784" s="24">
        <v>1.0318000000000001</v>
      </c>
      <c r="C784" s="24">
        <v>4262.7</v>
      </c>
      <c r="D784" s="47">
        <f t="shared" si="12"/>
        <v>4398.2538599999998</v>
      </c>
    </row>
    <row r="785" spans="1:4">
      <c r="A785" s="122">
        <v>41310</v>
      </c>
      <c r="B785" s="24">
        <v>1.0389999999999999</v>
      </c>
      <c r="C785" s="24">
        <v>4267.3999999999996</v>
      </c>
      <c r="D785" s="47">
        <f t="shared" si="12"/>
        <v>4433.8285999999989</v>
      </c>
    </row>
    <row r="786" spans="1:4">
      <c r="A786" s="122">
        <v>41309</v>
      </c>
      <c r="B786" s="24">
        <v>1.0441</v>
      </c>
      <c r="C786" s="24">
        <v>4306.8</v>
      </c>
      <c r="D786" s="47">
        <f t="shared" si="12"/>
        <v>4496.7298799999999</v>
      </c>
    </row>
    <row r="787" spans="1:4">
      <c r="A787" s="122">
        <v>41308</v>
      </c>
      <c r="B787" s="24">
        <v>1.0421</v>
      </c>
      <c r="C787" s="24">
        <v>4286.2</v>
      </c>
      <c r="D787" s="47">
        <f t="shared" si="12"/>
        <v>4466.6490199999998</v>
      </c>
    </row>
    <row r="788" spans="1:4">
      <c r="A788" s="122">
        <v>41307</v>
      </c>
      <c r="B788" s="24">
        <v>1.0405</v>
      </c>
      <c r="C788" s="24">
        <v>4293.1000000000004</v>
      </c>
      <c r="D788" s="47">
        <f t="shared" si="12"/>
        <v>4466.97055</v>
      </c>
    </row>
    <row r="789" spans="1:4">
      <c r="A789" s="122">
        <v>41306</v>
      </c>
      <c r="B789" s="24">
        <v>1.0405</v>
      </c>
      <c r="C789" s="24">
        <v>4291.2</v>
      </c>
      <c r="D789" s="47">
        <f t="shared" si="12"/>
        <v>4464.9935999999998</v>
      </c>
    </row>
    <row r="790" spans="1:4">
      <c r="A790" s="122">
        <v>41305</v>
      </c>
      <c r="B790" s="24">
        <v>1.0434000000000001</v>
      </c>
      <c r="C790" s="24">
        <v>4256.1000000000004</v>
      </c>
      <c r="D790" s="47">
        <f t="shared" si="12"/>
        <v>4440.8147400000007</v>
      </c>
    </row>
    <row r="791" spans="1:4">
      <c r="A791" s="122">
        <v>41304</v>
      </c>
      <c r="B791" s="24">
        <v>1.0416000000000001</v>
      </c>
      <c r="C791" s="24">
        <v>4195.8999999999996</v>
      </c>
      <c r="D791" s="47">
        <f t="shared" si="12"/>
        <v>4370.4494400000003</v>
      </c>
    </row>
    <row r="792" spans="1:4">
      <c r="A792" s="122">
        <v>41303</v>
      </c>
      <c r="B792" s="24">
        <v>1.0461</v>
      </c>
      <c r="C792" s="24">
        <v>4181.8999999999996</v>
      </c>
      <c r="D792" s="47">
        <f t="shared" si="12"/>
        <v>4374.68559</v>
      </c>
    </row>
    <row r="793" spans="1:4">
      <c r="A793" s="122">
        <v>41302</v>
      </c>
      <c r="B793" s="24">
        <v>1.0407</v>
      </c>
      <c r="C793" s="24">
        <v>4253.3999999999996</v>
      </c>
      <c r="D793" s="47">
        <f t="shared" si="12"/>
        <v>4426.5133799999994</v>
      </c>
    </row>
    <row r="794" spans="1:4">
      <c r="A794" s="122">
        <v>41301</v>
      </c>
      <c r="B794" s="24">
        <v>1.0409999999999999</v>
      </c>
      <c r="C794" s="24">
        <v>4242.8</v>
      </c>
      <c r="D794" s="47">
        <f t="shared" si="12"/>
        <v>4416.7547999999997</v>
      </c>
    </row>
    <row r="795" spans="1:4">
      <c r="A795" s="122">
        <v>41300</v>
      </c>
      <c r="B795" s="24">
        <v>1.0423</v>
      </c>
      <c r="C795" s="24">
        <v>4285.1000000000004</v>
      </c>
      <c r="D795" s="47">
        <f t="shared" si="12"/>
        <v>4466.3597300000001</v>
      </c>
    </row>
    <row r="796" spans="1:4">
      <c r="A796" s="122">
        <v>41299</v>
      </c>
      <c r="B796" s="24">
        <v>1.0423</v>
      </c>
      <c r="C796" s="24">
        <v>4245.3</v>
      </c>
      <c r="D796" s="47">
        <f t="shared" si="12"/>
        <v>4424.87619</v>
      </c>
    </row>
    <row r="797" spans="1:4">
      <c r="A797" s="122">
        <v>41298</v>
      </c>
      <c r="B797" s="24">
        <v>1.0443</v>
      </c>
      <c r="C797" s="24">
        <v>4282.8999999999996</v>
      </c>
      <c r="D797" s="47">
        <f t="shared" si="12"/>
        <v>4472.6324699999996</v>
      </c>
    </row>
    <row r="798" spans="1:4">
      <c r="A798" s="122">
        <v>41297</v>
      </c>
      <c r="B798" s="24">
        <v>1.0536000000000001</v>
      </c>
      <c r="C798" s="24">
        <v>4290.7</v>
      </c>
      <c r="D798" s="47">
        <f t="shared" si="12"/>
        <v>4520.6815200000001</v>
      </c>
    </row>
    <row r="799" spans="1:4">
      <c r="A799" s="122">
        <v>41296</v>
      </c>
      <c r="B799" s="24">
        <v>1.0559000000000001</v>
      </c>
      <c r="C799" s="24">
        <v>4274.2</v>
      </c>
      <c r="D799" s="47">
        <f t="shared" si="12"/>
        <v>4513.1277799999998</v>
      </c>
    </row>
    <row r="800" spans="1:4">
      <c r="A800" s="122">
        <v>41295</v>
      </c>
      <c r="B800" s="24">
        <v>1.0513999999999999</v>
      </c>
      <c r="C800" s="24">
        <v>4296</v>
      </c>
      <c r="D800" s="47">
        <f t="shared" si="12"/>
        <v>4516.8143999999993</v>
      </c>
    </row>
    <row r="801" spans="1:4">
      <c r="A801" s="122">
        <v>41294</v>
      </c>
      <c r="B801" s="24">
        <v>1.0502</v>
      </c>
      <c r="C801" s="24">
        <v>4251.2</v>
      </c>
      <c r="D801" s="47">
        <f t="shared" si="12"/>
        <v>4464.61024</v>
      </c>
    </row>
    <row r="802" spans="1:4">
      <c r="A802" s="122">
        <v>41293</v>
      </c>
      <c r="B802" s="24">
        <v>1.0503</v>
      </c>
      <c r="C802" s="24">
        <v>4267.8</v>
      </c>
      <c r="D802" s="47">
        <f t="shared" si="12"/>
        <v>4482.4703399999999</v>
      </c>
    </row>
    <row r="803" spans="1:4">
      <c r="A803" s="122">
        <v>41292</v>
      </c>
      <c r="B803" s="24">
        <v>1.0503</v>
      </c>
      <c r="C803" s="24">
        <v>4225.7</v>
      </c>
      <c r="D803" s="47">
        <f t="shared" si="12"/>
        <v>4438.2527099999998</v>
      </c>
    </row>
    <row r="804" spans="1:4">
      <c r="A804" s="122">
        <v>41291</v>
      </c>
      <c r="B804" s="24">
        <v>1.0544</v>
      </c>
      <c r="C804" s="24">
        <v>4262.7</v>
      </c>
      <c r="D804" s="47">
        <f t="shared" si="12"/>
        <v>4494.5908799999997</v>
      </c>
    </row>
    <row r="805" spans="1:4">
      <c r="A805" s="122">
        <v>41290</v>
      </c>
      <c r="B805" s="24">
        <v>1.0566</v>
      </c>
      <c r="C805" s="24">
        <v>4272.7</v>
      </c>
      <c r="D805" s="47">
        <f t="shared" si="12"/>
        <v>4514.5348199999999</v>
      </c>
    </row>
    <row r="806" spans="1:4">
      <c r="A806" s="122">
        <v>41289</v>
      </c>
      <c r="B806" s="24">
        <v>1.0570999999999999</v>
      </c>
      <c r="C806" s="24">
        <v>4288.3999999999996</v>
      </c>
      <c r="D806" s="47">
        <f t="shared" si="12"/>
        <v>4533.2676399999991</v>
      </c>
    </row>
    <row r="807" spans="1:4">
      <c r="A807" s="122">
        <v>41288</v>
      </c>
      <c r="B807" s="24">
        <v>1.0563</v>
      </c>
      <c r="C807" s="24">
        <v>4271.3</v>
      </c>
      <c r="D807" s="47">
        <f t="shared" si="12"/>
        <v>4511.7741900000001</v>
      </c>
    </row>
    <row r="808" spans="1:4">
      <c r="A808" s="122">
        <v>41287</v>
      </c>
      <c r="B808" s="24">
        <v>1.0533999999999999</v>
      </c>
      <c r="C808" s="24">
        <v>4224.2</v>
      </c>
      <c r="D808" s="47">
        <f t="shared" si="12"/>
        <v>4449.7722799999992</v>
      </c>
    </row>
    <row r="809" spans="1:4">
      <c r="A809" s="122">
        <v>41286</v>
      </c>
      <c r="B809" s="24">
        <v>1.0533999999999999</v>
      </c>
      <c r="C809" s="24">
        <v>4225.1000000000004</v>
      </c>
      <c r="D809" s="47">
        <f t="shared" si="12"/>
        <v>4450.7203399999999</v>
      </c>
    </row>
    <row r="810" spans="1:4">
      <c r="A810" s="122">
        <v>41285</v>
      </c>
      <c r="B810" s="24">
        <v>1.0533999999999999</v>
      </c>
      <c r="C810" s="24">
        <v>4239.6000000000004</v>
      </c>
      <c r="D810" s="47">
        <f t="shared" si="12"/>
        <v>4465.9946399999999</v>
      </c>
    </row>
    <row r="811" spans="1:4">
      <c r="A811" s="122">
        <v>41284</v>
      </c>
      <c r="B811" s="24">
        <v>1.0597000000000001</v>
      </c>
      <c r="C811" s="24">
        <v>4214.8</v>
      </c>
      <c r="D811" s="47">
        <f t="shared" si="12"/>
        <v>4466.4235600000002</v>
      </c>
    </row>
    <row r="812" spans="1:4">
      <c r="A812" s="122">
        <v>41283</v>
      </c>
      <c r="B812" s="24">
        <v>1.05</v>
      </c>
      <c r="C812" s="24">
        <v>4217.8999999999996</v>
      </c>
      <c r="D812" s="47">
        <f t="shared" si="12"/>
        <v>4428.7950000000001</v>
      </c>
    </row>
    <row r="813" spans="1:4">
      <c r="A813" s="122">
        <v>41282</v>
      </c>
      <c r="B813" s="24">
        <v>1.0502</v>
      </c>
      <c r="C813" s="24">
        <v>4215.6000000000004</v>
      </c>
      <c r="D813" s="47">
        <f t="shared" si="12"/>
        <v>4427.2231200000006</v>
      </c>
    </row>
    <row r="814" spans="1:4">
      <c r="A814" s="122">
        <v>41281</v>
      </c>
      <c r="B814" s="24">
        <v>1.0503</v>
      </c>
      <c r="C814" s="24">
        <v>4195.8999999999996</v>
      </c>
      <c r="D814" s="47">
        <f t="shared" si="12"/>
        <v>4406.9537700000001</v>
      </c>
    </row>
    <row r="815" spans="1:4">
      <c r="A815" s="122">
        <v>41280</v>
      </c>
      <c r="B815" s="24">
        <v>1.0495000000000001</v>
      </c>
      <c r="C815" s="24">
        <v>4181</v>
      </c>
      <c r="D815" s="47">
        <f t="shared" si="12"/>
        <v>4387.9595000000008</v>
      </c>
    </row>
    <row r="816" spans="1:4">
      <c r="A816" s="122">
        <v>41279</v>
      </c>
      <c r="B816" s="24">
        <v>1.0478000000000001</v>
      </c>
      <c r="C816" s="24">
        <v>4187.5</v>
      </c>
      <c r="D816" s="47">
        <f t="shared" si="12"/>
        <v>4387.6625000000004</v>
      </c>
    </row>
    <row r="817" spans="1:4">
      <c r="A817" s="122">
        <v>41278</v>
      </c>
      <c r="B817" s="24">
        <v>1.0478000000000001</v>
      </c>
      <c r="C817" s="24">
        <v>4152.2</v>
      </c>
      <c r="D817" s="47">
        <f t="shared" si="12"/>
        <v>4350.6751599999998</v>
      </c>
    </row>
    <row r="818" spans="1:4">
      <c r="A818" s="122">
        <v>41277</v>
      </c>
      <c r="B818" s="24">
        <v>1.0465</v>
      </c>
      <c r="C818" s="24">
        <v>4105.3999999999996</v>
      </c>
      <c r="D818" s="47">
        <f t="shared" si="12"/>
        <v>4296.3010999999997</v>
      </c>
    </row>
    <row r="819" spans="1:4">
      <c r="A819" s="122">
        <v>41276</v>
      </c>
      <c r="B819" s="24">
        <v>1.0503</v>
      </c>
      <c r="C819" s="24">
        <v>4108.5</v>
      </c>
      <c r="D819" s="47">
        <f t="shared" si="12"/>
        <v>4315.1575499999999</v>
      </c>
    </row>
    <row r="820" spans="1:4">
      <c r="A820" s="122">
        <v>41275</v>
      </c>
      <c r="B820" s="24">
        <v>1.0391999999999999</v>
      </c>
      <c r="C820" s="24">
        <v>4142.7</v>
      </c>
      <c r="D820" s="47">
        <f t="shared" si="12"/>
        <v>4305.0938399999995</v>
      </c>
    </row>
    <row r="821" spans="1:4">
      <c r="A821" s="122">
        <v>41274</v>
      </c>
      <c r="B821" s="24">
        <v>1.0390999999999999</v>
      </c>
      <c r="C821" s="24">
        <v>4187.8</v>
      </c>
      <c r="D821" s="47">
        <f t="shared" si="12"/>
        <v>4351.5429800000002</v>
      </c>
    </row>
    <row r="822" spans="1:4">
      <c r="A822" s="122">
        <v>41273</v>
      </c>
      <c r="B822" s="24">
        <v>1.0391999999999999</v>
      </c>
      <c r="C822" s="24">
        <v>4101.2</v>
      </c>
      <c r="D822" s="47">
        <f t="shared" si="12"/>
        <v>4261.9670399999995</v>
      </c>
    </row>
    <row r="823" spans="1:4">
      <c r="A823" s="122">
        <v>41272</v>
      </c>
      <c r="B823" s="24">
        <v>1.0370999999999999</v>
      </c>
      <c r="C823" s="24">
        <v>4056.6</v>
      </c>
      <c r="D823" s="47">
        <f t="shared" si="12"/>
        <v>4207.0998599999994</v>
      </c>
    </row>
    <row r="824" spans="1:4">
      <c r="A824" s="122">
        <v>41271</v>
      </c>
      <c r="B824" s="24">
        <v>1.0370999999999999</v>
      </c>
      <c r="C824" s="24">
        <v>4071.1</v>
      </c>
      <c r="D824" s="47">
        <f t="shared" si="12"/>
        <v>4222.1378099999993</v>
      </c>
    </row>
    <row r="825" spans="1:4">
      <c r="A825" s="122">
        <v>41270</v>
      </c>
      <c r="B825" s="24">
        <v>1.0376000000000001</v>
      </c>
      <c r="C825" s="24">
        <v>4088.8</v>
      </c>
      <c r="D825" s="47">
        <f t="shared" si="12"/>
        <v>4242.5388800000001</v>
      </c>
    </row>
    <row r="826" spans="1:4">
      <c r="A826" s="122">
        <v>41269</v>
      </c>
      <c r="B826" s="24">
        <v>1.0375000000000001</v>
      </c>
      <c r="C826" s="24">
        <v>4140.3999999999996</v>
      </c>
      <c r="D826" s="47">
        <f t="shared" si="12"/>
        <v>4295.665</v>
      </c>
    </row>
    <row r="827" spans="1:4">
      <c r="A827" s="122">
        <v>41268</v>
      </c>
      <c r="B827" s="24">
        <v>1.0371999999999999</v>
      </c>
      <c r="C827" s="24">
        <v>4090.8</v>
      </c>
      <c r="D827" s="47">
        <f t="shared" si="12"/>
        <v>4242.9777599999998</v>
      </c>
    </row>
    <row r="828" spans="1:4">
      <c r="A828" s="122">
        <v>41267</v>
      </c>
      <c r="B828" s="24">
        <v>1.0361</v>
      </c>
      <c r="C828" s="24">
        <v>4139.5</v>
      </c>
      <c r="D828" s="47">
        <f t="shared" si="12"/>
        <v>4288.93595</v>
      </c>
    </row>
    <row r="829" spans="1:4">
      <c r="A829" s="122">
        <v>41266</v>
      </c>
      <c r="B829" s="24">
        <v>1.0401</v>
      </c>
      <c r="C829" s="24">
        <v>4053.1</v>
      </c>
      <c r="D829" s="47">
        <f t="shared" si="12"/>
        <v>4215.6293100000003</v>
      </c>
    </row>
    <row r="830" spans="1:4">
      <c r="A830" s="122">
        <v>41265</v>
      </c>
      <c r="B830" s="24">
        <v>1.0397000000000001</v>
      </c>
      <c r="C830" s="24">
        <v>4060.4</v>
      </c>
      <c r="D830" s="47">
        <f t="shared" si="12"/>
        <v>4221.5978800000003</v>
      </c>
    </row>
    <row r="831" spans="1:4">
      <c r="A831" s="122">
        <v>41264</v>
      </c>
      <c r="B831" s="24">
        <v>1.0403</v>
      </c>
      <c r="C831" s="24">
        <v>4159.2</v>
      </c>
      <c r="D831" s="47">
        <f t="shared" si="12"/>
        <v>4326.8157599999995</v>
      </c>
    </row>
    <row r="832" spans="1:4">
      <c r="A832" s="122">
        <v>41263</v>
      </c>
      <c r="B832" s="24">
        <v>1.0481</v>
      </c>
      <c r="C832" s="24">
        <v>4139.8</v>
      </c>
      <c r="D832" s="47">
        <f t="shared" si="12"/>
        <v>4338.9243800000004</v>
      </c>
    </row>
    <row r="833" spans="1:4">
      <c r="A833" s="122">
        <v>41262</v>
      </c>
      <c r="B833" s="24">
        <v>1.0475000000000001</v>
      </c>
      <c r="C833" s="24">
        <v>4190.5</v>
      </c>
      <c r="D833" s="47">
        <f t="shared" si="12"/>
        <v>4389.5487500000008</v>
      </c>
    </row>
    <row r="834" spans="1:4">
      <c r="A834" s="122">
        <v>41261</v>
      </c>
      <c r="B834" s="24">
        <v>1.0523</v>
      </c>
      <c r="C834" s="24">
        <v>4193.3999999999996</v>
      </c>
      <c r="D834" s="47">
        <f t="shared" si="12"/>
        <v>4412.7148199999992</v>
      </c>
    </row>
    <row r="835" spans="1:4">
      <c r="A835" s="122">
        <v>41260</v>
      </c>
      <c r="B835" s="24">
        <v>1.0545</v>
      </c>
      <c r="C835" s="24">
        <v>4252.8</v>
      </c>
      <c r="D835" s="47">
        <f t="shared" ref="D835:D898" si="13">C835*B835</f>
        <v>4484.5776000000005</v>
      </c>
    </row>
    <row r="836" spans="1:4">
      <c r="A836" s="122">
        <v>41259</v>
      </c>
      <c r="B836" s="24">
        <v>1.0555000000000001</v>
      </c>
      <c r="C836" s="24">
        <v>4203</v>
      </c>
      <c r="D836" s="47">
        <f t="shared" si="13"/>
        <v>4436.2665000000006</v>
      </c>
    </row>
    <row r="837" spans="1:4">
      <c r="A837" s="122">
        <v>41258</v>
      </c>
      <c r="B837" s="24">
        <v>1.0565</v>
      </c>
      <c r="C837" s="24">
        <v>4280.7</v>
      </c>
      <c r="D837" s="47">
        <f t="shared" si="13"/>
        <v>4522.5595499999999</v>
      </c>
    </row>
    <row r="838" spans="1:4">
      <c r="A838" s="122">
        <v>41257</v>
      </c>
      <c r="B838" s="24">
        <v>1.0565</v>
      </c>
      <c r="C838" s="24">
        <v>4292.5</v>
      </c>
      <c r="D838" s="47">
        <f t="shared" si="13"/>
        <v>4535.0262499999999</v>
      </c>
    </row>
    <row r="839" spans="1:4">
      <c r="A839" s="122">
        <v>41256</v>
      </c>
      <c r="B839" s="24">
        <v>1.0529999999999999</v>
      </c>
      <c r="C839" s="24">
        <v>4262</v>
      </c>
      <c r="D839" s="47">
        <f t="shared" si="13"/>
        <v>4487.8859999999995</v>
      </c>
    </row>
    <row r="840" spans="1:4">
      <c r="A840" s="122">
        <v>41255</v>
      </c>
      <c r="B840" s="24">
        <v>1.0542</v>
      </c>
      <c r="C840" s="24">
        <v>4321.3</v>
      </c>
      <c r="D840" s="47">
        <f t="shared" si="13"/>
        <v>4555.5144600000003</v>
      </c>
    </row>
    <row r="841" spans="1:4">
      <c r="A841" s="122">
        <v>41254</v>
      </c>
      <c r="B841" s="24">
        <v>1.0537000000000001</v>
      </c>
      <c r="C841" s="24">
        <v>4288</v>
      </c>
      <c r="D841" s="47">
        <f t="shared" si="13"/>
        <v>4518.2656000000006</v>
      </c>
    </row>
    <row r="842" spans="1:4">
      <c r="A842" s="122">
        <v>41253</v>
      </c>
      <c r="B842" s="24">
        <v>1.0485</v>
      </c>
      <c r="C842" s="24">
        <v>4228.6000000000004</v>
      </c>
      <c r="D842" s="47">
        <f t="shared" si="13"/>
        <v>4433.6871000000001</v>
      </c>
    </row>
    <row r="843" spans="1:4">
      <c r="A843" s="122">
        <v>41252</v>
      </c>
      <c r="B843" s="24">
        <v>1.0479000000000001</v>
      </c>
      <c r="C843" s="24">
        <v>4119.8</v>
      </c>
      <c r="D843" s="47">
        <f t="shared" si="13"/>
        <v>4317.1384200000002</v>
      </c>
    </row>
    <row r="844" spans="1:4">
      <c r="A844" s="122">
        <v>41251</v>
      </c>
      <c r="B844" s="24">
        <v>1.0485</v>
      </c>
      <c r="C844" s="24">
        <v>4102.1000000000004</v>
      </c>
      <c r="D844" s="47">
        <f t="shared" si="13"/>
        <v>4301.0518500000007</v>
      </c>
    </row>
    <row r="845" spans="1:4">
      <c r="A845" s="122">
        <v>41250</v>
      </c>
      <c r="B845" s="24">
        <v>1.0492999999999999</v>
      </c>
      <c r="C845" s="24">
        <v>4058.2</v>
      </c>
      <c r="D845" s="47">
        <f t="shared" si="13"/>
        <v>4258.2692599999991</v>
      </c>
    </row>
    <row r="846" spans="1:4">
      <c r="A846" s="122">
        <v>41249</v>
      </c>
      <c r="B846" s="24">
        <v>1.0470999999999999</v>
      </c>
      <c r="C846" s="24">
        <v>3984.3</v>
      </c>
      <c r="D846" s="47">
        <f t="shared" si="13"/>
        <v>4171.9605300000003</v>
      </c>
    </row>
    <row r="847" spans="1:4">
      <c r="A847" s="122">
        <v>41248</v>
      </c>
      <c r="B847" s="24">
        <v>1.0443</v>
      </c>
      <c r="C847" s="24">
        <v>4044.2</v>
      </c>
      <c r="D847" s="47">
        <f t="shared" si="13"/>
        <v>4223.3580599999996</v>
      </c>
    </row>
    <row r="848" spans="1:4">
      <c r="A848" s="122">
        <v>41247</v>
      </c>
      <c r="B848" s="24">
        <v>1.0468</v>
      </c>
      <c r="C848" s="24">
        <v>4051</v>
      </c>
      <c r="D848" s="47">
        <f t="shared" si="13"/>
        <v>4240.5868</v>
      </c>
    </row>
    <row r="849" spans="1:4">
      <c r="A849" s="122">
        <v>41246</v>
      </c>
      <c r="B849" s="24">
        <v>1.0432999999999999</v>
      </c>
      <c r="C849" s="24">
        <v>4133</v>
      </c>
      <c r="D849" s="47">
        <f t="shared" si="13"/>
        <v>4311.9588999999996</v>
      </c>
    </row>
    <row r="850" spans="1:4">
      <c r="A850" s="122">
        <v>41245</v>
      </c>
      <c r="B850" s="24">
        <v>1.0423</v>
      </c>
      <c r="C850" s="24">
        <v>4163</v>
      </c>
      <c r="D850" s="47">
        <f t="shared" si="13"/>
        <v>4339.0949000000001</v>
      </c>
    </row>
    <row r="851" spans="1:4">
      <c r="A851" s="122">
        <v>41244</v>
      </c>
      <c r="B851" s="24">
        <v>1.0426</v>
      </c>
      <c r="C851" s="24">
        <v>4177</v>
      </c>
      <c r="D851" s="47">
        <f t="shared" si="13"/>
        <v>4354.9402</v>
      </c>
    </row>
    <row r="852" spans="1:4">
      <c r="A852" s="122">
        <v>41243</v>
      </c>
      <c r="B852" s="24">
        <v>1.0429999999999999</v>
      </c>
      <c r="C852" s="24">
        <v>4258.2</v>
      </c>
      <c r="D852" s="47">
        <f t="shared" si="13"/>
        <v>4441.3025999999991</v>
      </c>
    </row>
    <row r="853" spans="1:4">
      <c r="A853" s="122">
        <v>41242</v>
      </c>
      <c r="B853" s="24">
        <v>1.0427999999999999</v>
      </c>
      <c r="C853" s="24">
        <v>4247.3999999999996</v>
      </c>
      <c r="D853" s="47">
        <f t="shared" si="13"/>
        <v>4429.1887199999992</v>
      </c>
    </row>
    <row r="854" spans="1:4">
      <c r="A854" s="122">
        <v>41241</v>
      </c>
      <c r="B854" s="24">
        <v>1.0468999999999999</v>
      </c>
      <c r="C854" s="24">
        <v>4285.6000000000004</v>
      </c>
      <c r="D854" s="47">
        <f t="shared" si="13"/>
        <v>4486.5946400000003</v>
      </c>
    </row>
    <row r="855" spans="1:4">
      <c r="A855" s="122">
        <v>41240</v>
      </c>
      <c r="B855" s="24">
        <v>1.0442</v>
      </c>
      <c r="C855" s="24">
        <v>4304.6000000000004</v>
      </c>
      <c r="D855" s="47">
        <f t="shared" si="13"/>
        <v>4494.8633200000004</v>
      </c>
    </row>
    <row r="856" spans="1:4">
      <c r="A856" s="122">
        <v>41239</v>
      </c>
      <c r="B856" s="24">
        <v>1.0469999999999999</v>
      </c>
      <c r="C856" s="24">
        <v>4296.5</v>
      </c>
      <c r="D856" s="47">
        <f t="shared" si="13"/>
        <v>4498.4354999999996</v>
      </c>
    </row>
    <row r="857" spans="1:4">
      <c r="A857" s="122">
        <v>41238</v>
      </c>
      <c r="B857" s="24">
        <v>1.0455000000000001</v>
      </c>
      <c r="C857" s="24">
        <v>4244.1000000000004</v>
      </c>
      <c r="D857" s="47">
        <f t="shared" si="13"/>
        <v>4437.2065500000008</v>
      </c>
    </row>
    <row r="858" spans="1:4">
      <c r="A858" s="122">
        <v>41237</v>
      </c>
      <c r="B858" s="24">
        <v>1.0458000000000001</v>
      </c>
      <c r="C858" s="24">
        <v>4346.1000000000004</v>
      </c>
      <c r="D858" s="47">
        <f t="shared" si="13"/>
        <v>4545.1513800000002</v>
      </c>
    </row>
    <row r="859" spans="1:4">
      <c r="A859" s="122">
        <v>41236</v>
      </c>
      <c r="B859" s="24">
        <v>1.0458000000000001</v>
      </c>
      <c r="C859" s="24">
        <v>4293.8</v>
      </c>
      <c r="D859" s="47">
        <f t="shared" si="13"/>
        <v>4490.45604</v>
      </c>
    </row>
    <row r="860" spans="1:4">
      <c r="A860" s="122">
        <v>41235</v>
      </c>
      <c r="B860" s="24">
        <v>1.0377000000000001</v>
      </c>
      <c r="C860" s="24">
        <v>4273.3999999999996</v>
      </c>
      <c r="D860" s="47">
        <f t="shared" si="13"/>
        <v>4434.5071799999996</v>
      </c>
    </row>
    <row r="861" spans="1:4">
      <c r="A861" s="122">
        <v>41234</v>
      </c>
      <c r="B861" s="24">
        <v>1.0371999999999999</v>
      </c>
      <c r="C861" s="24">
        <v>4281.1000000000004</v>
      </c>
      <c r="D861" s="47">
        <f t="shared" si="13"/>
        <v>4440.3569200000002</v>
      </c>
    </row>
    <row r="862" spans="1:4">
      <c r="A862" s="122">
        <v>41233</v>
      </c>
      <c r="B862" s="24">
        <v>1.0387999999999999</v>
      </c>
      <c r="C862" s="24">
        <v>4171.8</v>
      </c>
      <c r="D862" s="47">
        <f t="shared" si="13"/>
        <v>4333.6658399999997</v>
      </c>
    </row>
    <row r="863" spans="1:4">
      <c r="A863" s="122">
        <v>41232</v>
      </c>
      <c r="B863" s="24">
        <v>1.0402</v>
      </c>
      <c r="C863" s="24">
        <v>4184.6000000000004</v>
      </c>
      <c r="D863" s="47">
        <f t="shared" si="13"/>
        <v>4352.8209200000001</v>
      </c>
    </row>
    <row r="864" spans="1:4">
      <c r="A864" s="122">
        <v>41231</v>
      </c>
      <c r="B864" s="24">
        <v>1.036</v>
      </c>
      <c r="C864" s="24">
        <v>4232.8999999999996</v>
      </c>
      <c r="D864" s="47">
        <f t="shared" si="13"/>
        <v>4385.2843999999996</v>
      </c>
    </row>
    <row r="865" spans="1:4">
      <c r="A865" s="122">
        <v>41230</v>
      </c>
      <c r="B865" s="24">
        <v>1.0338000000000001</v>
      </c>
      <c r="C865" s="24">
        <v>4298.1000000000004</v>
      </c>
      <c r="D865" s="47">
        <f t="shared" si="13"/>
        <v>4443.3757800000003</v>
      </c>
    </row>
    <row r="866" spans="1:4">
      <c r="A866" s="122">
        <v>41229</v>
      </c>
      <c r="B866" s="24">
        <v>1.0338000000000001</v>
      </c>
      <c r="C866" s="24">
        <v>4353.3</v>
      </c>
      <c r="D866" s="47">
        <f t="shared" si="13"/>
        <v>4500.4415400000007</v>
      </c>
    </row>
    <row r="867" spans="1:4">
      <c r="A867" s="122">
        <v>41228</v>
      </c>
      <c r="B867" s="24">
        <v>1.0338000000000001</v>
      </c>
      <c r="C867" s="24">
        <v>4348.2</v>
      </c>
      <c r="D867" s="47">
        <f t="shared" si="13"/>
        <v>4495.1691600000004</v>
      </c>
    </row>
    <row r="868" spans="1:4">
      <c r="A868" s="122">
        <v>41227</v>
      </c>
      <c r="B868" s="24">
        <v>1.0364</v>
      </c>
      <c r="C868" s="24">
        <v>4242.5</v>
      </c>
      <c r="D868" s="47">
        <f t="shared" si="13"/>
        <v>4396.9269999999997</v>
      </c>
    </row>
    <row r="869" spans="1:4">
      <c r="A869" s="122">
        <v>41226</v>
      </c>
      <c r="B869" s="24">
        <v>1.0444</v>
      </c>
      <c r="C869" s="24">
        <v>4227.8999999999996</v>
      </c>
      <c r="D869" s="47">
        <f t="shared" si="13"/>
        <v>4415.6187599999994</v>
      </c>
    </row>
    <row r="870" spans="1:4">
      <c r="A870" s="122">
        <v>41225</v>
      </c>
      <c r="B870" s="24">
        <v>1.0423</v>
      </c>
      <c r="C870" s="24">
        <v>4255</v>
      </c>
      <c r="D870" s="47">
        <f t="shared" si="13"/>
        <v>4434.9865</v>
      </c>
    </row>
    <row r="871" spans="1:4">
      <c r="A871" s="122">
        <v>41224</v>
      </c>
      <c r="B871" s="24">
        <v>1.0390999999999999</v>
      </c>
      <c r="C871" s="24">
        <v>4141.8999999999996</v>
      </c>
      <c r="D871" s="47">
        <f t="shared" si="13"/>
        <v>4303.848289999999</v>
      </c>
    </row>
    <row r="872" spans="1:4">
      <c r="A872" s="122">
        <v>41223</v>
      </c>
      <c r="B872" s="24">
        <v>1.0386</v>
      </c>
      <c r="C872" s="24">
        <v>4144.8999999999996</v>
      </c>
      <c r="D872" s="47">
        <f t="shared" si="13"/>
        <v>4304.8931399999992</v>
      </c>
    </row>
    <row r="873" spans="1:4">
      <c r="A873" s="122">
        <v>41222</v>
      </c>
      <c r="B873" s="24">
        <v>1.0386</v>
      </c>
      <c r="C873" s="24">
        <v>4213.7</v>
      </c>
      <c r="D873" s="47">
        <f t="shared" si="13"/>
        <v>4376.3488199999993</v>
      </c>
    </row>
    <row r="874" spans="1:4">
      <c r="A874" s="122">
        <v>41221</v>
      </c>
      <c r="B874" s="24">
        <v>1.04</v>
      </c>
      <c r="C874" s="24">
        <v>4186.8999999999996</v>
      </c>
      <c r="D874" s="47">
        <f t="shared" si="13"/>
        <v>4354.3760000000002</v>
      </c>
    </row>
    <row r="875" spans="1:4">
      <c r="A875" s="122">
        <v>41220</v>
      </c>
      <c r="B875" s="24">
        <v>1.0402</v>
      </c>
      <c r="C875" s="24">
        <v>4275.3999999999996</v>
      </c>
      <c r="D875" s="47">
        <f t="shared" si="13"/>
        <v>4447.2710799999995</v>
      </c>
    </row>
    <row r="876" spans="1:4">
      <c r="A876" s="122">
        <v>41219</v>
      </c>
      <c r="B876" s="24">
        <v>1.0426</v>
      </c>
      <c r="C876" s="24">
        <v>4205.6000000000004</v>
      </c>
      <c r="D876" s="47">
        <f t="shared" si="13"/>
        <v>4384.7585600000002</v>
      </c>
    </row>
    <row r="877" spans="1:4">
      <c r="A877" s="122">
        <v>41218</v>
      </c>
      <c r="B877" s="24">
        <v>1.0375000000000001</v>
      </c>
      <c r="C877" s="24">
        <v>4244.5</v>
      </c>
      <c r="D877" s="47">
        <f t="shared" si="13"/>
        <v>4403.6687500000007</v>
      </c>
    </row>
    <row r="878" spans="1:4">
      <c r="A878" s="122">
        <v>41217</v>
      </c>
      <c r="B878" s="24">
        <v>1.0344</v>
      </c>
      <c r="C878" s="24">
        <v>4204.3</v>
      </c>
      <c r="D878" s="47">
        <f t="shared" si="13"/>
        <v>4348.9279200000001</v>
      </c>
    </row>
    <row r="879" spans="1:4">
      <c r="A879" s="122">
        <v>41216</v>
      </c>
      <c r="B879" s="24">
        <v>1.0336000000000001</v>
      </c>
      <c r="C879" s="24">
        <v>4227.6000000000004</v>
      </c>
      <c r="D879" s="47">
        <f t="shared" si="13"/>
        <v>4369.6473600000008</v>
      </c>
    </row>
    <row r="880" spans="1:4">
      <c r="A880" s="122">
        <v>41215</v>
      </c>
      <c r="B880" s="24">
        <v>1.0336000000000001</v>
      </c>
      <c r="C880" s="24">
        <v>4162.8999999999996</v>
      </c>
      <c r="D880" s="47">
        <f t="shared" si="13"/>
        <v>4302.7734399999999</v>
      </c>
    </row>
    <row r="881" spans="1:4">
      <c r="A881" s="122">
        <v>41214</v>
      </c>
      <c r="B881" s="24">
        <v>1.0399</v>
      </c>
      <c r="C881" s="24">
        <v>4069.9</v>
      </c>
      <c r="D881" s="47">
        <f t="shared" si="13"/>
        <v>4232.2890100000004</v>
      </c>
    </row>
    <row r="882" spans="1:4">
      <c r="A882" s="122">
        <v>41213</v>
      </c>
      <c r="B882" s="24">
        <v>1.0375000000000001</v>
      </c>
      <c r="C882" s="24">
        <v>3926.5</v>
      </c>
      <c r="D882" s="47">
        <f t="shared" si="13"/>
        <v>4073.7437500000005</v>
      </c>
    </row>
    <row r="883" spans="1:4">
      <c r="A883" s="122">
        <v>41212</v>
      </c>
      <c r="B883" s="24">
        <v>1.0365</v>
      </c>
      <c r="C883" s="24">
        <v>3872.1</v>
      </c>
      <c r="D883" s="47">
        <f t="shared" si="13"/>
        <v>4013.43165</v>
      </c>
    </row>
    <row r="884" spans="1:4">
      <c r="A884" s="122">
        <v>41211</v>
      </c>
      <c r="B884" s="24">
        <v>1.0338000000000001</v>
      </c>
      <c r="C884" s="24">
        <v>3897</v>
      </c>
      <c r="D884" s="47">
        <f t="shared" si="13"/>
        <v>4028.7186000000002</v>
      </c>
    </row>
    <row r="885" spans="1:4">
      <c r="A885" s="122">
        <v>41210</v>
      </c>
      <c r="B885" s="24">
        <v>1.0348999999999999</v>
      </c>
      <c r="C885" s="24">
        <v>4008.6</v>
      </c>
      <c r="D885" s="47">
        <f t="shared" si="13"/>
        <v>4148.5001399999992</v>
      </c>
    </row>
    <row r="886" spans="1:4">
      <c r="A886" s="122">
        <v>41209</v>
      </c>
      <c r="B886" s="24">
        <v>1.0371999999999999</v>
      </c>
      <c r="C886" s="24">
        <v>4008.3</v>
      </c>
      <c r="D886" s="47">
        <f t="shared" si="13"/>
        <v>4157.4087599999993</v>
      </c>
    </row>
    <row r="887" spans="1:4">
      <c r="A887" s="122">
        <v>41208</v>
      </c>
      <c r="B887" s="24">
        <v>1.0371999999999999</v>
      </c>
      <c r="C887" s="24">
        <v>4039.5</v>
      </c>
      <c r="D887" s="47">
        <f t="shared" si="13"/>
        <v>4189.7693999999992</v>
      </c>
    </row>
    <row r="888" spans="1:4">
      <c r="A888" s="122">
        <v>41207</v>
      </c>
      <c r="B888" s="24">
        <v>1.0348999999999999</v>
      </c>
      <c r="C888" s="24">
        <v>4004.6</v>
      </c>
      <c r="D888" s="47">
        <f t="shared" si="13"/>
        <v>4144.3605399999997</v>
      </c>
    </row>
    <row r="889" spans="1:4">
      <c r="A889" s="122">
        <v>41206</v>
      </c>
      <c r="B889" s="24">
        <v>1.0344</v>
      </c>
      <c r="C889" s="24">
        <v>3863.9</v>
      </c>
      <c r="D889" s="47">
        <f t="shared" si="13"/>
        <v>3996.8181600000003</v>
      </c>
    </row>
    <row r="890" spans="1:4">
      <c r="A890" s="122">
        <v>41205</v>
      </c>
      <c r="B890" s="24">
        <v>1.0266</v>
      </c>
      <c r="C890" s="24">
        <v>3903.2</v>
      </c>
      <c r="D890" s="47">
        <f t="shared" si="13"/>
        <v>4007.0251199999998</v>
      </c>
    </row>
    <row r="891" spans="1:4">
      <c r="A891" s="122">
        <v>41204</v>
      </c>
      <c r="B891" s="24">
        <v>1.0335000000000001</v>
      </c>
      <c r="C891" s="24">
        <v>3964.9</v>
      </c>
      <c r="D891" s="47">
        <f t="shared" si="13"/>
        <v>4097.72415</v>
      </c>
    </row>
    <row r="892" spans="1:4">
      <c r="A892" s="122">
        <v>41203</v>
      </c>
      <c r="B892" s="24">
        <v>1.0301</v>
      </c>
      <c r="C892" s="24">
        <v>4071.8</v>
      </c>
      <c r="D892" s="47">
        <f t="shared" si="13"/>
        <v>4194.3611799999999</v>
      </c>
    </row>
    <row r="893" spans="1:4">
      <c r="A893" s="122">
        <v>41202</v>
      </c>
      <c r="B893" s="24">
        <v>1.0325</v>
      </c>
      <c r="C893" s="24">
        <v>4040.2</v>
      </c>
      <c r="D893" s="47">
        <f t="shared" si="13"/>
        <v>4171.5064999999995</v>
      </c>
    </row>
    <row r="894" spans="1:4">
      <c r="A894" s="122">
        <v>41201</v>
      </c>
      <c r="B894" s="24">
        <v>1.0325</v>
      </c>
      <c r="C894" s="24">
        <v>4081.5</v>
      </c>
      <c r="D894" s="47">
        <f t="shared" si="13"/>
        <v>4214.1487500000003</v>
      </c>
    </row>
    <row r="895" spans="1:4">
      <c r="A895" s="122">
        <v>41200</v>
      </c>
      <c r="B895" s="24">
        <v>1.0373000000000001</v>
      </c>
      <c r="C895" s="24">
        <v>4149.3999999999996</v>
      </c>
      <c r="D895" s="47">
        <f t="shared" si="13"/>
        <v>4304.1726200000003</v>
      </c>
    </row>
    <row r="896" spans="1:4">
      <c r="A896" s="122">
        <v>41199</v>
      </c>
      <c r="B896" s="24">
        <v>1.0376000000000001</v>
      </c>
      <c r="C896" s="24">
        <v>4071.7</v>
      </c>
      <c r="D896" s="47">
        <f t="shared" si="13"/>
        <v>4224.7959200000005</v>
      </c>
    </row>
    <row r="897" spans="1:4">
      <c r="A897" s="122">
        <v>41198</v>
      </c>
      <c r="B897" s="24">
        <v>1.0310999999999999</v>
      </c>
      <c r="C897" s="24">
        <v>4005.8</v>
      </c>
      <c r="D897" s="47">
        <f t="shared" si="13"/>
        <v>4130.3803799999996</v>
      </c>
    </row>
    <row r="898" spans="1:4">
      <c r="A898" s="122">
        <v>41197</v>
      </c>
      <c r="B898" s="24">
        <v>1.0262</v>
      </c>
      <c r="C898" s="24">
        <v>4072.7</v>
      </c>
      <c r="D898" s="47">
        <f t="shared" si="13"/>
        <v>4179.4047399999999</v>
      </c>
    </row>
    <row r="899" spans="1:4">
      <c r="A899" s="122">
        <v>41196</v>
      </c>
      <c r="B899" s="24">
        <v>1.0219</v>
      </c>
      <c r="C899" s="24">
        <v>4038.5</v>
      </c>
      <c r="D899" s="47">
        <f t="shared" ref="D899:D962" si="14">C899*B899</f>
        <v>4126.9431500000001</v>
      </c>
    </row>
    <row r="900" spans="1:4">
      <c r="A900" s="122">
        <v>41195</v>
      </c>
      <c r="B900" s="24">
        <v>1.0229999999999999</v>
      </c>
      <c r="C900" s="24">
        <v>4194.7</v>
      </c>
      <c r="D900" s="47">
        <f t="shared" si="14"/>
        <v>4291.1780999999992</v>
      </c>
    </row>
    <row r="901" spans="1:4">
      <c r="A901" s="122">
        <v>41194</v>
      </c>
      <c r="B901" s="24">
        <v>1.0229999999999999</v>
      </c>
      <c r="C901" s="24">
        <v>4188</v>
      </c>
      <c r="D901" s="47">
        <f t="shared" si="14"/>
        <v>4284.3239999999996</v>
      </c>
    </row>
    <row r="902" spans="1:4">
      <c r="A902" s="122">
        <v>41193</v>
      </c>
      <c r="B902" s="24">
        <v>1.0248999999999999</v>
      </c>
      <c r="C902" s="24">
        <v>4183.3999999999996</v>
      </c>
      <c r="D902" s="47">
        <f t="shared" si="14"/>
        <v>4287.5666599999995</v>
      </c>
    </row>
    <row r="903" spans="1:4">
      <c r="A903" s="122">
        <v>41192</v>
      </c>
      <c r="B903" s="24">
        <v>1.0218</v>
      </c>
      <c r="C903" s="24">
        <v>4075.5</v>
      </c>
      <c r="D903" s="47">
        <f t="shared" si="14"/>
        <v>4164.3459000000003</v>
      </c>
    </row>
    <row r="904" spans="1:4">
      <c r="A904" s="122">
        <v>41191</v>
      </c>
      <c r="B904" s="24">
        <v>1.0185</v>
      </c>
      <c r="C904" s="24">
        <v>4141.8999999999996</v>
      </c>
      <c r="D904" s="47">
        <f t="shared" si="14"/>
        <v>4218.5251499999995</v>
      </c>
    </row>
    <row r="905" spans="1:4">
      <c r="A905" s="122">
        <v>41190</v>
      </c>
      <c r="B905" s="24">
        <v>1.0206999999999999</v>
      </c>
      <c r="C905" s="24">
        <v>4242.8999999999996</v>
      </c>
      <c r="D905" s="47">
        <f t="shared" si="14"/>
        <v>4330.7280299999993</v>
      </c>
    </row>
    <row r="906" spans="1:4">
      <c r="A906" s="122">
        <v>41189</v>
      </c>
      <c r="B906" s="24">
        <v>1.0166999999999999</v>
      </c>
      <c r="C906" s="24">
        <v>4307.5</v>
      </c>
      <c r="D906" s="47">
        <f t="shared" si="14"/>
        <v>4379.4352499999995</v>
      </c>
    </row>
    <row r="907" spans="1:4">
      <c r="A907" s="122">
        <v>41188</v>
      </c>
      <c r="B907" s="24">
        <v>1.0183</v>
      </c>
      <c r="C907" s="24">
        <v>4296.5</v>
      </c>
      <c r="D907" s="47">
        <f t="shared" si="14"/>
        <v>4375.1259499999996</v>
      </c>
    </row>
    <row r="908" spans="1:4">
      <c r="A908" s="122">
        <v>41187</v>
      </c>
      <c r="B908" s="24">
        <v>1.0183</v>
      </c>
      <c r="C908" s="24">
        <v>4269.2</v>
      </c>
      <c r="D908" s="47">
        <f t="shared" si="14"/>
        <v>4347.32636</v>
      </c>
    </row>
    <row r="909" spans="1:4">
      <c r="A909" s="122">
        <v>41186</v>
      </c>
      <c r="B909" s="24">
        <v>1.0239</v>
      </c>
      <c r="C909" s="24">
        <v>4263.3</v>
      </c>
      <c r="D909" s="47">
        <f t="shared" si="14"/>
        <v>4365.1928700000008</v>
      </c>
    </row>
    <row r="910" spans="1:4">
      <c r="A910" s="122">
        <v>41185</v>
      </c>
      <c r="B910" s="24">
        <v>1.0227999999999999</v>
      </c>
      <c r="C910" s="24">
        <v>4200</v>
      </c>
      <c r="D910" s="47">
        <f t="shared" si="14"/>
        <v>4295.7599999999993</v>
      </c>
    </row>
    <row r="911" spans="1:4">
      <c r="A911" s="122">
        <v>41184</v>
      </c>
      <c r="B911" s="24">
        <v>1.0251999999999999</v>
      </c>
      <c r="C911" s="24">
        <v>4212.8</v>
      </c>
      <c r="D911" s="47">
        <f t="shared" si="14"/>
        <v>4318.9625599999999</v>
      </c>
    </row>
    <row r="912" spans="1:4">
      <c r="A912" s="122">
        <v>41183</v>
      </c>
      <c r="B912" s="24">
        <v>1.0356000000000001</v>
      </c>
      <c r="C912" s="24">
        <v>4167.6000000000004</v>
      </c>
      <c r="D912" s="47">
        <f t="shared" si="14"/>
        <v>4315.9665600000008</v>
      </c>
    </row>
    <row r="913" spans="1:4">
      <c r="A913" s="122">
        <v>41182</v>
      </c>
      <c r="B913" s="24">
        <v>1.0353000000000001</v>
      </c>
      <c r="C913" s="24">
        <v>4173.3999999999996</v>
      </c>
      <c r="D913" s="47">
        <f t="shared" si="14"/>
        <v>4320.72102</v>
      </c>
    </row>
    <row r="914" spans="1:4">
      <c r="A914" s="122">
        <v>41181</v>
      </c>
      <c r="B914" s="24">
        <v>1.038</v>
      </c>
      <c r="C914" s="24">
        <v>4082.3</v>
      </c>
      <c r="D914" s="47">
        <f t="shared" si="14"/>
        <v>4237.4274000000005</v>
      </c>
    </row>
    <row r="915" spans="1:4">
      <c r="A915" s="122">
        <v>41180</v>
      </c>
      <c r="B915" s="24">
        <v>1.038</v>
      </c>
      <c r="C915" s="24">
        <v>4101.8999999999996</v>
      </c>
      <c r="D915" s="47">
        <f t="shared" si="14"/>
        <v>4257.7721999999994</v>
      </c>
    </row>
    <row r="916" spans="1:4">
      <c r="A916" s="122">
        <v>41179</v>
      </c>
      <c r="B916" s="24">
        <v>1.0438000000000001</v>
      </c>
      <c r="C916" s="24">
        <v>4251.2</v>
      </c>
      <c r="D916" s="47">
        <f t="shared" si="14"/>
        <v>4437.4025600000004</v>
      </c>
    </row>
    <row r="917" spans="1:4">
      <c r="A917" s="122">
        <v>41178</v>
      </c>
      <c r="B917" s="24">
        <v>1.0371999999999999</v>
      </c>
      <c r="C917" s="24">
        <v>4303.8999999999996</v>
      </c>
      <c r="D917" s="47">
        <f t="shared" si="14"/>
        <v>4464.005079999999</v>
      </c>
    </row>
    <row r="918" spans="1:4">
      <c r="A918" s="122">
        <v>41177</v>
      </c>
      <c r="B918" s="24">
        <v>1.0364</v>
      </c>
      <c r="C918" s="24">
        <v>4247.3</v>
      </c>
      <c r="D918" s="47">
        <f t="shared" si="14"/>
        <v>4401.9017199999998</v>
      </c>
    </row>
    <row r="919" spans="1:4">
      <c r="A919" s="122">
        <v>41176</v>
      </c>
      <c r="B919" s="24">
        <v>1.0425</v>
      </c>
      <c r="C919" s="24">
        <v>4282.8999999999996</v>
      </c>
      <c r="D919" s="47">
        <f t="shared" si="14"/>
        <v>4464.9232499999998</v>
      </c>
    </row>
    <row r="920" spans="1:4">
      <c r="A920" s="122">
        <v>41175</v>
      </c>
      <c r="B920" s="24">
        <v>1.0432999999999999</v>
      </c>
      <c r="C920" s="24">
        <v>4172.6000000000004</v>
      </c>
      <c r="D920" s="47">
        <f t="shared" si="14"/>
        <v>4353.27358</v>
      </c>
    </row>
    <row r="921" spans="1:4">
      <c r="A921" s="122">
        <v>41174</v>
      </c>
      <c r="B921" s="24">
        <v>1.046</v>
      </c>
      <c r="C921" s="24">
        <v>4140.8</v>
      </c>
      <c r="D921" s="47">
        <f t="shared" si="14"/>
        <v>4331.2768000000005</v>
      </c>
    </row>
    <row r="922" spans="1:4">
      <c r="A922" s="122">
        <v>41173</v>
      </c>
      <c r="B922" s="24">
        <v>1.0461</v>
      </c>
      <c r="C922" s="24">
        <v>4141.3</v>
      </c>
      <c r="D922" s="47">
        <f t="shared" si="14"/>
        <v>4332.2139299999999</v>
      </c>
    </row>
    <row r="923" spans="1:4">
      <c r="A923" s="122">
        <v>41172</v>
      </c>
      <c r="B923" s="24">
        <v>1.0437000000000001</v>
      </c>
      <c r="C923" s="24">
        <v>4034.8</v>
      </c>
      <c r="D923" s="47">
        <f t="shared" si="14"/>
        <v>4211.1207600000007</v>
      </c>
    </row>
    <row r="924" spans="1:4">
      <c r="A924" s="122">
        <v>41171</v>
      </c>
      <c r="B924" s="24">
        <v>1.0467</v>
      </c>
      <c r="C924" s="24">
        <v>3986.1</v>
      </c>
      <c r="D924" s="47">
        <f t="shared" si="14"/>
        <v>4172.2508699999998</v>
      </c>
    </row>
    <row r="925" spans="1:4">
      <c r="A925" s="122">
        <v>41170</v>
      </c>
      <c r="B925" s="24">
        <v>1.0451999999999999</v>
      </c>
      <c r="C925" s="24">
        <v>4105.3999999999996</v>
      </c>
      <c r="D925" s="47">
        <f t="shared" si="14"/>
        <v>4290.9640799999988</v>
      </c>
    </row>
    <row r="926" spans="1:4">
      <c r="A926" s="122">
        <v>41169</v>
      </c>
      <c r="B926" s="24">
        <v>1.0474000000000001</v>
      </c>
      <c r="C926" s="24">
        <v>4276.5</v>
      </c>
      <c r="D926" s="47">
        <f t="shared" si="14"/>
        <v>4479.2061000000003</v>
      </c>
    </row>
    <row r="927" spans="1:4">
      <c r="A927" s="122">
        <v>41168</v>
      </c>
      <c r="B927" s="24">
        <v>1.0537000000000001</v>
      </c>
      <c r="C927" s="24">
        <v>4332.8</v>
      </c>
      <c r="D927" s="47">
        <f t="shared" si="14"/>
        <v>4565.4713600000005</v>
      </c>
    </row>
    <row r="928" spans="1:4">
      <c r="A928" s="122">
        <v>41167</v>
      </c>
      <c r="B928" s="24">
        <v>1.0568</v>
      </c>
      <c r="C928" s="24">
        <v>4433.6000000000004</v>
      </c>
      <c r="D928" s="47">
        <f t="shared" si="14"/>
        <v>4685.4284800000005</v>
      </c>
    </row>
    <row r="929" spans="1:4">
      <c r="A929" s="122">
        <v>41166</v>
      </c>
      <c r="B929" s="24">
        <v>1.0568</v>
      </c>
      <c r="C929" s="24">
        <v>4497.8</v>
      </c>
      <c r="D929" s="47">
        <f t="shared" si="14"/>
        <v>4753.2750400000004</v>
      </c>
    </row>
    <row r="930" spans="1:4">
      <c r="A930" s="122">
        <v>41165</v>
      </c>
      <c r="B930" s="24">
        <v>1.0535000000000001</v>
      </c>
      <c r="C930" s="24">
        <v>4424.6000000000004</v>
      </c>
      <c r="D930" s="47">
        <f t="shared" si="14"/>
        <v>4661.3161000000009</v>
      </c>
    </row>
    <row r="931" spans="1:4">
      <c r="A931" s="122">
        <v>41164</v>
      </c>
      <c r="B931" s="24">
        <v>1.0466</v>
      </c>
      <c r="C931" s="24">
        <v>4463.8</v>
      </c>
      <c r="D931" s="47">
        <f t="shared" si="14"/>
        <v>4671.8130799999999</v>
      </c>
    </row>
    <row r="932" spans="1:4">
      <c r="A932" s="122">
        <v>41163</v>
      </c>
      <c r="B932" s="24">
        <v>1.0430999999999999</v>
      </c>
      <c r="C932" s="24">
        <v>4537.3999999999996</v>
      </c>
      <c r="D932" s="47">
        <f t="shared" si="14"/>
        <v>4732.9619399999992</v>
      </c>
    </row>
    <row r="933" spans="1:4">
      <c r="A933" s="122">
        <v>41162</v>
      </c>
      <c r="B933" s="24">
        <v>1.0334000000000001</v>
      </c>
      <c r="C933" s="24">
        <v>4573.3</v>
      </c>
      <c r="D933" s="47">
        <f t="shared" si="14"/>
        <v>4726.0482200000006</v>
      </c>
    </row>
    <row r="934" spans="1:4">
      <c r="A934" s="122">
        <v>41161</v>
      </c>
      <c r="B934" s="24">
        <v>1.0366</v>
      </c>
      <c r="C934" s="24">
        <v>4530.3999999999996</v>
      </c>
      <c r="D934" s="47">
        <f t="shared" si="14"/>
        <v>4696.2126399999997</v>
      </c>
    </row>
    <row r="935" spans="1:4">
      <c r="A935" s="122">
        <v>41160</v>
      </c>
      <c r="B935" s="24">
        <v>1.0384</v>
      </c>
      <c r="C935" s="24">
        <v>4602.8999999999996</v>
      </c>
      <c r="D935" s="47">
        <f t="shared" si="14"/>
        <v>4779.6513599999998</v>
      </c>
    </row>
    <row r="936" spans="1:4">
      <c r="A936" s="122">
        <v>41159</v>
      </c>
      <c r="B936" s="24">
        <v>1.0384</v>
      </c>
      <c r="C936" s="24">
        <v>4556</v>
      </c>
      <c r="D936" s="47">
        <f t="shared" si="14"/>
        <v>4730.9503999999997</v>
      </c>
    </row>
    <row r="937" spans="1:4">
      <c r="A937" s="122">
        <v>41158</v>
      </c>
      <c r="B937" s="24">
        <v>1.0282</v>
      </c>
      <c r="C937" s="24">
        <v>4549.7</v>
      </c>
      <c r="D937" s="47">
        <f t="shared" si="14"/>
        <v>4678.0015400000002</v>
      </c>
    </row>
    <row r="938" spans="1:4">
      <c r="A938" s="122">
        <v>41157</v>
      </c>
      <c r="B938" s="24">
        <v>1.0192000000000001</v>
      </c>
      <c r="C938" s="24">
        <v>4468.1000000000004</v>
      </c>
      <c r="D938" s="47">
        <f t="shared" si="14"/>
        <v>4553.8875200000011</v>
      </c>
    </row>
    <row r="939" spans="1:4">
      <c r="A939" s="122">
        <v>41156</v>
      </c>
      <c r="B939" s="24">
        <v>1.0223</v>
      </c>
      <c r="C939" s="24">
        <v>4472</v>
      </c>
      <c r="D939" s="47">
        <f t="shared" si="14"/>
        <v>4571.7255999999998</v>
      </c>
    </row>
    <row r="940" spans="1:4">
      <c r="A940" s="122">
        <v>41155</v>
      </c>
      <c r="B940" s="24">
        <v>1.0246</v>
      </c>
      <c r="C940" s="24">
        <v>4473.5</v>
      </c>
      <c r="D940" s="47">
        <f t="shared" si="14"/>
        <v>4583.5481</v>
      </c>
    </row>
    <row r="941" spans="1:4">
      <c r="A941" s="122">
        <v>41154</v>
      </c>
      <c r="B941" s="24">
        <v>1.0278</v>
      </c>
      <c r="C941" s="24">
        <v>4490.7</v>
      </c>
      <c r="D941" s="47">
        <f t="shared" si="14"/>
        <v>4615.5414600000004</v>
      </c>
    </row>
    <row r="942" spans="1:4">
      <c r="A942" s="122">
        <v>41153</v>
      </c>
      <c r="B942" s="24">
        <v>1.0319</v>
      </c>
      <c r="C942" s="24">
        <v>4514.8</v>
      </c>
      <c r="D942" s="47">
        <f t="shared" si="14"/>
        <v>4658.8221200000007</v>
      </c>
    </row>
    <row r="943" spans="1:4">
      <c r="A943" s="122">
        <v>41152</v>
      </c>
      <c r="B943" s="24">
        <v>1.0319</v>
      </c>
      <c r="C943" s="24">
        <v>4495.3999999999996</v>
      </c>
      <c r="D943" s="47">
        <f t="shared" si="14"/>
        <v>4638.8032599999997</v>
      </c>
    </row>
    <row r="944" spans="1:4">
      <c r="A944" s="122">
        <v>41151</v>
      </c>
      <c r="B944" s="24">
        <v>1.0287999999999999</v>
      </c>
      <c r="C944" s="24">
        <v>4582.3</v>
      </c>
      <c r="D944" s="47">
        <f t="shared" si="14"/>
        <v>4714.2702399999998</v>
      </c>
    </row>
    <row r="945" spans="1:4">
      <c r="A945" s="122">
        <v>41150</v>
      </c>
      <c r="B945" s="24">
        <v>1.0347999999999999</v>
      </c>
      <c r="C945" s="24">
        <v>4654.7</v>
      </c>
      <c r="D945" s="47">
        <f t="shared" si="14"/>
        <v>4816.6835599999995</v>
      </c>
    </row>
    <row r="946" spans="1:4">
      <c r="A946" s="122">
        <v>41149</v>
      </c>
      <c r="B946" s="24">
        <v>1.0376000000000001</v>
      </c>
      <c r="C946" s="24">
        <v>4605.5</v>
      </c>
      <c r="D946" s="47">
        <f t="shared" si="14"/>
        <v>4778.6668</v>
      </c>
    </row>
    <row r="947" spans="1:4">
      <c r="A947" s="122">
        <v>41148</v>
      </c>
      <c r="B947" s="24">
        <v>1.0367999999999999</v>
      </c>
      <c r="C947" s="24">
        <v>4605</v>
      </c>
      <c r="D947" s="47">
        <f t="shared" si="14"/>
        <v>4774.4639999999999</v>
      </c>
    </row>
    <row r="948" spans="1:4">
      <c r="A948" s="122">
        <v>41147</v>
      </c>
      <c r="B948" s="24">
        <v>1.0416000000000001</v>
      </c>
      <c r="C948" s="24">
        <v>4598.1000000000004</v>
      </c>
      <c r="D948" s="47">
        <f t="shared" si="14"/>
        <v>4789.3809600000004</v>
      </c>
    </row>
    <row r="949" spans="1:4">
      <c r="A949" s="122">
        <v>41146</v>
      </c>
      <c r="B949" s="24">
        <v>1.0402</v>
      </c>
      <c r="C949" s="24">
        <v>4610.7</v>
      </c>
      <c r="D949" s="47">
        <f t="shared" si="14"/>
        <v>4796.0501400000003</v>
      </c>
    </row>
    <row r="950" spans="1:4">
      <c r="A950" s="122">
        <v>41145</v>
      </c>
      <c r="B950" s="24">
        <v>1.0402</v>
      </c>
      <c r="C950" s="24">
        <v>4591.2</v>
      </c>
      <c r="D950" s="47">
        <f t="shared" si="14"/>
        <v>4775.7662399999999</v>
      </c>
    </row>
    <row r="951" spans="1:4">
      <c r="A951" s="122">
        <v>41144</v>
      </c>
      <c r="B951" s="24">
        <v>1.044</v>
      </c>
      <c r="C951" s="24">
        <v>4608</v>
      </c>
      <c r="D951" s="47">
        <f t="shared" si="14"/>
        <v>4810.7520000000004</v>
      </c>
    </row>
    <row r="952" spans="1:4">
      <c r="A952" s="122">
        <v>41143</v>
      </c>
      <c r="B952" s="24">
        <v>1.0503</v>
      </c>
      <c r="C952" s="24">
        <v>4529.5</v>
      </c>
      <c r="D952" s="47">
        <f t="shared" si="14"/>
        <v>4757.33385</v>
      </c>
    </row>
    <row r="953" spans="1:4">
      <c r="A953" s="122">
        <v>41142</v>
      </c>
      <c r="B953" s="24">
        <v>1.0483</v>
      </c>
      <c r="C953" s="24">
        <v>4474.3</v>
      </c>
      <c r="D953" s="47">
        <f t="shared" si="14"/>
        <v>4690.4086900000002</v>
      </c>
    </row>
    <row r="954" spans="1:4">
      <c r="A954" s="122">
        <v>41141</v>
      </c>
      <c r="B954" s="24">
        <v>1.0443</v>
      </c>
      <c r="C954" s="24">
        <v>4461.8</v>
      </c>
      <c r="D954" s="47">
        <f t="shared" si="14"/>
        <v>4659.4577399999998</v>
      </c>
    </row>
    <row r="955" spans="1:4">
      <c r="A955" s="122">
        <v>41140</v>
      </c>
      <c r="B955" s="24">
        <v>1.0435000000000001</v>
      </c>
      <c r="C955" s="24">
        <v>4508.1000000000004</v>
      </c>
      <c r="D955" s="47">
        <f t="shared" si="14"/>
        <v>4704.2023500000005</v>
      </c>
    </row>
    <row r="956" spans="1:4">
      <c r="A956" s="122">
        <v>41139</v>
      </c>
      <c r="B956" s="24">
        <v>1.0418000000000001</v>
      </c>
      <c r="C956" s="24">
        <v>4500.5</v>
      </c>
      <c r="D956" s="47">
        <f t="shared" si="14"/>
        <v>4688.6208999999999</v>
      </c>
    </row>
    <row r="957" spans="1:4">
      <c r="A957" s="122">
        <v>41138</v>
      </c>
      <c r="B957" s="24">
        <v>1.0418000000000001</v>
      </c>
      <c r="C957" s="24">
        <v>4532.6000000000004</v>
      </c>
      <c r="D957" s="47">
        <f t="shared" si="14"/>
        <v>4722.0626800000009</v>
      </c>
    </row>
    <row r="958" spans="1:4">
      <c r="A958" s="122">
        <v>41137</v>
      </c>
      <c r="B958" s="24">
        <v>1.0508999999999999</v>
      </c>
      <c r="C958" s="24">
        <v>4508.2</v>
      </c>
      <c r="D958" s="47">
        <f t="shared" si="14"/>
        <v>4737.6673799999999</v>
      </c>
    </row>
    <row r="959" spans="1:4">
      <c r="A959" s="122">
        <v>41136</v>
      </c>
      <c r="B959" s="24">
        <v>1.0503</v>
      </c>
      <c r="C959" s="24">
        <v>4451.7</v>
      </c>
      <c r="D959" s="47">
        <f t="shared" si="14"/>
        <v>4675.6205099999997</v>
      </c>
    </row>
    <row r="960" spans="1:4">
      <c r="A960" s="122">
        <v>41135</v>
      </c>
      <c r="B960" s="24">
        <v>1.0488</v>
      </c>
      <c r="C960" s="24">
        <v>4484.8999999999996</v>
      </c>
      <c r="D960" s="47">
        <f t="shared" si="14"/>
        <v>4703.7631199999996</v>
      </c>
    </row>
    <row r="961" spans="1:4">
      <c r="A961" s="122">
        <v>41134</v>
      </c>
      <c r="B961" s="24">
        <v>1.0516000000000001</v>
      </c>
      <c r="C961" s="24">
        <v>4479.2</v>
      </c>
      <c r="D961" s="47">
        <f t="shared" si="14"/>
        <v>4710.32672</v>
      </c>
    </row>
    <row r="962" spans="1:4">
      <c r="A962" s="122">
        <v>41133</v>
      </c>
      <c r="B962" s="24">
        <v>1.0556000000000001</v>
      </c>
      <c r="C962" s="24">
        <v>4566.8</v>
      </c>
      <c r="D962" s="47">
        <f t="shared" si="14"/>
        <v>4820.7140800000006</v>
      </c>
    </row>
    <row r="963" spans="1:4">
      <c r="A963" s="122">
        <v>41132</v>
      </c>
      <c r="B963" s="24">
        <v>1.0576000000000001</v>
      </c>
      <c r="C963" s="24">
        <v>4585</v>
      </c>
      <c r="D963" s="47">
        <f t="shared" ref="D963:D1026" si="15">C963*B963</f>
        <v>4849.0960000000005</v>
      </c>
    </row>
    <row r="964" spans="1:4">
      <c r="A964" s="122">
        <v>41131</v>
      </c>
      <c r="B964" s="24">
        <v>1.0576000000000001</v>
      </c>
      <c r="C964" s="24">
        <v>4562.1000000000004</v>
      </c>
      <c r="D964" s="47">
        <f t="shared" si="15"/>
        <v>4824.8769600000005</v>
      </c>
    </row>
    <row r="965" spans="1:4">
      <c r="A965" s="122">
        <v>41130</v>
      </c>
      <c r="B965" s="24">
        <v>1.0579000000000001</v>
      </c>
      <c r="C965" s="24">
        <v>4549.6000000000004</v>
      </c>
      <c r="D965" s="47">
        <f t="shared" si="15"/>
        <v>4813.0218400000003</v>
      </c>
    </row>
    <row r="966" spans="1:4">
      <c r="A966" s="122">
        <v>41129</v>
      </c>
      <c r="B966" s="24">
        <v>1.0571999999999999</v>
      </c>
      <c r="C966" s="24">
        <v>4536.8</v>
      </c>
      <c r="D966" s="47">
        <f t="shared" si="15"/>
        <v>4796.3049599999995</v>
      </c>
    </row>
    <row r="967" spans="1:4">
      <c r="A967" s="122">
        <v>41128</v>
      </c>
      <c r="B967" s="24">
        <v>1.0552999999999999</v>
      </c>
      <c r="C967" s="24">
        <v>4566.3</v>
      </c>
      <c r="D967" s="47">
        <f t="shared" si="15"/>
        <v>4818.81639</v>
      </c>
    </row>
    <row r="968" spans="1:4">
      <c r="A968" s="122">
        <v>41127</v>
      </c>
      <c r="B968" s="24">
        <v>1.0567</v>
      </c>
      <c r="C968" s="24">
        <v>4569.1000000000004</v>
      </c>
      <c r="D968" s="47">
        <f t="shared" si="15"/>
        <v>4828.1679700000004</v>
      </c>
    </row>
    <row r="969" spans="1:4">
      <c r="A969" s="122">
        <v>41126</v>
      </c>
      <c r="B969" s="24">
        <v>1.0555000000000001</v>
      </c>
      <c r="C969" s="24">
        <v>4583.1000000000004</v>
      </c>
      <c r="D969" s="47">
        <f t="shared" si="15"/>
        <v>4837.462050000001</v>
      </c>
    </row>
    <row r="970" spans="1:4">
      <c r="A970" s="122">
        <v>41125</v>
      </c>
      <c r="B970" s="24">
        <v>1.0566</v>
      </c>
      <c r="C970" s="24">
        <v>4600.3999999999996</v>
      </c>
      <c r="D970" s="47">
        <f t="shared" si="15"/>
        <v>4860.7826399999994</v>
      </c>
    </row>
    <row r="971" spans="1:4">
      <c r="A971" s="122">
        <v>41124</v>
      </c>
      <c r="B971" s="24">
        <v>1.0566</v>
      </c>
      <c r="C971" s="24">
        <v>4707.3</v>
      </c>
      <c r="D971" s="47">
        <f t="shared" si="15"/>
        <v>4973.7331800000002</v>
      </c>
    </row>
    <row r="972" spans="1:4">
      <c r="A972" s="122">
        <v>41123</v>
      </c>
      <c r="B972" s="24">
        <v>1.0462</v>
      </c>
      <c r="C972" s="24">
        <v>4708.3</v>
      </c>
      <c r="D972" s="47">
        <f t="shared" si="15"/>
        <v>4925.8234600000005</v>
      </c>
    </row>
    <row r="973" spans="1:4">
      <c r="A973" s="122">
        <v>41122</v>
      </c>
      <c r="B973" s="24">
        <v>1.0459000000000001</v>
      </c>
      <c r="C973" s="24">
        <v>4667.5</v>
      </c>
      <c r="D973" s="47">
        <f t="shared" si="15"/>
        <v>4881.7382500000003</v>
      </c>
    </row>
    <row r="974" spans="1:4">
      <c r="A974" s="122">
        <v>41121</v>
      </c>
      <c r="B974" s="24">
        <v>1.0502</v>
      </c>
      <c r="C974" s="24">
        <v>4684</v>
      </c>
      <c r="D974" s="47">
        <f t="shared" si="15"/>
        <v>4919.1368000000002</v>
      </c>
    </row>
    <row r="975" spans="1:4">
      <c r="A975" s="122">
        <v>41120</v>
      </c>
      <c r="B975" s="24">
        <v>1.0498000000000001</v>
      </c>
      <c r="C975" s="24">
        <v>4660.2</v>
      </c>
      <c r="D975" s="47">
        <f t="shared" si="15"/>
        <v>4892.2779600000003</v>
      </c>
    </row>
    <row r="976" spans="1:4">
      <c r="A976" s="122">
        <v>41119</v>
      </c>
      <c r="B976" s="24">
        <v>1.0467</v>
      </c>
      <c r="C976" s="24">
        <v>4584.7</v>
      </c>
      <c r="D976" s="47">
        <f t="shared" si="15"/>
        <v>4798.8054899999997</v>
      </c>
    </row>
    <row r="977" spans="1:4">
      <c r="A977" s="122">
        <v>41118</v>
      </c>
      <c r="B977" s="24">
        <v>1.0481</v>
      </c>
      <c r="C977" s="24">
        <v>4628.8</v>
      </c>
      <c r="D977" s="47">
        <f t="shared" si="15"/>
        <v>4851.4452799999999</v>
      </c>
    </row>
    <row r="978" spans="1:4">
      <c r="A978" s="122">
        <v>41117</v>
      </c>
      <c r="B978" s="24">
        <v>1.0481</v>
      </c>
      <c r="C978" s="24">
        <v>4643</v>
      </c>
      <c r="D978" s="47">
        <f t="shared" si="15"/>
        <v>4866.3283000000001</v>
      </c>
    </row>
    <row r="979" spans="1:4">
      <c r="A979" s="122">
        <v>41116</v>
      </c>
      <c r="B979" s="24">
        <v>1.0392999999999999</v>
      </c>
      <c r="C979" s="24">
        <v>4732.2</v>
      </c>
      <c r="D979" s="47">
        <f t="shared" si="15"/>
        <v>4918.1754599999995</v>
      </c>
    </row>
    <row r="980" spans="1:4">
      <c r="A980" s="122">
        <v>41115</v>
      </c>
      <c r="B980" s="24">
        <v>1.0296000000000001</v>
      </c>
      <c r="C980" s="24">
        <v>4756.3999999999996</v>
      </c>
      <c r="D980" s="47">
        <f t="shared" si="15"/>
        <v>4897.1894400000001</v>
      </c>
    </row>
    <row r="981" spans="1:4">
      <c r="A981" s="122">
        <v>41114</v>
      </c>
      <c r="B981" s="24">
        <v>1.0213000000000001</v>
      </c>
      <c r="C981" s="24">
        <v>4693.7</v>
      </c>
      <c r="D981" s="47">
        <f t="shared" si="15"/>
        <v>4793.6758100000006</v>
      </c>
    </row>
    <row r="982" spans="1:4">
      <c r="A982" s="122">
        <v>41113</v>
      </c>
      <c r="B982" s="24">
        <v>1.0268999999999999</v>
      </c>
      <c r="C982" s="24">
        <v>4683.8999999999996</v>
      </c>
      <c r="D982" s="47">
        <f t="shared" si="15"/>
        <v>4809.8969099999995</v>
      </c>
    </row>
    <row r="983" spans="1:4">
      <c r="A983" s="122">
        <v>41112</v>
      </c>
      <c r="B983" s="24">
        <v>1.0334000000000001</v>
      </c>
      <c r="C983" s="24">
        <v>4650</v>
      </c>
      <c r="D983" s="47">
        <f t="shared" si="15"/>
        <v>4805.3100000000004</v>
      </c>
    </row>
    <row r="984" spans="1:4">
      <c r="A984" s="122">
        <v>41111</v>
      </c>
      <c r="B984" s="24">
        <v>1.0376000000000001</v>
      </c>
      <c r="C984" s="24">
        <v>4711.3999999999996</v>
      </c>
      <c r="D984" s="47">
        <f t="shared" si="15"/>
        <v>4888.54864</v>
      </c>
    </row>
    <row r="985" spans="1:4">
      <c r="A985" s="122">
        <v>41110</v>
      </c>
      <c r="B985" s="24">
        <v>1.0376000000000001</v>
      </c>
      <c r="C985" s="24">
        <v>4696.1000000000004</v>
      </c>
      <c r="D985" s="47">
        <f t="shared" si="15"/>
        <v>4872.6733600000007</v>
      </c>
    </row>
    <row r="986" spans="1:4">
      <c r="A986" s="122">
        <v>41109</v>
      </c>
      <c r="B986" s="24">
        <v>1.0424</v>
      </c>
      <c r="C986" s="24">
        <v>4780.2</v>
      </c>
      <c r="D986" s="47">
        <f t="shared" si="15"/>
        <v>4982.8804799999998</v>
      </c>
    </row>
    <row r="987" spans="1:4">
      <c r="A987" s="122">
        <v>41108</v>
      </c>
      <c r="B987" s="24">
        <v>1.0357000000000001</v>
      </c>
      <c r="C987" s="24">
        <v>4725.8</v>
      </c>
      <c r="D987" s="47">
        <f t="shared" si="15"/>
        <v>4894.5110600000007</v>
      </c>
    </row>
    <row r="988" spans="1:4">
      <c r="A988" s="122">
        <v>41107</v>
      </c>
      <c r="B988" s="24">
        <v>1.0314000000000001</v>
      </c>
      <c r="C988" s="24">
        <v>4756.8</v>
      </c>
      <c r="D988" s="47">
        <f t="shared" si="15"/>
        <v>4906.163520000001</v>
      </c>
    </row>
    <row r="989" spans="1:4">
      <c r="A989" s="122">
        <v>41106</v>
      </c>
      <c r="B989" s="24">
        <v>1.0242</v>
      </c>
      <c r="C989" s="24">
        <v>4743</v>
      </c>
      <c r="D989" s="47">
        <f t="shared" si="15"/>
        <v>4857.7806</v>
      </c>
    </row>
    <row r="990" spans="1:4">
      <c r="A990" s="122">
        <v>41105</v>
      </c>
      <c r="B990" s="24">
        <v>1.0230999999999999</v>
      </c>
      <c r="C990" s="24">
        <v>4753.7</v>
      </c>
      <c r="D990" s="47">
        <f t="shared" si="15"/>
        <v>4863.5104699999993</v>
      </c>
    </row>
    <row r="991" spans="1:4">
      <c r="A991" s="122">
        <v>41104</v>
      </c>
      <c r="B991" s="24">
        <v>1.0225</v>
      </c>
      <c r="C991" s="24">
        <v>4740.1000000000004</v>
      </c>
      <c r="D991" s="47">
        <f t="shared" si="15"/>
        <v>4846.7522500000005</v>
      </c>
    </row>
    <row r="992" spans="1:4">
      <c r="A992" s="122">
        <v>41103</v>
      </c>
      <c r="B992" s="24">
        <v>1.0225</v>
      </c>
      <c r="C992" s="24">
        <v>4784.6000000000004</v>
      </c>
      <c r="D992" s="47">
        <f t="shared" si="15"/>
        <v>4892.2534999999998</v>
      </c>
    </row>
    <row r="993" spans="1:4">
      <c r="A993" s="122">
        <v>41102</v>
      </c>
      <c r="B993" s="24">
        <v>1.0134000000000001</v>
      </c>
      <c r="C993" s="24">
        <v>4825.3</v>
      </c>
      <c r="D993" s="47">
        <f t="shared" si="15"/>
        <v>4889.9590200000002</v>
      </c>
    </row>
    <row r="994" spans="1:4">
      <c r="A994" s="122">
        <v>41101</v>
      </c>
      <c r="B994" s="24">
        <v>1.0246</v>
      </c>
      <c r="C994" s="24">
        <v>4823.2</v>
      </c>
      <c r="D994" s="47">
        <f t="shared" si="15"/>
        <v>4941.8507199999995</v>
      </c>
    </row>
    <row r="995" spans="1:4">
      <c r="A995" s="122">
        <v>41100</v>
      </c>
      <c r="B995" s="24">
        <v>1.0185999999999999</v>
      </c>
      <c r="C995" s="24">
        <v>4873</v>
      </c>
      <c r="D995" s="47">
        <f t="shared" si="15"/>
        <v>4963.6377999999995</v>
      </c>
    </row>
    <row r="996" spans="1:4">
      <c r="A996" s="122">
        <v>41099</v>
      </c>
      <c r="B996" s="24">
        <v>1.0206</v>
      </c>
      <c r="C996" s="24">
        <v>4872.8999999999996</v>
      </c>
      <c r="D996" s="47">
        <f t="shared" si="15"/>
        <v>4973.2817399999994</v>
      </c>
    </row>
    <row r="997" spans="1:4">
      <c r="A997" s="122">
        <v>41098</v>
      </c>
      <c r="B997" s="24">
        <v>1.0193000000000001</v>
      </c>
      <c r="C997" s="24">
        <v>4913.8</v>
      </c>
      <c r="D997" s="47">
        <f t="shared" si="15"/>
        <v>5008.6363400000009</v>
      </c>
    </row>
    <row r="998" spans="1:4">
      <c r="A998" s="122">
        <v>41097</v>
      </c>
      <c r="B998" s="24">
        <v>1.0209999999999999</v>
      </c>
      <c r="C998" s="24">
        <v>4859</v>
      </c>
      <c r="D998" s="47">
        <f t="shared" si="15"/>
        <v>4961.0389999999998</v>
      </c>
    </row>
    <row r="999" spans="1:4">
      <c r="A999" s="122">
        <v>41096</v>
      </c>
      <c r="B999" s="24">
        <v>1.0209999999999999</v>
      </c>
      <c r="C999" s="24">
        <v>4793.3</v>
      </c>
      <c r="D999" s="47">
        <f t="shared" si="15"/>
        <v>4893.9592999999995</v>
      </c>
    </row>
    <row r="1000" spans="1:4">
      <c r="A1000" s="122">
        <v>41095</v>
      </c>
      <c r="B1000" s="24">
        <v>1.0278</v>
      </c>
      <c r="C1000" s="24">
        <v>4861.8999999999996</v>
      </c>
      <c r="D1000" s="47">
        <f t="shared" si="15"/>
        <v>4997.0608199999997</v>
      </c>
    </row>
    <row r="1001" spans="1:4">
      <c r="A1001" s="122">
        <v>41094</v>
      </c>
      <c r="B1001" s="24">
        <v>1.0263</v>
      </c>
      <c r="C1001" s="24">
        <v>4852.1000000000004</v>
      </c>
      <c r="D1001" s="47">
        <f t="shared" si="15"/>
        <v>4979.7102300000006</v>
      </c>
    </row>
    <row r="1002" spans="1:4">
      <c r="A1002" s="122">
        <v>41093</v>
      </c>
      <c r="B1002" s="24">
        <v>1.0285</v>
      </c>
      <c r="C1002" s="24">
        <v>4884.2</v>
      </c>
      <c r="D1002" s="47">
        <f t="shared" si="15"/>
        <v>5023.3996999999999</v>
      </c>
    </row>
    <row r="1003" spans="1:4">
      <c r="A1003" s="122">
        <v>41092</v>
      </c>
      <c r="B1003" s="24">
        <v>1.0237000000000001</v>
      </c>
      <c r="C1003" s="24">
        <v>4911</v>
      </c>
      <c r="D1003" s="47">
        <f t="shared" si="15"/>
        <v>5027.3906999999999</v>
      </c>
    </row>
    <row r="1004" spans="1:4">
      <c r="A1004" s="122">
        <v>41091</v>
      </c>
      <c r="B1004" s="24">
        <v>1.0237000000000001</v>
      </c>
      <c r="C1004" s="24">
        <v>4898.7</v>
      </c>
      <c r="D1004" s="47">
        <f t="shared" si="15"/>
        <v>5014.7991899999997</v>
      </c>
    </row>
    <row r="1005" spans="1:4">
      <c r="A1005" s="122">
        <v>41090</v>
      </c>
      <c r="B1005" s="24">
        <v>1.0237000000000001</v>
      </c>
      <c r="C1005" s="24">
        <v>4971.2</v>
      </c>
      <c r="D1005" s="47">
        <f t="shared" si="15"/>
        <v>5089.0174400000005</v>
      </c>
    </row>
    <row r="1006" spans="1:4">
      <c r="A1006" s="122">
        <v>41089</v>
      </c>
      <c r="B1006" s="24">
        <v>1.0237000000000001</v>
      </c>
      <c r="C1006" s="24">
        <v>4940.6000000000004</v>
      </c>
      <c r="D1006" s="47">
        <f t="shared" si="15"/>
        <v>5057.6922200000008</v>
      </c>
    </row>
    <row r="1007" spans="1:4">
      <c r="A1007" s="122">
        <v>41088</v>
      </c>
      <c r="B1007" s="24">
        <v>1.0031000000000001</v>
      </c>
      <c r="C1007" s="24">
        <v>4908.1000000000004</v>
      </c>
      <c r="D1007" s="47">
        <f t="shared" si="15"/>
        <v>4923.3151100000005</v>
      </c>
    </row>
    <row r="1008" spans="1:4">
      <c r="A1008" s="122">
        <v>41087</v>
      </c>
      <c r="B1008" s="24">
        <v>1.0072000000000001</v>
      </c>
      <c r="C1008" s="24">
        <v>4912.8999999999996</v>
      </c>
      <c r="D1008" s="47">
        <f t="shared" si="15"/>
        <v>4948.2728800000004</v>
      </c>
    </row>
    <row r="1009" spans="1:4">
      <c r="A1009" s="122">
        <v>41086</v>
      </c>
      <c r="B1009" s="24">
        <v>1.0045999999999999</v>
      </c>
      <c r="C1009" s="24">
        <v>4900.1000000000004</v>
      </c>
      <c r="D1009" s="47">
        <f t="shared" si="15"/>
        <v>4922.6404599999996</v>
      </c>
    </row>
    <row r="1010" spans="1:4">
      <c r="A1010" s="122">
        <v>41085</v>
      </c>
      <c r="B1010" s="24">
        <v>1.0008999999999999</v>
      </c>
      <c r="C1010" s="24">
        <v>4886.8</v>
      </c>
      <c r="D1010" s="47">
        <f t="shared" si="15"/>
        <v>4891.19812</v>
      </c>
    </row>
    <row r="1011" spans="1:4">
      <c r="A1011" s="122">
        <v>41084</v>
      </c>
      <c r="B1011" s="24">
        <v>1.0029999999999999</v>
      </c>
      <c r="C1011" s="24">
        <v>4861.8</v>
      </c>
      <c r="D1011" s="47">
        <f t="shared" si="15"/>
        <v>4876.3853999999992</v>
      </c>
    </row>
    <row r="1012" spans="1:4">
      <c r="A1012" s="122">
        <v>41083</v>
      </c>
      <c r="B1012" s="24">
        <v>1.0061</v>
      </c>
      <c r="C1012" s="24">
        <v>4837.8999999999996</v>
      </c>
      <c r="D1012" s="47">
        <f t="shared" si="15"/>
        <v>4867.4111899999998</v>
      </c>
    </row>
    <row r="1013" spans="1:4">
      <c r="A1013" s="122">
        <v>41082</v>
      </c>
      <c r="B1013" s="24">
        <v>1.0061</v>
      </c>
      <c r="C1013" s="24">
        <v>4822.2</v>
      </c>
      <c r="D1013" s="47">
        <f t="shared" si="15"/>
        <v>4851.6154200000001</v>
      </c>
    </row>
    <row r="1014" spans="1:4">
      <c r="A1014" s="122">
        <v>41081</v>
      </c>
      <c r="B1014" s="24">
        <v>1.0042</v>
      </c>
      <c r="C1014" s="24">
        <v>4755.8</v>
      </c>
      <c r="D1014" s="47">
        <f t="shared" si="15"/>
        <v>4775.7743600000003</v>
      </c>
    </row>
    <row r="1015" spans="1:4">
      <c r="A1015" s="122">
        <v>41080</v>
      </c>
      <c r="B1015" s="24">
        <v>1.0194000000000001</v>
      </c>
      <c r="C1015" s="24">
        <v>4733.6000000000004</v>
      </c>
      <c r="D1015" s="47">
        <f t="shared" si="15"/>
        <v>4825.4318400000011</v>
      </c>
    </row>
    <row r="1016" spans="1:4">
      <c r="A1016" s="122">
        <v>41079</v>
      </c>
      <c r="B1016" s="24">
        <v>1.0182</v>
      </c>
      <c r="C1016" s="24">
        <v>4742.6000000000004</v>
      </c>
      <c r="D1016" s="47">
        <f t="shared" si="15"/>
        <v>4828.9153200000001</v>
      </c>
    </row>
    <row r="1017" spans="1:4">
      <c r="A1017" s="122">
        <v>41078</v>
      </c>
      <c r="B1017" s="24">
        <v>1.0108999999999999</v>
      </c>
      <c r="C1017" s="24">
        <v>4699.6000000000004</v>
      </c>
      <c r="D1017" s="47">
        <f t="shared" si="15"/>
        <v>4750.82564</v>
      </c>
    </row>
    <row r="1018" spans="1:4">
      <c r="A1018" s="122">
        <v>41077</v>
      </c>
      <c r="B1018" s="24">
        <v>1.0109999999999999</v>
      </c>
      <c r="C1018" s="24">
        <v>4652.3999999999996</v>
      </c>
      <c r="D1018" s="47">
        <f t="shared" si="15"/>
        <v>4703.576399999999</v>
      </c>
    </row>
    <row r="1019" spans="1:4">
      <c r="A1019" s="122">
        <v>41076</v>
      </c>
      <c r="B1019" s="24">
        <v>1.0078</v>
      </c>
      <c r="C1019" s="24">
        <v>4643.3999999999996</v>
      </c>
      <c r="D1019" s="47">
        <f t="shared" si="15"/>
        <v>4679.61852</v>
      </c>
    </row>
    <row r="1020" spans="1:4">
      <c r="A1020" s="122">
        <v>41075</v>
      </c>
      <c r="B1020" s="24">
        <v>1.0078</v>
      </c>
      <c r="C1020" s="24">
        <v>4642.8</v>
      </c>
      <c r="D1020" s="47">
        <f t="shared" si="15"/>
        <v>4679.0138400000005</v>
      </c>
    </row>
    <row r="1021" spans="1:4">
      <c r="A1021" s="122">
        <v>41074</v>
      </c>
      <c r="B1021" s="24">
        <v>1.0012000000000001</v>
      </c>
      <c r="C1021" s="24">
        <v>4626.3999999999996</v>
      </c>
      <c r="D1021" s="47">
        <f t="shared" si="15"/>
        <v>4631.9516800000001</v>
      </c>
    </row>
    <row r="1022" spans="1:4">
      <c r="A1022" s="122">
        <v>41073</v>
      </c>
      <c r="B1022" s="24">
        <v>0.99450000000000005</v>
      </c>
      <c r="C1022" s="24">
        <v>4555.3</v>
      </c>
      <c r="D1022" s="47">
        <f t="shared" si="15"/>
        <v>4530.2458500000002</v>
      </c>
    </row>
    <row r="1023" spans="1:4">
      <c r="A1023" s="122">
        <v>41072</v>
      </c>
      <c r="B1023" s="24">
        <v>0.99439999999999995</v>
      </c>
      <c r="C1023" s="24">
        <v>4558.2</v>
      </c>
      <c r="D1023" s="47">
        <f t="shared" si="15"/>
        <v>4532.6740799999998</v>
      </c>
    </row>
    <row r="1024" spans="1:4">
      <c r="A1024" s="122">
        <v>41071</v>
      </c>
      <c r="B1024" s="24">
        <v>0.98780000000000001</v>
      </c>
      <c r="C1024" s="24">
        <v>4528.7</v>
      </c>
      <c r="D1024" s="47">
        <f t="shared" si="15"/>
        <v>4473.4498599999997</v>
      </c>
    </row>
    <row r="1025" spans="1:4">
      <c r="A1025" s="122">
        <v>41070</v>
      </c>
      <c r="B1025" s="24">
        <v>0.99709999999999999</v>
      </c>
      <c r="C1025" s="24">
        <v>4626.3999999999996</v>
      </c>
      <c r="D1025" s="47">
        <f t="shared" si="15"/>
        <v>4612.98344</v>
      </c>
    </row>
    <row r="1026" spans="1:4">
      <c r="A1026" s="122">
        <v>41069</v>
      </c>
      <c r="B1026" s="24">
        <v>0.99150000000000005</v>
      </c>
      <c r="C1026" s="24">
        <v>4644.8</v>
      </c>
      <c r="D1026" s="47">
        <f t="shared" si="15"/>
        <v>4605.3192000000008</v>
      </c>
    </row>
    <row r="1027" spans="1:4">
      <c r="A1027" s="122">
        <v>41068</v>
      </c>
      <c r="B1027" s="24">
        <v>0.99150000000000005</v>
      </c>
      <c r="C1027" s="24">
        <v>4699.7</v>
      </c>
      <c r="D1027" s="47">
        <f t="shared" ref="D1027:D1090" si="16">C1027*B1027</f>
        <v>4659.7525500000002</v>
      </c>
    </row>
    <row r="1028" spans="1:4">
      <c r="A1028" s="122">
        <v>41067</v>
      </c>
      <c r="B1028" s="24">
        <v>0.99170000000000003</v>
      </c>
      <c r="C1028" s="24">
        <v>4767.8</v>
      </c>
      <c r="D1028" s="47">
        <f t="shared" si="16"/>
        <v>4728.2272600000006</v>
      </c>
    </row>
    <row r="1029" spans="1:4">
      <c r="A1029" s="122">
        <v>41066</v>
      </c>
      <c r="B1029" s="24">
        <v>0.99050000000000005</v>
      </c>
      <c r="C1029" s="24">
        <v>4808.2</v>
      </c>
      <c r="D1029" s="47">
        <f t="shared" si="16"/>
        <v>4762.5221000000001</v>
      </c>
    </row>
    <row r="1030" spans="1:4">
      <c r="A1030" s="122">
        <v>41065</v>
      </c>
      <c r="B1030" s="24">
        <v>0.97760000000000002</v>
      </c>
      <c r="C1030" s="24">
        <v>4797.8999999999996</v>
      </c>
      <c r="D1030" s="47">
        <f t="shared" si="16"/>
        <v>4690.4270399999996</v>
      </c>
    </row>
    <row r="1031" spans="1:4">
      <c r="A1031" s="122">
        <v>41064</v>
      </c>
      <c r="B1031" s="24">
        <v>0.97509999999999997</v>
      </c>
      <c r="C1031" s="24">
        <v>4864.3</v>
      </c>
      <c r="D1031" s="47">
        <f t="shared" si="16"/>
        <v>4743.17893</v>
      </c>
    </row>
    <row r="1032" spans="1:4">
      <c r="A1032" s="122">
        <v>41063</v>
      </c>
      <c r="B1032" s="24">
        <v>0.96409999999999996</v>
      </c>
      <c r="C1032" s="24">
        <v>4806.3999999999996</v>
      </c>
      <c r="D1032" s="47">
        <f t="shared" si="16"/>
        <v>4633.8502399999998</v>
      </c>
    </row>
    <row r="1033" spans="1:4">
      <c r="A1033" s="122">
        <v>41062</v>
      </c>
      <c r="B1033" s="24">
        <v>0.96950000000000003</v>
      </c>
      <c r="C1033" s="24">
        <v>4803.2</v>
      </c>
      <c r="D1033" s="47">
        <f t="shared" si="16"/>
        <v>4656.7024000000001</v>
      </c>
    </row>
    <row r="1034" spans="1:4">
      <c r="A1034" s="122">
        <v>41061</v>
      </c>
      <c r="B1034" s="24">
        <v>0.96950000000000003</v>
      </c>
      <c r="C1034" s="24">
        <v>4826.3999999999996</v>
      </c>
      <c r="D1034" s="47">
        <f t="shared" si="16"/>
        <v>4679.1948000000002</v>
      </c>
    </row>
    <row r="1035" spans="1:4">
      <c r="A1035" s="122">
        <v>41060</v>
      </c>
      <c r="B1035" s="24">
        <v>0.97319999999999995</v>
      </c>
      <c r="C1035" s="24">
        <v>4831.7</v>
      </c>
      <c r="D1035" s="47">
        <f t="shared" si="16"/>
        <v>4702.2104399999998</v>
      </c>
    </row>
    <row r="1036" spans="1:4">
      <c r="A1036" s="122">
        <v>41059</v>
      </c>
      <c r="B1036" s="24">
        <v>0.97040000000000004</v>
      </c>
      <c r="C1036" s="24">
        <v>4836.5</v>
      </c>
      <c r="D1036" s="47">
        <f t="shared" si="16"/>
        <v>4693.3396000000002</v>
      </c>
    </row>
    <row r="1037" spans="1:4">
      <c r="A1037" s="122">
        <v>41058</v>
      </c>
      <c r="B1037" s="24">
        <v>0.98240000000000005</v>
      </c>
      <c r="C1037" s="24">
        <v>4809.3</v>
      </c>
      <c r="D1037" s="47">
        <f t="shared" si="16"/>
        <v>4724.6563200000001</v>
      </c>
    </row>
    <row r="1038" spans="1:4">
      <c r="A1038" s="122">
        <v>41057</v>
      </c>
      <c r="B1038" s="24">
        <v>0.98170000000000002</v>
      </c>
      <c r="C1038" s="24">
        <v>4845.8999999999996</v>
      </c>
      <c r="D1038" s="47">
        <f t="shared" si="16"/>
        <v>4757.2200299999995</v>
      </c>
    </row>
    <row r="1039" spans="1:4">
      <c r="A1039" s="122">
        <v>41056</v>
      </c>
      <c r="B1039" s="24">
        <v>0.98199999999999998</v>
      </c>
      <c r="C1039" s="24">
        <v>4856.7</v>
      </c>
      <c r="D1039" s="47">
        <f t="shared" si="16"/>
        <v>4769.2793999999994</v>
      </c>
    </row>
    <row r="1040" spans="1:4">
      <c r="A1040" s="122">
        <v>41055</v>
      </c>
      <c r="B1040" s="24">
        <v>0.97570000000000001</v>
      </c>
      <c r="C1040" s="24">
        <v>4900</v>
      </c>
      <c r="D1040" s="47">
        <f t="shared" si="16"/>
        <v>4780.93</v>
      </c>
    </row>
    <row r="1041" spans="1:4">
      <c r="A1041" s="122">
        <v>41054</v>
      </c>
      <c r="B1041" s="24">
        <v>0.97570000000000001</v>
      </c>
      <c r="C1041" s="24">
        <v>4936.7</v>
      </c>
      <c r="D1041" s="47">
        <f t="shared" si="16"/>
        <v>4816.73819</v>
      </c>
    </row>
    <row r="1042" spans="1:4">
      <c r="A1042" s="122">
        <v>41053</v>
      </c>
      <c r="B1042" s="24">
        <v>0.97589999999999999</v>
      </c>
      <c r="C1042" s="24">
        <v>4938.3999999999996</v>
      </c>
      <c r="D1042" s="47">
        <f t="shared" si="16"/>
        <v>4819.3845599999995</v>
      </c>
    </row>
    <row r="1043" spans="1:4">
      <c r="A1043" s="122">
        <v>41052</v>
      </c>
      <c r="B1043" s="24">
        <v>0.97289999999999999</v>
      </c>
      <c r="C1043" s="24">
        <v>4930.2</v>
      </c>
      <c r="D1043" s="47">
        <f t="shared" si="16"/>
        <v>4796.5915799999993</v>
      </c>
    </row>
    <row r="1044" spans="1:4">
      <c r="A1044" s="122">
        <v>41051</v>
      </c>
      <c r="B1044" s="24">
        <v>0.97719999999999996</v>
      </c>
      <c r="C1044" s="24">
        <v>4931</v>
      </c>
      <c r="D1044" s="47">
        <f t="shared" si="16"/>
        <v>4818.5731999999998</v>
      </c>
    </row>
    <row r="1045" spans="1:4">
      <c r="A1045" s="122">
        <v>41050</v>
      </c>
      <c r="B1045" s="24">
        <v>0.99160000000000004</v>
      </c>
      <c r="C1045" s="24">
        <v>4935.8</v>
      </c>
      <c r="D1045" s="47">
        <f t="shared" si="16"/>
        <v>4894.3392800000001</v>
      </c>
    </row>
    <row r="1046" spans="1:4">
      <c r="A1046" s="122">
        <v>41049</v>
      </c>
      <c r="B1046" s="24">
        <v>0.98370000000000002</v>
      </c>
      <c r="C1046" s="24">
        <v>4880.8999999999996</v>
      </c>
      <c r="D1046" s="47">
        <f t="shared" si="16"/>
        <v>4801.3413299999993</v>
      </c>
    </row>
    <row r="1047" spans="1:4">
      <c r="A1047" s="122">
        <v>41048</v>
      </c>
      <c r="B1047" s="24">
        <v>0.98419999999999996</v>
      </c>
      <c r="C1047" s="24">
        <v>4914.3999999999996</v>
      </c>
      <c r="D1047" s="47">
        <f t="shared" si="16"/>
        <v>4836.7524799999992</v>
      </c>
    </row>
    <row r="1048" spans="1:4">
      <c r="A1048" s="122">
        <v>41047</v>
      </c>
      <c r="B1048" s="24">
        <v>0.98419999999999996</v>
      </c>
      <c r="C1048" s="24">
        <v>4904.8</v>
      </c>
      <c r="D1048" s="47">
        <f t="shared" si="16"/>
        <v>4827.3041599999997</v>
      </c>
    </row>
    <row r="1049" spans="1:4">
      <c r="A1049" s="122">
        <v>41046</v>
      </c>
      <c r="B1049" s="24">
        <v>0.98960000000000004</v>
      </c>
      <c r="C1049" s="24">
        <v>4890.3999999999996</v>
      </c>
      <c r="D1049" s="47">
        <f t="shared" si="16"/>
        <v>4839.5398399999995</v>
      </c>
    </row>
    <row r="1050" spans="1:4">
      <c r="A1050" s="122">
        <v>41045</v>
      </c>
      <c r="B1050" s="24">
        <v>0.99299999999999999</v>
      </c>
      <c r="C1050" s="24">
        <v>4868.5</v>
      </c>
      <c r="D1050" s="47">
        <f t="shared" si="16"/>
        <v>4834.4205000000002</v>
      </c>
    </row>
    <row r="1051" spans="1:4">
      <c r="A1051" s="122">
        <v>41044</v>
      </c>
      <c r="B1051" s="24">
        <v>0.99419999999999997</v>
      </c>
      <c r="C1051" s="24">
        <v>4862.7</v>
      </c>
      <c r="D1051" s="47">
        <f t="shared" si="16"/>
        <v>4834.4963399999997</v>
      </c>
    </row>
    <row r="1052" spans="1:4">
      <c r="A1052" s="122">
        <v>41043</v>
      </c>
      <c r="B1052" s="24">
        <v>0.99680000000000002</v>
      </c>
      <c r="C1052" s="24">
        <v>4820.6000000000004</v>
      </c>
      <c r="D1052" s="47">
        <f t="shared" si="16"/>
        <v>4805.1740800000007</v>
      </c>
    </row>
    <row r="1053" spans="1:4">
      <c r="A1053" s="122">
        <v>41042</v>
      </c>
      <c r="B1053" s="24">
        <v>1.0014000000000001</v>
      </c>
      <c r="C1053" s="24">
        <v>4796.5</v>
      </c>
      <c r="D1053" s="47">
        <f t="shared" si="16"/>
        <v>4803.2151000000003</v>
      </c>
    </row>
    <row r="1054" spans="1:4">
      <c r="A1054" s="122">
        <v>41041</v>
      </c>
      <c r="B1054" s="24">
        <v>1.0018</v>
      </c>
      <c r="C1054" s="24">
        <v>4752.1000000000004</v>
      </c>
      <c r="D1054" s="47">
        <f t="shared" si="16"/>
        <v>4760.6537800000006</v>
      </c>
    </row>
    <row r="1055" spans="1:4">
      <c r="A1055" s="122">
        <v>41040</v>
      </c>
      <c r="B1055" s="24">
        <v>1.0018</v>
      </c>
      <c r="C1055" s="24">
        <v>4753.8999999999996</v>
      </c>
      <c r="D1055" s="47">
        <f t="shared" si="16"/>
        <v>4762.4570199999998</v>
      </c>
    </row>
    <row r="1056" spans="1:4">
      <c r="A1056" s="122">
        <v>41039</v>
      </c>
      <c r="B1056" s="24">
        <v>1.0059</v>
      </c>
      <c r="C1056" s="24">
        <v>4774.8999999999996</v>
      </c>
      <c r="D1056" s="47">
        <f t="shared" si="16"/>
        <v>4803.0719099999997</v>
      </c>
    </row>
    <row r="1057" spans="1:4">
      <c r="A1057" s="122">
        <v>41038</v>
      </c>
      <c r="B1057" s="24">
        <v>1.0052000000000001</v>
      </c>
      <c r="C1057" s="24">
        <v>4806.1000000000004</v>
      </c>
      <c r="D1057" s="47">
        <f t="shared" si="16"/>
        <v>4831.0917200000013</v>
      </c>
    </row>
    <row r="1058" spans="1:4">
      <c r="A1058" s="122">
        <v>41037</v>
      </c>
      <c r="B1058" s="24">
        <v>1.01</v>
      </c>
      <c r="C1058" s="24">
        <v>4807.8</v>
      </c>
      <c r="D1058" s="47">
        <f t="shared" si="16"/>
        <v>4855.8780000000006</v>
      </c>
    </row>
    <row r="1059" spans="1:4">
      <c r="A1059" s="122">
        <v>41036</v>
      </c>
      <c r="B1059" s="24">
        <v>1.0214000000000001</v>
      </c>
      <c r="C1059" s="24">
        <v>4786</v>
      </c>
      <c r="D1059" s="47">
        <f t="shared" si="16"/>
        <v>4888.4204</v>
      </c>
    </row>
    <row r="1060" spans="1:4">
      <c r="A1060" s="122">
        <v>41034</v>
      </c>
      <c r="B1060" s="24">
        <v>1.0153000000000001</v>
      </c>
      <c r="C1060" s="24">
        <v>4755.7</v>
      </c>
      <c r="D1060" s="47">
        <f t="shared" si="16"/>
        <v>4828.4622100000006</v>
      </c>
    </row>
    <row r="1061" spans="1:4">
      <c r="A1061" s="122">
        <v>41033</v>
      </c>
      <c r="B1061" s="24">
        <v>1.0153000000000001</v>
      </c>
      <c r="C1061" s="24">
        <v>4783.7</v>
      </c>
      <c r="D1061" s="47">
        <f t="shared" si="16"/>
        <v>4856.8906100000004</v>
      </c>
    </row>
    <row r="1062" spans="1:4">
      <c r="A1062" s="122">
        <v>41032</v>
      </c>
      <c r="B1062" s="24">
        <v>1.0266999999999999</v>
      </c>
      <c r="C1062" s="24">
        <v>4834.6000000000004</v>
      </c>
      <c r="D1062" s="47">
        <f t="shared" si="16"/>
        <v>4963.6838200000002</v>
      </c>
    </row>
    <row r="1063" spans="1:4">
      <c r="A1063" s="122">
        <v>41031</v>
      </c>
      <c r="B1063" s="24">
        <v>1.0302</v>
      </c>
      <c r="C1063" s="24">
        <v>4801.8</v>
      </c>
      <c r="D1063" s="47">
        <f t="shared" si="16"/>
        <v>4946.8143600000003</v>
      </c>
    </row>
    <row r="1064" spans="1:4">
      <c r="A1064" s="122">
        <v>41030</v>
      </c>
      <c r="B1064" s="24">
        <v>1.0333000000000001</v>
      </c>
      <c r="C1064" s="24">
        <v>4763.1000000000004</v>
      </c>
      <c r="D1064" s="47">
        <f t="shared" si="16"/>
        <v>4921.7112300000008</v>
      </c>
    </row>
    <row r="1065" spans="1:4">
      <c r="A1065" s="122">
        <v>41029</v>
      </c>
      <c r="B1065" s="24">
        <v>1.0427999999999999</v>
      </c>
      <c r="C1065" s="24">
        <v>4801.5</v>
      </c>
      <c r="D1065" s="47">
        <f t="shared" si="16"/>
        <v>5007.0041999999994</v>
      </c>
    </row>
    <row r="1066" spans="1:4">
      <c r="A1066" s="122">
        <v>41028</v>
      </c>
      <c r="B1066" s="24">
        <v>1.0455000000000001</v>
      </c>
      <c r="C1066" s="24">
        <v>4795.2</v>
      </c>
      <c r="D1066" s="47">
        <f t="shared" si="16"/>
        <v>5013.3816000000006</v>
      </c>
    </row>
    <row r="1067" spans="1:4">
      <c r="A1067" s="122">
        <v>41027</v>
      </c>
      <c r="B1067" s="24">
        <v>1.0466</v>
      </c>
      <c r="C1067" s="24">
        <v>4724.2</v>
      </c>
      <c r="D1067" s="47">
        <f t="shared" si="16"/>
        <v>4944.3477199999998</v>
      </c>
    </row>
    <row r="1068" spans="1:4">
      <c r="A1068" s="122">
        <v>41026</v>
      </c>
      <c r="B1068" s="24">
        <v>1.0466</v>
      </c>
      <c r="C1068" s="24">
        <v>4710.7</v>
      </c>
      <c r="D1068" s="47">
        <f t="shared" si="16"/>
        <v>4930.2186199999996</v>
      </c>
    </row>
    <row r="1069" spans="1:4">
      <c r="A1069" s="122">
        <v>41025</v>
      </c>
      <c r="B1069" s="24">
        <v>1.0366</v>
      </c>
      <c r="C1069" s="24">
        <v>4712.3</v>
      </c>
      <c r="D1069" s="47">
        <f t="shared" si="16"/>
        <v>4884.7701800000004</v>
      </c>
    </row>
    <row r="1070" spans="1:4">
      <c r="A1070" s="122">
        <v>41024</v>
      </c>
      <c r="B1070" s="24">
        <v>1.0361</v>
      </c>
      <c r="C1070" s="24">
        <v>4705</v>
      </c>
      <c r="D1070" s="47">
        <f t="shared" si="16"/>
        <v>4874.8505000000005</v>
      </c>
    </row>
    <row r="1071" spans="1:4">
      <c r="A1071" s="122">
        <v>41023</v>
      </c>
      <c r="B1071" s="24">
        <v>1.0333000000000001</v>
      </c>
      <c r="C1071" s="24">
        <v>4725</v>
      </c>
      <c r="D1071" s="47">
        <f t="shared" si="16"/>
        <v>4882.3425000000007</v>
      </c>
    </row>
    <row r="1072" spans="1:4">
      <c r="A1072" s="122">
        <v>41022</v>
      </c>
      <c r="B1072" s="24">
        <v>1.0305</v>
      </c>
      <c r="C1072" s="24">
        <v>4714.8999999999996</v>
      </c>
      <c r="D1072" s="47">
        <f t="shared" si="16"/>
        <v>4858.7044499999993</v>
      </c>
    </row>
    <row r="1073" spans="1:4">
      <c r="A1073" s="122">
        <v>41021</v>
      </c>
      <c r="B1073" s="24">
        <v>1.0383</v>
      </c>
      <c r="C1073" s="24">
        <v>4742.5</v>
      </c>
      <c r="D1073" s="47">
        <f t="shared" si="16"/>
        <v>4924.1377499999999</v>
      </c>
    </row>
    <row r="1074" spans="1:4">
      <c r="A1074" s="122">
        <v>41020</v>
      </c>
      <c r="B1074" s="24">
        <v>1.0378000000000001</v>
      </c>
      <c r="C1074" s="24">
        <v>4745.2</v>
      </c>
      <c r="D1074" s="47">
        <f t="shared" si="16"/>
        <v>4924.5685599999997</v>
      </c>
    </row>
    <row r="1075" spans="1:4">
      <c r="A1075" s="122">
        <v>41019</v>
      </c>
      <c r="B1075" s="24">
        <v>1.0378000000000001</v>
      </c>
      <c r="C1075" s="24">
        <v>4790.3999999999996</v>
      </c>
      <c r="D1075" s="47">
        <f t="shared" si="16"/>
        <v>4971.4771199999996</v>
      </c>
    </row>
    <row r="1076" spans="1:4">
      <c r="A1076" s="122">
        <v>41018</v>
      </c>
      <c r="B1076" s="24">
        <v>1.0344</v>
      </c>
      <c r="C1076" s="24">
        <v>4775.2</v>
      </c>
      <c r="D1076" s="47">
        <f t="shared" si="16"/>
        <v>4939.4668799999999</v>
      </c>
    </row>
    <row r="1077" spans="1:4">
      <c r="A1077" s="122">
        <v>41017</v>
      </c>
      <c r="B1077" s="24">
        <v>1.0371999999999999</v>
      </c>
      <c r="C1077" s="24">
        <v>4777.3</v>
      </c>
      <c r="D1077" s="47">
        <f t="shared" si="16"/>
        <v>4955.0155599999998</v>
      </c>
    </row>
    <row r="1078" spans="1:4">
      <c r="A1078" s="122">
        <v>41016</v>
      </c>
      <c r="B1078" s="24">
        <v>1.0407</v>
      </c>
      <c r="C1078" s="24">
        <v>4799</v>
      </c>
      <c r="D1078" s="47">
        <f t="shared" si="16"/>
        <v>4994.3193000000001</v>
      </c>
    </row>
    <row r="1079" spans="1:4">
      <c r="A1079" s="122">
        <v>41015</v>
      </c>
      <c r="B1079" s="24">
        <v>1.0349999999999999</v>
      </c>
      <c r="C1079" s="24">
        <v>4778.3999999999996</v>
      </c>
      <c r="D1079" s="47">
        <f t="shared" si="16"/>
        <v>4945.6439999999993</v>
      </c>
    </row>
    <row r="1080" spans="1:4">
      <c r="A1080" s="122">
        <v>41014</v>
      </c>
      <c r="B1080" s="24">
        <v>1.0337000000000001</v>
      </c>
      <c r="C1080" s="24">
        <v>4771.8999999999996</v>
      </c>
      <c r="D1080" s="47">
        <f t="shared" si="16"/>
        <v>4932.7130299999999</v>
      </c>
    </row>
    <row r="1081" spans="1:4">
      <c r="A1081" s="122">
        <v>41013</v>
      </c>
      <c r="B1081" s="24">
        <v>1.0368999999999999</v>
      </c>
      <c r="C1081" s="24">
        <v>4736.6000000000004</v>
      </c>
      <c r="D1081" s="47">
        <f t="shared" si="16"/>
        <v>4911.3805400000001</v>
      </c>
    </row>
    <row r="1082" spans="1:4">
      <c r="A1082" s="122">
        <v>41012</v>
      </c>
      <c r="B1082" s="24">
        <v>1.0368999999999999</v>
      </c>
      <c r="C1082" s="24">
        <v>4763.1000000000004</v>
      </c>
      <c r="D1082" s="47">
        <f t="shared" si="16"/>
        <v>4938.8583900000003</v>
      </c>
    </row>
    <row r="1083" spans="1:4">
      <c r="A1083" s="122">
        <v>41011</v>
      </c>
      <c r="B1083" s="24">
        <v>1.0438000000000001</v>
      </c>
      <c r="C1083" s="24">
        <v>4784</v>
      </c>
      <c r="D1083" s="47">
        <f t="shared" si="16"/>
        <v>4993.5392000000002</v>
      </c>
    </row>
    <row r="1084" spans="1:4">
      <c r="A1084" s="122">
        <v>41010</v>
      </c>
      <c r="B1084" s="24">
        <v>1.0322</v>
      </c>
      <c r="C1084" s="24">
        <v>4767.8</v>
      </c>
      <c r="D1084" s="47">
        <f t="shared" si="16"/>
        <v>4921.3231599999999</v>
      </c>
    </row>
    <row r="1085" spans="1:4">
      <c r="A1085" s="122">
        <v>41009</v>
      </c>
      <c r="B1085" s="24">
        <v>1.0230999999999999</v>
      </c>
      <c r="C1085" s="24">
        <v>4766.8999999999996</v>
      </c>
      <c r="D1085" s="47">
        <f t="shared" si="16"/>
        <v>4877.0153899999996</v>
      </c>
    </row>
    <row r="1086" spans="1:4">
      <c r="A1086" s="122">
        <v>41008</v>
      </c>
      <c r="B1086" s="24">
        <v>1.0310999999999999</v>
      </c>
      <c r="C1086" s="24">
        <v>4757.1000000000004</v>
      </c>
      <c r="D1086" s="47">
        <f t="shared" si="16"/>
        <v>4905.0458099999996</v>
      </c>
    </row>
    <row r="1087" spans="1:4">
      <c r="A1087" s="122">
        <v>41007</v>
      </c>
      <c r="B1087" s="24">
        <v>1.0287999999999999</v>
      </c>
      <c r="C1087" s="24">
        <v>4745.8999999999996</v>
      </c>
      <c r="D1087" s="47">
        <f t="shared" si="16"/>
        <v>4882.5819199999996</v>
      </c>
    </row>
    <row r="1088" spans="1:4">
      <c r="A1088" s="122">
        <v>41006</v>
      </c>
      <c r="B1088" s="24">
        <v>1.0304</v>
      </c>
      <c r="C1088" s="24">
        <v>4741.3</v>
      </c>
      <c r="D1088" s="47">
        <f t="shared" si="16"/>
        <v>4885.43552</v>
      </c>
    </row>
    <row r="1089" spans="1:4">
      <c r="A1089" s="122">
        <v>41005</v>
      </c>
      <c r="B1089" s="24">
        <v>1.0304</v>
      </c>
      <c r="C1089" s="24">
        <v>4699.8999999999996</v>
      </c>
      <c r="D1089" s="47">
        <f t="shared" si="16"/>
        <v>4842.7769599999992</v>
      </c>
    </row>
    <row r="1090" spans="1:4">
      <c r="A1090" s="122">
        <v>41004</v>
      </c>
      <c r="B1090" s="24">
        <v>1.0291999999999999</v>
      </c>
      <c r="C1090" s="24">
        <v>4726.8</v>
      </c>
      <c r="D1090" s="47">
        <f t="shared" si="16"/>
        <v>4864.8225599999996</v>
      </c>
    </row>
    <row r="1091" spans="1:4">
      <c r="A1091" s="122">
        <v>41003</v>
      </c>
      <c r="B1091" s="24">
        <v>1.0283</v>
      </c>
      <c r="C1091" s="24">
        <v>4688.6000000000004</v>
      </c>
      <c r="D1091" s="47">
        <f t="shared" ref="D1091:D1154" si="17">C1091*B1091</f>
        <v>4821.2873800000007</v>
      </c>
    </row>
    <row r="1092" spans="1:4">
      <c r="A1092" s="122">
        <v>41002</v>
      </c>
      <c r="B1092" s="24">
        <v>1.0304</v>
      </c>
      <c r="C1092" s="24">
        <v>4694.2</v>
      </c>
      <c r="D1092" s="47">
        <f t="shared" si="17"/>
        <v>4836.9036799999994</v>
      </c>
    </row>
    <row r="1093" spans="1:4">
      <c r="A1093" s="122">
        <v>41001</v>
      </c>
      <c r="B1093" s="24">
        <v>1.0429999999999999</v>
      </c>
      <c r="C1093" s="24">
        <v>4676.2</v>
      </c>
      <c r="D1093" s="47">
        <f t="shared" si="17"/>
        <v>4877.2765999999992</v>
      </c>
    </row>
    <row r="1094" spans="1:4">
      <c r="A1094" s="122">
        <v>41000</v>
      </c>
      <c r="B1094" s="24">
        <v>1.0427</v>
      </c>
      <c r="C1094" s="24">
        <v>4586.6000000000004</v>
      </c>
      <c r="D1094" s="47">
        <f t="shared" si="17"/>
        <v>4782.4478200000003</v>
      </c>
    </row>
    <row r="1095" spans="1:4">
      <c r="A1095" s="122">
        <v>40999</v>
      </c>
      <c r="B1095" s="24">
        <v>1.0346</v>
      </c>
      <c r="C1095" s="24">
        <v>4584.3999999999996</v>
      </c>
      <c r="D1095" s="47">
        <f t="shared" si="17"/>
        <v>4743.0202399999998</v>
      </c>
    </row>
    <row r="1096" spans="1:4">
      <c r="A1096" s="122">
        <v>40998</v>
      </c>
      <c r="B1096" s="24">
        <v>1.0346</v>
      </c>
      <c r="C1096" s="24">
        <v>4618.5</v>
      </c>
      <c r="D1096" s="47">
        <f t="shared" si="17"/>
        <v>4778.3000999999995</v>
      </c>
    </row>
    <row r="1097" spans="1:4">
      <c r="A1097" s="122">
        <v>40997</v>
      </c>
      <c r="B1097" s="24">
        <v>1.0374000000000001</v>
      </c>
      <c r="C1097" s="24">
        <v>4598.3</v>
      </c>
      <c r="D1097" s="47">
        <f t="shared" si="17"/>
        <v>4770.2764200000011</v>
      </c>
    </row>
    <row r="1098" spans="1:4">
      <c r="A1098" s="122">
        <v>40996</v>
      </c>
      <c r="B1098" s="24">
        <v>1.0386</v>
      </c>
      <c r="C1098" s="24">
        <v>4593.3999999999996</v>
      </c>
      <c r="D1098" s="47">
        <f t="shared" si="17"/>
        <v>4770.7052399999993</v>
      </c>
    </row>
    <row r="1099" spans="1:4">
      <c r="A1099" s="122">
        <v>40995</v>
      </c>
      <c r="B1099" s="24">
        <v>1.044</v>
      </c>
      <c r="C1099" s="24">
        <v>4584.6000000000004</v>
      </c>
      <c r="D1099" s="47">
        <f t="shared" si="17"/>
        <v>4786.3224000000009</v>
      </c>
    </row>
    <row r="1100" spans="1:4">
      <c r="A1100" s="122">
        <v>40994</v>
      </c>
      <c r="B1100" s="24">
        <v>1.0527</v>
      </c>
      <c r="C1100" s="24">
        <v>4589.1000000000004</v>
      </c>
      <c r="D1100" s="47">
        <f t="shared" si="17"/>
        <v>4830.9455699999999</v>
      </c>
    </row>
    <row r="1101" spans="1:4">
      <c r="A1101" s="122">
        <v>40992</v>
      </c>
      <c r="B1101" s="24">
        <v>1.0459000000000001</v>
      </c>
      <c r="C1101" s="24">
        <v>4643.5</v>
      </c>
      <c r="D1101" s="47">
        <f t="shared" si="17"/>
        <v>4856.6366500000004</v>
      </c>
    </row>
    <row r="1102" spans="1:4">
      <c r="A1102" s="122">
        <v>40991</v>
      </c>
      <c r="B1102" s="24">
        <v>1.0459000000000001</v>
      </c>
      <c r="C1102" s="24">
        <v>4629.2</v>
      </c>
      <c r="D1102" s="47">
        <f t="shared" si="17"/>
        <v>4841.6802800000005</v>
      </c>
    </row>
    <row r="1103" spans="1:4">
      <c r="A1103" s="122">
        <v>40990</v>
      </c>
      <c r="B1103" s="24">
        <v>1.0405</v>
      </c>
      <c r="C1103" s="24">
        <v>4640.2</v>
      </c>
      <c r="D1103" s="47">
        <f t="shared" si="17"/>
        <v>4828.1280999999999</v>
      </c>
    </row>
    <row r="1104" spans="1:4">
      <c r="A1104" s="122">
        <v>40989</v>
      </c>
      <c r="B1104" s="24">
        <v>1.0450999999999999</v>
      </c>
      <c r="C1104" s="24">
        <v>4624.3</v>
      </c>
      <c r="D1104" s="47">
        <f t="shared" si="17"/>
        <v>4832.8559299999997</v>
      </c>
    </row>
    <row r="1105" spans="1:4">
      <c r="A1105" s="122">
        <v>40988</v>
      </c>
      <c r="B1105" s="24">
        <v>1.0482</v>
      </c>
      <c r="C1105" s="24">
        <v>4700.3</v>
      </c>
      <c r="D1105" s="47">
        <f t="shared" si="17"/>
        <v>4926.8544600000005</v>
      </c>
    </row>
    <row r="1106" spans="1:4">
      <c r="A1106" s="122">
        <v>40987</v>
      </c>
      <c r="B1106" s="24">
        <v>1.0596000000000001</v>
      </c>
      <c r="C1106" s="24">
        <v>4688</v>
      </c>
      <c r="D1106" s="47">
        <f t="shared" si="17"/>
        <v>4967.4048000000003</v>
      </c>
    </row>
    <row r="1107" spans="1:4">
      <c r="A1107" s="122">
        <v>40986</v>
      </c>
      <c r="B1107" s="24">
        <v>1.0602</v>
      </c>
      <c r="C1107" s="24">
        <v>4692.7</v>
      </c>
      <c r="D1107" s="47">
        <f t="shared" si="17"/>
        <v>4975.2005399999998</v>
      </c>
    </row>
    <row r="1108" spans="1:4">
      <c r="A1108" s="122">
        <v>40985</v>
      </c>
      <c r="B1108" s="24">
        <v>1.0586</v>
      </c>
      <c r="C1108" s="24">
        <v>4728.6000000000004</v>
      </c>
      <c r="D1108" s="47">
        <f t="shared" si="17"/>
        <v>5005.69596</v>
      </c>
    </row>
    <row r="1109" spans="1:4">
      <c r="A1109" s="122">
        <v>40984</v>
      </c>
      <c r="B1109" s="24">
        <v>1.0586</v>
      </c>
      <c r="C1109" s="24">
        <v>4699.8</v>
      </c>
      <c r="D1109" s="47">
        <f t="shared" si="17"/>
        <v>4975.2082799999998</v>
      </c>
    </row>
    <row r="1110" spans="1:4">
      <c r="A1110" s="122">
        <v>40983</v>
      </c>
      <c r="B1110" s="24">
        <v>1.052</v>
      </c>
      <c r="C1110" s="24">
        <v>4740.7</v>
      </c>
      <c r="D1110" s="47">
        <f t="shared" si="17"/>
        <v>4987.2164000000002</v>
      </c>
    </row>
    <row r="1111" spans="1:4">
      <c r="A1111" s="122">
        <v>40982</v>
      </c>
      <c r="B1111" s="24">
        <v>1.0438000000000001</v>
      </c>
      <c r="C1111" s="24">
        <v>4778.3999999999996</v>
      </c>
      <c r="D1111" s="47">
        <f t="shared" si="17"/>
        <v>4987.6939199999997</v>
      </c>
    </row>
    <row r="1112" spans="1:4">
      <c r="A1112" s="122">
        <v>40981</v>
      </c>
      <c r="B1112" s="24">
        <v>1.0539000000000001</v>
      </c>
      <c r="C1112" s="24">
        <v>4800.6000000000004</v>
      </c>
      <c r="D1112" s="47">
        <f t="shared" si="17"/>
        <v>5059.3523400000004</v>
      </c>
    </row>
    <row r="1113" spans="1:4">
      <c r="A1113" s="122">
        <v>40980</v>
      </c>
      <c r="B1113" s="24">
        <v>1.0533999999999999</v>
      </c>
      <c r="C1113" s="24">
        <v>4745.3</v>
      </c>
      <c r="D1113" s="47">
        <f t="shared" si="17"/>
        <v>4998.69902</v>
      </c>
    </row>
    <row r="1114" spans="1:4">
      <c r="A1114" s="122">
        <v>40979</v>
      </c>
      <c r="B1114" s="24">
        <v>1.0564</v>
      </c>
      <c r="C1114" s="24">
        <v>4722.6000000000004</v>
      </c>
      <c r="D1114" s="47">
        <f t="shared" si="17"/>
        <v>4988.9546400000008</v>
      </c>
    </row>
    <row r="1115" spans="1:4">
      <c r="A1115" s="122">
        <v>40978</v>
      </c>
      <c r="B1115" s="24">
        <v>1.0573999999999999</v>
      </c>
      <c r="C1115" s="24">
        <v>4701.3999999999996</v>
      </c>
      <c r="D1115" s="47">
        <f t="shared" si="17"/>
        <v>4971.2603599999993</v>
      </c>
    </row>
    <row r="1116" spans="1:4">
      <c r="A1116" s="122">
        <v>40977</v>
      </c>
      <c r="B1116" s="24">
        <v>1.0573999999999999</v>
      </c>
      <c r="C1116" s="24">
        <v>4698.5</v>
      </c>
      <c r="D1116" s="47">
        <f t="shared" si="17"/>
        <v>4968.1938999999993</v>
      </c>
    </row>
    <row r="1117" spans="1:4">
      <c r="A1117" s="122">
        <v>40976</v>
      </c>
      <c r="B1117" s="24">
        <v>1.0642</v>
      </c>
      <c r="C1117" s="24">
        <v>4661.6000000000004</v>
      </c>
      <c r="D1117" s="47">
        <f t="shared" si="17"/>
        <v>4960.8747200000007</v>
      </c>
    </row>
    <row r="1118" spans="1:4">
      <c r="A1118" s="122">
        <v>40975</v>
      </c>
      <c r="B1118" s="24">
        <v>1.0581</v>
      </c>
      <c r="C1118" s="24">
        <v>4684.8999999999996</v>
      </c>
      <c r="D1118" s="47">
        <f t="shared" si="17"/>
        <v>4957.0926899999995</v>
      </c>
    </row>
    <row r="1119" spans="1:4">
      <c r="A1119" s="122">
        <v>40974</v>
      </c>
      <c r="B1119" s="24">
        <v>1.0550999999999999</v>
      </c>
      <c r="C1119" s="24">
        <v>4648.1000000000004</v>
      </c>
      <c r="D1119" s="47">
        <f t="shared" si="17"/>
        <v>4904.2103100000004</v>
      </c>
    </row>
    <row r="1120" spans="1:4">
      <c r="A1120" s="122">
        <v>40973</v>
      </c>
      <c r="B1120" s="24">
        <v>1.0673999999999999</v>
      </c>
      <c r="C1120" s="24">
        <v>4687.8</v>
      </c>
      <c r="D1120" s="47">
        <f t="shared" si="17"/>
        <v>5003.7577199999996</v>
      </c>
    </row>
    <row r="1121" spans="1:4">
      <c r="A1121" s="122">
        <v>40972</v>
      </c>
      <c r="B1121" s="24">
        <v>1.0719000000000001</v>
      </c>
      <c r="C1121" s="24">
        <v>4710</v>
      </c>
      <c r="D1121" s="47">
        <f t="shared" si="17"/>
        <v>5048.6490000000003</v>
      </c>
    </row>
    <row r="1122" spans="1:4">
      <c r="A1122" s="122">
        <v>40971</v>
      </c>
      <c r="B1122" s="24">
        <v>1.0712999999999999</v>
      </c>
      <c r="C1122" s="24">
        <v>4648.2</v>
      </c>
      <c r="D1122" s="47">
        <f t="shared" si="17"/>
        <v>4979.6166599999997</v>
      </c>
    </row>
    <row r="1123" spans="1:4">
      <c r="A1123" s="122">
        <v>40970</v>
      </c>
      <c r="B1123" s="24">
        <v>1.0723</v>
      </c>
      <c r="C1123" s="24">
        <v>4622.8999999999996</v>
      </c>
      <c r="D1123" s="47">
        <f t="shared" si="17"/>
        <v>4957.1356699999997</v>
      </c>
    </row>
    <row r="1124" spans="1:4">
      <c r="A1124" s="122">
        <v>40969</v>
      </c>
      <c r="B1124" s="24">
        <v>1.0808</v>
      </c>
      <c r="C1124" s="24">
        <v>4624.8999999999996</v>
      </c>
      <c r="D1124" s="47">
        <f t="shared" si="17"/>
        <v>4998.5919199999998</v>
      </c>
    </row>
    <row r="1125" spans="1:4">
      <c r="A1125" s="122">
        <v>40968</v>
      </c>
      <c r="B1125" s="24">
        <v>1.0730999999999999</v>
      </c>
      <c r="C1125" s="24">
        <v>4655.7</v>
      </c>
      <c r="D1125" s="47">
        <f t="shared" si="17"/>
        <v>4996.0316699999994</v>
      </c>
    </row>
    <row r="1126" spans="1:4">
      <c r="A1126" s="122">
        <v>40967</v>
      </c>
      <c r="B1126" s="24">
        <v>1.0765</v>
      </c>
      <c r="C1126" s="24">
        <v>4651.8999999999996</v>
      </c>
      <c r="D1126" s="47">
        <f t="shared" si="17"/>
        <v>5007.7703499999998</v>
      </c>
    </row>
    <row r="1127" spans="1:4">
      <c r="A1127" s="122">
        <v>40966</v>
      </c>
      <c r="B1127" s="24">
        <v>1.0755999999999999</v>
      </c>
      <c r="C1127" s="24">
        <v>4689</v>
      </c>
      <c r="D1127" s="47">
        <f t="shared" si="17"/>
        <v>5043.4883999999993</v>
      </c>
    </row>
    <row r="1128" spans="1:4">
      <c r="A1128" s="122">
        <v>40965</v>
      </c>
      <c r="B1128" s="24">
        <v>1.0688</v>
      </c>
      <c r="C1128" s="24">
        <v>4699.1000000000004</v>
      </c>
      <c r="D1128" s="47">
        <f t="shared" si="17"/>
        <v>5022.3980799999999</v>
      </c>
    </row>
    <row r="1129" spans="1:4">
      <c r="A1129" s="122">
        <v>40964</v>
      </c>
      <c r="B1129" s="24">
        <v>1.0692999999999999</v>
      </c>
      <c r="C1129" s="24">
        <v>4619.8999999999996</v>
      </c>
      <c r="D1129" s="47">
        <f t="shared" si="17"/>
        <v>4940.0590699999993</v>
      </c>
    </row>
    <row r="1130" spans="1:4">
      <c r="A1130" s="122">
        <v>40963</v>
      </c>
      <c r="B1130" s="24">
        <v>1.0692999999999999</v>
      </c>
      <c r="C1130" s="24">
        <v>4618.2</v>
      </c>
      <c r="D1130" s="47">
        <f t="shared" si="17"/>
        <v>4938.2412599999998</v>
      </c>
    </row>
    <row r="1131" spans="1:4">
      <c r="A1131" s="122">
        <v>40962</v>
      </c>
      <c r="B1131" s="24">
        <v>1.0726</v>
      </c>
      <c r="C1131" s="24">
        <v>4697.5</v>
      </c>
      <c r="D1131" s="47">
        <f t="shared" si="17"/>
        <v>5038.5384999999997</v>
      </c>
    </row>
    <row r="1132" spans="1:4">
      <c r="A1132" s="122">
        <v>40961</v>
      </c>
      <c r="B1132" s="24">
        <v>1.0622</v>
      </c>
      <c r="C1132" s="24">
        <v>4681.3999999999996</v>
      </c>
      <c r="D1132" s="47">
        <f t="shared" si="17"/>
        <v>4972.5830799999994</v>
      </c>
    </row>
    <row r="1133" spans="1:4">
      <c r="A1133" s="122">
        <v>40960</v>
      </c>
      <c r="B1133" s="24">
        <v>1.0671999999999999</v>
      </c>
      <c r="C1133" s="24">
        <v>4691.3</v>
      </c>
      <c r="D1133" s="47">
        <f t="shared" si="17"/>
        <v>5006.5553600000003</v>
      </c>
    </row>
    <row r="1134" spans="1:4">
      <c r="A1134" s="122">
        <v>40959</v>
      </c>
      <c r="B1134" s="24">
        <v>1.0723</v>
      </c>
      <c r="C1134" s="24">
        <v>4686.8</v>
      </c>
      <c r="D1134" s="47">
        <f t="shared" si="17"/>
        <v>5025.6556399999999</v>
      </c>
    </row>
    <row r="1135" spans="1:4">
      <c r="A1135" s="122">
        <v>40958</v>
      </c>
      <c r="B1135" s="24">
        <v>1.0803</v>
      </c>
      <c r="C1135" s="24">
        <v>4606.8999999999996</v>
      </c>
      <c r="D1135" s="47">
        <f t="shared" si="17"/>
        <v>4976.8340699999999</v>
      </c>
    </row>
    <row r="1136" spans="1:4">
      <c r="A1136" s="122">
        <v>40957</v>
      </c>
      <c r="B1136" s="24">
        <v>1.0704</v>
      </c>
      <c r="C1136" s="24">
        <v>4625.3</v>
      </c>
      <c r="D1136" s="47">
        <f t="shared" si="17"/>
        <v>4950.92112</v>
      </c>
    </row>
    <row r="1137" spans="1:4">
      <c r="A1137" s="122">
        <v>40956</v>
      </c>
      <c r="B1137" s="24">
        <v>1.0704</v>
      </c>
      <c r="C1137" s="24">
        <v>4579.2</v>
      </c>
      <c r="D1137" s="47">
        <f t="shared" si="17"/>
        <v>4901.5756799999999</v>
      </c>
    </row>
    <row r="1138" spans="1:4">
      <c r="A1138" s="122">
        <v>40955</v>
      </c>
      <c r="B1138" s="24">
        <v>1.0753999999999999</v>
      </c>
      <c r="C1138" s="24">
        <v>4582.8999999999996</v>
      </c>
      <c r="D1138" s="47">
        <f t="shared" si="17"/>
        <v>4928.4506599999995</v>
      </c>
    </row>
    <row r="1139" spans="1:4">
      <c r="A1139" s="122">
        <v>40954</v>
      </c>
      <c r="B1139" s="24">
        <v>1.0685</v>
      </c>
      <c r="C1139" s="24">
        <v>4645</v>
      </c>
      <c r="D1139" s="47">
        <f t="shared" si="17"/>
        <v>4963.1824999999999</v>
      </c>
    </row>
    <row r="1140" spans="1:4">
      <c r="A1140" s="122">
        <v>40953</v>
      </c>
      <c r="B1140" s="24">
        <v>1.0703</v>
      </c>
      <c r="C1140" s="24">
        <v>4669.8</v>
      </c>
      <c r="D1140" s="47">
        <f t="shared" si="17"/>
        <v>4998.0869400000001</v>
      </c>
    </row>
    <row r="1141" spans="1:4">
      <c r="A1141" s="122">
        <v>40952</v>
      </c>
      <c r="B1141" s="24">
        <v>1.0703</v>
      </c>
      <c r="C1141" s="24">
        <v>4675.3999999999996</v>
      </c>
      <c r="D1141" s="47">
        <f t="shared" si="17"/>
        <v>5004.0806199999997</v>
      </c>
    </row>
    <row r="1142" spans="1:4">
      <c r="A1142" s="122">
        <v>40951</v>
      </c>
      <c r="B1142" s="24">
        <v>1.0703</v>
      </c>
      <c r="C1142" s="24">
        <v>4601.8999999999996</v>
      </c>
      <c r="D1142" s="47">
        <f t="shared" si="17"/>
        <v>4925.4135699999997</v>
      </c>
    </row>
    <row r="1143" spans="1:4">
      <c r="A1143" s="122">
        <v>40950</v>
      </c>
      <c r="B1143" s="24">
        <v>1.0667</v>
      </c>
      <c r="C1143" s="24">
        <v>4633.6000000000004</v>
      </c>
      <c r="D1143" s="47">
        <f t="shared" si="17"/>
        <v>4942.6611200000007</v>
      </c>
    </row>
    <row r="1144" spans="1:4">
      <c r="A1144" s="122">
        <v>40949</v>
      </c>
      <c r="B1144" s="24">
        <v>1.0667</v>
      </c>
      <c r="C1144" s="24">
        <v>4625.2</v>
      </c>
      <c r="D1144" s="47">
        <f t="shared" si="17"/>
        <v>4933.7008399999995</v>
      </c>
    </row>
    <row r="1145" spans="1:4">
      <c r="A1145" s="122">
        <v>40948</v>
      </c>
      <c r="B1145" s="24">
        <v>1.0767</v>
      </c>
      <c r="C1145" s="24">
        <v>4617.5</v>
      </c>
      <c r="D1145" s="47">
        <f t="shared" si="17"/>
        <v>4971.6622500000003</v>
      </c>
    </row>
    <row r="1146" spans="1:4">
      <c r="A1146" s="122">
        <v>40947</v>
      </c>
      <c r="B1146" s="24">
        <v>1.0787</v>
      </c>
      <c r="C1146" s="24">
        <v>4631.3</v>
      </c>
      <c r="D1146" s="47">
        <f t="shared" si="17"/>
        <v>4995.7833099999998</v>
      </c>
    </row>
    <row r="1147" spans="1:4">
      <c r="A1147" s="122">
        <v>40946</v>
      </c>
      <c r="B1147" s="24">
        <v>1.079</v>
      </c>
      <c r="C1147" s="24">
        <v>4638.8999999999996</v>
      </c>
      <c r="D1147" s="47">
        <f t="shared" si="17"/>
        <v>5005.3730999999998</v>
      </c>
    </row>
    <row r="1148" spans="1:4">
      <c r="A1148" s="122">
        <v>40945</v>
      </c>
      <c r="B1148" s="24">
        <v>1.0717000000000001</v>
      </c>
      <c r="C1148" s="24">
        <v>4605.3</v>
      </c>
      <c r="D1148" s="47">
        <f t="shared" si="17"/>
        <v>4935.5000100000007</v>
      </c>
    </row>
    <row r="1149" spans="1:4">
      <c r="A1149" s="122">
        <v>40944</v>
      </c>
      <c r="B1149" s="24">
        <v>1.0745</v>
      </c>
      <c r="C1149" s="24">
        <v>4661.5</v>
      </c>
      <c r="D1149" s="47">
        <f t="shared" si="17"/>
        <v>5008.7817500000001</v>
      </c>
    </row>
    <row r="1150" spans="1:4">
      <c r="A1150" s="122">
        <v>40943</v>
      </c>
      <c r="B1150" s="24">
        <v>1.0760000000000001</v>
      </c>
      <c r="C1150" s="24">
        <v>4626.5</v>
      </c>
      <c r="D1150" s="47">
        <f t="shared" si="17"/>
        <v>4978.1140000000005</v>
      </c>
    </row>
    <row r="1151" spans="1:4">
      <c r="A1151" s="122">
        <v>40942</v>
      </c>
      <c r="B1151" s="24">
        <v>1.0761000000000001</v>
      </c>
      <c r="C1151" s="24">
        <v>4614.8999999999996</v>
      </c>
      <c r="D1151" s="47">
        <f t="shared" si="17"/>
        <v>4966.0938900000001</v>
      </c>
    </row>
    <row r="1152" spans="1:4">
      <c r="A1152" s="122">
        <v>40941</v>
      </c>
      <c r="B1152" s="24">
        <v>1.0698000000000001</v>
      </c>
      <c r="C1152" s="24">
        <v>4560.3</v>
      </c>
      <c r="D1152" s="47">
        <f t="shared" si="17"/>
        <v>4878.608940000001</v>
      </c>
    </row>
    <row r="1153" spans="1:4">
      <c r="A1153" s="122">
        <v>40940</v>
      </c>
      <c r="B1153" s="24">
        <v>1.0703</v>
      </c>
      <c r="C1153" s="24">
        <v>4582.2</v>
      </c>
      <c r="D1153" s="47">
        <f t="shared" si="17"/>
        <v>4904.3286600000001</v>
      </c>
    </row>
    <row r="1154" spans="1:4">
      <c r="A1154" s="122">
        <v>40939</v>
      </c>
      <c r="B1154" s="24">
        <v>1.0625</v>
      </c>
      <c r="C1154" s="24">
        <v>4537.2</v>
      </c>
      <c r="D1154" s="47">
        <f t="shared" si="17"/>
        <v>4820.7749999999996</v>
      </c>
    </row>
    <row r="1155" spans="1:4">
      <c r="A1155" s="122">
        <v>40938</v>
      </c>
      <c r="B1155" s="24">
        <v>1.0580000000000001</v>
      </c>
      <c r="C1155" s="24">
        <v>4573.2</v>
      </c>
      <c r="D1155" s="47">
        <f t="shared" ref="D1155:D1218" si="18">C1155*B1155</f>
        <v>4838.4456</v>
      </c>
    </row>
    <row r="1156" spans="1:4">
      <c r="A1156" s="122">
        <v>40937</v>
      </c>
      <c r="B1156" s="24">
        <v>1.0638000000000001</v>
      </c>
      <c r="C1156" s="24">
        <v>4575.5</v>
      </c>
      <c r="D1156" s="47">
        <f t="shared" si="18"/>
        <v>4867.4169000000002</v>
      </c>
    </row>
    <row r="1157" spans="1:4">
      <c r="A1157" s="122">
        <v>40936</v>
      </c>
      <c r="B1157" s="24">
        <v>1.0656000000000001</v>
      </c>
      <c r="C1157" s="24">
        <v>4541.2</v>
      </c>
      <c r="D1157" s="47">
        <f t="shared" si="18"/>
        <v>4839.1027199999999</v>
      </c>
    </row>
    <row r="1158" spans="1:4">
      <c r="A1158" s="122">
        <v>40935</v>
      </c>
      <c r="B1158" s="24">
        <v>1.0656000000000001</v>
      </c>
      <c r="C1158" s="24">
        <v>4532.7</v>
      </c>
      <c r="D1158" s="47">
        <f t="shared" si="18"/>
        <v>4830.0451200000007</v>
      </c>
    </row>
    <row r="1159" spans="1:4">
      <c r="A1159" s="122">
        <v>40934</v>
      </c>
      <c r="B1159" s="24">
        <v>1.0609999999999999</v>
      </c>
      <c r="C1159" s="24">
        <v>4495.7</v>
      </c>
      <c r="D1159" s="47">
        <f t="shared" si="18"/>
        <v>4769.9376999999995</v>
      </c>
    </row>
    <row r="1160" spans="1:4">
      <c r="A1160" s="122">
        <v>40933</v>
      </c>
      <c r="B1160" s="24">
        <v>1.0590999999999999</v>
      </c>
      <c r="C1160" s="24">
        <v>4404.2</v>
      </c>
      <c r="D1160" s="47">
        <f t="shared" si="18"/>
        <v>4664.4882199999993</v>
      </c>
    </row>
    <row r="1161" spans="1:4">
      <c r="A1161" s="122">
        <v>40932</v>
      </c>
      <c r="B1161" s="24">
        <v>1.0475000000000001</v>
      </c>
      <c r="C1161" s="24">
        <v>4452.7</v>
      </c>
      <c r="D1161" s="47">
        <f t="shared" si="18"/>
        <v>4664.2032500000005</v>
      </c>
    </row>
    <row r="1162" spans="1:4">
      <c r="A1162" s="122">
        <v>40931</v>
      </c>
      <c r="B1162" s="24">
        <v>1.0525</v>
      </c>
      <c r="C1162" s="24">
        <v>4370.1000000000004</v>
      </c>
      <c r="D1162" s="47">
        <f t="shared" si="18"/>
        <v>4599.5302500000007</v>
      </c>
    </row>
    <row r="1163" spans="1:4">
      <c r="A1163" s="122">
        <v>40930</v>
      </c>
      <c r="B1163" s="24">
        <v>1.0465</v>
      </c>
      <c r="C1163" s="24">
        <v>4356</v>
      </c>
      <c r="D1163" s="47">
        <f t="shared" si="18"/>
        <v>4558.5540000000001</v>
      </c>
    </row>
    <row r="1164" spans="1:4">
      <c r="A1164" s="122">
        <v>40929</v>
      </c>
      <c r="B1164" s="24">
        <v>1.0483</v>
      </c>
      <c r="C1164" s="24">
        <v>4320.1000000000004</v>
      </c>
      <c r="D1164" s="47">
        <f t="shared" si="18"/>
        <v>4528.7608300000002</v>
      </c>
    </row>
    <row r="1165" spans="1:4">
      <c r="A1165" s="122">
        <v>40928</v>
      </c>
      <c r="B1165" s="24">
        <v>1.0483</v>
      </c>
      <c r="C1165" s="24">
        <v>4381.3</v>
      </c>
      <c r="D1165" s="47">
        <f t="shared" si="18"/>
        <v>4592.9167900000002</v>
      </c>
    </row>
    <row r="1166" spans="1:4">
      <c r="A1166" s="122">
        <v>40927</v>
      </c>
      <c r="B1166" s="24">
        <v>1.0411999999999999</v>
      </c>
      <c r="C1166" s="24">
        <v>4429</v>
      </c>
      <c r="D1166" s="47">
        <f t="shared" si="18"/>
        <v>4611.4748</v>
      </c>
    </row>
    <row r="1167" spans="1:4">
      <c r="A1167" s="122">
        <v>40926</v>
      </c>
      <c r="B1167" s="24">
        <v>1.0417000000000001</v>
      </c>
      <c r="C1167" s="24">
        <v>4430.8999999999996</v>
      </c>
      <c r="D1167" s="47">
        <f t="shared" si="18"/>
        <v>4615.6685299999999</v>
      </c>
    </row>
    <row r="1168" spans="1:4">
      <c r="A1168" s="122">
        <v>40925</v>
      </c>
      <c r="B1168" s="24">
        <v>1.0374000000000001</v>
      </c>
      <c r="C1168" s="24">
        <v>4479</v>
      </c>
      <c r="D1168" s="47">
        <f t="shared" si="18"/>
        <v>4646.5146000000004</v>
      </c>
    </row>
    <row r="1169" spans="1:4">
      <c r="A1169" s="122">
        <v>40924</v>
      </c>
      <c r="B1169" s="24">
        <v>1.0306999999999999</v>
      </c>
      <c r="C1169" s="24">
        <v>4474.8999999999996</v>
      </c>
      <c r="D1169" s="47">
        <f t="shared" si="18"/>
        <v>4612.2794299999996</v>
      </c>
    </row>
    <row r="1170" spans="1:4">
      <c r="A1170" s="122">
        <v>40923</v>
      </c>
      <c r="B1170" s="24">
        <v>1.0275000000000001</v>
      </c>
      <c r="C1170" s="24">
        <v>4477</v>
      </c>
      <c r="D1170" s="47">
        <f t="shared" si="18"/>
        <v>4600.1175000000003</v>
      </c>
    </row>
    <row r="1171" spans="1:4">
      <c r="A1171" s="122">
        <v>40922</v>
      </c>
      <c r="B1171" s="24">
        <v>1.0321</v>
      </c>
      <c r="C1171" s="24">
        <v>4438.5</v>
      </c>
      <c r="D1171" s="47">
        <f t="shared" si="18"/>
        <v>4580.9758499999998</v>
      </c>
    </row>
    <row r="1172" spans="1:4">
      <c r="A1172" s="122">
        <v>40921</v>
      </c>
      <c r="B1172" s="24">
        <v>1.0321</v>
      </c>
      <c r="C1172" s="24">
        <v>4459.6000000000004</v>
      </c>
      <c r="D1172" s="47">
        <f t="shared" si="18"/>
        <v>4602.7531600000002</v>
      </c>
    </row>
    <row r="1173" spans="1:4">
      <c r="A1173" s="122">
        <v>40920</v>
      </c>
      <c r="B1173" s="24">
        <v>1.0330999999999999</v>
      </c>
      <c r="C1173" s="24">
        <v>4400.8999999999996</v>
      </c>
      <c r="D1173" s="47">
        <f t="shared" si="18"/>
        <v>4546.5697899999996</v>
      </c>
    </row>
    <row r="1174" spans="1:4">
      <c r="A1174" s="122">
        <v>40919</v>
      </c>
      <c r="B1174" s="24">
        <v>1.0315000000000001</v>
      </c>
      <c r="C1174" s="24">
        <v>4455.5</v>
      </c>
      <c r="D1174" s="47">
        <f t="shared" si="18"/>
        <v>4595.84825</v>
      </c>
    </row>
    <row r="1175" spans="1:4">
      <c r="A1175" s="122">
        <v>40918</v>
      </c>
      <c r="B1175" s="24">
        <v>1.0293000000000001</v>
      </c>
      <c r="C1175" s="24">
        <v>4540.7</v>
      </c>
      <c r="D1175" s="47">
        <f t="shared" si="18"/>
        <v>4673.74251</v>
      </c>
    </row>
    <row r="1176" spans="1:4">
      <c r="A1176" s="122">
        <v>40917</v>
      </c>
      <c r="B1176" s="24">
        <v>1.0249999999999999</v>
      </c>
      <c r="C1176" s="24">
        <v>4594.8999999999996</v>
      </c>
      <c r="D1176" s="47">
        <f t="shared" si="18"/>
        <v>4709.7724999999991</v>
      </c>
    </row>
    <row r="1177" spans="1:4">
      <c r="A1177" s="122">
        <v>40916</v>
      </c>
      <c r="B1177" s="24">
        <v>1.0193000000000001</v>
      </c>
      <c r="C1177" s="24">
        <v>4566.1000000000004</v>
      </c>
      <c r="D1177" s="47">
        <f t="shared" si="18"/>
        <v>4654.225730000001</v>
      </c>
    </row>
    <row r="1178" spans="1:4">
      <c r="A1178" s="122">
        <v>40915</v>
      </c>
      <c r="B1178" s="24">
        <v>1.0226</v>
      </c>
      <c r="C1178" s="24">
        <v>4566.5</v>
      </c>
      <c r="D1178" s="47">
        <f t="shared" si="18"/>
        <v>4669.7029000000002</v>
      </c>
    </row>
    <row r="1179" spans="1:4">
      <c r="A1179" s="122">
        <v>40914</v>
      </c>
      <c r="B1179" s="24">
        <v>1.0226</v>
      </c>
      <c r="C1179" s="24">
        <v>4542.1000000000004</v>
      </c>
      <c r="D1179" s="47">
        <f t="shared" si="18"/>
        <v>4644.7514600000004</v>
      </c>
    </row>
    <row r="1180" spans="1:4">
      <c r="A1180" s="122">
        <v>40913</v>
      </c>
      <c r="B1180" s="24">
        <v>1.0246999999999999</v>
      </c>
      <c r="C1180" s="24">
        <v>4571.6000000000004</v>
      </c>
      <c r="D1180" s="47">
        <f t="shared" si="18"/>
        <v>4684.5185200000005</v>
      </c>
    </row>
    <row r="1181" spans="1:4">
      <c r="A1181" s="122">
        <v>40912</v>
      </c>
      <c r="B1181" s="24">
        <v>1.0338000000000001</v>
      </c>
      <c r="C1181" s="24">
        <v>4541.6000000000004</v>
      </c>
      <c r="D1181" s="47">
        <f t="shared" si="18"/>
        <v>4695.1060800000005</v>
      </c>
    </row>
    <row r="1182" spans="1:4">
      <c r="A1182" s="122">
        <v>40911</v>
      </c>
      <c r="B1182" s="24">
        <v>1.0366</v>
      </c>
      <c r="C1182" s="24">
        <v>4493.5</v>
      </c>
      <c r="D1182" s="47">
        <f t="shared" si="18"/>
        <v>4657.9620999999997</v>
      </c>
    </row>
    <row r="1183" spans="1:4">
      <c r="A1183" s="122">
        <v>40910</v>
      </c>
      <c r="B1183" s="24">
        <v>1.0246999999999999</v>
      </c>
      <c r="C1183" s="24">
        <v>4524.1000000000004</v>
      </c>
      <c r="D1183" s="47">
        <f t="shared" si="18"/>
        <v>4635.8452699999998</v>
      </c>
    </row>
    <row r="1184" spans="1:4">
      <c r="A1184" s="122">
        <v>40909</v>
      </c>
      <c r="B1184" s="24">
        <v>1.0210999999999999</v>
      </c>
      <c r="C1184" s="24">
        <v>4529.8999999999996</v>
      </c>
      <c r="D1184" s="47">
        <f t="shared" si="18"/>
        <v>4625.4808899999989</v>
      </c>
    </row>
    <row r="1185" spans="1:4">
      <c r="A1185" s="122">
        <v>40908</v>
      </c>
      <c r="B1185" s="24">
        <v>1.0195000000000001</v>
      </c>
      <c r="C1185" s="24">
        <v>4497.3999999999996</v>
      </c>
      <c r="D1185" s="47">
        <f t="shared" si="18"/>
        <v>4585.0992999999999</v>
      </c>
    </row>
    <row r="1186" spans="1:4">
      <c r="A1186" s="122">
        <v>40907</v>
      </c>
      <c r="B1186" s="24">
        <v>1.0195000000000001</v>
      </c>
      <c r="C1186" s="24">
        <v>4486.1000000000004</v>
      </c>
      <c r="D1186" s="47">
        <f t="shared" si="18"/>
        <v>4573.578950000001</v>
      </c>
    </row>
    <row r="1187" spans="1:4">
      <c r="A1187" s="122">
        <v>40906</v>
      </c>
      <c r="B1187" s="24">
        <v>1.0141</v>
      </c>
      <c r="C1187" s="24">
        <v>4458.3999999999996</v>
      </c>
      <c r="D1187" s="47">
        <f t="shared" si="18"/>
        <v>4521.2634399999997</v>
      </c>
    </row>
    <row r="1188" spans="1:4">
      <c r="A1188" s="122">
        <v>40905</v>
      </c>
      <c r="B1188" s="24">
        <v>1.0093000000000001</v>
      </c>
      <c r="C1188" s="24">
        <v>4374.7</v>
      </c>
      <c r="D1188" s="47">
        <f t="shared" si="18"/>
        <v>4415.3847100000003</v>
      </c>
    </row>
    <row r="1189" spans="1:4">
      <c r="A1189" s="122">
        <v>40904</v>
      </c>
      <c r="B1189" s="24">
        <v>1.0146999999999999</v>
      </c>
      <c r="C1189" s="24">
        <v>4412.7</v>
      </c>
      <c r="D1189" s="47">
        <f t="shared" si="18"/>
        <v>4477.5666899999997</v>
      </c>
    </row>
    <row r="1190" spans="1:4">
      <c r="A1190" s="122">
        <v>40903</v>
      </c>
      <c r="B1190" s="24">
        <v>1.0157</v>
      </c>
      <c r="C1190" s="24">
        <v>4403.6000000000004</v>
      </c>
      <c r="D1190" s="47">
        <f t="shared" si="18"/>
        <v>4472.7365200000004</v>
      </c>
    </row>
    <row r="1191" spans="1:4">
      <c r="A1191" s="122">
        <v>40902</v>
      </c>
      <c r="B1191" s="24">
        <v>1.0149999999999999</v>
      </c>
      <c r="C1191" s="24">
        <v>4358.3</v>
      </c>
      <c r="D1191" s="47">
        <f t="shared" si="18"/>
        <v>4423.6745000000001</v>
      </c>
    </row>
    <row r="1192" spans="1:4">
      <c r="A1192" s="122">
        <v>40901</v>
      </c>
      <c r="B1192" s="24">
        <v>1.0145</v>
      </c>
      <c r="C1192" s="24">
        <v>4422.7</v>
      </c>
      <c r="D1192" s="47">
        <f t="shared" si="18"/>
        <v>4486.8291499999996</v>
      </c>
    </row>
    <row r="1193" spans="1:4">
      <c r="A1193" s="122">
        <v>40900</v>
      </c>
      <c r="B1193" s="24">
        <v>1.0145</v>
      </c>
      <c r="C1193" s="24">
        <v>4442.6000000000004</v>
      </c>
      <c r="D1193" s="47">
        <f t="shared" si="18"/>
        <v>4507.0177000000003</v>
      </c>
    </row>
    <row r="1194" spans="1:4">
      <c r="A1194" s="122">
        <v>40899</v>
      </c>
      <c r="B1194" s="24">
        <v>1.0129999999999999</v>
      </c>
      <c r="C1194" s="24">
        <v>4462.3999999999996</v>
      </c>
      <c r="D1194" s="47">
        <f t="shared" si="18"/>
        <v>4520.4111999999996</v>
      </c>
    </row>
    <row r="1195" spans="1:4">
      <c r="A1195" s="122">
        <v>40898</v>
      </c>
      <c r="B1195" s="24">
        <v>1.0066999999999999</v>
      </c>
      <c r="C1195" s="24">
        <v>4380.3</v>
      </c>
      <c r="D1195" s="47">
        <f t="shared" si="18"/>
        <v>4409.6480099999999</v>
      </c>
    </row>
    <row r="1196" spans="1:4">
      <c r="A1196" s="122">
        <v>40897</v>
      </c>
      <c r="B1196" s="24">
        <v>1.0077</v>
      </c>
      <c r="C1196" s="24">
        <v>4409.8999999999996</v>
      </c>
      <c r="D1196" s="47">
        <f t="shared" si="18"/>
        <v>4443.8562299999994</v>
      </c>
    </row>
    <row r="1197" spans="1:4">
      <c r="A1197" s="122">
        <v>40896</v>
      </c>
      <c r="B1197" s="24">
        <v>0.99160000000000004</v>
      </c>
      <c r="C1197" s="24">
        <v>4396.3</v>
      </c>
      <c r="D1197" s="47">
        <f t="shared" si="18"/>
        <v>4359.3710799999999</v>
      </c>
    </row>
    <row r="1198" spans="1:4">
      <c r="A1198" s="122">
        <v>40895</v>
      </c>
      <c r="B1198" s="24">
        <v>0.99550000000000005</v>
      </c>
      <c r="C1198" s="24">
        <v>4356.8999999999996</v>
      </c>
      <c r="D1198" s="47">
        <f t="shared" si="18"/>
        <v>4337.2939500000002</v>
      </c>
    </row>
    <row r="1199" spans="1:4">
      <c r="A1199" s="122">
        <v>40894</v>
      </c>
      <c r="B1199" s="24">
        <v>0.997</v>
      </c>
      <c r="C1199" s="24">
        <v>4254.6000000000004</v>
      </c>
      <c r="D1199" s="47">
        <f t="shared" si="18"/>
        <v>4241.8362000000006</v>
      </c>
    </row>
    <row r="1200" spans="1:4">
      <c r="A1200" s="122">
        <v>40893</v>
      </c>
      <c r="B1200" s="24">
        <v>0.99629999999999996</v>
      </c>
      <c r="C1200" s="24">
        <v>4276.1000000000004</v>
      </c>
      <c r="D1200" s="47">
        <f t="shared" si="18"/>
        <v>4260.2784300000003</v>
      </c>
    </row>
    <row r="1201" spans="1:4">
      <c r="A1201" s="122">
        <v>40892</v>
      </c>
      <c r="B1201" s="24">
        <v>0.99380000000000002</v>
      </c>
      <c r="C1201" s="24">
        <v>4222.1000000000004</v>
      </c>
      <c r="D1201" s="47">
        <f t="shared" si="18"/>
        <v>4195.9229800000003</v>
      </c>
    </row>
    <row r="1202" spans="1:4">
      <c r="A1202" s="122">
        <v>40891</v>
      </c>
      <c r="B1202" s="24">
        <v>0.99039999999999995</v>
      </c>
      <c r="C1202" s="24">
        <v>4238.7</v>
      </c>
      <c r="D1202" s="47">
        <f t="shared" si="18"/>
        <v>4198.0084799999995</v>
      </c>
    </row>
    <row r="1203" spans="1:4">
      <c r="A1203" s="122">
        <v>40890</v>
      </c>
      <c r="B1203" s="24">
        <v>0.99870000000000003</v>
      </c>
      <c r="C1203" s="24">
        <v>4237.5</v>
      </c>
      <c r="D1203" s="47">
        <f t="shared" si="18"/>
        <v>4231.99125</v>
      </c>
    </row>
    <row r="1204" spans="1:4">
      <c r="A1204" s="122">
        <v>40889</v>
      </c>
      <c r="B1204" s="24">
        <v>1.0035000000000001</v>
      </c>
      <c r="C1204" s="24">
        <v>4301.5</v>
      </c>
      <c r="D1204" s="47">
        <f t="shared" si="18"/>
        <v>4316.5552500000003</v>
      </c>
    </row>
    <row r="1205" spans="1:4">
      <c r="A1205" s="122">
        <v>40888</v>
      </c>
      <c r="B1205" s="24">
        <v>1.0202</v>
      </c>
      <c r="C1205" s="24">
        <v>4345.7</v>
      </c>
      <c r="D1205" s="47">
        <f t="shared" si="18"/>
        <v>4433.4831399999994</v>
      </c>
    </row>
    <row r="1206" spans="1:4">
      <c r="A1206" s="122">
        <v>40887</v>
      </c>
      <c r="B1206" s="24">
        <v>1.0213000000000001</v>
      </c>
      <c r="C1206" s="24">
        <v>4384.5</v>
      </c>
      <c r="D1206" s="47">
        <f t="shared" si="18"/>
        <v>4477.8898500000005</v>
      </c>
    </row>
    <row r="1207" spans="1:4">
      <c r="A1207" s="122">
        <v>40886</v>
      </c>
      <c r="B1207" s="24">
        <v>1.0219</v>
      </c>
      <c r="C1207" s="24">
        <v>4413</v>
      </c>
      <c r="D1207" s="47">
        <f t="shared" si="18"/>
        <v>4509.6446999999998</v>
      </c>
    </row>
    <row r="1208" spans="1:4">
      <c r="A1208" s="122">
        <v>40885</v>
      </c>
      <c r="B1208" s="24">
        <v>1.0169999999999999</v>
      </c>
      <c r="C1208" s="24">
        <v>4479.7</v>
      </c>
      <c r="D1208" s="47">
        <f t="shared" si="18"/>
        <v>4555.8548999999994</v>
      </c>
    </row>
    <row r="1209" spans="1:4">
      <c r="A1209" s="122">
        <v>40884</v>
      </c>
      <c r="B1209" s="24">
        <v>1.0274000000000001</v>
      </c>
      <c r="C1209" s="24">
        <v>4486.1000000000004</v>
      </c>
      <c r="D1209" s="47">
        <f t="shared" si="18"/>
        <v>4609.0191400000003</v>
      </c>
    </row>
    <row r="1210" spans="1:4">
      <c r="A1210" s="122">
        <v>40883</v>
      </c>
      <c r="B1210" s="24">
        <v>1.0245</v>
      </c>
      <c r="C1210" s="24">
        <v>4558.3</v>
      </c>
      <c r="D1210" s="47">
        <f t="shared" si="18"/>
        <v>4669.9783500000003</v>
      </c>
    </row>
    <row r="1211" spans="1:4">
      <c r="A1211" s="122">
        <v>40882</v>
      </c>
      <c r="B1211" s="24">
        <v>1.0251999999999999</v>
      </c>
      <c r="C1211" s="24">
        <v>4612.6000000000004</v>
      </c>
      <c r="D1211" s="47">
        <f t="shared" si="18"/>
        <v>4728.83752</v>
      </c>
    </row>
    <row r="1212" spans="1:4">
      <c r="A1212" s="122">
        <v>40881</v>
      </c>
      <c r="B1212" s="24">
        <v>1.0243</v>
      </c>
      <c r="C1212" s="24">
        <v>4551.8999999999996</v>
      </c>
      <c r="D1212" s="47">
        <f t="shared" si="18"/>
        <v>4662.5111699999998</v>
      </c>
    </row>
    <row r="1213" spans="1:4">
      <c r="A1213" s="122">
        <v>40880</v>
      </c>
      <c r="B1213" s="24">
        <v>1.0213000000000001</v>
      </c>
      <c r="C1213" s="24">
        <v>4527.3</v>
      </c>
      <c r="D1213" s="47">
        <f t="shared" si="18"/>
        <v>4623.731490000001</v>
      </c>
    </row>
    <row r="1214" spans="1:4">
      <c r="A1214" s="122">
        <v>40879</v>
      </c>
      <c r="B1214" s="24">
        <v>1.0213000000000001</v>
      </c>
      <c r="C1214" s="24">
        <v>4505</v>
      </c>
      <c r="D1214" s="47">
        <f t="shared" si="18"/>
        <v>4600.9565000000002</v>
      </c>
    </row>
    <row r="1215" spans="1:4">
      <c r="A1215" s="122">
        <v>40878</v>
      </c>
      <c r="B1215" s="24">
        <v>1.0242</v>
      </c>
      <c r="C1215" s="24">
        <v>4505.5</v>
      </c>
      <c r="D1215" s="47">
        <f t="shared" si="18"/>
        <v>4614.5330999999996</v>
      </c>
    </row>
    <row r="1216" spans="1:4">
      <c r="A1216" s="122">
        <v>40877</v>
      </c>
      <c r="B1216" s="24">
        <v>1.0281</v>
      </c>
      <c r="C1216" s="24">
        <v>4435.3</v>
      </c>
      <c r="D1216" s="47">
        <f t="shared" si="18"/>
        <v>4559.9319300000006</v>
      </c>
    </row>
    <row r="1217" spans="1:4">
      <c r="A1217" s="122">
        <v>40876</v>
      </c>
      <c r="B1217" s="24">
        <v>1.0042</v>
      </c>
      <c r="C1217" s="24">
        <v>4385.3</v>
      </c>
      <c r="D1217" s="47">
        <f t="shared" si="18"/>
        <v>4403.7182600000006</v>
      </c>
    </row>
    <row r="1218" spans="1:4">
      <c r="A1218" s="122">
        <v>40875</v>
      </c>
      <c r="B1218" s="24">
        <v>0.99060000000000004</v>
      </c>
      <c r="C1218" s="24">
        <v>4381.2</v>
      </c>
      <c r="D1218" s="47">
        <f t="shared" si="18"/>
        <v>4340.0167199999996</v>
      </c>
    </row>
    <row r="1219" spans="1:4">
      <c r="A1219" s="122">
        <v>40874</v>
      </c>
      <c r="B1219" s="24">
        <v>0.98250000000000004</v>
      </c>
      <c r="C1219" s="24">
        <v>4325.8999999999996</v>
      </c>
      <c r="D1219" s="47">
        <f t="shared" ref="D1219:D1282" si="19">C1219*B1219</f>
        <v>4250.1967500000001</v>
      </c>
    </row>
    <row r="1220" spans="1:4">
      <c r="A1220" s="122">
        <v>40873</v>
      </c>
      <c r="B1220" s="24">
        <v>0.97089999999999999</v>
      </c>
      <c r="C1220" s="24">
        <v>4449.3999999999996</v>
      </c>
      <c r="D1220" s="47">
        <f t="shared" si="19"/>
        <v>4319.9224599999998</v>
      </c>
    </row>
    <row r="1221" spans="1:4">
      <c r="A1221" s="122">
        <v>40872</v>
      </c>
      <c r="B1221" s="24">
        <v>0.97089999999999999</v>
      </c>
      <c r="C1221" s="24">
        <v>4486</v>
      </c>
      <c r="D1221" s="47">
        <f t="shared" si="19"/>
        <v>4355.4574000000002</v>
      </c>
    </row>
    <row r="1222" spans="1:4">
      <c r="A1222" s="122">
        <v>40871</v>
      </c>
      <c r="B1222" s="24">
        <v>0.9698</v>
      </c>
      <c r="C1222" s="24">
        <v>4381</v>
      </c>
      <c r="D1222" s="47">
        <f t="shared" si="19"/>
        <v>4248.6938</v>
      </c>
    </row>
    <row r="1223" spans="1:4">
      <c r="A1223" s="122">
        <v>40870</v>
      </c>
      <c r="B1223" s="24">
        <v>0.96960000000000002</v>
      </c>
      <c r="C1223" s="24">
        <v>4413.1000000000004</v>
      </c>
      <c r="D1223" s="47">
        <f t="shared" si="19"/>
        <v>4278.9417600000006</v>
      </c>
    </row>
    <row r="1224" spans="1:4">
      <c r="A1224" s="122">
        <v>40869</v>
      </c>
      <c r="B1224" s="24">
        <v>0.98350000000000004</v>
      </c>
      <c r="C1224" s="24">
        <v>4429.7</v>
      </c>
      <c r="D1224" s="47">
        <f t="shared" si="19"/>
        <v>4356.60995</v>
      </c>
    </row>
    <row r="1225" spans="1:4">
      <c r="A1225" s="122">
        <v>40868</v>
      </c>
      <c r="B1225" s="24">
        <v>0.9839</v>
      </c>
      <c r="C1225" s="24">
        <v>4457.5</v>
      </c>
      <c r="D1225" s="47">
        <f t="shared" si="19"/>
        <v>4385.7342500000004</v>
      </c>
    </row>
    <row r="1226" spans="1:4">
      <c r="A1226" s="122">
        <v>40867</v>
      </c>
      <c r="B1226" s="24">
        <v>0.99890000000000001</v>
      </c>
      <c r="C1226" s="24">
        <v>4379.2</v>
      </c>
      <c r="D1226" s="47">
        <f t="shared" si="19"/>
        <v>4374.3828800000001</v>
      </c>
    </row>
    <row r="1227" spans="1:4">
      <c r="A1227" s="122">
        <v>40866</v>
      </c>
      <c r="B1227" s="24">
        <v>1.0004999999999999</v>
      </c>
      <c r="C1227" s="24">
        <v>4307.2</v>
      </c>
      <c r="D1227" s="47">
        <f t="shared" si="19"/>
        <v>4309.3535999999995</v>
      </c>
    </row>
    <row r="1228" spans="1:4">
      <c r="A1228" s="122">
        <v>40865</v>
      </c>
      <c r="B1228" s="24">
        <v>1.0004999999999999</v>
      </c>
      <c r="C1228" s="24">
        <v>4265.3</v>
      </c>
      <c r="D1228" s="47">
        <f t="shared" si="19"/>
        <v>4267.4326499999997</v>
      </c>
    </row>
    <row r="1229" spans="1:4">
      <c r="A1229" s="122">
        <v>40864</v>
      </c>
      <c r="B1229" s="24">
        <v>0.99809999999999999</v>
      </c>
      <c r="C1229" s="24">
        <v>4395.3999999999996</v>
      </c>
      <c r="D1229" s="47">
        <f t="shared" si="19"/>
        <v>4387.0487399999993</v>
      </c>
    </row>
    <row r="1230" spans="1:4">
      <c r="A1230" s="122">
        <v>40863</v>
      </c>
      <c r="B1230" s="24">
        <v>1.0041</v>
      </c>
      <c r="C1230" s="24">
        <v>4305.3999999999996</v>
      </c>
      <c r="D1230" s="47">
        <f t="shared" si="19"/>
        <v>4323.0521399999998</v>
      </c>
    </row>
    <row r="1231" spans="1:4">
      <c r="A1231" s="122">
        <v>40862</v>
      </c>
      <c r="B1231" s="24">
        <v>1.0139</v>
      </c>
      <c r="C1231" s="24">
        <v>4316.5</v>
      </c>
      <c r="D1231" s="47">
        <f t="shared" si="19"/>
        <v>4376.49935</v>
      </c>
    </row>
    <row r="1232" spans="1:4">
      <c r="A1232" s="122">
        <v>40861</v>
      </c>
      <c r="B1232" s="24">
        <v>1.0197000000000001</v>
      </c>
      <c r="C1232" s="24">
        <v>4387.1000000000004</v>
      </c>
      <c r="D1232" s="47">
        <f t="shared" si="19"/>
        <v>4473.5258700000004</v>
      </c>
    </row>
    <row r="1233" spans="1:4">
      <c r="A1233" s="122">
        <v>40860</v>
      </c>
      <c r="B1233" s="24">
        <v>1.0329999999999999</v>
      </c>
      <c r="C1233" s="24">
        <v>4470.7</v>
      </c>
      <c r="D1233" s="47">
        <f t="shared" si="19"/>
        <v>4618.2330999999995</v>
      </c>
    </row>
    <row r="1234" spans="1:4">
      <c r="A1234" s="122">
        <v>40859</v>
      </c>
      <c r="B1234" s="24">
        <v>1.0274000000000001</v>
      </c>
      <c r="C1234" s="24">
        <v>4467.2</v>
      </c>
      <c r="D1234" s="47">
        <f t="shared" si="19"/>
        <v>4589.6012799999999</v>
      </c>
    </row>
    <row r="1235" spans="1:4">
      <c r="A1235" s="122">
        <v>40858</v>
      </c>
      <c r="B1235" s="24">
        <v>1.0279</v>
      </c>
      <c r="C1235" s="24">
        <v>4611.1000000000004</v>
      </c>
      <c r="D1235" s="47">
        <f t="shared" si="19"/>
        <v>4739.7496900000006</v>
      </c>
    </row>
    <row r="1236" spans="1:4">
      <c r="A1236" s="122">
        <v>40857</v>
      </c>
      <c r="B1236" s="24">
        <v>1.0147999999999999</v>
      </c>
      <c r="C1236" s="24">
        <v>4652.8</v>
      </c>
      <c r="D1236" s="47">
        <f t="shared" si="19"/>
        <v>4721.6614399999999</v>
      </c>
    </row>
    <row r="1237" spans="1:4">
      <c r="A1237" s="122">
        <v>40856</v>
      </c>
      <c r="B1237" s="24">
        <v>1.0135000000000001</v>
      </c>
      <c r="C1237" s="24">
        <v>4573</v>
      </c>
      <c r="D1237" s="47">
        <f t="shared" si="19"/>
        <v>4634.7355000000007</v>
      </c>
    </row>
    <row r="1238" spans="1:4">
      <c r="A1238" s="122">
        <v>40855</v>
      </c>
      <c r="B1238" s="24">
        <v>1.0382</v>
      </c>
      <c r="C1238" s="24">
        <v>4548</v>
      </c>
      <c r="D1238" s="47">
        <f t="shared" si="19"/>
        <v>4721.7336000000005</v>
      </c>
    </row>
    <row r="1239" spans="1:4">
      <c r="A1239" s="122">
        <v>40854</v>
      </c>
      <c r="B1239" s="24">
        <v>1.0347999999999999</v>
      </c>
      <c r="C1239" s="24">
        <v>4599.8</v>
      </c>
      <c r="D1239" s="47">
        <f t="shared" si="19"/>
        <v>4759.8730399999995</v>
      </c>
    </row>
    <row r="1240" spans="1:4">
      <c r="A1240" s="122">
        <v>40853</v>
      </c>
      <c r="B1240" s="24">
        <v>1.0407</v>
      </c>
      <c r="C1240" s="24">
        <v>4480.7</v>
      </c>
      <c r="D1240" s="47">
        <f t="shared" si="19"/>
        <v>4663.0644899999998</v>
      </c>
    </row>
    <row r="1241" spans="1:4">
      <c r="A1241" s="122">
        <v>40852</v>
      </c>
      <c r="B1241" s="24">
        <v>1.0373000000000001</v>
      </c>
      <c r="C1241" s="24">
        <v>4573.2</v>
      </c>
      <c r="D1241" s="47">
        <f t="shared" si="19"/>
        <v>4743.7803600000007</v>
      </c>
    </row>
    <row r="1242" spans="1:4">
      <c r="A1242" s="122">
        <v>40851</v>
      </c>
      <c r="B1242" s="24">
        <v>1.0373000000000001</v>
      </c>
      <c r="C1242" s="24">
        <v>4674</v>
      </c>
      <c r="D1242" s="47">
        <f t="shared" si="19"/>
        <v>4848.3402000000006</v>
      </c>
    </row>
    <row r="1243" spans="1:4">
      <c r="A1243" s="122">
        <v>40850</v>
      </c>
      <c r="B1243" s="24">
        <v>1.0415000000000001</v>
      </c>
      <c r="C1243" s="24">
        <v>4737.1000000000004</v>
      </c>
      <c r="D1243" s="47">
        <f t="shared" si="19"/>
        <v>4933.6896500000012</v>
      </c>
    </row>
    <row r="1244" spans="1:4">
      <c r="A1244" s="122">
        <v>40849</v>
      </c>
      <c r="B1244" s="24">
        <v>1.0345</v>
      </c>
      <c r="C1244" s="24">
        <v>4785.5</v>
      </c>
      <c r="D1244" s="47">
        <f t="shared" si="19"/>
        <v>4950.5997500000003</v>
      </c>
    </row>
    <row r="1245" spans="1:4">
      <c r="A1245" s="122">
        <v>40848</v>
      </c>
      <c r="B1245" s="24">
        <v>1.0327999999999999</v>
      </c>
      <c r="C1245" s="24">
        <v>4807.3999999999996</v>
      </c>
      <c r="D1245" s="47">
        <f t="shared" si="19"/>
        <v>4965.0827199999994</v>
      </c>
    </row>
    <row r="1246" spans="1:4">
      <c r="A1246" s="122">
        <v>40847</v>
      </c>
      <c r="B1246" s="24">
        <v>1.0529999999999999</v>
      </c>
      <c r="C1246" s="24">
        <v>4785.6000000000004</v>
      </c>
      <c r="D1246" s="47">
        <f t="shared" si="19"/>
        <v>5039.2367999999997</v>
      </c>
    </row>
    <row r="1247" spans="1:4">
      <c r="A1247" s="122">
        <v>40846</v>
      </c>
      <c r="B1247" s="24">
        <v>1.0664</v>
      </c>
      <c r="C1247" s="24">
        <v>4822.8</v>
      </c>
      <c r="D1247" s="47">
        <f t="shared" si="19"/>
        <v>5143.0339199999999</v>
      </c>
    </row>
    <row r="1248" spans="1:4">
      <c r="A1248" s="122">
        <v>40845</v>
      </c>
      <c r="B1248" s="24">
        <v>1.0699000000000001</v>
      </c>
      <c r="C1248" s="24">
        <v>4880</v>
      </c>
      <c r="D1248" s="47">
        <f t="shared" si="19"/>
        <v>5221.1120000000001</v>
      </c>
    </row>
    <row r="1249" spans="1:4">
      <c r="A1249" s="122">
        <v>40844</v>
      </c>
      <c r="B1249" s="24">
        <v>1.0699000000000001</v>
      </c>
      <c r="C1249" s="24">
        <v>4881.5</v>
      </c>
      <c r="D1249" s="47">
        <f t="shared" si="19"/>
        <v>5222.7168500000007</v>
      </c>
    </row>
    <row r="1250" spans="1:4">
      <c r="A1250" s="122">
        <v>40843</v>
      </c>
      <c r="B1250" s="24">
        <v>1.0718000000000001</v>
      </c>
      <c r="C1250" s="24">
        <v>4907.3999999999996</v>
      </c>
      <c r="D1250" s="47">
        <f t="shared" si="19"/>
        <v>5259.7513200000003</v>
      </c>
    </row>
    <row r="1251" spans="1:4">
      <c r="A1251" s="122">
        <v>40842</v>
      </c>
      <c r="B1251" s="24">
        <v>1.0394000000000001</v>
      </c>
      <c r="C1251" s="24">
        <v>4954.3</v>
      </c>
      <c r="D1251" s="47">
        <f t="shared" si="19"/>
        <v>5149.499420000001</v>
      </c>
    </row>
    <row r="1252" spans="1:4">
      <c r="A1252" s="122">
        <v>40841</v>
      </c>
      <c r="B1252" s="24">
        <v>1.042</v>
      </c>
      <c r="C1252" s="24">
        <v>4925.8</v>
      </c>
      <c r="D1252" s="47">
        <f t="shared" si="19"/>
        <v>5132.6836000000003</v>
      </c>
    </row>
    <row r="1253" spans="1:4">
      <c r="A1253" s="122">
        <v>40840</v>
      </c>
      <c r="B1253" s="24">
        <v>1.0448</v>
      </c>
      <c r="C1253" s="24">
        <v>4915.1000000000004</v>
      </c>
      <c r="D1253" s="47">
        <f t="shared" si="19"/>
        <v>5135.29648</v>
      </c>
    </row>
    <row r="1254" spans="1:4">
      <c r="A1254" s="122">
        <v>40839</v>
      </c>
      <c r="B1254" s="24">
        <v>1.0327</v>
      </c>
      <c r="C1254" s="24">
        <v>4984.7</v>
      </c>
      <c r="D1254" s="47">
        <f t="shared" si="19"/>
        <v>5147.6996899999995</v>
      </c>
    </row>
    <row r="1255" spans="1:4">
      <c r="A1255" s="122">
        <v>40838</v>
      </c>
      <c r="B1255" s="24">
        <v>1.0375000000000001</v>
      </c>
      <c r="C1255" s="24">
        <v>5001.8999999999996</v>
      </c>
      <c r="D1255" s="47">
        <f t="shared" si="19"/>
        <v>5189.4712500000005</v>
      </c>
    </row>
    <row r="1256" spans="1:4">
      <c r="A1256" s="122">
        <v>40837</v>
      </c>
      <c r="B1256" s="24">
        <v>1.0375000000000001</v>
      </c>
      <c r="C1256" s="24">
        <v>4994.7</v>
      </c>
      <c r="D1256" s="47">
        <f t="shared" si="19"/>
        <v>5182.0012500000003</v>
      </c>
    </row>
    <row r="1257" spans="1:4">
      <c r="A1257" s="122">
        <v>40836</v>
      </c>
      <c r="B1257" s="24">
        <v>1.0242</v>
      </c>
      <c r="C1257" s="24">
        <v>4951.6000000000004</v>
      </c>
      <c r="D1257" s="47">
        <f t="shared" si="19"/>
        <v>5071.4287200000008</v>
      </c>
    </row>
    <row r="1258" spans="1:4">
      <c r="A1258" s="122">
        <v>40835</v>
      </c>
      <c r="B1258" s="24">
        <v>1.0247999999999999</v>
      </c>
      <c r="C1258" s="24">
        <v>4984.3</v>
      </c>
      <c r="D1258" s="47">
        <f t="shared" si="19"/>
        <v>5107.9106400000001</v>
      </c>
    </row>
    <row r="1259" spans="1:4">
      <c r="A1259" s="122">
        <v>40834</v>
      </c>
      <c r="B1259" s="24">
        <v>1.0242</v>
      </c>
      <c r="C1259" s="24">
        <v>4948.1000000000004</v>
      </c>
      <c r="D1259" s="47">
        <f t="shared" si="19"/>
        <v>5067.8440200000005</v>
      </c>
    </row>
    <row r="1260" spans="1:4">
      <c r="A1260" s="122">
        <v>40833</v>
      </c>
      <c r="B1260" s="24">
        <v>1.0179</v>
      </c>
      <c r="C1260" s="24">
        <v>4937.8999999999996</v>
      </c>
      <c r="D1260" s="47">
        <f t="shared" si="19"/>
        <v>5026.2884100000001</v>
      </c>
    </row>
    <row r="1261" spans="1:4">
      <c r="A1261" s="122">
        <v>40832</v>
      </c>
      <c r="B1261" s="24">
        <v>1.0311999999999999</v>
      </c>
      <c r="C1261" s="24">
        <v>4960.8999999999996</v>
      </c>
      <c r="D1261" s="47">
        <f t="shared" si="19"/>
        <v>5115.6800799999992</v>
      </c>
    </row>
    <row r="1262" spans="1:4">
      <c r="A1262" s="122">
        <v>40831</v>
      </c>
      <c r="B1262" s="24">
        <v>1.0338000000000001</v>
      </c>
      <c r="C1262" s="24">
        <v>4953.7</v>
      </c>
      <c r="D1262" s="47">
        <f t="shared" si="19"/>
        <v>5121.1350600000005</v>
      </c>
    </row>
    <row r="1263" spans="1:4">
      <c r="A1263" s="122">
        <v>40830</v>
      </c>
      <c r="B1263" s="24">
        <v>1.0338000000000001</v>
      </c>
      <c r="C1263" s="24">
        <v>4907.7</v>
      </c>
      <c r="D1263" s="47">
        <f t="shared" si="19"/>
        <v>5073.5802599999997</v>
      </c>
    </row>
    <row r="1264" spans="1:4">
      <c r="A1264" s="122">
        <v>40829</v>
      </c>
      <c r="B1264" s="24">
        <v>1.0167999999999999</v>
      </c>
      <c r="C1264" s="24">
        <v>4875.5</v>
      </c>
      <c r="D1264" s="47">
        <f t="shared" si="19"/>
        <v>4957.4083999999993</v>
      </c>
    </row>
    <row r="1265" spans="1:4">
      <c r="A1265" s="122">
        <v>40828</v>
      </c>
      <c r="B1265" s="24">
        <v>1.0144</v>
      </c>
      <c r="C1265" s="24">
        <v>4916.8</v>
      </c>
      <c r="D1265" s="47">
        <f t="shared" si="19"/>
        <v>4987.6019200000001</v>
      </c>
    </row>
    <row r="1266" spans="1:4">
      <c r="A1266" s="122">
        <v>40827</v>
      </c>
      <c r="B1266" s="24">
        <v>0.99360000000000004</v>
      </c>
      <c r="C1266" s="24">
        <v>4897.3</v>
      </c>
      <c r="D1266" s="47">
        <f t="shared" si="19"/>
        <v>4865.9572800000005</v>
      </c>
    </row>
    <row r="1267" spans="1:4">
      <c r="A1267" s="122">
        <v>40826</v>
      </c>
      <c r="B1267" s="24">
        <v>0.99660000000000004</v>
      </c>
      <c r="C1267" s="24">
        <v>4896.8999999999996</v>
      </c>
      <c r="D1267" s="47">
        <f t="shared" si="19"/>
        <v>4880.25054</v>
      </c>
    </row>
    <row r="1268" spans="1:4">
      <c r="A1268" s="122">
        <v>40825</v>
      </c>
      <c r="B1268" s="24">
        <v>0.97840000000000005</v>
      </c>
      <c r="C1268" s="24">
        <v>4885.3999999999996</v>
      </c>
      <c r="D1268" s="47">
        <f t="shared" si="19"/>
        <v>4779.87536</v>
      </c>
    </row>
    <row r="1269" spans="1:4">
      <c r="A1269" s="122">
        <v>40824</v>
      </c>
      <c r="B1269" s="24">
        <v>0.97670000000000001</v>
      </c>
      <c r="C1269" s="24">
        <v>4891.5</v>
      </c>
      <c r="D1269" s="47">
        <f t="shared" si="19"/>
        <v>4777.5280499999999</v>
      </c>
    </row>
    <row r="1270" spans="1:4">
      <c r="A1270" s="122">
        <v>40823</v>
      </c>
      <c r="B1270" s="24">
        <v>0.97670000000000001</v>
      </c>
      <c r="C1270" s="24">
        <v>4874.8</v>
      </c>
      <c r="D1270" s="47">
        <f t="shared" si="19"/>
        <v>4761.2171600000001</v>
      </c>
    </row>
    <row r="1271" spans="1:4">
      <c r="A1271" s="122">
        <v>40822</v>
      </c>
      <c r="B1271" s="24">
        <v>0.97489999999999999</v>
      </c>
      <c r="C1271" s="24">
        <v>4830.2</v>
      </c>
      <c r="D1271" s="47">
        <f t="shared" si="19"/>
        <v>4708.96198</v>
      </c>
    </row>
    <row r="1272" spans="1:4">
      <c r="A1272" s="122">
        <v>40821</v>
      </c>
      <c r="B1272" s="24">
        <v>0.96409999999999996</v>
      </c>
      <c r="C1272" s="24">
        <v>4872.2</v>
      </c>
      <c r="D1272" s="47">
        <f t="shared" si="19"/>
        <v>4697.28802</v>
      </c>
    </row>
    <row r="1273" spans="1:4">
      <c r="A1273" s="122">
        <v>40820</v>
      </c>
      <c r="B1273" s="24">
        <v>0.95440000000000003</v>
      </c>
      <c r="C1273" s="24">
        <v>4863.1000000000004</v>
      </c>
      <c r="D1273" s="47">
        <f t="shared" si="19"/>
        <v>4641.3426400000008</v>
      </c>
    </row>
    <row r="1274" spans="1:4">
      <c r="A1274" s="122">
        <v>40819</v>
      </c>
      <c r="B1274" s="24">
        <v>0.95179999999999998</v>
      </c>
      <c r="C1274" s="24">
        <v>4853.2</v>
      </c>
      <c r="D1274" s="47">
        <f t="shared" si="19"/>
        <v>4619.2757599999995</v>
      </c>
    </row>
    <row r="1275" spans="1:4">
      <c r="A1275" s="122">
        <v>40818</v>
      </c>
      <c r="B1275" s="24">
        <v>0.96699999999999997</v>
      </c>
      <c r="C1275" s="24">
        <v>4797.2</v>
      </c>
      <c r="D1275" s="47">
        <f t="shared" si="19"/>
        <v>4638.8923999999997</v>
      </c>
    </row>
    <row r="1276" spans="1:4">
      <c r="A1276" s="122">
        <v>40817</v>
      </c>
      <c r="B1276" s="24">
        <v>0.96589999999999998</v>
      </c>
      <c r="C1276" s="24">
        <v>4784.1000000000004</v>
      </c>
      <c r="D1276" s="47">
        <f t="shared" si="19"/>
        <v>4620.9621900000002</v>
      </c>
    </row>
    <row r="1277" spans="1:4">
      <c r="A1277" s="122">
        <v>40816</v>
      </c>
      <c r="B1277" s="24">
        <v>0.96589999999999998</v>
      </c>
      <c r="C1277" s="24">
        <v>4818.1000000000004</v>
      </c>
      <c r="D1277" s="47">
        <f t="shared" si="19"/>
        <v>4653.8027900000006</v>
      </c>
    </row>
    <row r="1278" spans="1:4">
      <c r="A1278" s="122">
        <v>40815</v>
      </c>
      <c r="B1278" s="24">
        <v>0.97719999999999996</v>
      </c>
      <c r="C1278" s="24">
        <v>4814.2</v>
      </c>
      <c r="D1278" s="47">
        <f t="shared" si="19"/>
        <v>4704.43624</v>
      </c>
    </row>
    <row r="1279" spans="1:4">
      <c r="A1279" s="122">
        <v>40814</v>
      </c>
      <c r="B1279" s="24">
        <v>0.97099999999999997</v>
      </c>
      <c r="C1279" s="24">
        <v>4820</v>
      </c>
      <c r="D1279" s="47">
        <f t="shared" si="19"/>
        <v>4680.22</v>
      </c>
    </row>
    <row r="1280" spans="1:4">
      <c r="A1280" s="122">
        <v>40813</v>
      </c>
      <c r="B1280" s="24">
        <v>0.99099999999999999</v>
      </c>
      <c r="C1280" s="24">
        <v>4820.1000000000004</v>
      </c>
      <c r="D1280" s="47">
        <f t="shared" si="19"/>
        <v>4776.7191000000003</v>
      </c>
    </row>
    <row r="1281" spans="1:4">
      <c r="A1281" s="122">
        <v>40812</v>
      </c>
      <c r="B1281" s="24">
        <v>0.98350000000000004</v>
      </c>
      <c r="C1281" s="24">
        <v>4807.8999999999996</v>
      </c>
      <c r="D1281" s="47">
        <f t="shared" si="19"/>
        <v>4728.5696499999995</v>
      </c>
    </row>
    <row r="1282" spans="1:4">
      <c r="A1282" s="122">
        <v>40811</v>
      </c>
      <c r="B1282" s="24">
        <v>0.98160000000000003</v>
      </c>
      <c r="C1282" s="24">
        <v>4767.2</v>
      </c>
      <c r="D1282" s="47">
        <f t="shared" si="19"/>
        <v>4679.4835199999998</v>
      </c>
    </row>
    <row r="1283" spans="1:4">
      <c r="A1283" s="122">
        <v>40810</v>
      </c>
      <c r="B1283" s="24">
        <v>0.97829999999999995</v>
      </c>
      <c r="C1283" s="24">
        <v>4750.5</v>
      </c>
      <c r="D1283" s="47">
        <f t="shared" ref="D1283:D1346" si="20">C1283*B1283</f>
        <v>4647.4141499999996</v>
      </c>
    </row>
    <row r="1284" spans="1:4">
      <c r="A1284" s="122">
        <v>40809</v>
      </c>
      <c r="B1284" s="24">
        <v>0.97870000000000001</v>
      </c>
      <c r="C1284" s="24">
        <v>4735.7</v>
      </c>
      <c r="D1284" s="47">
        <f t="shared" si="20"/>
        <v>4634.8295900000003</v>
      </c>
    </row>
    <row r="1285" spans="1:4">
      <c r="A1285" s="122">
        <v>40808</v>
      </c>
      <c r="B1285" s="24">
        <v>0.98140000000000005</v>
      </c>
      <c r="C1285" s="24">
        <v>4701.8999999999996</v>
      </c>
      <c r="D1285" s="47">
        <f t="shared" si="20"/>
        <v>4614.4446600000001</v>
      </c>
    </row>
    <row r="1286" spans="1:4">
      <c r="A1286" s="122">
        <v>40807</v>
      </c>
      <c r="B1286" s="24">
        <v>1.0034000000000001</v>
      </c>
      <c r="C1286" s="24">
        <v>4686.5</v>
      </c>
      <c r="D1286" s="47">
        <f t="shared" si="20"/>
        <v>4702.4341000000004</v>
      </c>
    </row>
    <row r="1287" spans="1:4">
      <c r="A1287" s="122">
        <v>40806</v>
      </c>
      <c r="B1287" s="24">
        <v>1.0255000000000001</v>
      </c>
      <c r="C1287" s="24">
        <v>4637.7</v>
      </c>
      <c r="D1287" s="47">
        <f t="shared" si="20"/>
        <v>4755.9613500000005</v>
      </c>
    </row>
    <row r="1288" spans="1:4">
      <c r="A1288" s="122">
        <v>40805</v>
      </c>
      <c r="B1288" s="24">
        <v>1.0185</v>
      </c>
      <c r="C1288" s="24">
        <v>4594.1000000000004</v>
      </c>
      <c r="D1288" s="47">
        <f t="shared" si="20"/>
        <v>4679.0908500000005</v>
      </c>
    </row>
    <row r="1289" spans="1:4">
      <c r="A1289" s="122">
        <v>40804</v>
      </c>
      <c r="B1289" s="24">
        <v>1.0301</v>
      </c>
      <c r="C1289" s="24">
        <v>4648.5</v>
      </c>
      <c r="D1289" s="47">
        <f t="shared" si="20"/>
        <v>4788.4198500000002</v>
      </c>
    </row>
    <row r="1290" spans="1:4">
      <c r="A1290" s="122">
        <v>40803</v>
      </c>
      <c r="B1290" s="24">
        <v>1.0359</v>
      </c>
      <c r="C1290" s="24">
        <v>4718.3</v>
      </c>
      <c r="D1290" s="47">
        <f t="shared" si="20"/>
        <v>4887.6869700000007</v>
      </c>
    </row>
    <row r="1291" spans="1:4">
      <c r="A1291" s="122">
        <v>40802</v>
      </c>
      <c r="B1291" s="24">
        <v>1.0359</v>
      </c>
      <c r="C1291" s="24">
        <v>4717.5</v>
      </c>
      <c r="D1291" s="47">
        <f t="shared" si="20"/>
        <v>4886.8582500000002</v>
      </c>
    </row>
    <row r="1292" spans="1:4">
      <c r="A1292" s="122">
        <v>40801</v>
      </c>
      <c r="B1292" s="24">
        <v>1.0333000000000001</v>
      </c>
      <c r="C1292" s="24">
        <v>4635.1000000000004</v>
      </c>
      <c r="D1292" s="47">
        <f t="shared" si="20"/>
        <v>4789.4488300000012</v>
      </c>
    </row>
    <row r="1293" spans="1:4">
      <c r="A1293" s="122">
        <v>40800</v>
      </c>
      <c r="B1293" s="24">
        <v>1.0286</v>
      </c>
      <c r="C1293" s="24">
        <v>4654.8999999999996</v>
      </c>
      <c r="D1293" s="47">
        <f t="shared" si="20"/>
        <v>4788.0301399999998</v>
      </c>
    </row>
    <row r="1294" spans="1:4">
      <c r="A1294" s="122">
        <v>40799</v>
      </c>
      <c r="B1294" s="24">
        <v>1.0315000000000001</v>
      </c>
      <c r="C1294" s="24">
        <v>4667.8999999999996</v>
      </c>
      <c r="D1294" s="47">
        <f t="shared" si="20"/>
        <v>4814.9388500000005</v>
      </c>
    </row>
    <row r="1295" spans="1:4">
      <c r="A1295" s="122">
        <v>40798</v>
      </c>
      <c r="B1295" s="24">
        <v>1.0327999999999999</v>
      </c>
      <c r="C1295" s="24">
        <v>4567.8</v>
      </c>
      <c r="D1295" s="47">
        <f t="shared" si="20"/>
        <v>4717.6238400000002</v>
      </c>
    </row>
    <row r="1296" spans="1:4">
      <c r="A1296" s="122">
        <v>40797</v>
      </c>
      <c r="B1296" s="24">
        <v>1.0396000000000001</v>
      </c>
      <c r="C1296" s="24">
        <v>4545.5</v>
      </c>
      <c r="D1296" s="47">
        <f t="shared" si="20"/>
        <v>4725.5018</v>
      </c>
    </row>
    <row r="1297" spans="1:4">
      <c r="A1297" s="122">
        <v>40796</v>
      </c>
      <c r="B1297" s="24">
        <v>1.0468999999999999</v>
      </c>
      <c r="C1297" s="24">
        <v>4562.1000000000004</v>
      </c>
      <c r="D1297" s="47">
        <f t="shared" si="20"/>
        <v>4776.0624900000003</v>
      </c>
    </row>
    <row r="1298" spans="1:4">
      <c r="A1298" s="122">
        <v>40795</v>
      </c>
      <c r="B1298" s="24">
        <v>1.0468999999999999</v>
      </c>
      <c r="C1298" s="24">
        <v>4554.3</v>
      </c>
      <c r="D1298" s="47">
        <f t="shared" si="20"/>
        <v>4767.8966700000001</v>
      </c>
    </row>
    <row r="1299" spans="1:4">
      <c r="A1299" s="122">
        <v>40794</v>
      </c>
      <c r="B1299" s="24">
        <v>1.0583</v>
      </c>
      <c r="C1299" s="24">
        <v>4513.3999999999996</v>
      </c>
      <c r="D1299" s="47">
        <f t="shared" si="20"/>
        <v>4776.5312199999998</v>
      </c>
    </row>
    <row r="1300" spans="1:4">
      <c r="A1300" s="122">
        <v>40793</v>
      </c>
      <c r="B1300" s="24">
        <v>1.0637000000000001</v>
      </c>
      <c r="C1300" s="24">
        <v>4505.1000000000004</v>
      </c>
      <c r="D1300" s="47">
        <f t="shared" si="20"/>
        <v>4792.0748700000004</v>
      </c>
    </row>
    <row r="1301" spans="1:4">
      <c r="A1301" s="122">
        <v>40792</v>
      </c>
      <c r="B1301" s="24">
        <v>1.0525</v>
      </c>
      <c r="C1301" s="24">
        <v>4521.3999999999996</v>
      </c>
      <c r="D1301" s="47">
        <f t="shared" si="20"/>
        <v>4758.7734999999993</v>
      </c>
    </row>
    <row r="1302" spans="1:4">
      <c r="A1302" s="122">
        <v>40791</v>
      </c>
      <c r="B1302" s="24">
        <v>1.0517000000000001</v>
      </c>
      <c r="C1302" s="24">
        <v>4514.1000000000004</v>
      </c>
      <c r="D1302" s="47">
        <f t="shared" si="20"/>
        <v>4747.478970000001</v>
      </c>
    </row>
    <row r="1303" spans="1:4">
      <c r="A1303" s="122">
        <v>40790</v>
      </c>
      <c r="B1303" s="24">
        <v>1.0593999999999999</v>
      </c>
      <c r="C1303" s="24">
        <v>4621.6000000000004</v>
      </c>
      <c r="D1303" s="47">
        <f t="shared" si="20"/>
        <v>4896.1230399999995</v>
      </c>
    </row>
    <row r="1304" spans="1:4">
      <c r="A1304" s="122">
        <v>40789</v>
      </c>
      <c r="B1304" s="24">
        <v>1.0630999999999999</v>
      </c>
      <c r="C1304" s="24">
        <v>4647.8999999999996</v>
      </c>
      <c r="D1304" s="47">
        <f t="shared" si="20"/>
        <v>4941.1824899999992</v>
      </c>
    </row>
    <row r="1305" spans="1:4">
      <c r="A1305" s="122">
        <v>40788</v>
      </c>
      <c r="B1305" s="24">
        <v>1.0630999999999999</v>
      </c>
      <c r="C1305" s="24">
        <v>4605.3</v>
      </c>
      <c r="D1305" s="47">
        <f t="shared" si="20"/>
        <v>4895.8944300000003</v>
      </c>
    </row>
    <row r="1306" spans="1:4">
      <c r="A1306" s="122">
        <v>40787</v>
      </c>
      <c r="B1306" s="24">
        <v>1.0720000000000001</v>
      </c>
      <c r="C1306" s="24">
        <v>4524.1000000000004</v>
      </c>
      <c r="D1306" s="47">
        <f t="shared" si="20"/>
        <v>4849.8352000000004</v>
      </c>
    </row>
    <row r="1307" spans="1:4">
      <c r="A1307" s="122">
        <v>40786</v>
      </c>
      <c r="B1307" s="24">
        <v>1.0704</v>
      </c>
      <c r="C1307" s="24">
        <v>4569.6000000000004</v>
      </c>
      <c r="D1307" s="47">
        <f t="shared" si="20"/>
        <v>4891.2998400000006</v>
      </c>
    </row>
    <row r="1308" spans="1:4">
      <c r="A1308" s="122">
        <v>40785</v>
      </c>
      <c r="B1308" s="24">
        <v>1.0677000000000001</v>
      </c>
      <c r="C1308" s="24">
        <v>4673.3</v>
      </c>
      <c r="D1308" s="47">
        <f t="shared" si="20"/>
        <v>4989.6824100000003</v>
      </c>
    </row>
    <row r="1309" spans="1:4">
      <c r="A1309" s="122">
        <v>40784</v>
      </c>
      <c r="B1309" s="24">
        <v>1.0670999999999999</v>
      </c>
      <c r="C1309" s="24">
        <v>4644.6000000000004</v>
      </c>
      <c r="D1309" s="47">
        <f t="shared" si="20"/>
        <v>4956.2526600000001</v>
      </c>
    </row>
    <row r="1310" spans="1:4">
      <c r="A1310" s="122">
        <v>40783</v>
      </c>
      <c r="B1310" s="24">
        <v>1.0571999999999999</v>
      </c>
      <c r="C1310" s="24">
        <v>4717.8999999999996</v>
      </c>
      <c r="D1310" s="47">
        <f t="shared" si="20"/>
        <v>4987.7638799999995</v>
      </c>
    </row>
    <row r="1311" spans="1:4">
      <c r="A1311" s="122">
        <v>40782</v>
      </c>
      <c r="B1311" s="24">
        <v>1.0547</v>
      </c>
      <c r="C1311" s="24">
        <v>4750.6000000000004</v>
      </c>
      <c r="D1311" s="47">
        <f t="shared" si="20"/>
        <v>5010.4578200000005</v>
      </c>
    </row>
    <row r="1312" spans="1:4">
      <c r="A1312" s="122">
        <v>40781</v>
      </c>
      <c r="B1312" s="24">
        <v>1.0547</v>
      </c>
      <c r="C1312" s="24">
        <v>4827.2</v>
      </c>
      <c r="D1312" s="47">
        <f t="shared" si="20"/>
        <v>5091.24784</v>
      </c>
    </row>
    <row r="1313" spans="1:4">
      <c r="A1313" s="122">
        <v>40780</v>
      </c>
      <c r="B1313" s="24">
        <v>1.0468</v>
      </c>
      <c r="C1313" s="24">
        <v>4868.2</v>
      </c>
      <c r="D1313" s="47">
        <f t="shared" si="20"/>
        <v>5096.0317599999998</v>
      </c>
    </row>
    <row r="1314" spans="1:4">
      <c r="A1314" s="122">
        <v>40779</v>
      </c>
      <c r="B1314" s="24">
        <v>1.0465</v>
      </c>
      <c r="C1314" s="24">
        <v>4861.2</v>
      </c>
      <c r="D1314" s="47">
        <f t="shared" si="20"/>
        <v>5087.2457999999997</v>
      </c>
    </row>
    <row r="1315" spans="1:4">
      <c r="A1315" s="122">
        <v>40778</v>
      </c>
      <c r="B1315" s="24">
        <v>1.0519000000000001</v>
      </c>
      <c r="C1315" s="24">
        <v>4911.1000000000004</v>
      </c>
      <c r="D1315" s="47">
        <f t="shared" si="20"/>
        <v>5165.9860900000003</v>
      </c>
    </row>
    <row r="1316" spans="1:4">
      <c r="A1316" s="122">
        <v>40777</v>
      </c>
      <c r="B1316" s="24">
        <v>1.0396000000000001</v>
      </c>
      <c r="C1316" s="24">
        <v>4899.6000000000004</v>
      </c>
      <c r="D1316" s="47">
        <f t="shared" si="20"/>
        <v>5093.6241600000012</v>
      </c>
    </row>
    <row r="1317" spans="1:4">
      <c r="A1317" s="122">
        <v>40776</v>
      </c>
      <c r="B1317" s="24">
        <v>1.0375000000000001</v>
      </c>
      <c r="C1317" s="24">
        <v>4898</v>
      </c>
      <c r="D1317" s="47">
        <f t="shared" si="20"/>
        <v>5081.6750000000002</v>
      </c>
    </row>
    <row r="1318" spans="1:4">
      <c r="A1318" s="122">
        <v>40775</v>
      </c>
      <c r="B1318" s="24">
        <v>1.0406</v>
      </c>
      <c r="C1318" s="24">
        <v>4868.1000000000004</v>
      </c>
      <c r="D1318" s="47">
        <f t="shared" si="20"/>
        <v>5065.7448599999998</v>
      </c>
    </row>
    <row r="1319" spans="1:4">
      <c r="A1319" s="122">
        <v>40774</v>
      </c>
      <c r="B1319" s="24">
        <v>1.0406</v>
      </c>
      <c r="C1319" s="24">
        <v>4899.5</v>
      </c>
      <c r="D1319" s="47">
        <f t="shared" si="20"/>
        <v>5098.4196999999995</v>
      </c>
    </row>
    <row r="1320" spans="1:4">
      <c r="A1320" s="122">
        <v>40773</v>
      </c>
      <c r="B1320" s="24">
        <v>1.0388999999999999</v>
      </c>
      <c r="C1320" s="24">
        <v>4950.7</v>
      </c>
      <c r="D1320" s="47">
        <f t="shared" si="20"/>
        <v>5143.2822299999998</v>
      </c>
    </row>
    <row r="1321" spans="1:4">
      <c r="A1321" s="122">
        <v>40772</v>
      </c>
      <c r="B1321" s="24">
        <v>1.0548999999999999</v>
      </c>
      <c r="C1321" s="24">
        <v>4912.1000000000004</v>
      </c>
      <c r="D1321" s="47">
        <f t="shared" si="20"/>
        <v>5181.7742900000003</v>
      </c>
    </row>
    <row r="1322" spans="1:4">
      <c r="A1322" s="122">
        <v>40771</v>
      </c>
      <c r="B1322" s="24">
        <v>1.0483</v>
      </c>
      <c r="C1322" s="24">
        <v>4899.3999999999996</v>
      </c>
      <c r="D1322" s="47">
        <f t="shared" si="20"/>
        <v>5136.0410199999997</v>
      </c>
    </row>
    <row r="1323" spans="1:4">
      <c r="A1323" s="122">
        <v>40770</v>
      </c>
      <c r="B1323" s="24">
        <v>1.0505</v>
      </c>
      <c r="C1323" s="24">
        <v>4921.3999999999996</v>
      </c>
      <c r="D1323" s="47">
        <f t="shared" si="20"/>
        <v>5169.9306999999999</v>
      </c>
    </row>
    <row r="1324" spans="1:4">
      <c r="A1324" s="122">
        <v>40769</v>
      </c>
      <c r="B1324" s="24">
        <v>1.0407999999999999</v>
      </c>
      <c r="C1324" s="24">
        <v>4924.3</v>
      </c>
      <c r="D1324" s="47">
        <f t="shared" si="20"/>
        <v>5125.21144</v>
      </c>
    </row>
    <row r="1325" spans="1:4">
      <c r="A1325" s="122">
        <v>40768</v>
      </c>
      <c r="B1325" s="24">
        <v>1.0350999999999999</v>
      </c>
      <c r="C1325" s="24">
        <v>4876.3</v>
      </c>
      <c r="D1325" s="47">
        <f t="shared" si="20"/>
        <v>5047.45813</v>
      </c>
    </row>
    <row r="1326" spans="1:4">
      <c r="A1326" s="122">
        <v>40767</v>
      </c>
      <c r="B1326" s="24">
        <v>1.0350999999999999</v>
      </c>
      <c r="C1326" s="24">
        <v>4870.6000000000004</v>
      </c>
      <c r="D1326" s="47">
        <f t="shared" si="20"/>
        <v>5041.5580600000003</v>
      </c>
    </row>
    <row r="1327" spans="1:4">
      <c r="A1327" s="122">
        <v>40766</v>
      </c>
      <c r="B1327" s="24">
        <v>1.0349999999999999</v>
      </c>
      <c r="C1327" s="24">
        <v>4833.3</v>
      </c>
      <c r="D1327" s="47">
        <f t="shared" si="20"/>
        <v>5002.4655000000002</v>
      </c>
    </row>
    <row r="1328" spans="1:4">
      <c r="A1328" s="122">
        <v>40765</v>
      </c>
      <c r="B1328" s="24">
        <v>1.0145</v>
      </c>
      <c r="C1328" s="24">
        <v>4845.1000000000004</v>
      </c>
      <c r="D1328" s="47">
        <f t="shared" si="20"/>
        <v>4915.3539499999997</v>
      </c>
    </row>
    <row r="1329" spans="1:4">
      <c r="A1329" s="122">
        <v>40764</v>
      </c>
      <c r="B1329" s="24">
        <v>1.0335000000000001</v>
      </c>
      <c r="C1329" s="24">
        <v>4790.8999999999996</v>
      </c>
      <c r="D1329" s="47">
        <f t="shared" si="20"/>
        <v>4951.3951500000003</v>
      </c>
    </row>
    <row r="1330" spans="1:4">
      <c r="A1330" s="122">
        <v>40763</v>
      </c>
      <c r="B1330" s="24">
        <v>1.0146999999999999</v>
      </c>
      <c r="C1330" s="24">
        <v>4739.3</v>
      </c>
      <c r="D1330" s="47">
        <f t="shared" si="20"/>
        <v>4808.9677099999999</v>
      </c>
    </row>
    <row r="1331" spans="1:4">
      <c r="A1331" s="122">
        <v>40762</v>
      </c>
      <c r="B1331" s="24">
        <v>1.0410999999999999</v>
      </c>
      <c r="C1331" s="24">
        <v>4704.2</v>
      </c>
      <c r="D1331" s="47">
        <f t="shared" si="20"/>
        <v>4897.5426199999993</v>
      </c>
    </row>
    <row r="1332" spans="1:4">
      <c r="A1332" s="122">
        <v>40761</v>
      </c>
      <c r="B1332" s="24">
        <v>1.044</v>
      </c>
      <c r="C1332" s="24">
        <v>4635.1000000000004</v>
      </c>
      <c r="D1332" s="47">
        <f t="shared" si="20"/>
        <v>4839.0444000000007</v>
      </c>
    </row>
    <row r="1333" spans="1:4">
      <c r="A1333" s="122">
        <v>40760</v>
      </c>
      <c r="B1333" s="24">
        <v>1.044</v>
      </c>
      <c r="C1333" s="24">
        <v>4650.5</v>
      </c>
      <c r="D1333" s="47">
        <f t="shared" si="20"/>
        <v>4855.1220000000003</v>
      </c>
    </row>
    <row r="1334" spans="1:4">
      <c r="A1334" s="122">
        <v>40759</v>
      </c>
      <c r="B1334" s="24">
        <v>1.0447</v>
      </c>
      <c r="C1334" s="24">
        <v>4670.3</v>
      </c>
      <c r="D1334" s="47">
        <f t="shared" si="20"/>
        <v>4879.0624100000005</v>
      </c>
    </row>
    <row r="1335" spans="1:4">
      <c r="A1335" s="122">
        <v>40758</v>
      </c>
      <c r="B1335" s="24">
        <v>1.0751999999999999</v>
      </c>
      <c r="C1335" s="24">
        <v>4661.8999999999996</v>
      </c>
      <c r="D1335" s="47">
        <f t="shared" si="20"/>
        <v>5012.4748799999988</v>
      </c>
    </row>
    <row r="1336" spans="1:4">
      <c r="A1336" s="122">
        <v>40757</v>
      </c>
      <c r="B1336" s="24">
        <v>1.0733999999999999</v>
      </c>
      <c r="C1336" s="24">
        <v>4673.5</v>
      </c>
      <c r="D1336" s="47">
        <f t="shared" si="20"/>
        <v>5016.5348999999997</v>
      </c>
    </row>
    <row r="1337" spans="1:4">
      <c r="A1337" s="122">
        <v>40756</v>
      </c>
      <c r="B1337" s="24">
        <v>1.0994999999999999</v>
      </c>
      <c r="C1337" s="24">
        <v>4654</v>
      </c>
      <c r="D1337" s="47">
        <f t="shared" si="20"/>
        <v>5117.0729999999994</v>
      </c>
    </row>
    <row r="1338" spans="1:4">
      <c r="A1338" s="122">
        <v>40755</v>
      </c>
      <c r="B1338" s="24">
        <v>1.1013999999999999</v>
      </c>
      <c r="C1338" s="24">
        <v>4635.2</v>
      </c>
      <c r="D1338" s="47">
        <f t="shared" si="20"/>
        <v>5105.2092799999991</v>
      </c>
    </row>
    <row r="1339" spans="1:4">
      <c r="A1339" s="122">
        <v>40754</v>
      </c>
      <c r="B1339" s="24">
        <v>1.0992</v>
      </c>
      <c r="C1339" s="24">
        <v>4606.7</v>
      </c>
      <c r="D1339" s="47">
        <f t="shared" si="20"/>
        <v>5063.6846399999995</v>
      </c>
    </row>
    <row r="1340" spans="1:4">
      <c r="A1340" s="122">
        <v>40753</v>
      </c>
      <c r="B1340" s="24">
        <v>1.0992</v>
      </c>
      <c r="C1340" s="24">
        <v>4637.8999999999996</v>
      </c>
      <c r="D1340" s="47">
        <f t="shared" si="20"/>
        <v>5097.9796799999995</v>
      </c>
    </row>
    <row r="1341" spans="1:4">
      <c r="A1341" s="122">
        <v>40752</v>
      </c>
      <c r="B1341" s="24">
        <v>1.1002000000000001</v>
      </c>
      <c r="C1341" s="24">
        <v>4670.6000000000004</v>
      </c>
      <c r="D1341" s="47">
        <f t="shared" si="20"/>
        <v>5138.5941200000007</v>
      </c>
    </row>
    <row r="1342" spans="1:4">
      <c r="A1342" s="122">
        <v>40751</v>
      </c>
      <c r="B1342" s="24">
        <v>1.1017999999999999</v>
      </c>
      <c r="C1342" s="24">
        <v>4676.5</v>
      </c>
      <c r="D1342" s="47">
        <f t="shared" si="20"/>
        <v>5152.5676999999996</v>
      </c>
    </row>
    <row r="1343" spans="1:4">
      <c r="A1343" s="122">
        <v>40750</v>
      </c>
      <c r="B1343" s="24">
        <v>1.0954999999999999</v>
      </c>
      <c r="C1343" s="24">
        <v>4702.2</v>
      </c>
      <c r="D1343" s="47">
        <f t="shared" si="20"/>
        <v>5151.2600999999995</v>
      </c>
    </row>
    <row r="1344" spans="1:4">
      <c r="A1344" s="122">
        <v>40749</v>
      </c>
      <c r="B1344" s="24">
        <v>1.0838000000000001</v>
      </c>
      <c r="C1344" s="24">
        <v>4774.6000000000004</v>
      </c>
      <c r="D1344" s="47">
        <f t="shared" si="20"/>
        <v>5174.7114800000008</v>
      </c>
    </row>
    <row r="1345" spans="1:4">
      <c r="A1345" s="122">
        <v>40748</v>
      </c>
      <c r="B1345" s="24">
        <v>1.0821000000000001</v>
      </c>
      <c r="C1345" s="24">
        <v>4762.3999999999996</v>
      </c>
      <c r="D1345" s="47">
        <f t="shared" si="20"/>
        <v>5153.3930399999999</v>
      </c>
    </row>
    <row r="1346" spans="1:4">
      <c r="A1346" s="122">
        <v>40747</v>
      </c>
      <c r="B1346" s="24">
        <v>1.0848</v>
      </c>
      <c r="C1346" s="24">
        <v>4719</v>
      </c>
      <c r="D1346" s="47">
        <f t="shared" si="20"/>
        <v>5119.1711999999998</v>
      </c>
    </row>
    <row r="1347" spans="1:4">
      <c r="A1347" s="122">
        <v>40746</v>
      </c>
      <c r="B1347" s="24">
        <v>1.0848</v>
      </c>
      <c r="C1347" s="24">
        <v>4701.3999999999996</v>
      </c>
      <c r="D1347" s="47">
        <f t="shared" ref="D1347:D1410" si="21">C1347*B1347</f>
        <v>5100.0787199999995</v>
      </c>
    </row>
    <row r="1348" spans="1:4">
      <c r="A1348" s="122">
        <v>40745</v>
      </c>
      <c r="B1348" s="24">
        <v>1.0838000000000001</v>
      </c>
      <c r="C1348" s="24">
        <v>4572.1000000000004</v>
      </c>
      <c r="D1348" s="47">
        <f t="shared" si="21"/>
        <v>4955.2419800000007</v>
      </c>
    </row>
    <row r="1349" spans="1:4">
      <c r="A1349" s="122">
        <v>40744</v>
      </c>
      <c r="B1349" s="24">
        <v>1.0764</v>
      </c>
      <c r="C1349" s="24">
        <v>4708.6000000000004</v>
      </c>
      <c r="D1349" s="47">
        <f t="shared" si="21"/>
        <v>5068.3370400000003</v>
      </c>
    </row>
    <row r="1350" spans="1:4">
      <c r="A1350" s="122">
        <v>40743</v>
      </c>
      <c r="B1350" s="24">
        <v>1.0734999999999999</v>
      </c>
      <c r="C1350" s="24">
        <v>4722.2</v>
      </c>
      <c r="D1350" s="47">
        <f t="shared" si="21"/>
        <v>5069.2816999999995</v>
      </c>
    </row>
    <row r="1351" spans="1:4">
      <c r="A1351" s="122">
        <v>40742</v>
      </c>
      <c r="B1351" s="24">
        <v>1.0637000000000001</v>
      </c>
      <c r="C1351" s="24">
        <v>4685</v>
      </c>
      <c r="D1351" s="47">
        <f t="shared" si="21"/>
        <v>4983.4345000000003</v>
      </c>
    </row>
    <row r="1352" spans="1:4">
      <c r="A1352" s="122">
        <v>40741</v>
      </c>
      <c r="B1352" s="24">
        <v>1.0645</v>
      </c>
      <c r="C1352" s="24">
        <v>4717</v>
      </c>
      <c r="D1352" s="47">
        <f t="shared" si="21"/>
        <v>5021.2465000000002</v>
      </c>
    </row>
    <row r="1353" spans="1:4">
      <c r="A1353" s="122">
        <v>40740</v>
      </c>
      <c r="B1353" s="24">
        <v>1.0637000000000001</v>
      </c>
      <c r="C1353" s="24">
        <v>4685.8</v>
      </c>
      <c r="D1353" s="47">
        <f t="shared" si="21"/>
        <v>4984.285460000001</v>
      </c>
    </row>
    <row r="1354" spans="1:4">
      <c r="A1354" s="122">
        <v>40739</v>
      </c>
      <c r="B1354" s="24">
        <v>1.0637000000000001</v>
      </c>
      <c r="C1354" s="24">
        <v>4749.2</v>
      </c>
      <c r="D1354" s="47">
        <f t="shared" si="21"/>
        <v>5051.7240400000001</v>
      </c>
    </row>
    <row r="1355" spans="1:4">
      <c r="A1355" s="122">
        <v>40738</v>
      </c>
      <c r="B1355" s="24">
        <v>1.0740000000000001</v>
      </c>
      <c r="C1355" s="24">
        <v>4739</v>
      </c>
      <c r="D1355" s="47">
        <f t="shared" si="21"/>
        <v>5089.6860000000006</v>
      </c>
    </row>
    <row r="1356" spans="1:4">
      <c r="A1356" s="122">
        <v>40737</v>
      </c>
      <c r="B1356" s="24">
        <v>1.0779000000000001</v>
      </c>
      <c r="C1356" s="24">
        <v>4729.3999999999996</v>
      </c>
      <c r="D1356" s="47">
        <f t="shared" si="21"/>
        <v>5097.8202600000004</v>
      </c>
    </row>
    <row r="1357" spans="1:4">
      <c r="A1357" s="122">
        <v>40736</v>
      </c>
      <c r="B1357" s="24">
        <v>1.0617000000000001</v>
      </c>
      <c r="C1357" s="24">
        <v>4755.2</v>
      </c>
      <c r="D1357" s="47">
        <f t="shared" si="21"/>
        <v>5048.59584</v>
      </c>
    </row>
    <row r="1358" spans="1:4">
      <c r="A1358" s="122">
        <v>40735</v>
      </c>
      <c r="B1358" s="24">
        <v>1.0640000000000001</v>
      </c>
      <c r="C1358" s="24">
        <v>4706.3999999999996</v>
      </c>
      <c r="D1358" s="47">
        <f t="shared" si="21"/>
        <v>5007.6095999999998</v>
      </c>
    </row>
    <row r="1359" spans="1:4">
      <c r="A1359" s="122">
        <v>40734</v>
      </c>
      <c r="B1359" s="24">
        <v>1.0713999999999999</v>
      </c>
      <c r="C1359" s="24">
        <v>4747.8999999999996</v>
      </c>
      <c r="D1359" s="47">
        <f t="shared" si="21"/>
        <v>5086.900059999999</v>
      </c>
    </row>
    <row r="1360" spans="1:4">
      <c r="A1360" s="122">
        <v>40733</v>
      </c>
      <c r="B1360" s="24">
        <v>1.0752999999999999</v>
      </c>
      <c r="C1360" s="24">
        <v>4757</v>
      </c>
      <c r="D1360" s="47">
        <f t="shared" si="21"/>
        <v>5115.2020999999995</v>
      </c>
    </row>
    <row r="1361" spans="1:4">
      <c r="A1361" s="122">
        <v>40732</v>
      </c>
      <c r="B1361" s="24">
        <v>1.0752999999999999</v>
      </c>
      <c r="C1361" s="24">
        <v>4733.6000000000004</v>
      </c>
      <c r="D1361" s="47">
        <f t="shared" si="21"/>
        <v>5090.0400799999998</v>
      </c>
    </row>
    <row r="1362" spans="1:4">
      <c r="A1362" s="122">
        <v>40731</v>
      </c>
      <c r="B1362" s="24">
        <v>1.0771999999999999</v>
      </c>
      <c r="C1362" s="24">
        <v>4674.8999999999996</v>
      </c>
      <c r="D1362" s="47">
        <f t="shared" si="21"/>
        <v>5035.802279999999</v>
      </c>
    </row>
    <row r="1363" spans="1:4">
      <c r="A1363" s="122">
        <v>40730</v>
      </c>
      <c r="B1363" s="24">
        <v>1.0708</v>
      </c>
      <c r="C1363" s="24">
        <v>4594</v>
      </c>
      <c r="D1363" s="47">
        <f t="shared" si="21"/>
        <v>4919.2551999999996</v>
      </c>
    </row>
    <row r="1364" spans="1:4">
      <c r="A1364" s="122">
        <v>40729</v>
      </c>
      <c r="B1364" s="24">
        <v>1.0690999999999999</v>
      </c>
      <c r="C1364" s="24">
        <v>4508</v>
      </c>
      <c r="D1364" s="47">
        <f t="shared" si="21"/>
        <v>4819.5027999999993</v>
      </c>
    </row>
    <row r="1365" spans="1:4">
      <c r="A1365" s="122">
        <v>40728</v>
      </c>
      <c r="B1365" s="24">
        <v>1.0741000000000001</v>
      </c>
      <c r="C1365" s="24">
        <v>4540.1000000000004</v>
      </c>
      <c r="D1365" s="47">
        <f t="shared" si="21"/>
        <v>4876.5214100000003</v>
      </c>
    </row>
    <row r="1366" spans="1:4">
      <c r="A1366" s="122">
        <v>40727</v>
      </c>
      <c r="B1366" s="24">
        <v>1.0779000000000001</v>
      </c>
      <c r="C1366" s="24">
        <v>4531.5</v>
      </c>
      <c r="D1366" s="47">
        <f t="shared" si="21"/>
        <v>4884.5038500000001</v>
      </c>
    </row>
    <row r="1367" spans="1:4">
      <c r="A1367" s="122">
        <v>40726</v>
      </c>
      <c r="B1367" s="24">
        <v>1.0767</v>
      </c>
      <c r="C1367" s="24">
        <v>4540.3999999999996</v>
      </c>
      <c r="D1367" s="47">
        <f t="shared" si="21"/>
        <v>4888.6486799999993</v>
      </c>
    </row>
    <row r="1368" spans="1:4">
      <c r="A1368" s="122">
        <v>40725</v>
      </c>
      <c r="B1368" s="24">
        <v>1.0767</v>
      </c>
      <c r="C1368" s="24">
        <v>4643.2</v>
      </c>
      <c r="D1368" s="47">
        <f t="shared" si="21"/>
        <v>4999.3334399999994</v>
      </c>
    </row>
    <row r="1369" spans="1:4">
      <c r="A1369" s="122">
        <v>40724</v>
      </c>
      <c r="B1369" s="24">
        <v>1.0720000000000001</v>
      </c>
      <c r="C1369" s="24">
        <v>4574.7</v>
      </c>
      <c r="D1369" s="47">
        <f t="shared" si="21"/>
        <v>4904.0784000000003</v>
      </c>
    </row>
    <row r="1370" spans="1:4">
      <c r="A1370" s="122">
        <v>40723</v>
      </c>
      <c r="B1370" s="24">
        <v>1.0680000000000001</v>
      </c>
      <c r="C1370" s="24">
        <v>4685.1000000000004</v>
      </c>
      <c r="D1370" s="47">
        <f t="shared" si="21"/>
        <v>5003.6868000000004</v>
      </c>
    </row>
    <row r="1371" spans="1:4">
      <c r="A1371" s="122">
        <v>40722</v>
      </c>
      <c r="B1371" s="24">
        <v>1.0539000000000001</v>
      </c>
      <c r="C1371" s="24">
        <v>4753.5</v>
      </c>
      <c r="D1371" s="47">
        <f t="shared" si="21"/>
        <v>5009.7136500000006</v>
      </c>
    </row>
    <row r="1372" spans="1:4">
      <c r="A1372" s="122">
        <v>40721</v>
      </c>
      <c r="B1372" s="24">
        <v>1.0442</v>
      </c>
      <c r="C1372" s="24">
        <v>4830.3</v>
      </c>
      <c r="D1372" s="47">
        <f t="shared" si="21"/>
        <v>5043.7992600000007</v>
      </c>
    </row>
    <row r="1373" spans="1:4">
      <c r="A1373" s="122">
        <v>40720</v>
      </c>
      <c r="B1373" s="24">
        <v>1.0465</v>
      </c>
      <c r="C1373" s="24">
        <v>4859.3999999999996</v>
      </c>
      <c r="D1373" s="47">
        <f t="shared" si="21"/>
        <v>5085.3620999999994</v>
      </c>
    </row>
    <row r="1374" spans="1:4">
      <c r="A1374" s="122">
        <v>40719</v>
      </c>
      <c r="B1374" s="24">
        <v>1.0488</v>
      </c>
      <c r="C1374" s="24">
        <v>4812.8</v>
      </c>
      <c r="D1374" s="47">
        <f t="shared" si="21"/>
        <v>5047.66464</v>
      </c>
    </row>
    <row r="1375" spans="1:4">
      <c r="A1375" s="122">
        <v>40718</v>
      </c>
      <c r="B1375" s="24">
        <v>1.0488</v>
      </c>
      <c r="C1375" s="24">
        <v>4838.6000000000004</v>
      </c>
      <c r="D1375" s="47">
        <f t="shared" si="21"/>
        <v>5074.7236800000001</v>
      </c>
    </row>
    <row r="1376" spans="1:4">
      <c r="A1376" s="122">
        <v>40717</v>
      </c>
      <c r="B1376" s="24">
        <v>1.0538000000000001</v>
      </c>
      <c r="C1376" s="24">
        <v>4846.2</v>
      </c>
      <c r="D1376" s="47">
        <f t="shared" si="21"/>
        <v>5106.9255600000006</v>
      </c>
    </row>
    <row r="1377" spans="1:4">
      <c r="A1377" s="122">
        <v>40716</v>
      </c>
      <c r="B1377" s="24">
        <v>1.0557000000000001</v>
      </c>
      <c r="C1377" s="24">
        <v>4792.8</v>
      </c>
      <c r="D1377" s="47">
        <f t="shared" si="21"/>
        <v>5059.758960000001</v>
      </c>
    </row>
    <row r="1378" spans="1:4">
      <c r="A1378" s="122">
        <v>40715</v>
      </c>
      <c r="B1378" s="24">
        <v>1.0589999999999999</v>
      </c>
      <c r="C1378" s="24">
        <v>4836.3999999999996</v>
      </c>
      <c r="D1378" s="47">
        <f t="shared" si="21"/>
        <v>5121.7475999999997</v>
      </c>
    </row>
    <row r="1379" spans="1:4">
      <c r="A1379" s="122">
        <v>40714</v>
      </c>
      <c r="B1379" s="24">
        <v>1.0609</v>
      </c>
      <c r="C1379" s="24">
        <v>4859.8999999999996</v>
      </c>
      <c r="D1379" s="47">
        <f t="shared" si="21"/>
        <v>5155.867909999999</v>
      </c>
    </row>
    <row r="1380" spans="1:4">
      <c r="A1380" s="122">
        <v>40713</v>
      </c>
      <c r="B1380" s="24">
        <v>1.0586</v>
      </c>
      <c r="C1380" s="24">
        <v>4831.1000000000004</v>
      </c>
      <c r="D1380" s="47">
        <f t="shared" si="21"/>
        <v>5114.2024600000004</v>
      </c>
    </row>
    <row r="1381" spans="1:4">
      <c r="A1381" s="122">
        <v>40712</v>
      </c>
      <c r="B1381" s="24">
        <v>1.0621</v>
      </c>
      <c r="C1381" s="24">
        <v>4785.7</v>
      </c>
      <c r="D1381" s="47">
        <f t="shared" si="21"/>
        <v>5082.8919699999997</v>
      </c>
    </row>
    <row r="1382" spans="1:4">
      <c r="A1382" s="122">
        <v>40711</v>
      </c>
      <c r="B1382" s="24">
        <v>1.0621</v>
      </c>
      <c r="C1382" s="24">
        <v>4739.8</v>
      </c>
      <c r="D1382" s="47">
        <f t="shared" si="21"/>
        <v>5034.1415800000004</v>
      </c>
    </row>
    <row r="1383" spans="1:4">
      <c r="A1383" s="122">
        <v>40710</v>
      </c>
      <c r="B1383" s="24">
        <v>1.0563</v>
      </c>
      <c r="C1383" s="24">
        <v>4752.8999999999996</v>
      </c>
      <c r="D1383" s="47">
        <f t="shared" si="21"/>
        <v>5020.4882699999998</v>
      </c>
    </row>
    <row r="1384" spans="1:4">
      <c r="A1384" s="122">
        <v>40709</v>
      </c>
      <c r="B1384" s="24">
        <v>1.0589</v>
      </c>
      <c r="C1384" s="24">
        <v>4768.6000000000004</v>
      </c>
      <c r="D1384" s="47">
        <f t="shared" si="21"/>
        <v>5049.4705400000003</v>
      </c>
    </row>
    <row r="1385" spans="1:4">
      <c r="A1385" s="122">
        <v>40708</v>
      </c>
      <c r="B1385" s="24">
        <v>1.0681</v>
      </c>
      <c r="C1385" s="24">
        <v>4695.7</v>
      </c>
      <c r="D1385" s="47">
        <f t="shared" si="21"/>
        <v>5015.4771700000001</v>
      </c>
    </row>
    <row r="1386" spans="1:4">
      <c r="A1386" s="122">
        <v>40707</v>
      </c>
      <c r="B1386" s="24">
        <v>1.0602</v>
      </c>
      <c r="C1386" s="24">
        <v>4591.6000000000004</v>
      </c>
      <c r="D1386" s="47">
        <f t="shared" si="21"/>
        <v>4868.0143200000002</v>
      </c>
    </row>
    <row r="1387" spans="1:4">
      <c r="A1387" s="122">
        <v>40706</v>
      </c>
      <c r="B1387" s="24">
        <v>1.0536000000000001</v>
      </c>
      <c r="C1387" s="24">
        <v>4573.3</v>
      </c>
      <c r="D1387" s="47">
        <f t="shared" si="21"/>
        <v>4818.4288800000004</v>
      </c>
    </row>
    <row r="1388" spans="1:4">
      <c r="A1388" s="122">
        <v>40705</v>
      </c>
      <c r="B1388" s="24">
        <v>1.0533999999999999</v>
      </c>
      <c r="C1388" s="24">
        <v>4601.7</v>
      </c>
      <c r="D1388" s="47">
        <f t="shared" si="21"/>
        <v>4847.4307799999997</v>
      </c>
    </row>
    <row r="1389" spans="1:4">
      <c r="A1389" s="122">
        <v>40704</v>
      </c>
      <c r="B1389" s="24">
        <v>1.0533999999999999</v>
      </c>
      <c r="C1389" s="24">
        <v>4701.1000000000004</v>
      </c>
      <c r="D1389" s="47">
        <f t="shared" si="21"/>
        <v>4952.1387400000003</v>
      </c>
    </row>
    <row r="1390" spans="1:4">
      <c r="A1390" s="122">
        <v>40703</v>
      </c>
      <c r="B1390" s="24">
        <v>1.0637000000000001</v>
      </c>
      <c r="C1390" s="24">
        <v>4743.6000000000004</v>
      </c>
      <c r="D1390" s="47">
        <f t="shared" si="21"/>
        <v>5045.7673200000008</v>
      </c>
    </row>
    <row r="1391" spans="1:4">
      <c r="A1391" s="122">
        <v>40702</v>
      </c>
      <c r="B1391" s="24">
        <v>1.0645</v>
      </c>
      <c r="C1391" s="24">
        <v>4753.1000000000004</v>
      </c>
      <c r="D1391" s="47">
        <f t="shared" si="21"/>
        <v>5059.6749500000005</v>
      </c>
    </row>
    <row r="1392" spans="1:4">
      <c r="A1392" s="122">
        <v>40701</v>
      </c>
      <c r="B1392" s="24">
        <v>1.0701000000000001</v>
      </c>
      <c r="C1392" s="24">
        <v>4677.3999999999996</v>
      </c>
      <c r="D1392" s="47">
        <f t="shared" si="21"/>
        <v>5005.2857400000003</v>
      </c>
    </row>
    <row r="1393" spans="1:4">
      <c r="A1393" s="122">
        <v>40700</v>
      </c>
      <c r="B1393" s="24">
        <v>1.0728</v>
      </c>
      <c r="C1393" s="24">
        <v>4713.3</v>
      </c>
      <c r="D1393" s="47">
        <f t="shared" si="21"/>
        <v>5056.4282400000002</v>
      </c>
    </row>
    <row r="1394" spans="1:4">
      <c r="A1394" s="122">
        <v>40699</v>
      </c>
      <c r="B1394" s="24">
        <v>1.0750999999999999</v>
      </c>
      <c r="C1394" s="24">
        <v>4701.2</v>
      </c>
      <c r="D1394" s="47">
        <f t="shared" si="21"/>
        <v>5054.2601199999999</v>
      </c>
    </row>
    <row r="1395" spans="1:4">
      <c r="A1395" s="122">
        <v>40698</v>
      </c>
      <c r="B1395" s="24">
        <v>1.0713999999999999</v>
      </c>
      <c r="C1395" s="24">
        <v>4734.1000000000004</v>
      </c>
      <c r="D1395" s="47">
        <f t="shared" si="21"/>
        <v>5072.11474</v>
      </c>
    </row>
    <row r="1396" spans="1:4">
      <c r="A1396" s="122">
        <v>40697</v>
      </c>
      <c r="B1396" s="24">
        <v>1.0713999999999999</v>
      </c>
      <c r="C1396" s="24">
        <v>4663.7</v>
      </c>
      <c r="D1396" s="47">
        <f t="shared" si="21"/>
        <v>4996.6881799999992</v>
      </c>
    </row>
    <row r="1397" spans="1:4">
      <c r="A1397" s="122">
        <v>40696</v>
      </c>
      <c r="B1397" s="24">
        <v>1.0669</v>
      </c>
      <c r="C1397" s="24">
        <v>4677.3999999999996</v>
      </c>
      <c r="D1397" s="47">
        <f t="shared" si="21"/>
        <v>4990.3180599999996</v>
      </c>
    </row>
    <row r="1398" spans="1:4">
      <c r="A1398" s="122">
        <v>40695</v>
      </c>
      <c r="B1398" s="24">
        <v>1.0612999999999999</v>
      </c>
      <c r="C1398" s="24">
        <v>4693.2</v>
      </c>
      <c r="D1398" s="47">
        <f t="shared" si="21"/>
        <v>4980.8931599999996</v>
      </c>
    </row>
    <row r="1399" spans="1:4">
      <c r="A1399" s="122">
        <v>40694</v>
      </c>
      <c r="B1399" s="24">
        <v>1.0669999999999999</v>
      </c>
      <c r="C1399" s="24">
        <v>4714.8999999999996</v>
      </c>
      <c r="D1399" s="47">
        <f t="shared" si="21"/>
        <v>5030.7982999999995</v>
      </c>
    </row>
    <row r="1400" spans="1:4">
      <c r="A1400" s="122">
        <v>40693</v>
      </c>
      <c r="B1400" s="24">
        <v>1.0721000000000001</v>
      </c>
      <c r="C1400" s="24">
        <v>4650.3999999999996</v>
      </c>
      <c r="D1400" s="47">
        <f t="shared" si="21"/>
        <v>4985.6938399999999</v>
      </c>
    </row>
    <row r="1401" spans="1:4">
      <c r="A1401" s="122">
        <v>40692</v>
      </c>
      <c r="B1401" s="24">
        <v>1.069</v>
      </c>
      <c r="C1401" s="24">
        <v>4540.3</v>
      </c>
      <c r="D1401" s="47">
        <f t="shared" si="21"/>
        <v>4853.5806999999995</v>
      </c>
    </row>
    <row r="1402" spans="1:4">
      <c r="A1402" s="122">
        <v>40691</v>
      </c>
      <c r="B1402" s="24">
        <v>1.0686</v>
      </c>
      <c r="C1402" s="24">
        <v>4531.1000000000004</v>
      </c>
      <c r="D1402" s="47">
        <f t="shared" si="21"/>
        <v>4841.9334600000002</v>
      </c>
    </row>
    <row r="1403" spans="1:4">
      <c r="A1403" s="122">
        <v>40690</v>
      </c>
      <c r="B1403" s="24">
        <v>1.0686</v>
      </c>
      <c r="C1403" s="24">
        <v>4596.1000000000004</v>
      </c>
      <c r="D1403" s="47">
        <f t="shared" si="21"/>
        <v>4911.39246</v>
      </c>
    </row>
    <row r="1404" spans="1:4">
      <c r="A1404" s="122">
        <v>40689</v>
      </c>
      <c r="B1404" s="24">
        <v>1.0629</v>
      </c>
      <c r="C1404" s="24">
        <v>4570.8</v>
      </c>
      <c r="D1404" s="47">
        <f t="shared" si="21"/>
        <v>4858.30332</v>
      </c>
    </row>
    <row r="1405" spans="1:4">
      <c r="A1405" s="122">
        <v>40688</v>
      </c>
      <c r="B1405" s="24">
        <v>1.0508999999999999</v>
      </c>
      <c r="C1405" s="24">
        <v>4522.2</v>
      </c>
      <c r="D1405" s="47">
        <f t="shared" si="21"/>
        <v>4752.3799799999997</v>
      </c>
    </row>
    <row r="1406" spans="1:4">
      <c r="A1406" s="122">
        <v>40687</v>
      </c>
      <c r="B1406" s="24">
        <v>1.0555000000000001</v>
      </c>
      <c r="C1406" s="24">
        <v>4523.8</v>
      </c>
      <c r="D1406" s="47">
        <f t="shared" si="21"/>
        <v>4774.8709000000008</v>
      </c>
    </row>
    <row r="1407" spans="1:4">
      <c r="A1407" s="122">
        <v>40686</v>
      </c>
      <c r="B1407" s="24">
        <v>1.0490999999999999</v>
      </c>
      <c r="C1407" s="24">
        <v>4454.3999999999996</v>
      </c>
      <c r="D1407" s="47">
        <f t="shared" si="21"/>
        <v>4673.1110399999989</v>
      </c>
    </row>
    <row r="1408" spans="1:4">
      <c r="A1408" s="122">
        <v>40685</v>
      </c>
      <c r="B1408" s="24">
        <v>1.0627</v>
      </c>
      <c r="C1408" s="24">
        <v>4435.5</v>
      </c>
      <c r="D1408" s="47">
        <f t="shared" si="21"/>
        <v>4713.6058499999999</v>
      </c>
    </row>
    <row r="1409" spans="1:4">
      <c r="A1409" s="122">
        <v>40684</v>
      </c>
      <c r="B1409" s="24">
        <v>1.0657000000000001</v>
      </c>
      <c r="C1409" s="24">
        <v>4429.6000000000004</v>
      </c>
      <c r="D1409" s="47">
        <f t="shared" si="21"/>
        <v>4720.6247200000007</v>
      </c>
    </row>
    <row r="1410" spans="1:4">
      <c r="A1410" s="122">
        <v>40683</v>
      </c>
      <c r="B1410" s="24">
        <v>1.0657000000000001</v>
      </c>
      <c r="C1410" s="24">
        <v>4438.2</v>
      </c>
      <c r="D1410" s="47">
        <f t="shared" si="21"/>
        <v>4729.7897400000002</v>
      </c>
    </row>
    <row r="1411" spans="1:4">
      <c r="A1411" s="122">
        <v>40682</v>
      </c>
      <c r="B1411" s="24">
        <v>1.0676000000000001</v>
      </c>
      <c r="C1411" s="24">
        <v>4514.6000000000004</v>
      </c>
      <c r="D1411" s="47">
        <f t="shared" ref="D1411:D1474" si="22">C1411*B1411</f>
        <v>4819.7869600000013</v>
      </c>
    </row>
    <row r="1412" spans="1:4">
      <c r="A1412" s="122">
        <v>40681</v>
      </c>
      <c r="B1412" s="24">
        <v>1.0633999999999999</v>
      </c>
      <c r="C1412" s="24">
        <v>4479.1000000000004</v>
      </c>
      <c r="D1412" s="47">
        <f t="shared" si="22"/>
        <v>4763.0749399999995</v>
      </c>
    </row>
    <row r="1413" spans="1:4">
      <c r="A1413" s="122">
        <v>40680</v>
      </c>
      <c r="B1413" s="24">
        <v>1.0625</v>
      </c>
      <c r="C1413" s="24">
        <v>4489.6000000000004</v>
      </c>
      <c r="D1413" s="47">
        <f t="shared" si="22"/>
        <v>4770.2000000000007</v>
      </c>
    </row>
    <row r="1414" spans="1:4">
      <c r="A1414" s="122">
        <v>40679</v>
      </c>
      <c r="B1414" s="24">
        <v>1.0557000000000001</v>
      </c>
      <c r="C1414" s="24">
        <v>4450.8</v>
      </c>
      <c r="D1414" s="47">
        <f t="shared" si="22"/>
        <v>4698.7095600000002</v>
      </c>
    </row>
    <row r="1415" spans="1:4">
      <c r="A1415" s="122">
        <v>40678</v>
      </c>
      <c r="B1415" s="24">
        <v>1.0548</v>
      </c>
      <c r="C1415" s="24">
        <v>4454.5</v>
      </c>
      <c r="D1415" s="47">
        <f t="shared" si="22"/>
        <v>4698.6066000000001</v>
      </c>
    </row>
    <row r="1416" spans="1:4">
      <c r="A1416" s="122">
        <v>40677</v>
      </c>
      <c r="B1416" s="24">
        <v>1.0570999999999999</v>
      </c>
      <c r="C1416" s="24">
        <v>4405.8</v>
      </c>
      <c r="D1416" s="47">
        <f t="shared" si="22"/>
        <v>4657.3711800000001</v>
      </c>
    </row>
    <row r="1417" spans="1:4">
      <c r="A1417" s="122">
        <v>40676</v>
      </c>
      <c r="B1417" s="24">
        <v>1.0570999999999999</v>
      </c>
      <c r="C1417" s="24">
        <v>4426.1000000000004</v>
      </c>
      <c r="D1417" s="47">
        <f t="shared" si="22"/>
        <v>4678.8303100000003</v>
      </c>
    </row>
    <row r="1418" spans="1:4">
      <c r="A1418" s="122">
        <v>40675</v>
      </c>
      <c r="B1418" s="24">
        <v>1.0657000000000001</v>
      </c>
      <c r="C1418" s="24">
        <v>4290.6000000000004</v>
      </c>
      <c r="D1418" s="47">
        <f t="shared" si="22"/>
        <v>4572.4924200000005</v>
      </c>
    </row>
    <row r="1419" spans="1:4">
      <c r="A1419" s="122">
        <v>40674</v>
      </c>
      <c r="B1419" s="24">
        <v>1.0686</v>
      </c>
      <c r="C1419" s="24">
        <v>4377.5</v>
      </c>
      <c r="D1419" s="47">
        <f t="shared" si="22"/>
        <v>4677.7965000000004</v>
      </c>
    </row>
    <row r="1420" spans="1:4">
      <c r="A1420" s="122">
        <v>40673</v>
      </c>
      <c r="B1420" s="24">
        <v>1.0838000000000001</v>
      </c>
      <c r="C1420" s="24">
        <v>4373.8</v>
      </c>
      <c r="D1420" s="47">
        <f t="shared" si="22"/>
        <v>4740.3244400000003</v>
      </c>
    </row>
    <row r="1421" spans="1:4">
      <c r="A1421" s="122">
        <v>40672</v>
      </c>
      <c r="B1421" s="24">
        <v>1.0786</v>
      </c>
      <c r="C1421" s="24">
        <v>4381.6000000000004</v>
      </c>
      <c r="D1421" s="47">
        <f t="shared" si="22"/>
        <v>4725.9937600000003</v>
      </c>
    </row>
    <row r="1422" spans="1:4">
      <c r="A1422" s="122">
        <v>40671</v>
      </c>
      <c r="B1422" s="24">
        <v>1.0748</v>
      </c>
      <c r="C1422" s="24">
        <v>4388.3999999999996</v>
      </c>
      <c r="D1422" s="47">
        <f t="shared" si="22"/>
        <v>4716.6523199999992</v>
      </c>
    </row>
    <row r="1423" spans="1:4">
      <c r="A1423" s="122">
        <v>40670</v>
      </c>
      <c r="B1423" s="24">
        <v>1.0698000000000001</v>
      </c>
      <c r="C1423" s="24">
        <v>4461</v>
      </c>
      <c r="D1423" s="47">
        <f t="shared" si="22"/>
        <v>4772.3778000000002</v>
      </c>
    </row>
    <row r="1424" spans="1:4">
      <c r="A1424" s="122">
        <v>40669</v>
      </c>
      <c r="B1424" s="24">
        <v>1.0698000000000001</v>
      </c>
      <c r="C1424" s="24">
        <v>4435.8999999999996</v>
      </c>
      <c r="D1424" s="47">
        <f t="shared" si="22"/>
        <v>4745.5258199999998</v>
      </c>
    </row>
    <row r="1425" spans="1:4">
      <c r="A1425" s="122">
        <v>40668</v>
      </c>
      <c r="B1425" s="24">
        <v>1.0621</v>
      </c>
      <c r="C1425" s="24">
        <v>4343.1000000000004</v>
      </c>
      <c r="D1425" s="47">
        <f t="shared" si="22"/>
        <v>4612.8065100000003</v>
      </c>
    </row>
    <row r="1426" spans="1:4">
      <c r="A1426" s="122">
        <v>40667</v>
      </c>
      <c r="B1426" s="24">
        <v>1.0742</v>
      </c>
      <c r="C1426" s="24">
        <v>4332</v>
      </c>
      <c r="D1426" s="47">
        <f t="shared" si="22"/>
        <v>4653.4344000000001</v>
      </c>
    </row>
    <row r="1427" spans="1:4">
      <c r="A1427" s="122">
        <v>40666</v>
      </c>
      <c r="B1427" s="24">
        <v>1.0863</v>
      </c>
      <c r="C1427" s="24">
        <v>4304.1000000000004</v>
      </c>
      <c r="D1427" s="47">
        <f t="shared" si="22"/>
        <v>4675.5438300000005</v>
      </c>
    </row>
    <row r="1428" spans="1:4">
      <c r="A1428" s="122">
        <v>40665</v>
      </c>
      <c r="B1428" s="24">
        <v>1.0931</v>
      </c>
      <c r="C1428" s="24">
        <v>4299.3999999999996</v>
      </c>
      <c r="D1428" s="47">
        <f t="shared" si="22"/>
        <v>4699.6741399999992</v>
      </c>
    </row>
    <row r="1429" spans="1:4">
      <c r="A1429" s="122">
        <v>40664</v>
      </c>
      <c r="B1429" s="24">
        <v>1.0959000000000001</v>
      </c>
      <c r="C1429" s="24">
        <v>4326.3</v>
      </c>
      <c r="D1429" s="47">
        <f t="shared" si="22"/>
        <v>4741.1921700000003</v>
      </c>
    </row>
    <row r="1430" spans="1:4">
      <c r="A1430" s="122">
        <v>40663</v>
      </c>
      <c r="B1430" s="24">
        <v>1.097</v>
      </c>
      <c r="C1430" s="24">
        <v>4264.5</v>
      </c>
      <c r="D1430" s="47">
        <f t="shared" si="22"/>
        <v>4678.1565000000001</v>
      </c>
    </row>
    <row r="1431" spans="1:4">
      <c r="A1431" s="122">
        <v>40662</v>
      </c>
      <c r="B1431" s="24">
        <v>1.097</v>
      </c>
      <c r="C1431" s="24">
        <v>4309.3</v>
      </c>
      <c r="D1431" s="47">
        <f t="shared" si="22"/>
        <v>4727.3020999999999</v>
      </c>
    </row>
    <row r="1432" spans="1:4">
      <c r="A1432" s="122">
        <v>40661</v>
      </c>
      <c r="B1432" s="24">
        <v>1.0932999999999999</v>
      </c>
      <c r="C1432" s="24">
        <v>4263.3999999999996</v>
      </c>
      <c r="D1432" s="47">
        <f t="shared" si="22"/>
        <v>4661.1752199999992</v>
      </c>
    </row>
    <row r="1433" spans="1:4">
      <c r="A1433" s="122">
        <v>40660</v>
      </c>
      <c r="B1433" s="24">
        <v>1.0867</v>
      </c>
      <c r="C1433" s="24">
        <v>4244</v>
      </c>
      <c r="D1433" s="47">
        <f t="shared" si="22"/>
        <v>4611.9548000000004</v>
      </c>
    </row>
    <row r="1434" spans="1:4">
      <c r="A1434" s="122">
        <v>40659</v>
      </c>
      <c r="B1434" s="24">
        <v>1.0821000000000001</v>
      </c>
      <c r="C1434" s="24">
        <v>4190.5</v>
      </c>
      <c r="D1434" s="47">
        <f t="shared" si="22"/>
        <v>4534.5400500000005</v>
      </c>
    </row>
    <row r="1435" spans="1:4">
      <c r="A1435" s="122">
        <v>40658</v>
      </c>
      <c r="B1435" s="24">
        <v>1.0713999999999999</v>
      </c>
      <c r="C1435" s="24">
        <v>4142.8</v>
      </c>
      <c r="D1435" s="47">
        <f t="shared" si="22"/>
        <v>4438.5959199999998</v>
      </c>
    </row>
    <row r="1436" spans="1:4">
      <c r="A1436" s="122">
        <v>40657</v>
      </c>
      <c r="B1436" s="24">
        <v>1.0766</v>
      </c>
      <c r="C1436" s="24">
        <v>4169.5</v>
      </c>
      <c r="D1436" s="47">
        <f t="shared" si="22"/>
        <v>4488.8837000000003</v>
      </c>
    </row>
    <row r="1437" spans="1:4">
      <c r="A1437" s="122">
        <v>40656</v>
      </c>
      <c r="B1437" s="24">
        <v>1.0732999999999999</v>
      </c>
      <c r="C1437" s="24">
        <v>4139.6000000000004</v>
      </c>
      <c r="D1437" s="47">
        <f t="shared" si="22"/>
        <v>4443.0326800000003</v>
      </c>
    </row>
    <row r="1438" spans="1:4">
      <c r="A1438" s="122">
        <v>40655</v>
      </c>
      <c r="B1438" s="24">
        <v>1.0732999999999999</v>
      </c>
      <c r="C1438" s="24">
        <v>4089.8</v>
      </c>
      <c r="D1438" s="47">
        <f t="shared" si="22"/>
        <v>4389.5823399999999</v>
      </c>
    </row>
    <row r="1439" spans="1:4">
      <c r="A1439" s="122">
        <v>40654</v>
      </c>
      <c r="B1439" s="24">
        <v>1.0743</v>
      </c>
      <c r="C1439" s="24">
        <v>4064.1</v>
      </c>
      <c r="D1439" s="47">
        <f t="shared" si="22"/>
        <v>4366.0626300000004</v>
      </c>
    </row>
    <row r="1440" spans="1:4">
      <c r="A1440" s="122">
        <v>40653</v>
      </c>
      <c r="B1440" s="24">
        <v>1.0683</v>
      </c>
      <c r="C1440" s="24">
        <v>4068.5</v>
      </c>
      <c r="D1440" s="47">
        <f t="shared" si="22"/>
        <v>4346.3785500000004</v>
      </c>
    </row>
    <row r="1441" spans="1:4">
      <c r="A1441" s="122">
        <v>40652</v>
      </c>
      <c r="B1441" s="24">
        <v>1.0551999999999999</v>
      </c>
      <c r="C1441" s="24">
        <v>4050.7</v>
      </c>
      <c r="D1441" s="47">
        <f t="shared" si="22"/>
        <v>4274.2986399999991</v>
      </c>
    </row>
    <row r="1442" spans="1:4">
      <c r="A1442" s="122">
        <v>40651</v>
      </c>
      <c r="B1442" s="24">
        <v>1.0491999999999999</v>
      </c>
      <c r="C1442" s="24">
        <v>4050.3</v>
      </c>
      <c r="D1442" s="47">
        <f t="shared" si="22"/>
        <v>4249.5747599999995</v>
      </c>
    </row>
    <row r="1443" spans="1:4">
      <c r="A1443" s="122">
        <v>40650</v>
      </c>
      <c r="B1443" s="24">
        <v>1.0557000000000001</v>
      </c>
      <c r="C1443" s="24">
        <v>4000.8</v>
      </c>
      <c r="D1443" s="47">
        <f t="shared" si="22"/>
        <v>4223.6445600000006</v>
      </c>
    </row>
    <row r="1444" spans="1:4">
      <c r="A1444" s="122">
        <v>40649</v>
      </c>
      <c r="B1444" s="24">
        <v>1.0566</v>
      </c>
      <c r="C1444" s="24">
        <v>3995.6</v>
      </c>
      <c r="D1444" s="47">
        <f t="shared" si="22"/>
        <v>4221.7509599999994</v>
      </c>
    </row>
    <row r="1445" spans="1:4">
      <c r="A1445" s="122">
        <v>40648</v>
      </c>
      <c r="B1445" s="24">
        <v>1.0566</v>
      </c>
      <c r="C1445" s="24">
        <v>3924.5</v>
      </c>
      <c r="D1445" s="47">
        <f t="shared" si="22"/>
        <v>4146.6266999999998</v>
      </c>
    </row>
    <row r="1446" spans="1:4">
      <c r="A1446" s="122">
        <v>40647</v>
      </c>
      <c r="B1446" s="24">
        <v>1.0548</v>
      </c>
      <c r="C1446" s="24">
        <v>3867.1</v>
      </c>
      <c r="D1446" s="47">
        <f t="shared" si="22"/>
        <v>4079.0170799999996</v>
      </c>
    </row>
    <row r="1447" spans="1:4">
      <c r="A1447" s="122">
        <v>40646</v>
      </c>
      <c r="B1447" s="24">
        <v>1.0492999999999999</v>
      </c>
      <c r="C1447" s="24">
        <v>3737.5</v>
      </c>
      <c r="D1447" s="47">
        <f t="shared" si="22"/>
        <v>3921.7587499999995</v>
      </c>
    </row>
    <row r="1448" spans="1:4">
      <c r="A1448" s="122">
        <v>40645</v>
      </c>
      <c r="B1448" s="24">
        <v>1.0470999999999999</v>
      </c>
      <c r="C1448" s="24">
        <v>3794.1</v>
      </c>
      <c r="D1448" s="47">
        <f t="shared" si="22"/>
        <v>3972.8021099999996</v>
      </c>
    </row>
    <row r="1449" spans="1:4">
      <c r="A1449" s="122">
        <v>40644</v>
      </c>
      <c r="B1449" s="24">
        <v>1.0478000000000001</v>
      </c>
      <c r="C1449" s="24">
        <v>3763.3</v>
      </c>
      <c r="D1449" s="47">
        <f t="shared" si="22"/>
        <v>3943.1857400000004</v>
      </c>
    </row>
    <row r="1450" spans="1:4">
      <c r="A1450" s="122">
        <v>40643</v>
      </c>
      <c r="B1450" s="24">
        <v>1.0573999999999999</v>
      </c>
      <c r="C1450" s="24">
        <v>3767.9</v>
      </c>
      <c r="D1450" s="47">
        <f t="shared" si="22"/>
        <v>3984.1774599999999</v>
      </c>
    </row>
    <row r="1451" spans="1:4">
      <c r="A1451" s="122">
        <v>40642</v>
      </c>
      <c r="B1451" s="24">
        <v>1.0566</v>
      </c>
      <c r="C1451" s="24">
        <v>3766.9</v>
      </c>
      <c r="D1451" s="47">
        <f t="shared" si="22"/>
        <v>3980.1065400000002</v>
      </c>
    </row>
    <row r="1452" spans="1:4">
      <c r="A1452" s="122">
        <v>40641</v>
      </c>
      <c r="B1452" s="24">
        <v>1.0566</v>
      </c>
      <c r="C1452" s="24">
        <v>3783.7</v>
      </c>
      <c r="D1452" s="47">
        <f t="shared" si="22"/>
        <v>3997.8574199999998</v>
      </c>
    </row>
    <row r="1453" spans="1:4">
      <c r="A1453" s="122">
        <v>40640</v>
      </c>
      <c r="B1453" s="24">
        <v>1.0469999999999999</v>
      </c>
      <c r="C1453" s="24">
        <v>3828.2</v>
      </c>
      <c r="D1453" s="47">
        <f t="shared" si="22"/>
        <v>4008.1253999999994</v>
      </c>
    </row>
    <row r="1454" spans="1:4">
      <c r="A1454" s="122">
        <v>40639</v>
      </c>
      <c r="B1454" s="24">
        <v>1.0432999999999999</v>
      </c>
      <c r="C1454" s="24">
        <v>3877.3</v>
      </c>
      <c r="D1454" s="47">
        <f t="shared" si="22"/>
        <v>4045.1870899999999</v>
      </c>
    </row>
    <row r="1455" spans="1:4">
      <c r="A1455" s="122">
        <v>40638</v>
      </c>
      <c r="B1455" s="24">
        <v>1.0324</v>
      </c>
      <c r="C1455" s="24">
        <v>3874</v>
      </c>
      <c r="D1455" s="47">
        <f t="shared" si="22"/>
        <v>3999.5176000000001</v>
      </c>
    </row>
    <row r="1456" spans="1:4">
      <c r="A1456" s="122">
        <v>40637</v>
      </c>
      <c r="B1456" s="24">
        <v>1.0345</v>
      </c>
      <c r="C1456" s="24">
        <v>3954.9</v>
      </c>
      <c r="D1456" s="47">
        <f t="shared" si="22"/>
        <v>4091.3440500000002</v>
      </c>
    </row>
    <row r="1457" spans="1:4">
      <c r="A1457" s="122">
        <v>40636</v>
      </c>
      <c r="B1457" s="24">
        <v>1.0394000000000001</v>
      </c>
      <c r="C1457" s="24">
        <v>3886.9</v>
      </c>
      <c r="D1457" s="47">
        <f t="shared" si="22"/>
        <v>4040.0438600000007</v>
      </c>
    </row>
    <row r="1458" spans="1:4">
      <c r="A1458" s="122">
        <v>40635</v>
      </c>
      <c r="B1458" s="24">
        <v>1.0385</v>
      </c>
      <c r="C1458" s="24">
        <v>3903.8</v>
      </c>
      <c r="D1458" s="47">
        <f t="shared" si="22"/>
        <v>4054.0963000000002</v>
      </c>
    </row>
    <row r="1459" spans="1:4">
      <c r="A1459" s="122">
        <v>40634</v>
      </c>
      <c r="B1459" s="24">
        <v>1.0385</v>
      </c>
      <c r="C1459" s="24">
        <v>3856</v>
      </c>
      <c r="D1459" s="47">
        <f t="shared" si="22"/>
        <v>4004.4560000000001</v>
      </c>
    </row>
    <row r="1460" spans="1:4">
      <c r="A1460" s="122">
        <v>40633</v>
      </c>
      <c r="B1460" s="24">
        <v>1.0311999999999999</v>
      </c>
      <c r="C1460" s="24">
        <v>3807</v>
      </c>
      <c r="D1460" s="47">
        <f t="shared" si="22"/>
        <v>3925.7783999999997</v>
      </c>
    </row>
    <row r="1461" spans="1:4">
      <c r="A1461" s="122">
        <v>40632</v>
      </c>
      <c r="B1461" s="24">
        <v>1.0316000000000001</v>
      </c>
      <c r="C1461" s="24">
        <v>3796.9</v>
      </c>
      <c r="D1461" s="47">
        <f t="shared" si="22"/>
        <v>3916.8820400000004</v>
      </c>
    </row>
    <row r="1462" spans="1:4">
      <c r="A1462" s="122">
        <v>40631</v>
      </c>
      <c r="B1462" s="24">
        <v>1.0304</v>
      </c>
      <c r="C1462" s="24">
        <v>3918.2</v>
      </c>
      <c r="D1462" s="47">
        <f t="shared" si="22"/>
        <v>4037.3132799999998</v>
      </c>
    </row>
    <row r="1463" spans="1:4">
      <c r="A1463" s="122">
        <v>40630</v>
      </c>
      <c r="B1463" s="24">
        <v>1.0233000000000001</v>
      </c>
      <c r="C1463" s="24">
        <v>3899.6</v>
      </c>
      <c r="D1463" s="47">
        <f t="shared" si="22"/>
        <v>3990.4606800000001</v>
      </c>
    </row>
    <row r="1464" spans="1:4">
      <c r="A1464" s="122">
        <v>40629</v>
      </c>
      <c r="B1464" s="24">
        <v>1.0248999999999999</v>
      </c>
      <c r="C1464" s="24">
        <v>3892.1</v>
      </c>
      <c r="D1464" s="47">
        <f t="shared" si="22"/>
        <v>3989.0132899999994</v>
      </c>
    </row>
    <row r="1465" spans="1:4">
      <c r="A1465" s="122">
        <v>40628</v>
      </c>
      <c r="B1465" s="24">
        <v>1.0259</v>
      </c>
      <c r="C1465" s="24">
        <v>3904.1</v>
      </c>
      <c r="D1465" s="47">
        <f t="shared" si="22"/>
        <v>4005.2161900000001</v>
      </c>
    </row>
    <row r="1466" spans="1:4">
      <c r="A1466" s="122">
        <v>40627</v>
      </c>
      <c r="B1466" s="24">
        <v>1.0259</v>
      </c>
      <c r="C1466" s="24">
        <v>3962.5</v>
      </c>
      <c r="D1466" s="47">
        <f t="shared" si="22"/>
        <v>4065.1287500000003</v>
      </c>
    </row>
    <row r="1467" spans="1:4">
      <c r="A1467" s="122">
        <v>40626</v>
      </c>
      <c r="B1467" s="24">
        <v>1.0202</v>
      </c>
      <c r="C1467" s="24">
        <v>4031.7</v>
      </c>
      <c r="D1467" s="47">
        <f t="shared" si="22"/>
        <v>4113.1403399999999</v>
      </c>
    </row>
    <row r="1468" spans="1:4">
      <c r="A1468" s="122">
        <v>40625</v>
      </c>
      <c r="B1468" s="24">
        <v>1.0142</v>
      </c>
      <c r="C1468" s="24">
        <v>4062.2</v>
      </c>
      <c r="D1468" s="47">
        <f t="shared" si="22"/>
        <v>4119.8832400000001</v>
      </c>
    </row>
    <row r="1469" spans="1:4">
      <c r="A1469" s="122">
        <v>40624</v>
      </c>
      <c r="B1469" s="24">
        <v>1.0085999999999999</v>
      </c>
      <c r="C1469" s="24">
        <v>4047.2</v>
      </c>
      <c r="D1469" s="47">
        <f t="shared" si="22"/>
        <v>4082.0059199999996</v>
      </c>
    </row>
    <row r="1470" spans="1:4">
      <c r="A1470" s="122">
        <v>40623</v>
      </c>
      <c r="B1470" s="24">
        <v>1.0053000000000001</v>
      </c>
      <c r="C1470" s="24">
        <v>4024.4</v>
      </c>
      <c r="D1470" s="47">
        <f t="shared" si="22"/>
        <v>4045.7293200000004</v>
      </c>
    </row>
    <row r="1471" spans="1:4">
      <c r="A1471" s="122">
        <v>40622</v>
      </c>
      <c r="B1471" s="24">
        <v>0.99729999999999996</v>
      </c>
      <c r="C1471" s="24">
        <v>3934.9</v>
      </c>
      <c r="D1471" s="47">
        <f t="shared" si="22"/>
        <v>3924.2757699999997</v>
      </c>
    </row>
    <row r="1472" spans="1:4">
      <c r="A1472" s="122">
        <v>40621</v>
      </c>
      <c r="B1472" s="24">
        <v>0.99639999999999995</v>
      </c>
      <c r="C1472" s="24">
        <v>3971.2</v>
      </c>
      <c r="D1472" s="47">
        <f t="shared" si="22"/>
        <v>3956.9036799999994</v>
      </c>
    </row>
    <row r="1473" spans="1:4">
      <c r="A1473" s="122">
        <v>40620</v>
      </c>
      <c r="B1473" s="24">
        <v>0.99639999999999995</v>
      </c>
      <c r="C1473" s="24">
        <v>3971.2</v>
      </c>
      <c r="D1473" s="47">
        <f t="shared" si="22"/>
        <v>3956.9036799999994</v>
      </c>
    </row>
    <row r="1474" spans="1:4">
      <c r="A1474" s="122">
        <v>40619</v>
      </c>
      <c r="B1474" s="24">
        <v>0.98470000000000002</v>
      </c>
      <c r="C1474" s="24">
        <v>3934.6</v>
      </c>
      <c r="D1474" s="47">
        <f t="shared" si="22"/>
        <v>3874.4006199999999</v>
      </c>
    </row>
    <row r="1475" spans="1:4">
      <c r="A1475" s="122">
        <v>40618</v>
      </c>
      <c r="B1475" s="24">
        <v>0.97819999999999996</v>
      </c>
      <c r="C1475" s="24">
        <v>4017.2</v>
      </c>
      <c r="D1475" s="47">
        <f t="shared" ref="D1475:D1538" si="23">C1475*B1475</f>
        <v>3929.6250399999994</v>
      </c>
    </row>
    <row r="1476" spans="1:4">
      <c r="A1476" s="122">
        <v>40617</v>
      </c>
      <c r="B1476" s="24">
        <v>0.99390000000000001</v>
      </c>
      <c r="C1476" s="24">
        <v>3955.3</v>
      </c>
      <c r="D1476" s="47">
        <f t="shared" si="23"/>
        <v>3931.1726700000004</v>
      </c>
    </row>
    <row r="1477" spans="1:4">
      <c r="A1477" s="122">
        <v>40616</v>
      </c>
      <c r="B1477" s="24">
        <v>1.0085</v>
      </c>
      <c r="C1477" s="24">
        <v>3894.4</v>
      </c>
      <c r="D1477" s="47">
        <f t="shared" si="23"/>
        <v>3927.5023999999999</v>
      </c>
    </row>
    <row r="1478" spans="1:4">
      <c r="A1478" s="122">
        <v>40615</v>
      </c>
      <c r="B1478" s="24">
        <v>1.0105</v>
      </c>
      <c r="C1478" s="24">
        <v>3818</v>
      </c>
      <c r="D1478" s="47">
        <f t="shared" si="23"/>
        <v>3858.0889999999999</v>
      </c>
    </row>
    <row r="1479" spans="1:4">
      <c r="A1479" s="122">
        <v>40614</v>
      </c>
      <c r="B1479" s="24">
        <v>1.0148999999999999</v>
      </c>
      <c r="C1479" s="24">
        <v>3755.7</v>
      </c>
      <c r="D1479" s="47">
        <f t="shared" si="23"/>
        <v>3811.6599299999993</v>
      </c>
    </row>
    <row r="1480" spans="1:4">
      <c r="A1480" s="122">
        <v>40613</v>
      </c>
      <c r="B1480" s="24">
        <v>1.0148999999999999</v>
      </c>
      <c r="C1480" s="24">
        <v>3801.1</v>
      </c>
      <c r="D1480" s="47">
        <f t="shared" si="23"/>
        <v>3857.7363899999996</v>
      </c>
    </row>
    <row r="1481" spans="1:4">
      <c r="A1481" s="122">
        <v>40612</v>
      </c>
      <c r="B1481" s="24">
        <v>1.002</v>
      </c>
      <c r="C1481" s="24">
        <v>3788.4</v>
      </c>
      <c r="D1481" s="47">
        <f t="shared" si="23"/>
        <v>3795.9767999999999</v>
      </c>
    </row>
    <row r="1482" spans="1:4">
      <c r="A1482" s="122">
        <v>40611</v>
      </c>
      <c r="B1482" s="24">
        <v>1.01</v>
      </c>
      <c r="C1482" s="24">
        <v>3737.9</v>
      </c>
      <c r="D1482" s="47">
        <f t="shared" si="23"/>
        <v>3775.279</v>
      </c>
    </row>
    <row r="1483" spans="1:4">
      <c r="A1483" s="122">
        <v>40610</v>
      </c>
      <c r="B1483" s="24">
        <v>1.0085999999999999</v>
      </c>
      <c r="C1483" s="24">
        <v>3761.6</v>
      </c>
      <c r="D1483" s="47">
        <f t="shared" si="23"/>
        <v>3793.9497599999995</v>
      </c>
    </row>
    <row r="1484" spans="1:4">
      <c r="A1484" s="122">
        <v>40609</v>
      </c>
      <c r="B1484" s="24">
        <v>1.0121</v>
      </c>
      <c r="C1484" s="24">
        <v>3813.9</v>
      </c>
      <c r="D1484" s="47">
        <f t="shared" si="23"/>
        <v>3860.04819</v>
      </c>
    </row>
    <row r="1485" spans="1:4">
      <c r="A1485" s="122">
        <v>40608</v>
      </c>
      <c r="B1485" s="24">
        <v>1.0147999999999999</v>
      </c>
      <c r="C1485" s="24">
        <v>3824.6</v>
      </c>
      <c r="D1485" s="47">
        <f t="shared" si="23"/>
        <v>3881.2040799999995</v>
      </c>
    </row>
    <row r="1486" spans="1:4">
      <c r="A1486" s="122">
        <v>40607</v>
      </c>
      <c r="B1486" s="24">
        <v>1.0139</v>
      </c>
      <c r="C1486" s="24">
        <v>3817.3</v>
      </c>
      <c r="D1486" s="47">
        <f t="shared" si="23"/>
        <v>3870.3604700000001</v>
      </c>
    </row>
    <row r="1487" spans="1:4">
      <c r="A1487" s="122">
        <v>40606</v>
      </c>
      <c r="B1487" s="24">
        <v>1.0136000000000001</v>
      </c>
      <c r="C1487" s="24">
        <v>3735.6</v>
      </c>
      <c r="D1487" s="47">
        <f t="shared" si="23"/>
        <v>3786.40416</v>
      </c>
    </row>
    <row r="1488" spans="1:4">
      <c r="A1488" s="122">
        <v>40605</v>
      </c>
      <c r="B1488" s="24">
        <v>1.0132000000000001</v>
      </c>
      <c r="C1488" s="24">
        <v>3773.2</v>
      </c>
      <c r="D1488" s="47">
        <f t="shared" si="23"/>
        <v>3823.0062400000002</v>
      </c>
    </row>
    <row r="1489" spans="1:4">
      <c r="A1489" s="122">
        <v>40604</v>
      </c>
      <c r="B1489" s="24">
        <v>1.016</v>
      </c>
      <c r="C1489" s="24">
        <v>3723.4</v>
      </c>
      <c r="D1489" s="47">
        <f t="shared" si="23"/>
        <v>3782.9744000000001</v>
      </c>
    </row>
    <row r="1490" spans="1:4">
      <c r="A1490" s="122">
        <v>40603</v>
      </c>
      <c r="B1490" s="24">
        <v>1.0132000000000001</v>
      </c>
      <c r="C1490" s="24">
        <v>3856.1</v>
      </c>
      <c r="D1490" s="47">
        <f t="shared" si="23"/>
        <v>3907.0005200000005</v>
      </c>
    </row>
    <row r="1491" spans="1:4">
      <c r="A1491" s="122">
        <v>40602</v>
      </c>
      <c r="B1491" s="24">
        <v>1.0184</v>
      </c>
      <c r="C1491" s="24">
        <v>3877.2</v>
      </c>
      <c r="D1491" s="47">
        <f t="shared" si="23"/>
        <v>3948.5404799999997</v>
      </c>
    </row>
    <row r="1492" spans="1:4">
      <c r="A1492" s="122">
        <v>40601</v>
      </c>
      <c r="B1492" s="24">
        <v>1.0143</v>
      </c>
      <c r="C1492" s="24">
        <v>3926</v>
      </c>
      <c r="D1492" s="47">
        <f t="shared" si="23"/>
        <v>3982.1417999999999</v>
      </c>
    </row>
    <row r="1493" spans="1:4">
      <c r="A1493" s="122">
        <v>40600</v>
      </c>
      <c r="B1493" s="24">
        <v>1.0175000000000001</v>
      </c>
      <c r="C1493" s="24">
        <v>3941.7</v>
      </c>
      <c r="D1493" s="47">
        <f t="shared" si="23"/>
        <v>4010.6797500000002</v>
      </c>
    </row>
    <row r="1494" spans="1:4">
      <c r="A1494" s="122">
        <v>40599</v>
      </c>
      <c r="B1494" s="24">
        <v>1.0175000000000001</v>
      </c>
      <c r="C1494" s="24">
        <v>3938.7</v>
      </c>
      <c r="D1494" s="47">
        <f t="shared" si="23"/>
        <v>4007.62725</v>
      </c>
    </row>
    <row r="1495" spans="1:4">
      <c r="A1495" s="122">
        <v>40598</v>
      </c>
      <c r="B1495" s="24">
        <v>1.0109999999999999</v>
      </c>
      <c r="C1495" s="24">
        <v>3867.1</v>
      </c>
      <c r="D1495" s="47">
        <f t="shared" si="23"/>
        <v>3909.6380999999997</v>
      </c>
    </row>
    <row r="1496" spans="1:4">
      <c r="A1496" s="122">
        <v>40597</v>
      </c>
      <c r="B1496" s="24">
        <v>1.0029999999999999</v>
      </c>
      <c r="C1496" s="24">
        <v>3890.4</v>
      </c>
      <c r="D1496" s="47">
        <f t="shared" si="23"/>
        <v>3902.0711999999999</v>
      </c>
    </row>
    <row r="1497" spans="1:4">
      <c r="A1497" s="122">
        <v>40596</v>
      </c>
      <c r="B1497" s="24">
        <v>1.0004999999999999</v>
      </c>
      <c r="C1497" s="24">
        <v>3883</v>
      </c>
      <c r="D1497" s="47">
        <f t="shared" si="23"/>
        <v>3884.9414999999999</v>
      </c>
    </row>
    <row r="1498" spans="1:4">
      <c r="A1498" s="122">
        <v>40595</v>
      </c>
      <c r="B1498" s="24">
        <v>1.0083</v>
      </c>
      <c r="C1498" s="24">
        <v>3769.6</v>
      </c>
      <c r="D1498" s="47">
        <f t="shared" si="23"/>
        <v>3800.8876799999998</v>
      </c>
    </row>
    <row r="1499" spans="1:4">
      <c r="A1499" s="122">
        <v>40594</v>
      </c>
      <c r="B1499" s="24">
        <v>1.0143</v>
      </c>
      <c r="C1499" s="24">
        <v>3780.5</v>
      </c>
      <c r="D1499" s="47">
        <f t="shared" si="23"/>
        <v>3834.56115</v>
      </c>
    </row>
    <row r="1500" spans="1:4">
      <c r="A1500" s="122">
        <v>40593</v>
      </c>
      <c r="B1500" s="24">
        <v>1.0144</v>
      </c>
      <c r="C1500" s="24">
        <v>3695.3</v>
      </c>
      <c r="D1500" s="47">
        <f t="shared" si="23"/>
        <v>3748.5123200000003</v>
      </c>
    </row>
    <row r="1501" spans="1:4">
      <c r="A1501" s="122">
        <v>40592</v>
      </c>
      <c r="B1501" s="24">
        <v>1.0144</v>
      </c>
      <c r="C1501" s="24">
        <v>3708.4</v>
      </c>
      <c r="D1501" s="47">
        <f t="shared" si="23"/>
        <v>3761.80096</v>
      </c>
    </row>
    <row r="1502" spans="1:4">
      <c r="A1502" s="122">
        <v>40591</v>
      </c>
      <c r="B1502" s="24">
        <v>1.0117</v>
      </c>
      <c r="C1502" s="24">
        <v>3731.6</v>
      </c>
      <c r="D1502" s="47">
        <f t="shared" si="23"/>
        <v>3775.25972</v>
      </c>
    </row>
    <row r="1503" spans="1:4">
      <c r="A1503" s="122">
        <v>40590</v>
      </c>
      <c r="B1503" s="24">
        <v>1.0032000000000001</v>
      </c>
      <c r="C1503" s="24">
        <v>3712.3</v>
      </c>
      <c r="D1503" s="47">
        <f t="shared" si="23"/>
        <v>3724.1793600000005</v>
      </c>
    </row>
    <row r="1504" spans="1:4">
      <c r="A1504" s="122">
        <v>40589</v>
      </c>
      <c r="B1504" s="24">
        <v>0.99629999999999996</v>
      </c>
      <c r="C1504" s="24">
        <v>3743</v>
      </c>
      <c r="D1504" s="47">
        <f t="shared" si="23"/>
        <v>3729.1508999999996</v>
      </c>
    </row>
    <row r="1505" spans="1:4">
      <c r="A1505" s="122">
        <v>40588</v>
      </c>
      <c r="B1505" s="24">
        <v>1.0026999999999999</v>
      </c>
      <c r="C1505" s="24">
        <v>3668.2</v>
      </c>
      <c r="D1505" s="47">
        <f t="shared" si="23"/>
        <v>3678.1041399999995</v>
      </c>
    </row>
    <row r="1506" spans="1:4">
      <c r="A1506" s="122">
        <v>40587</v>
      </c>
      <c r="B1506" s="24">
        <v>1.0014000000000001</v>
      </c>
      <c r="C1506" s="24">
        <v>3677.4</v>
      </c>
      <c r="D1506" s="47">
        <f t="shared" si="23"/>
        <v>3682.5483600000002</v>
      </c>
    </row>
    <row r="1507" spans="1:4">
      <c r="A1507" s="122">
        <v>40585</v>
      </c>
      <c r="B1507" s="24">
        <v>1.0018</v>
      </c>
      <c r="C1507" s="24">
        <v>3769</v>
      </c>
      <c r="D1507" s="47">
        <f t="shared" si="23"/>
        <v>3775.7842000000001</v>
      </c>
    </row>
    <row r="1508" spans="1:4">
      <c r="A1508" s="122">
        <v>40584</v>
      </c>
      <c r="B1508" s="24">
        <v>1.0042</v>
      </c>
      <c r="C1508" s="24">
        <v>3776.7</v>
      </c>
      <c r="D1508" s="47">
        <f t="shared" si="23"/>
        <v>3792.5621399999995</v>
      </c>
    </row>
    <row r="1509" spans="1:4">
      <c r="A1509" s="122">
        <v>40583</v>
      </c>
      <c r="B1509" s="24">
        <v>1.0123</v>
      </c>
      <c r="C1509" s="24">
        <v>3775.7</v>
      </c>
      <c r="D1509" s="47">
        <f t="shared" si="23"/>
        <v>3822.1411099999996</v>
      </c>
    </row>
    <row r="1510" spans="1:4">
      <c r="A1510" s="122">
        <v>40582</v>
      </c>
      <c r="B1510" s="24">
        <v>1.0144</v>
      </c>
      <c r="C1510" s="24">
        <v>3747.5</v>
      </c>
      <c r="D1510" s="47">
        <f t="shared" si="23"/>
        <v>3801.4639999999999</v>
      </c>
    </row>
    <row r="1511" spans="1:4">
      <c r="A1511" s="122">
        <v>40581</v>
      </c>
      <c r="B1511" s="24">
        <v>1.0133000000000001</v>
      </c>
      <c r="C1511" s="24">
        <v>3752.9</v>
      </c>
      <c r="D1511" s="47">
        <f t="shared" si="23"/>
        <v>3802.8135700000003</v>
      </c>
    </row>
    <row r="1512" spans="1:4">
      <c r="A1512" s="122">
        <v>40579</v>
      </c>
      <c r="B1512" s="24">
        <v>1.0141</v>
      </c>
      <c r="C1512" s="24">
        <v>3671.6</v>
      </c>
      <c r="D1512" s="47">
        <f t="shared" si="23"/>
        <v>3723.3695600000001</v>
      </c>
    </row>
    <row r="1513" spans="1:4">
      <c r="A1513" s="122">
        <v>40578</v>
      </c>
      <c r="B1513" s="24">
        <v>1.0141</v>
      </c>
      <c r="C1513" s="24">
        <v>3619.5</v>
      </c>
      <c r="D1513" s="47">
        <f t="shared" si="23"/>
        <v>3670.5349500000002</v>
      </c>
    </row>
    <row r="1514" spans="1:4">
      <c r="A1514" s="122">
        <v>40577</v>
      </c>
      <c r="B1514" s="24">
        <v>1.0145</v>
      </c>
      <c r="C1514" s="24">
        <v>3706.3</v>
      </c>
      <c r="D1514" s="47">
        <f t="shared" si="23"/>
        <v>3760.04135</v>
      </c>
    </row>
    <row r="1515" spans="1:4">
      <c r="A1515" s="122">
        <v>40576</v>
      </c>
      <c r="B1515" s="24">
        <v>1.0109999999999999</v>
      </c>
      <c r="C1515" s="24">
        <v>3756.6</v>
      </c>
      <c r="D1515" s="47">
        <f t="shared" si="23"/>
        <v>3797.9225999999994</v>
      </c>
    </row>
    <row r="1516" spans="1:4">
      <c r="A1516" s="122">
        <v>40575</v>
      </c>
      <c r="B1516" s="24">
        <v>1.0106999999999999</v>
      </c>
      <c r="C1516" s="24">
        <v>3735.6</v>
      </c>
      <c r="D1516" s="47">
        <f t="shared" si="23"/>
        <v>3775.5709199999997</v>
      </c>
    </row>
    <row r="1517" spans="1:4">
      <c r="A1517" s="122">
        <v>40574</v>
      </c>
      <c r="B1517" s="24">
        <v>0.99739999999999995</v>
      </c>
      <c r="C1517" s="24">
        <v>3680.2</v>
      </c>
      <c r="D1517" s="47">
        <f t="shared" si="23"/>
        <v>3670.6314799999996</v>
      </c>
    </row>
    <row r="1518" spans="1:4">
      <c r="A1518" s="122">
        <v>40573</v>
      </c>
      <c r="B1518" s="24">
        <v>0.98750000000000004</v>
      </c>
      <c r="C1518" s="24">
        <v>3579.7</v>
      </c>
      <c r="D1518" s="47">
        <f t="shared" si="23"/>
        <v>3534.9537500000001</v>
      </c>
    </row>
    <row r="1519" spans="1:4">
      <c r="A1519" s="122">
        <v>40572</v>
      </c>
      <c r="B1519" s="24">
        <v>0.99270000000000003</v>
      </c>
      <c r="C1519" s="24">
        <v>3582.1</v>
      </c>
      <c r="D1519" s="47">
        <f t="shared" si="23"/>
        <v>3555.9506700000002</v>
      </c>
    </row>
    <row r="1520" spans="1:4">
      <c r="A1520" s="122">
        <v>40571</v>
      </c>
      <c r="B1520" s="24">
        <v>0.99270000000000003</v>
      </c>
      <c r="C1520" s="24">
        <v>3604.4</v>
      </c>
      <c r="D1520" s="47">
        <f t="shared" si="23"/>
        <v>3578.08788</v>
      </c>
    </row>
    <row r="1521" spans="1:4">
      <c r="A1521" s="122">
        <v>40570</v>
      </c>
      <c r="B1521" s="24">
        <v>0.98960000000000004</v>
      </c>
      <c r="C1521" s="24">
        <v>3672.3</v>
      </c>
      <c r="D1521" s="47">
        <f t="shared" si="23"/>
        <v>3634.1080800000004</v>
      </c>
    </row>
    <row r="1522" spans="1:4">
      <c r="A1522" s="122">
        <v>40569</v>
      </c>
      <c r="B1522" s="24">
        <v>0.99929999999999997</v>
      </c>
      <c r="C1522" s="24">
        <v>3646.6</v>
      </c>
      <c r="D1522" s="47">
        <f t="shared" si="23"/>
        <v>3644.04738</v>
      </c>
    </row>
    <row r="1523" spans="1:4">
      <c r="A1523" s="122">
        <v>40568</v>
      </c>
      <c r="B1523" s="24">
        <v>0.99480000000000002</v>
      </c>
      <c r="C1523" s="24">
        <v>3609.3</v>
      </c>
      <c r="D1523" s="47">
        <f t="shared" si="23"/>
        <v>3590.5316400000002</v>
      </c>
    </row>
    <row r="1524" spans="1:4">
      <c r="A1524" s="122">
        <v>40567</v>
      </c>
      <c r="B1524" s="24">
        <v>0.99729999999999996</v>
      </c>
      <c r="C1524" s="24">
        <v>3580</v>
      </c>
      <c r="D1524" s="47">
        <f t="shared" si="23"/>
        <v>3570.3339999999998</v>
      </c>
    </row>
    <row r="1525" spans="1:4">
      <c r="A1525" s="122">
        <v>40565</v>
      </c>
      <c r="B1525" s="24">
        <v>0.98970000000000002</v>
      </c>
      <c r="C1525" s="24">
        <v>3550.3</v>
      </c>
      <c r="D1525" s="47">
        <f t="shared" si="23"/>
        <v>3513.7319100000004</v>
      </c>
    </row>
    <row r="1526" spans="1:4">
      <c r="A1526" s="122">
        <v>40564</v>
      </c>
      <c r="B1526" s="24">
        <v>0.98970000000000002</v>
      </c>
      <c r="C1526" s="24">
        <v>3465.8</v>
      </c>
      <c r="D1526" s="47">
        <f t="shared" si="23"/>
        <v>3430.1022600000001</v>
      </c>
    </row>
    <row r="1527" spans="1:4">
      <c r="A1527" s="122">
        <v>40563</v>
      </c>
      <c r="B1527" s="24">
        <v>0.98529999999999995</v>
      </c>
      <c r="C1527" s="24">
        <v>3480.2</v>
      </c>
      <c r="D1527" s="47">
        <f t="shared" si="23"/>
        <v>3429.0410599999996</v>
      </c>
    </row>
    <row r="1528" spans="1:4">
      <c r="A1528" s="122">
        <v>40562</v>
      </c>
      <c r="B1528" s="24">
        <v>0.99650000000000005</v>
      </c>
      <c r="C1528" s="24">
        <v>3446.3</v>
      </c>
      <c r="D1528" s="47">
        <f t="shared" si="23"/>
        <v>3434.2379500000002</v>
      </c>
    </row>
    <row r="1529" spans="1:4">
      <c r="A1529" s="122">
        <v>40561</v>
      </c>
      <c r="B1529" s="24">
        <v>0.99670000000000003</v>
      </c>
      <c r="C1529" s="24">
        <v>3451.9</v>
      </c>
      <c r="D1529" s="47">
        <f t="shared" si="23"/>
        <v>3440.50873</v>
      </c>
    </row>
    <row r="1530" spans="1:4">
      <c r="A1530" s="122">
        <v>40560</v>
      </c>
      <c r="B1530" s="24">
        <v>0.99329999999999996</v>
      </c>
      <c r="C1530" s="24">
        <v>3348.4</v>
      </c>
      <c r="D1530" s="47">
        <f t="shared" si="23"/>
        <v>3325.9657200000001</v>
      </c>
    </row>
    <row r="1531" spans="1:4">
      <c r="A1531" s="122">
        <v>40559</v>
      </c>
      <c r="B1531" s="24">
        <v>0.99029999999999996</v>
      </c>
      <c r="C1531" s="24">
        <v>3345.2</v>
      </c>
      <c r="D1531" s="47">
        <f t="shared" si="23"/>
        <v>3312.7515599999997</v>
      </c>
    </row>
    <row r="1532" spans="1:4">
      <c r="A1532" s="122">
        <v>40558</v>
      </c>
      <c r="B1532" s="24">
        <v>0.98939999999999995</v>
      </c>
      <c r="C1532" s="24">
        <v>3235.5</v>
      </c>
      <c r="D1532" s="47">
        <f t="shared" si="23"/>
        <v>3201.2037</v>
      </c>
    </row>
    <row r="1533" spans="1:4">
      <c r="A1533" s="122">
        <v>40557</v>
      </c>
      <c r="B1533" s="24">
        <v>0.98939999999999995</v>
      </c>
      <c r="C1533" s="24">
        <v>3244.4</v>
      </c>
      <c r="D1533" s="47">
        <f t="shared" si="23"/>
        <v>3210.00936</v>
      </c>
    </row>
    <row r="1534" spans="1:4">
      <c r="A1534" s="122">
        <v>40556</v>
      </c>
      <c r="B1534" s="24">
        <v>0.99790000000000001</v>
      </c>
      <c r="C1534" s="24">
        <v>3184.5</v>
      </c>
      <c r="D1534" s="47">
        <f t="shared" si="23"/>
        <v>3177.8125500000001</v>
      </c>
    </row>
    <row r="1535" spans="1:4">
      <c r="A1535" s="122">
        <v>40555</v>
      </c>
      <c r="B1535" s="24">
        <v>0.99539999999999995</v>
      </c>
      <c r="C1535" s="24">
        <v>3154.5</v>
      </c>
      <c r="D1535" s="47">
        <f t="shared" si="23"/>
        <v>3139.9892999999997</v>
      </c>
    </row>
    <row r="1536" spans="1:4">
      <c r="A1536" s="122">
        <v>40554</v>
      </c>
      <c r="B1536" s="24">
        <v>0.9819</v>
      </c>
      <c r="C1536" s="24">
        <v>3145.5</v>
      </c>
      <c r="D1536" s="47">
        <f t="shared" si="23"/>
        <v>3088.5664499999998</v>
      </c>
    </row>
    <row r="1537" spans="1:4">
      <c r="A1537" s="122">
        <v>40553</v>
      </c>
      <c r="B1537" s="24">
        <v>0.99360000000000004</v>
      </c>
      <c r="C1537" s="24">
        <v>3188.5</v>
      </c>
      <c r="D1537" s="47">
        <f t="shared" si="23"/>
        <v>3168.0936000000002</v>
      </c>
    </row>
    <row r="1538" spans="1:4">
      <c r="A1538" s="122">
        <v>40552</v>
      </c>
      <c r="B1538" s="24">
        <v>0.995</v>
      </c>
      <c r="C1538" s="24">
        <v>3166.4</v>
      </c>
      <c r="D1538" s="47">
        <f t="shared" si="23"/>
        <v>3150.5680000000002</v>
      </c>
    </row>
    <row r="1539" spans="1:4">
      <c r="A1539" s="122">
        <v>40551</v>
      </c>
      <c r="B1539" s="24">
        <v>0.99560000000000004</v>
      </c>
      <c r="C1539" s="24">
        <v>3219.2</v>
      </c>
      <c r="D1539" s="47">
        <f t="shared" ref="D1539:D1602" si="24">C1539*B1539</f>
        <v>3205.0355199999999</v>
      </c>
    </row>
    <row r="1540" spans="1:4">
      <c r="A1540" s="122">
        <v>40550</v>
      </c>
      <c r="B1540" s="24">
        <v>0.99639999999999995</v>
      </c>
      <c r="C1540" s="24">
        <v>3250.1</v>
      </c>
      <c r="D1540" s="47">
        <f t="shared" si="24"/>
        <v>3238.3996399999996</v>
      </c>
    </row>
    <row r="1541" spans="1:4">
      <c r="A1541" s="122">
        <v>40549</v>
      </c>
      <c r="B1541" s="24">
        <v>0.99409999999999998</v>
      </c>
      <c r="C1541" s="24">
        <v>3344.5</v>
      </c>
      <c r="D1541" s="47">
        <f t="shared" si="24"/>
        <v>3324.7674499999998</v>
      </c>
    </row>
    <row r="1542" spans="1:4">
      <c r="A1542" s="122">
        <v>40548</v>
      </c>
      <c r="B1542" s="24">
        <v>0.99970000000000003</v>
      </c>
      <c r="C1542" s="24">
        <v>3345.5</v>
      </c>
      <c r="D1542" s="47">
        <f t="shared" si="24"/>
        <v>3344.4963499999999</v>
      </c>
    </row>
    <row r="1543" spans="1:4">
      <c r="A1543" s="122">
        <v>40547</v>
      </c>
      <c r="B1543" s="24">
        <v>1.0065999999999999</v>
      </c>
      <c r="C1543" s="24">
        <v>3327.5</v>
      </c>
      <c r="D1543" s="47">
        <f t="shared" si="24"/>
        <v>3349.4614999999999</v>
      </c>
    </row>
    <row r="1544" spans="1:4">
      <c r="A1544" s="122">
        <v>40546</v>
      </c>
      <c r="B1544" s="24">
        <v>1.0166999999999999</v>
      </c>
      <c r="C1544" s="24">
        <v>3331.6</v>
      </c>
      <c r="D1544" s="47">
        <f t="shared" si="24"/>
        <v>3387.2377199999996</v>
      </c>
    </row>
    <row r="1545" spans="1:4">
      <c r="A1545" s="122">
        <v>40545</v>
      </c>
      <c r="B1545" s="24">
        <v>1.0214000000000001</v>
      </c>
      <c r="C1545" s="24">
        <v>3351.2</v>
      </c>
      <c r="D1545" s="47">
        <f t="shared" si="24"/>
        <v>3422.9156800000001</v>
      </c>
    </row>
    <row r="1546" spans="1:4">
      <c r="A1546" s="122">
        <v>40544</v>
      </c>
      <c r="B1546" s="24">
        <v>1.0226</v>
      </c>
      <c r="C1546" s="24">
        <v>3402.4</v>
      </c>
      <c r="D1546" s="47">
        <f t="shared" si="24"/>
        <v>3479.2942399999997</v>
      </c>
    </row>
    <row r="1547" spans="1:4">
      <c r="A1547" s="122">
        <v>40543</v>
      </c>
      <c r="B1547" s="24">
        <v>1.0226999999999999</v>
      </c>
      <c r="C1547" s="24">
        <v>3448.9</v>
      </c>
      <c r="D1547" s="47">
        <f t="shared" si="24"/>
        <v>3527.1900299999998</v>
      </c>
    </row>
    <row r="1548" spans="1:4">
      <c r="A1548" s="122">
        <v>40542</v>
      </c>
      <c r="B1548" s="24">
        <v>1.016</v>
      </c>
      <c r="C1548" s="24">
        <v>3413.2</v>
      </c>
      <c r="D1548" s="47">
        <f t="shared" si="24"/>
        <v>3467.8111999999996</v>
      </c>
    </row>
    <row r="1549" spans="1:4">
      <c r="A1549" s="122">
        <v>40541</v>
      </c>
      <c r="B1549" s="24">
        <v>1.0170999999999999</v>
      </c>
      <c r="C1549" s="24">
        <v>3464.3</v>
      </c>
      <c r="D1549" s="47">
        <f t="shared" si="24"/>
        <v>3523.53953</v>
      </c>
    </row>
    <row r="1550" spans="1:4">
      <c r="A1550" s="122">
        <v>40540</v>
      </c>
      <c r="B1550" s="24">
        <v>1.0091000000000001</v>
      </c>
      <c r="C1550" s="24">
        <v>3516.9</v>
      </c>
      <c r="D1550" s="47">
        <f t="shared" si="24"/>
        <v>3548.9037900000003</v>
      </c>
    </row>
    <row r="1551" spans="1:4">
      <c r="A1551" s="122">
        <v>40539</v>
      </c>
      <c r="B1551" s="24">
        <v>1.0042</v>
      </c>
      <c r="C1551" s="24">
        <v>3559.1</v>
      </c>
      <c r="D1551" s="47">
        <f t="shared" si="24"/>
        <v>3574.0482199999997</v>
      </c>
    </row>
    <row r="1552" spans="1:4">
      <c r="A1552" s="122">
        <v>40538</v>
      </c>
      <c r="B1552" s="24">
        <v>1.0001</v>
      </c>
      <c r="C1552" s="24">
        <v>3514.3</v>
      </c>
      <c r="D1552" s="47">
        <f t="shared" si="24"/>
        <v>3514.6514300000003</v>
      </c>
    </row>
    <row r="1553" spans="1:4">
      <c r="A1553" s="122">
        <v>40537</v>
      </c>
      <c r="B1553" s="24">
        <v>1.0041</v>
      </c>
      <c r="C1553" s="24">
        <v>3474.4</v>
      </c>
      <c r="D1553" s="47">
        <f t="shared" si="24"/>
        <v>3488.6450399999999</v>
      </c>
    </row>
    <row r="1554" spans="1:4">
      <c r="A1554" s="122">
        <v>40536</v>
      </c>
      <c r="B1554" s="24">
        <v>1.0052000000000001</v>
      </c>
      <c r="C1554" s="24">
        <v>3488.7</v>
      </c>
      <c r="D1554" s="47">
        <f t="shared" si="24"/>
        <v>3506.8412400000002</v>
      </c>
    </row>
    <row r="1555" spans="1:4">
      <c r="A1555" s="122">
        <v>40535</v>
      </c>
      <c r="B1555" s="24">
        <v>1.0029999999999999</v>
      </c>
      <c r="C1555" s="24">
        <v>3508.6</v>
      </c>
      <c r="D1555" s="47">
        <f t="shared" si="24"/>
        <v>3519.1257999999993</v>
      </c>
    </row>
    <row r="1556" spans="1:4">
      <c r="A1556" s="122">
        <v>40534</v>
      </c>
      <c r="B1556" s="24">
        <v>0.99880000000000002</v>
      </c>
      <c r="C1556" s="24">
        <v>3469.9</v>
      </c>
      <c r="D1556" s="47">
        <f t="shared" si="24"/>
        <v>3465.73612</v>
      </c>
    </row>
    <row r="1557" spans="1:4">
      <c r="A1557" s="122">
        <v>40533</v>
      </c>
      <c r="B1557" s="24">
        <v>0.99650000000000005</v>
      </c>
      <c r="C1557" s="24">
        <v>3428.6</v>
      </c>
      <c r="D1557" s="47">
        <f t="shared" si="24"/>
        <v>3416.5999000000002</v>
      </c>
    </row>
    <row r="1558" spans="1:4">
      <c r="A1558" s="122">
        <v>40532</v>
      </c>
      <c r="B1558" s="24">
        <v>0.99299999999999999</v>
      </c>
      <c r="C1558" s="24">
        <v>3437.9</v>
      </c>
      <c r="D1558" s="47">
        <f t="shared" si="24"/>
        <v>3413.8346999999999</v>
      </c>
    </row>
    <row r="1559" spans="1:4">
      <c r="A1559" s="122">
        <v>40531</v>
      </c>
      <c r="B1559" s="24">
        <v>0.98780000000000001</v>
      </c>
      <c r="C1559" s="24">
        <v>3508.7</v>
      </c>
      <c r="D1559" s="47">
        <f t="shared" si="24"/>
        <v>3465.8938599999997</v>
      </c>
    </row>
    <row r="1560" spans="1:4">
      <c r="A1560" s="122">
        <v>40530</v>
      </c>
      <c r="B1560" s="24">
        <v>0.98809999999999998</v>
      </c>
      <c r="C1560" s="24">
        <v>3497.4</v>
      </c>
      <c r="D1560" s="47">
        <f t="shared" si="24"/>
        <v>3455.7809400000001</v>
      </c>
    </row>
    <row r="1561" spans="1:4">
      <c r="A1561" s="122">
        <v>40529</v>
      </c>
      <c r="B1561" s="24">
        <v>0.98809999999999998</v>
      </c>
      <c r="C1561" s="24">
        <v>3540.7</v>
      </c>
      <c r="D1561" s="47">
        <f t="shared" si="24"/>
        <v>3498.56567</v>
      </c>
    </row>
    <row r="1562" spans="1:4">
      <c r="A1562" s="122">
        <v>40528</v>
      </c>
      <c r="B1562" s="24">
        <v>0.98899999999999999</v>
      </c>
      <c r="C1562" s="24">
        <v>3526.2</v>
      </c>
      <c r="D1562" s="47">
        <f t="shared" si="24"/>
        <v>3487.4117999999999</v>
      </c>
    </row>
    <row r="1563" spans="1:4">
      <c r="A1563" s="122">
        <v>40527</v>
      </c>
      <c r="B1563" s="24">
        <v>0.98740000000000006</v>
      </c>
      <c r="C1563" s="24">
        <v>3495.5</v>
      </c>
      <c r="D1563" s="47">
        <f t="shared" si="24"/>
        <v>3451.4567000000002</v>
      </c>
    </row>
    <row r="1564" spans="1:4">
      <c r="A1564" s="122">
        <v>40526</v>
      </c>
      <c r="B1564" s="24">
        <v>0.99709999999999999</v>
      </c>
      <c r="C1564" s="24">
        <v>3444</v>
      </c>
      <c r="D1564" s="47">
        <f t="shared" si="24"/>
        <v>3434.0124000000001</v>
      </c>
    </row>
    <row r="1565" spans="1:4">
      <c r="A1565" s="122">
        <v>40525</v>
      </c>
      <c r="B1565" s="24">
        <v>0.99509999999999998</v>
      </c>
      <c r="C1565" s="24">
        <v>3342.7</v>
      </c>
      <c r="D1565" s="47">
        <f t="shared" si="24"/>
        <v>3326.3207699999998</v>
      </c>
    </row>
    <row r="1566" spans="1:4">
      <c r="A1566" s="122">
        <v>40523</v>
      </c>
      <c r="B1566" s="24">
        <v>0.98499999999999999</v>
      </c>
      <c r="C1566" s="24">
        <v>3486.8</v>
      </c>
      <c r="D1566" s="47">
        <f t="shared" si="24"/>
        <v>3434.498</v>
      </c>
    </row>
    <row r="1567" spans="1:4">
      <c r="A1567" s="122">
        <v>40522</v>
      </c>
      <c r="B1567" s="24">
        <v>0.98499999999999999</v>
      </c>
      <c r="C1567" s="24">
        <v>3442.8</v>
      </c>
      <c r="D1567" s="47">
        <f t="shared" si="24"/>
        <v>3391.1580000000004</v>
      </c>
    </row>
    <row r="1568" spans="1:4">
      <c r="A1568" s="122">
        <v>40521</v>
      </c>
      <c r="B1568" s="24">
        <v>0.98480000000000001</v>
      </c>
      <c r="C1568" s="24">
        <v>3476.6</v>
      </c>
      <c r="D1568" s="47">
        <f t="shared" si="24"/>
        <v>3423.7556799999998</v>
      </c>
    </row>
    <row r="1569" spans="1:4">
      <c r="A1569" s="122">
        <v>40520</v>
      </c>
      <c r="B1569" s="24">
        <v>0.97909999999999997</v>
      </c>
      <c r="C1569" s="24">
        <v>3589.3</v>
      </c>
      <c r="D1569" s="47">
        <f t="shared" si="24"/>
        <v>3514.2836299999999</v>
      </c>
    </row>
    <row r="1570" spans="1:4">
      <c r="A1570" s="122">
        <v>40519</v>
      </c>
      <c r="B1570" s="24">
        <v>0.98270000000000002</v>
      </c>
      <c r="C1570" s="24">
        <v>3550.9</v>
      </c>
      <c r="D1570" s="47">
        <f t="shared" si="24"/>
        <v>3489.4694300000001</v>
      </c>
    </row>
    <row r="1571" spans="1:4">
      <c r="A1571" s="122">
        <v>40518</v>
      </c>
      <c r="B1571" s="24">
        <v>0.98740000000000006</v>
      </c>
      <c r="C1571" s="24">
        <v>3529.5</v>
      </c>
      <c r="D1571" s="47">
        <f t="shared" si="24"/>
        <v>3485.0283000000004</v>
      </c>
    </row>
    <row r="1572" spans="1:4">
      <c r="A1572" s="122">
        <v>40516</v>
      </c>
      <c r="B1572" s="24">
        <v>0.99209999999999998</v>
      </c>
      <c r="C1572" s="24">
        <v>3687</v>
      </c>
      <c r="D1572" s="47">
        <f t="shared" si="24"/>
        <v>3657.8726999999999</v>
      </c>
    </row>
    <row r="1573" spans="1:4">
      <c r="A1573" s="122">
        <v>40515</v>
      </c>
      <c r="B1573" s="24">
        <v>0.99329999999999996</v>
      </c>
      <c r="C1573" s="24">
        <v>3654.6</v>
      </c>
      <c r="D1573" s="47">
        <f t="shared" si="24"/>
        <v>3630.1141799999996</v>
      </c>
    </row>
    <row r="1574" spans="1:4">
      <c r="A1574" s="122">
        <v>40514</v>
      </c>
      <c r="B1574" s="24">
        <v>0.97599999999999998</v>
      </c>
      <c r="C1574" s="24">
        <v>3683.3</v>
      </c>
      <c r="D1574" s="47">
        <f t="shared" si="24"/>
        <v>3594.9007999999999</v>
      </c>
    </row>
    <row r="1575" spans="1:4">
      <c r="A1575" s="122">
        <v>40513</v>
      </c>
      <c r="B1575" s="24">
        <v>0.9667</v>
      </c>
      <c r="C1575" s="24">
        <v>3735.7</v>
      </c>
      <c r="D1575" s="47">
        <f t="shared" si="24"/>
        <v>3611.3011899999997</v>
      </c>
    </row>
    <row r="1576" spans="1:4">
      <c r="A1576" s="122">
        <v>40512</v>
      </c>
      <c r="B1576" s="24">
        <v>0.95850000000000002</v>
      </c>
      <c r="C1576" s="24">
        <v>3694.3</v>
      </c>
      <c r="D1576" s="47">
        <f t="shared" si="24"/>
        <v>3540.9865500000001</v>
      </c>
    </row>
    <row r="1577" spans="1:4">
      <c r="A1577" s="122">
        <v>40511</v>
      </c>
      <c r="B1577" s="24">
        <v>0.96220000000000006</v>
      </c>
      <c r="C1577" s="24">
        <v>3779.7</v>
      </c>
      <c r="D1577" s="47">
        <f t="shared" si="24"/>
        <v>3636.8273399999998</v>
      </c>
    </row>
    <row r="1578" spans="1:4">
      <c r="A1578" s="122">
        <v>40510</v>
      </c>
      <c r="B1578" s="24">
        <v>0.96689999999999998</v>
      </c>
      <c r="C1578" s="24">
        <v>3742.7</v>
      </c>
      <c r="D1578" s="47">
        <f t="shared" si="24"/>
        <v>3618.8166299999998</v>
      </c>
    </row>
    <row r="1579" spans="1:4">
      <c r="A1579" s="122">
        <v>40508</v>
      </c>
      <c r="B1579" s="24">
        <v>0.96450000000000002</v>
      </c>
      <c r="C1579" s="24">
        <v>3687</v>
      </c>
      <c r="D1579" s="47">
        <f t="shared" si="24"/>
        <v>3556.1115</v>
      </c>
    </row>
    <row r="1580" spans="1:4">
      <c r="A1580" s="122">
        <v>40507</v>
      </c>
      <c r="B1580" s="24">
        <v>0.98070000000000002</v>
      </c>
      <c r="C1580" s="24">
        <v>3713.8</v>
      </c>
      <c r="D1580" s="47">
        <f t="shared" si="24"/>
        <v>3642.1236600000002</v>
      </c>
    </row>
    <row r="1581" spans="1:4">
      <c r="A1581" s="122">
        <v>40506</v>
      </c>
      <c r="B1581" s="24">
        <v>0.98129999999999995</v>
      </c>
      <c r="C1581" s="24">
        <v>3722.3</v>
      </c>
      <c r="D1581" s="47">
        <f t="shared" si="24"/>
        <v>3652.69299</v>
      </c>
    </row>
    <row r="1582" spans="1:4">
      <c r="A1582" s="122">
        <v>40505</v>
      </c>
      <c r="B1582" s="24">
        <v>0.97499999999999998</v>
      </c>
      <c r="C1582" s="24">
        <v>3654.2</v>
      </c>
      <c r="D1582" s="47">
        <f t="shared" si="24"/>
        <v>3562.8449999999998</v>
      </c>
    </row>
    <row r="1583" spans="1:4">
      <c r="A1583" s="122">
        <v>40504</v>
      </c>
      <c r="B1583" s="24">
        <v>0.98809999999999998</v>
      </c>
      <c r="C1583" s="24">
        <v>3621.1</v>
      </c>
      <c r="D1583" s="47">
        <f t="shared" si="24"/>
        <v>3578.00891</v>
      </c>
    </row>
    <row r="1584" spans="1:4">
      <c r="A1584" s="122">
        <v>40502</v>
      </c>
      <c r="B1584" s="24">
        <v>0.98560000000000003</v>
      </c>
      <c r="C1584" s="24">
        <v>3582.2</v>
      </c>
      <c r="D1584" s="47">
        <f t="shared" si="24"/>
        <v>3530.6163200000001</v>
      </c>
    </row>
    <row r="1585" spans="1:4">
      <c r="A1585" s="122">
        <v>40501</v>
      </c>
      <c r="B1585" s="24">
        <v>0.98640000000000005</v>
      </c>
      <c r="C1585" s="24">
        <v>3582.2</v>
      </c>
      <c r="D1585" s="47">
        <f t="shared" si="24"/>
        <v>3533.4820800000002</v>
      </c>
    </row>
    <row r="1586" spans="1:4">
      <c r="A1586" s="122">
        <v>40500</v>
      </c>
      <c r="B1586" s="24">
        <v>0.98960000000000004</v>
      </c>
      <c r="C1586" s="24">
        <v>3531.4</v>
      </c>
      <c r="D1586" s="47">
        <f t="shared" si="24"/>
        <v>3494.67344</v>
      </c>
    </row>
    <row r="1587" spans="1:4">
      <c r="A1587" s="122">
        <v>40499</v>
      </c>
      <c r="B1587" s="24">
        <v>0.98129999999999995</v>
      </c>
      <c r="C1587" s="24">
        <v>3557.4</v>
      </c>
      <c r="D1587" s="47">
        <f t="shared" si="24"/>
        <v>3490.87662</v>
      </c>
    </row>
    <row r="1588" spans="1:4">
      <c r="A1588" s="122">
        <v>40498</v>
      </c>
      <c r="B1588" s="24">
        <v>0.97750000000000004</v>
      </c>
      <c r="C1588" s="24">
        <v>3615.7</v>
      </c>
      <c r="D1588" s="47">
        <f t="shared" si="24"/>
        <v>3534.3467500000002</v>
      </c>
    </row>
    <row r="1589" spans="1:4">
      <c r="A1589" s="122">
        <v>40497</v>
      </c>
      <c r="B1589" s="24">
        <v>0.98540000000000005</v>
      </c>
      <c r="C1589" s="24">
        <v>3581.2</v>
      </c>
      <c r="D1589" s="47">
        <f t="shared" si="24"/>
        <v>3528.9144799999999</v>
      </c>
    </row>
    <row r="1590" spans="1:4">
      <c r="A1590" s="122">
        <v>40495</v>
      </c>
      <c r="B1590" s="24">
        <v>0.98640000000000005</v>
      </c>
      <c r="C1590" s="24">
        <v>3570.6</v>
      </c>
      <c r="D1590" s="47">
        <f t="shared" si="24"/>
        <v>3522.0398399999999</v>
      </c>
    </row>
    <row r="1591" spans="1:4">
      <c r="A1591" s="122">
        <v>40494</v>
      </c>
      <c r="B1591" s="24">
        <v>0.98640000000000005</v>
      </c>
      <c r="C1591" s="24">
        <v>3556.2</v>
      </c>
      <c r="D1591" s="47">
        <f t="shared" si="24"/>
        <v>3507.8356800000001</v>
      </c>
    </row>
    <row r="1592" spans="1:4">
      <c r="A1592" s="122">
        <v>40493</v>
      </c>
      <c r="B1592" s="24">
        <v>0.99570000000000003</v>
      </c>
      <c r="C1592" s="24">
        <v>3591.4</v>
      </c>
      <c r="D1592" s="47">
        <f t="shared" si="24"/>
        <v>3575.9569800000004</v>
      </c>
    </row>
    <row r="1593" spans="1:4">
      <c r="A1593" s="122">
        <v>40492</v>
      </c>
      <c r="B1593" s="24">
        <v>1.0038</v>
      </c>
      <c r="C1593" s="24">
        <v>3510.4</v>
      </c>
      <c r="D1593" s="47">
        <f t="shared" si="24"/>
        <v>3523.7395200000001</v>
      </c>
    </row>
    <row r="1594" spans="1:4">
      <c r="A1594" s="122">
        <v>40491</v>
      </c>
      <c r="B1594" s="24">
        <v>1.0044999999999999</v>
      </c>
      <c r="C1594" s="24">
        <v>3598</v>
      </c>
      <c r="D1594" s="47">
        <f t="shared" si="24"/>
        <v>3614.1909999999998</v>
      </c>
    </row>
    <row r="1595" spans="1:4">
      <c r="A1595" s="122">
        <v>40490</v>
      </c>
      <c r="B1595" s="24">
        <v>1.012</v>
      </c>
      <c r="C1595" s="24">
        <v>3640.7</v>
      </c>
      <c r="D1595" s="47">
        <f t="shared" si="24"/>
        <v>3684.3883999999998</v>
      </c>
    </row>
    <row r="1596" spans="1:4">
      <c r="A1596" s="122">
        <v>40489</v>
      </c>
      <c r="B1596" s="24">
        <v>1.0161</v>
      </c>
      <c r="C1596" s="24">
        <v>3604.3</v>
      </c>
      <c r="D1596" s="47">
        <f t="shared" si="24"/>
        <v>3662.3292300000003</v>
      </c>
    </row>
    <row r="1597" spans="1:4">
      <c r="A1597" s="122">
        <v>40488</v>
      </c>
      <c r="B1597" s="24">
        <v>1.0158</v>
      </c>
      <c r="C1597" s="24">
        <v>3631.6</v>
      </c>
      <c r="D1597" s="47">
        <f t="shared" si="24"/>
        <v>3688.97928</v>
      </c>
    </row>
    <row r="1598" spans="1:4">
      <c r="A1598" s="122">
        <v>40487</v>
      </c>
      <c r="B1598" s="24">
        <v>1.0158</v>
      </c>
      <c r="C1598" s="24">
        <v>3489.9</v>
      </c>
      <c r="D1598" s="47">
        <f t="shared" si="24"/>
        <v>3545.0404200000003</v>
      </c>
    </row>
    <row r="1599" spans="1:4">
      <c r="A1599" s="122">
        <v>40486</v>
      </c>
      <c r="B1599" s="24">
        <v>1.0157</v>
      </c>
      <c r="C1599" s="24">
        <v>3532.4</v>
      </c>
      <c r="D1599" s="47">
        <f t="shared" si="24"/>
        <v>3587.8586800000003</v>
      </c>
    </row>
    <row r="1600" spans="1:4">
      <c r="A1600" s="122">
        <v>40485</v>
      </c>
      <c r="B1600" s="24">
        <v>1.0045999999999999</v>
      </c>
      <c r="C1600" s="24">
        <v>3533.8</v>
      </c>
      <c r="D1600" s="47">
        <f t="shared" si="24"/>
        <v>3550.05548</v>
      </c>
    </row>
    <row r="1601" spans="1:4">
      <c r="A1601" s="122">
        <v>40484</v>
      </c>
      <c r="B1601" s="24">
        <v>0.99890000000000001</v>
      </c>
      <c r="C1601" s="24">
        <v>3528.2</v>
      </c>
      <c r="D1601" s="47">
        <f t="shared" si="24"/>
        <v>3524.31898</v>
      </c>
    </row>
    <row r="1602" spans="1:4">
      <c r="A1602" s="122">
        <v>40483</v>
      </c>
      <c r="B1602" s="24">
        <v>0.98839999999999995</v>
      </c>
      <c r="C1602" s="24">
        <v>3681.2</v>
      </c>
      <c r="D1602" s="47">
        <f t="shared" si="24"/>
        <v>3638.4980799999998</v>
      </c>
    </row>
    <row r="1603" spans="1:4">
      <c r="A1603" s="122">
        <v>40482</v>
      </c>
      <c r="B1603" s="24">
        <v>0.98580000000000001</v>
      </c>
      <c r="C1603" s="24">
        <v>3742.5</v>
      </c>
      <c r="D1603" s="47">
        <f t="shared" ref="D1603:D1666" si="25">C1603*B1603</f>
        <v>3689.3564999999999</v>
      </c>
    </row>
    <row r="1604" spans="1:4">
      <c r="A1604" s="122">
        <v>40481</v>
      </c>
      <c r="B1604" s="24">
        <v>0.98050000000000004</v>
      </c>
      <c r="C1604" s="24">
        <v>3588</v>
      </c>
      <c r="D1604" s="47">
        <f t="shared" si="25"/>
        <v>3518.0340000000001</v>
      </c>
    </row>
    <row r="1605" spans="1:4">
      <c r="A1605" s="122">
        <v>40480</v>
      </c>
      <c r="B1605" s="24">
        <v>0.98050000000000004</v>
      </c>
      <c r="C1605" s="24">
        <v>3540</v>
      </c>
      <c r="D1605" s="47">
        <f t="shared" si="25"/>
        <v>3470.9700000000003</v>
      </c>
    </row>
    <row r="1606" spans="1:4">
      <c r="A1606" s="122">
        <v>40479</v>
      </c>
      <c r="B1606" s="24">
        <v>0.97899999999999998</v>
      </c>
      <c r="C1606" s="24">
        <v>3623.4</v>
      </c>
      <c r="D1606" s="47">
        <f t="shared" si="25"/>
        <v>3547.3085999999998</v>
      </c>
    </row>
    <row r="1607" spans="1:4">
      <c r="A1607" s="122">
        <v>40478</v>
      </c>
      <c r="B1607" s="24">
        <v>0.97409999999999997</v>
      </c>
      <c r="C1607" s="24">
        <v>3425.1</v>
      </c>
      <c r="D1607" s="47">
        <f t="shared" si="25"/>
        <v>3336.3899099999999</v>
      </c>
    </row>
    <row r="1608" spans="1:4">
      <c r="A1608" s="122">
        <v>40477</v>
      </c>
      <c r="B1608" s="24">
        <v>0.98499999999999999</v>
      </c>
      <c r="C1608" s="24">
        <v>3416.5</v>
      </c>
      <c r="D1608" s="47">
        <f t="shared" si="25"/>
        <v>3365.2525000000001</v>
      </c>
    </row>
    <row r="1609" spans="1:4">
      <c r="A1609" s="122">
        <v>40476</v>
      </c>
      <c r="B1609" s="24">
        <v>0.98939999999999995</v>
      </c>
      <c r="C1609" s="24">
        <v>3352.9</v>
      </c>
      <c r="D1609" s="47">
        <f t="shared" si="25"/>
        <v>3317.3592599999997</v>
      </c>
    </row>
    <row r="1610" spans="1:4">
      <c r="A1610" s="122">
        <v>40475</v>
      </c>
      <c r="B1610" s="24">
        <v>0.98440000000000005</v>
      </c>
      <c r="C1610" s="24">
        <v>3499.6</v>
      </c>
      <c r="D1610" s="47">
        <f t="shared" si="25"/>
        <v>3445.0062400000002</v>
      </c>
    </row>
    <row r="1611" spans="1:4">
      <c r="A1611" s="122">
        <v>40473</v>
      </c>
      <c r="B1611" s="24">
        <v>0.98270000000000002</v>
      </c>
      <c r="C1611" s="24">
        <v>3523.2</v>
      </c>
      <c r="D1611" s="47">
        <f t="shared" si="25"/>
        <v>3462.2486399999998</v>
      </c>
    </row>
    <row r="1612" spans="1:4">
      <c r="A1612" s="122">
        <v>40472</v>
      </c>
      <c r="B1612" s="24">
        <v>0.97819999999999996</v>
      </c>
      <c r="C1612" s="24">
        <v>3653</v>
      </c>
      <c r="D1612" s="47">
        <f t="shared" si="25"/>
        <v>3573.3645999999999</v>
      </c>
    </row>
    <row r="1613" spans="1:4">
      <c r="A1613" s="122">
        <v>40471</v>
      </c>
      <c r="B1613" s="24">
        <v>0.98650000000000004</v>
      </c>
      <c r="C1613" s="24">
        <v>3748.1</v>
      </c>
      <c r="D1613" s="47">
        <f t="shared" si="25"/>
        <v>3697.50065</v>
      </c>
    </row>
    <row r="1614" spans="1:4">
      <c r="A1614" s="122">
        <v>40470</v>
      </c>
      <c r="B1614" s="24">
        <v>0.96809999999999996</v>
      </c>
      <c r="C1614" s="24">
        <v>3697.3</v>
      </c>
      <c r="D1614" s="47">
        <f t="shared" si="25"/>
        <v>3579.3561300000001</v>
      </c>
    </row>
    <row r="1615" spans="1:4">
      <c r="A1615" s="122">
        <v>40469</v>
      </c>
      <c r="B1615" s="24">
        <v>0.99139999999999995</v>
      </c>
      <c r="C1615" s="24">
        <v>3927.3</v>
      </c>
      <c r="D1615" s="47">
        <f t="shared" si="25"/>
        <v>3893.52522</v>
      </c>
    </row>
    <row r="1616" spans="1:4">
      <c r="A1616" s="122">
        <v>40467</v>
      </c>
      <c r="B1616" s="24">
        <v>0.9889</v>
      </c>
      <c r="C1616" s="24">
        <v>3960.9</v>
      </c>
      <c r="D1616" s="47">
        <f t="shared" si="25"/>
        <v>3916.9340099999999</v>
      </c>
    </row>
    <row r="1617" spans="1:4">
      <c r="A1617" s="122">
        <v>40466</v>
      </c>
      <c r="B1617" s="24">
        <v>0.98919999999999997</v>
      </c>
      <c r="C1617" s="24">
        <v>4107.8</v>
      </c>
      <c r="D1617" s="47">
        <f t="shared" si="25"/>
        <v>4063.4357599999998</v>
      </c>
    </row>
    <row r="1618" spans="1:4">
      <c r="A1618" s="122">
        <v>40465</v>
      </c>
      <c r="B1618" s="24">
        <v>0.99319999999999997</v>
      </c>
      <c r="C1618" s="24">
        <v>4051.3</v>
      </c>
      <c r="D1618" s="47">
        <f t="shared" si="25"/>
        <v>4023.7511600000003</v>
      </c>
    </row>
    <row r="1619" spans="1:4">
      <c r="A1619" s="122">
        <v>40464</v>
      </c>
      <c r="B1619" s="24">
        <v>0.99009999999999998</v>
      </c>
      <c r="C1619" s="24">
        <v>4149.7</v>
      </c>
      <c r="D1619" s="47">
        <f t="shared" si="25"/>
        <v>4108.6179699999993</v>
      </c>
    </row>
    <row r="1620" spans="1:4">
      <c r="A1620" s="122">
        <v>40463</v>
      </c>
      <c r="B1620" s="24">
        <v>0.98609999999999998</v>
      </c>
      <c r="C1620" s="24">
        <v>4336.6000000000004</v>
      </c>
      <c r="D1620" s="47">
        <f t="shared" si="25"/>
        <v>4276.3212600000006</v>
      </c>
    </row>
    <row r="1621" spans="1:4">
      <c r="A1621" s="122">
        <v>40462</v>
      </c>
      <c r="B1621" s="24">
        <v>0.98299999999999998</v>
      </c>
      <c r="C1621" s="24">
        <v>4215.1000000000004</v>
      </c>
      <c r="D1621" s="47">
        <f t="shared" si="25"/>
        <v>4143.4432999999999</v>
      </c>
    </row>
    <row r="1622" spans="1:4">
      <c r="A1622" s="122">
        <v>40461</v>
      </c>
      <c r="B1622" s="24">
        <v>0.98929999999999996</v>
      </c>
      <c r="C1622" s="24">
        <v>4221.5</v>
      </c>
      <c r="D1622" s="47">
        <f t="shared" si="25"/>
        <v>4176.3299499999994</v>
      </c>
    </row>
    <row r="1623" spans="1:4">
      <c r="A1623" s="122">
        <v>40460</v>
      </c>
      <c r="B1623" s="24">
        <v>0.98570000000000002</v>
      </c>
      <c r="C1623" s="24">
        <v>4018</v>
      </c>
      <c r="D1623" s="47">
        <f t="shared" si="25"/>
        <v>3960.5426000000002</v>
      </c>
    </row>
    <row r="1624" spans="1:4">
      <c r="A1624" s="122">
        <v>40459</v>
      </c>
      <c r="B1624" s="24">
        <v>0.98499999999999999</v>
      </c>
      <c r="C1624" s="24">
        <v>4001.1</v>
      </c>
      <c r="D1624" s="47">
        <f t="shared" si="25"/>
        <v>3941.0834999999997</v>
      </c>
    </row>
    <row r="1625" spans="1:4">
      <c r="A1625" s="122">
        <v>40458</v>
      </c>
      <c r="B1625" s="24">
        <v>0.98229999999999995</v>
      </c>
      <c r="C1625" s="24">
        <v>3845.6</v>
      </c>
      <c r="D1625" s="47">
        <f t="shared" si="25"/>
        <v>3777.5328799999997</v>
      </c>
    </row>
    <row r="1626" spans="1:4">
      <c r="A1626" s="122">
        <v>40457</v>
      </c>
      <c r="B1626" s="24">
        <v>0.97640000000000005</v>
      </c>
      <c r="C1626" s="24">
        <v>3794.6</v>
      </c>
      <c r="D1626" s="47">
        <f t="shared" si="25"/>
        <v>3705.0474400000003</v>
      </c>
    </row>
    <row r="1627" spans="1:4">
      <c r="A1627" s="122">
        <v>40456</v>
      </c>
      <c r="B1627" s="24">
        <v>0.97119999999999995</v>
      </c>
      <c r="C1627" s="24">
        <v>3809.2</v>
      </c>
      <c r="D1627" s="47">
        <f t="shared" si="25"/>
        <v>3699.4950399999998</v>
      </c>
    </row>
    <row r="1628" spans="1:4">
      <c r="A1628" s="122">
        <v>40455</v>
      </c>
      <c r="B1628" s="24">
        <v>0.96750000000000003</v>
      </c>
      <c r="C1628" s="24">
        <v>3869.4</v>
      </c>
      <c r="D1628" s="47">
        <f t="shared" si="25"/>
        <v>3743.6445000000003</v>
      </c>
    </row>
    <row r="1629" spans="1:4">
      <c r="A1629" s="122">
        <v>40454</v>
      </c>
      <c r="B1629" s="24">
        <v>0.97150000000000003</v>
      </c>
      <c r="C1629" s="24">
        <v>3974.4</v>
      </c>
      <c r="D1629" s="47">
        <f t="shared" si="25"/>
        <v>3861.1296000000002</v>
      </c>
    </row>
    <row r="1630" spans="1:4">
      <c r="A1630" s="122">
        <v>40452</v>
      </c>
      <c r="B1630" s="24">
        <v>0.97250000000000003</v>
      </c>
      <c r="C1630" s="24">
        <v>4156.1000000000004</v>
      </c>
      <c r="D1630" s="47">
        <f t="shared" si="25"/>
        <v>4041.8072500000003</v>
      </c>
    </row>
    <row r="1631" spans="1:4">
      <c r="A1631" s="122">
        <v>40451</v>
      </c>
      <c r="B1631" s="24">
        <v>0.96699999999999997</v>
      </c>
      <c r="C1631" s="24">
        <v>4302.5</v>
      </c>
      <c r="D1631" s="47">
        <f t="shared" si="25"/>
        <v>4160.5174999999999</v>
      </c>
    </row>
    <row r="1632" spans="1:4">
      <c r="A1632" s="122">
        <v>40450</v>
      </c>
      <c r="B1632" s="24">
        <v>0.96950000000000003</v>
      </c>
      <c r="C1632" s="24">
        <v>4142.3</v>
      </c>
      <c r="D1632" s="47">
        <f t="shared" si="25"/>
        <v>4015.9598500000002</v>
      </c>
    </row>
    <row r="1633" spans="1:4">
      <c r="A1633" s="122">
        <v>40449</v>
      </c>
      <c r="B1633" s="24">
        <v>0.96750000000000003</v>
      </c>
      <c r="C1633" s="24">
        <v>3970.8</v>
      </c>
      <c r="D1633" s="47">
        <f t="shared" si="25"/>
        <v>3841.7490000000003</v>
      </c>
    </row>
    <row r="1634" spans="1:4">
      <c r="A1634" s="122">
        <v>40448</v>
      </c>
      <c r="B1634" s="24">
        <v>0.96340000000000003</v>
      </c>
      <c r="C1634" s="24">
        <v>4013.4</v>
      </c>
      <c r="D1634" s="47">
        <f t="shared" si="25"/>
        <v>3866.5095600000004</v>
      </c>
    </row>
    <row r="1635" spans="1:4">
      <c r="A1635" s="122">
        <v>40447</v>
      </c>
      <c r="B1635" s="24">
        <v>0.95989999999999998</v>
      </c>
      <c r="C1635" s="24">
        <v>4300</v>
      </c>
      <c r="D1635" s="47">
        <f t="shared" si="25"/>
        <v>4127.57</v>
      </c>
    </row>
    <row r="1636" spans="1:4">
      <c r="A1636" s="122">
        <v>40446</v>
      </c>
      <c r="B1636" s="24">
        <v>0.95930000000000004</v>
      </c>
      <c r="C1636" s="24">
        <v>4335.2</v>
      </c>
      <c r="D1636" s="47">
        <f t="shared" si="25"/>
        <v>4158.7573599999996</v>
      </c>
    </row>
    <row r="1637" spans="1:4">
      <c r="A1637" s="122">
        <v>40445</v>
      </c>
      <c r="B1637" s="24">
        <v>0.95930000000000004</v>
      </c>
      <c r="C1637" s="24">
        <v>4180.7</v>
      </c>
      <c r="D1637" s="47">
        <f t="shared" si="25"/>
        <v>4010.5455099999999</v>
      </c>
    </row>
    <row r="1638" spans="1:4">
      <c r="A1638" s="122">
        <v>40444</v>
      </c>
      <c r="B1638" s="24">
        <v>0.94879999999999998</v>
      </c>
      <c r="C1638" s="24">
        <v>3960.7</v>
      </c>
      <c r="D1638" s="47">
        <f t="shared" si="25"/>
        <v>3757.9121599999999</v>
      </c>
    </row>
    <row r="1639" spans="1:4">
      <c r="A1639" s="122">
        <v>40443</v>
      </c>
      <c r="B1639" s="24">
        <v>0.95669999999999999</v>
      </c>
      <c r="C1639" s="24">
        <v>4320.8999999999996</v>
      </c>
      <c r="D1639" s="47">
        <f t="shared" si="25"/>
        <v>4133.8050299999995</v>
      </c>
    </row>
    <row r="1640" spans="1:4">
      <c r="A1640" s="122">
        <v>40442</v>
      </c>
      <c r="B1640" s="24">
        <v>0.95520000000000005</v>
      </c>
      <c r="C1640" s="24">
        <v>4388.1000000000004</v>
      </c>
      <c r="D1640" s="47">
        <f t="shared" si="25"/>
        <v>4191.5131200000005</v>
      </c>
    </row>
    <row r="1641" spans="1:4">
      <c r="A1641" s="122">
        <v>40441</v>
      </c>
      <c r="B1641" s="24">
        <v>0.94720000000000004</v>
      </c>
      <c r="C1641" s="24">
        <v>4618.7</v>
      </c>
      <c r="D1641" s="47">
        <f t="shared" si="25"/>
        <v>4374.8326399999996</v>
      </c>
    </row>
    <row r="1642" spans="1:4">
      <c r="A1642" s="122">
        <v>40438</v>
      </c>
      <c r="B1642" s="24">
        <v>0.93669999999999998</v>
      </c>
      <c r="C1642" s="24">
        <v>4540.3999999999996</v>
      </c>
      <c r="D1642" s="47">
        <f t="shared" si="25"/>
        <v>4252.9926799999994</v>
      </c>
    </row>
    <row r="1643" spans="1:4">
      <c r="A1643" s="122">
        <v>40437</v>
      </c>
      <c r="B1643" s="24">
        <v>0.9365</v>
      </c>
      <c r="C1643" s="24">
        <v>4695.3999999999996</v>
      </c>
      <c r="D1643" s="47">
        <f t="shared" si="25"/>
        <v>4397.2420999999995</v>
      </c>
    </row>
    <row r="1644" spans="1:4">
      <c r="A1644" s="122">
        <v>40436</v>
      </c>
      <c r="B1644" s="24">
        <v>0.93810000000000004</v>
      </c>
      <c r="C1644" s="24">
        <v>4761.1000000000004</v>
      </c>
      <c r="D1644" s="47">
        <f t="shared" si="25"/>
        <v>4466.3879100000004</v>
      </c>
    </row>
    <row r="1645" spans="1:4">
      <c r="A1645" s="122">
        <v>40435</v>
      </c>
      <c r="B1645" s="24">
        <v>0.9395</v>
      </c>
      <c r="C1645" s="24">
        <v>4794.6000000000004</v>
      </c>
      <c r="D1645" s="47">
        <f t="shared" si="25"/>
        <v>4504.5267000000003</v>
      </c>
    </row>
    <row r="1646" spans="1:4">
      <c r="A1646" s="122">
        <v>40434</v>
      </c>
      <c r="B1646" s="24">
        <v>0.93500000000000005</v>
      </c>
      <c r="C1646" s="24">
        <v>4600.5</v>
      </c>
      <c r="D1646" s="47">
        <f t="shared" si="25"/>
        <v>4301.4675000000007</v>
      </c>
    </row>
    <row r="1647" spans="1:4">
      <c r="A1647" s="122">
        <v>40431</v>
      </c>
      <c r="B1647" s="24">
        <v>0.92630000000000001</v>
      </c>
      <c r="C1647" s="24">
        <v>4807.3999999999996</v>
      </c>
      <c r="D1647" s="47">
        <f t="shared" si="25"/>
        <v>4453.0946199999998</v>
      </c>
    </row>
    <row r="1648" spans="1:4">
      <c r="A1648" s="122">
        <v>40430</v>
      </c>
      <c r="B1648" s="24">
        <v>0.92290000000000005</v>
      </c>
      <c r="C1648" s="24">
        <v>4904.8</v>
      </c>
      <c r="D1648" s="47">
        <f t="shared" si="25"/>
        <v>4526.6399200000005</v>
      </c>
    </row>
    <row r="1649" spans="1:4">
      <c r="A1649" s="122">
        <v>40429</v>
      </c>
      <c r="B1649" s="24">
        <v>0.91810000000000003</v>
      </c>
      <c r="C1649" s="24">
        <v>4927.3999999999996</v>
      </c>
      <c r="D1649" s="47">
        <f t="shared" si="25"/>
        <v>4523.8459400000002</v>
      </c>
    </row>
    <row r="1650" spans="1:4">
      <c r="A1650" s="122">
        <v>40428</v>
      </c>
      <c r="B1650" s="24">
        <v>0.91049999999999998</v>
      </c>
      <c r="C1650" s="24">
        <v>4981.8999999999996</v>
      </c>
      <c r="D1650" s="47">
        <f t="shared" si="25"/>
        <v>4536.0199499999999</v>
      </c>
    </row>
    <row r="1651" spans="1:4">
      <c r="A1651" s="122">
        <v>40427</v>
      </c>
      <c r="B1651" s="24">
        <v>0.91700000000000004</v>
      </c>
      <c r="C1651" s="24">
        <v>4923.5</v>
      </c>
      <c r="D1651" s="47">
        <f t="shared" si="25"/>
        <v>4514.8495000000003</v>
      </c>
    </row>
    <row r="1652" spans="1:4">
      <c r="A1652" s="122">
        <v>40424</v>
      </c>
      <c r="B1652" s="24">
        <v>0.91690000000000005</v>
      </c>
      <c r="C1652" s="24">
        <v>5020.5</v>
      </c>
      <c r="D1652" s="47">
        <f t="shared" si="25"/>
        <v>4603.2964499999998</v>
      </c>
    </row>
    <row r="1653" spans="1:4">
      <c r="A1653" s="122">
        <v>40423</v>
      </c>
      <c r="B1653" s="24">
        <v>0.91120000000000001</v>
      </c>
      <c r="C1653" s="24">
        <v>4804.1000000000004</v>
      </c>
      <c r="D1653" s="47">
        <f t="shared" si="25"/>
        <v>4377.4959200000003</v>
      </c>
    </row>
    <row r="1654" spans="1:4">
      <c r="A1654" s="122">
        <v>40422</v>
      </c>
      <c r="B1654" s="24">
        <v>0.91120000000000001</v>
      </c>
      <c r="C1654" s="24">
        <v>4607.3</v>
      </c>
      <c r="D1654" s="47">
        <f t="shared" si="25"/>
        <v>4198.1717600000002</v>
      </c>
    </row>
    <row r="1655" spans="1:4">
      <c r="A1655" s="122">
        <v>40421</v>
      </c>
      <c r="B1655" s="24">
        <v>0.89270000000000005</v>
      </c>
      <c r="C1655" s="24">
        <v>4722.2</v>
      </c>
      <c r="D1655" s="47">
        <f t="shared" si="25"/>
        <v>4215.5079400000004</v>
      </c>
    </row>
    <row r="1656" spans="1:4">
      <c r="A1656" s="122">
        <v>40420</v>
      </c>
      <c r="B1656" s="24">
        <v>0.89170000000000005</v>
      </c>
      <c r="C1656" s="24">
        <v>4750.8</v>
      </c>
      <c r="D1656" s="47">
        <f t="shared" si="25"/>
        <v>4236.2883600000005</v>
      </c>
    </row>
    <row r="1657" spans="1:4">
      <c r="A1657" s="122">
        <v>40417</v>
      </c>
      <c r="B1657" s="24">
        <v>0.89900000000000002</v>
      </c>
      <c r="C1657" s="24">
        <v>4817.7</v>
      </c>
      <c r="D1657" s="47">
        <f t="shared" si="25"/>
        <v>4331.1122999999998</v>
      </c>
    </row>
    <row r="1658" spans="1:4">
      <c r="A1658" s="122">
        <v>40416</v>
      </c>
      <c r="B1658" s="24">
        <v>0.88590000000000002</v>
      </c>
      <c r="C1658" s="24">
        <v>4903.8</v>
      </c>
      <c r="D1658" s="47">
        <f t="shared" si="25"/>
        <v>4344.2764200000001</v>
      </c>
    </row>
    <row r="1659" spans="1:4">
      <c r="A1659" s="122">
        <v>40415</v>
      </c>
      <c r="B1659" s="24">
        <v>0.88480000000000003</v>
      </c>
      <c r="C1659" s="24">
        <v>4814.3</v>
      </c>
      <c r="D1659" s="47">
        <f t="shared" si="25"/>
        <v>4259.6926400000002</v>
      </c>
    </row>
    <row r="1660" spans="1:4">
      <c r="A1660" s="122">
        <v>40414</v>
      </c>
      <c r="B1660" s="24">
        <v>0.88249999999999995</v>
      </c>
      <c r="C1660" s="24">
        <v>4905.5</v>
      </c>
      <c r="D1660" s="47">
        <f t="shared" si="25"/>
        <v>4329.1037499999993</v>
      </c>
    </row>
    <row r="1661" spans="1:4">
      <c r="A1661" s="122">
        <v>40413</v>
      </c>
      <c r="B1661" s="24">
        <v>0.89100000000000001</v>
      </c>
      <c r="C1661" s="24">
        <v>4980.1000000000004</v>
      </c>
      <c r="D1661" s="47">
        <f t="shared" si="25"/>
        <v>4437.2691000000004</v>
      </c>
    </row>
    <row r="1662" spans="1:4">
      <c r="A1662" s="122">
        <v>40410</v>
      </c>
      <c r="B1662" s="24">
        <v>0.89380000000000004</v>
      </c>
      <c r="C1662" s="24">
        <v>5067.5</v>
      </c>
      <c r="D1662" s="47">
        <f t="shared" si="25"/>
        <v>4529.3315000000002</v>
      </c>
    </row>
    <row r="1663" spans="1:4">
      <c r="A1663" s="122">
        <v>40409</v>
      </c>
      <c r="B1663" s="24">
        <v>0.89180000000000004</v>
      </c>
      <c r="C1663" s="24">
        <v>4877.1000000000004</v>
      </c>
      <c r="D1663" s="47">
        <f t="shared" si="25"/>
        <v>4349.3977800000002</v>
      </c>
    </row>
    <row r="1664" spans="1:4">
      <c r="A1664" s="122">
        <v>40408</v>
      </c>
      <c r="B1664" s="24">
        <v>0.89859999999999995</v>
      </c>
      <c r="C1664" s="24">
        <v>4979.5</v>
      </c>
      <c r="D1664" s="47">
        <f t="shared" si="25"/>
        <v>4474.5787</v>
      </c>
    </row>
    <row r="1665" spans="1:4">
      <c r="A1665" s="122">
        <v>40407</v>
      </c>
      <c r="B1665" s="24">
        <v>0.90529999999999999</v>
      </c>
      <c r="C1665" s="24">
        <v>5060</v>
      </c>
      <c r="D1665" s="47">
        <f t="shared" si="25"/>
        <v>4580.8180000000002</v>
      </c>
    </row>
    <row r="1666" spans="1:4">
      <c r="A1666" s="122">
        <v>40406</v>
      </c>
      <c r="B1666" s="24">
        <v>0.89710000000000001</v>
      </c>
      <c r="C1666" s="24">
        <v>5116</v>
      </c>
      <c r="D1666" s="47">
        <f t="shared" si="25"/>
        <v>4589.5636000000004</v>
      </c>
    </row>
    <row r="1667" spans="1:4">
      <c r="A1667" s="122">
        <v>40403</v>
      </c>
      <c r="B1667" s="24">
        <v>0.89259999999999995</v>
      </c>
      <c r="C1667" s="24">
        <v>5118.3</v>
      </c>
      <c r="D1667" s="47">
        <f t="shared" ref="D1667:D1730" si="26">C1667*B1667</f>
        <v>4568.59458</v>
      </c>
    </row>
    <row r="1668" spans="1:4">
      <c r="A1668" s="122">
        <v>40402</v>
      </c>
      <c r="B1668" s="24">
        <v>0.89629999999999999</v>
      </c>
      <c r="C1668" s="24">
        <v>5135.6000000000004</v>
      </c>
      <c r="D1668" s="47">
        <f t="shared" si="26"/>
        <v>4603.0382800000007</v>
      </c>
    </row>
    <row r="1669" spans="1:4">
      <c r="A1669" s="122">
        <v>40401</v>
      </c>
      <c r="B1669" s="24">
        <v>0.89480000000000004</v>
      </c>
      <c r="C1669" s="24">
        <v>5066.5</v>
      </c>
      <c r="D1669" s="47">
        <f t="shared" si="26"/>
        <v>4533.5042000000003</v>
      </c>
    </row>
    <row r="1670" spans="1:4">
      <c r="A1670" s="122">
        <v>40400</v>
      </c>
      <c r="B1670" s="24">
        <v>0.91300000000000003</v>
      </c>
      <c r="C1670" s="24">
        <v>5011.2</v>
      </c>
      <c r="D1670" s="47">
        <f t="shared" si="26"/>
        <v>4575.2255999999998</v>
      </c>
    </row>
    <row r="1671" spans="1:4">
      <c r="A1671" s="122">
        <v>40399</v>
      </c>
      <c r="B1671" s="24">
        <v>0.91649999999999998</v>
      </c>
      <c r="C1671" s="24">
        <v>5007.5</v>
      </c>
      <c r="D1671" s="47">
        <f t="shared" si="26"/>
        <v>4589.3737499999997</v>
      </c>
    </row>
    <row r="1672" spans="1:4">
      <c r="A1672" s="122">
        <v>40396</v>
      </c>
      <c r="B1672" s="24">
        <v>0.91849999999999998</v>
      </c>
      <c r="C1672" s="24">
        <v>5014.8999999999996</v>
      </c>
      <c r="D1672" s="47">
        <f t="shared" si="26"/>
        <v>4606.1856499999994</v>
      </c>
    </row>
    <row r="1673" spans="1:4">
      <c r="A1673" s="122">
        <v>40395</v>
      </c>
      <c r="B1673" s="24">
        <v>0.91649999999999998</v>
      </c>
      <c r="C1673" s="24">
        <v>4931.3999999999996</v>
      </c>
      <c r="D1673" s="47">
        <f t="shared" si="26"/>
        <v>4519.6280999999999</v>
      </c>
    </row>
    <row r="1674" spans="1:4">
      <c r="A1674" s="122">
        <v>40394</v>
      </c>
      <c r="B1674" s="24">
        <v>0.91679999999999995</v>
      </c>
      <c r="C1674" s="24">
        <v>4875.2</v>
      </c>
      <c r="D1674" s="47">
        <f t="shared" si="26"/>
        <v>4469.5833599999996</v>
      </c>
    </row>
    <row r="1675" spans="1:4">
      <c r="A1675" s="122">
        <v>40393</v>
      </c>
      <c r="B1675" s="24">
        <v>0.91290000000000004</v>
      </c>
      <c r="C1675" s="24">
        <v>4929.5</v>
      </c>
      <c r="D1675" s="47">
        <f t="shared" si="26"/>
        <v>4500.1405500000001</v>
      </c>
    </row>
    <row r="1676" spans="1:4">
      <c r="A1676" s="122">
        <v>40392</v>
      </c>
      <c r="B1676" s="24">
        <v>0.91390000000000005</v>
      </c>
      <c r="C1676" s="24">
        <v>4866.3999999999996</v>
      </c>
      <c r="D1676" s="47">
        <f t="shared" si="26"/>
        <v>4447.4029599999994</v>
      </c>
    </row>
    <row r="1677" spans="1:4">
      <c r="A1677" s="122">
        <v>40389</v>
      </c>
      <c r="B1677" s="24">
        <v>0.9042</v>
      </c>
      <c r="C1677" s="24">
        <v>4985</v>
      </c>
      <c r="D1677" s="47">
        <f t="shared" si="26"/>
        <v>4507.4369999999999</v>
      </c>
    </row>
    <row r="1678" spans="1:4">
      <c r="A1678" s="122">
        <v>40388</v>
      </c>
      <c r="B1678" s="24">
        <v>0.9002</v>
      </c>
      <c r="C1678" s="24">
        <v>4981.7</v>
      </c>
      <c r="D1678" s="47">
        <f t="shared" si="26"/>
        <v>4484.5263399999994</v>
      </c>
    </row>
    <row r="1679" spans="1:4">
      <c r="A1679" s="122">
        <v>40387</v>
      </c>
      <c r="B1679" s="24">
        <v>0.89349999999999996</v>
      </c>
      <c r="C1679" s="24">
        <v>4981.1000000000004</v>
      </c>
      <c r="D1679" s="47">
        <f t="shared" si="26"/>
        <v>4450.6128500000004</v>
      </c>
    </row>
    <row r="1680" spans="1:4">
      <c r="A1680" s="122">
        <v>40386</v>
      </c>
      <c r="B1680" s="24">
        <v>0.90249999999999997</v>
      </c>
      <c r="C1680" s="24">
        <v>4951.6000000000004</v>
      </c>
      <c r="D1680" s="47">
        <f t="shared" si="26"/>
        <v>4468.8190000000004</v>
      </c>
    </row>
    <row r="1681" spans="1:4">
      <c r="A1681" s="122">
        <v>40385</v>
      </c>
      <c r="B1681" s="24">
        <v>0.9022</v>
      </c>
      <c r="C1681" s="24">
        <v>5053.6000000000004</v>
      </c>
      <c r="D1681" s="47">
        <f t="shared" si="26"/>
        <v>4559.3579200000004</v>
      </c>
    </row>
    <row r="1682" spans="1:4">
      <c r="A1682" s="122">
        <v>40382</v>
      </c>
      <c r="B1682" s="24">
        <v>0.89549999999999996</v>
      </c>
      <c r="C1682" s="24">
        <v>5026.1000000000004</v>
      </c>
      <c r="D1682" s="47">
        <f t="shared" si="26"/>
        <v>4500.87255</v>
      </c>
    </row>
    <row r="1683" spans="1:4">
      <c r="A1683" s="122">
        <v>40381</v>
      </c>
      <c r="B1683" s="24">
        <v>0.89339999999999997</v>
      </c>
      <c r="C1683" s="24">
        <v>4986.2</v>
      </c>
      <c r="D1683" s="47">
        <f t="shared" si="26"/>
        <v>4454.6710800000001</v>
      </c>
    </row>
    <row r="1684" spans="1:4">
      <c r="A1684" s="122">
        <v>40380</v>
      </c>
      <c r="B1684" s="24">
        <v>0.87809999999999999</v>
      </c>
      <c r="C1684" s="24">
        <v>4983.3</v>
      </c>
      <c r="D1684" s="47">
        <f t="shared" si="26"/>
        <v>4375.8357299999998</v>
      </c>
    </row>
    <row r="1685" spans="1:4">
      <c r="A1685" s="122">
        <v>40379</v>
      </c>
      <c r="B1685" s="24">
        <v>0.88360000000000005</v>
      </c>
      <c r="C1685" s="24">
        <v>4969.1000000000004</v>
      </c>
      <c r="D1685" s="47">
        <f t="shared" si="26"/>
        <v>4390.6967600000007</v>
      </c>
    </row>
    <row r="1686" spans="1:4">
      <c r="A1686" s="122">
        <v>40378</v>
      </c>
      <c r="B1686" s="24">
        <v>0.86839999999999995</v>
      </c>
      <c r="C1686" s="24">
        <v>4820.3999999999996</v>
      </c>
      <c r="D1686" s="47">
        <f t="shared" si="26"/>
        <v>4186.0353599999999</v>
      </c>
    </row>
    <row r="1687" spans="1:4">
      <c r="A1687" s="122">
        <v>40375</v>
      </c>
      <c r="B1687" s="24">
        <v>0.86880000000000002</v>
      </c>
      <c r="C1687" s="24">
        <v>4887.7</v>
      </c>
      <c r="D1687" s="47">
        <f t="shared" si="26"/>
        <v>4246.4337599999999</v>
      </c>
    </row>
    <row r="1688" spans="1:4">
      <c r="A1688" s="122">
        <v>40374</v>
      </c>
      <c r="B1688" s="24">
        <v>0.88349999999999995</v>
      </c>
      <c r="C1688" s="24">
        <v>4904</v>
      </c>
      <c r="D1688" s="47">
        <f t="shared" si="26"/>
        <v>4332.6840000000002</v>
      </c>
    </row>
    <row r="1689" spans="1:4">
      <c r="A1689" s="122">
        <v>40373</v>
      </c>
      <c r="B1689" s="24">
        <v>0.88400000000000001</v>
      </c>
      <c r="C1689" s="24">
        <v>4977.3999999999996</v>
      </c>
      <c r="D1689" s="47">
        <f t="shared" si="26"/>
        <v>4400.0216</v>
      </c>
    </row>
    <row r="1690" spans="1:4">
      <c r="A1690" s="122">
        <v>40372</v>
      </c>
      <c r="B1690" s="24">
        <v>0.88360000000000005</v>
      </c>
      <c r="C1690" s="24">
        <v>4936.7</v>
      </c>
      <c r="D1690" s="47">
        <f t="shared" si="26"/>
        <v>4362.0681199999999</v>
      </c>
    </row>
    <row r="1691" spans="1:4">
      <c r="A1691" s="122">
        <v>40371</v>
      </c>
      <c r="B1691" s="24">
        <v>0.87590000000000001</v>
      </c>
      <c r="C1691" s="24">
        <v>4847.3999999999996</v>
      </c>
      <c r="D1691" s="47">
        <f t="shared" si="26"/>
        <v>4245.8376600000001</v>
      </c>
    </row>
    <row r="1692" spans="1:4">
      <c r="A1692" s="122">
        <v>40368</v>
      </c>
      <c r="B1692" s="24">
        <v>0.87770000000000004</v>
      </c>
      <c r="C1692" s="24">
        <v>4922.1000000000004</v>
      </c>
      <c r="D1692" s="47">
        <f t="shared" si="26"/>
        <v>4320.1271700000007</v>
      </c>
    </row>
    <row r="1693" spans="1:4">
      <c r="A1693" s="122">
        <v>40367</v>
      </c>
      <c r="B1693" s="24">
        <v>0.877</v>
      </c>
      <c r="C1693" s="24">
        <v>4970.5</v>
      </c>
      <c r="D1693" s="47">
        <f t="shared" si="26"/>
        <v>4359.1284999999998</v>
      </c>
    </row>
    <row r="1694" spans="1:4">
      <c r="A1694" s="122">
        <v>40366</v>
      </c>
      <c r="B1694" s="24">
        <v>0.86329999999999996</v>
      </c>
      <c r="C1694" s="24">
        <v>5144.1000000000004</v>
      </c>
      <c r="D1694" s="47">
        <f t="shared" si="26"/>
        <v>4440.9015300000001</v>
      </c>
    </row>
    <row r="1695" spans="1:4">
      <c r="A1695" s="122">
        <v>40365</v>
      </c>
      <c r="B1695" s="24">
        <v>0.85209999999999997</v>
      </c>
      <c r="C1695" s="24">
        <v>5105.3</v>
      </c>
      <c r="D1695" s="47">
        <f t="shared" si="26"/>
        <v>4350.22613</v>
      </c>
    </row>
    <row r="1696" spans="1:4">
      <c r="A1696" s="122">
        <v>40364</v>
      </c>
      <c r="B1696" s="24">
        <v>0.83940000000000003</v>
      </c>
      <c r="C1696" s="24">
        <v>5005.6000000000004</v>
      </c>
      <c r="D1696" s="47">
        <f t="shared" si="26"/>
        <v>4201.7006400000009</v>
      </c>
    </row>
    <row r="1697" spans="1:4">
      <c r="A1697" s="122">
        <v>40363</v>
      </c>
      <c r="B1697" s="24">
        <v>0.84350000000000003</v>
      </c>
      <c r="C1697" s="24">
        <v>5011.8</v>
      </c>
      <c r="D1697" s="47">
        <f t="shared" si="26"/>
        <v>4227.4533000000001</v>
      </c>
    </row>
    <row r="1698" spans="1:4">
      <c r="A1698" s="122">
        <v>40362</v>
      </c>
      <c r="B1698" s="24">
        <v>0.84160000000000001</v>
      </c>
      <c r="C1698" s="24">
        <v>4840.3999999999996</v>
      </c>
      <c r="D1698" s="47">
        <f t="shared" si="26"/>
        <v>4073.6806399999996</v>
      </c>
    </row>
    <row r="1699" spans="1:4">
      <c r="A1699" s="122">
        <v>40361</v>
      </c>
      <c r="B1699" s="24">
        <v>0.84179999999999999</v>
      </c>
      <c r="C1699" s="24">
        <v>4901</v>
      </c>
      <c r="D1699" s="47">
        <f t="shared" si="26"/>
        <v>4125.6617999999999</v>
      </c>
    </row>
    <row r="1700" spans="1:4">
      <c r="A1700" s="122">
        <v>40360</v>
      </c>
      <c r="B1700" s="24">
        <v>0.84330000000000005</v>
      </c>
      <c r="C1700" s="24">
        <v>4870.6000000000004</v>
      </c>
      <c r="D1700" s="47">
        <f t="shared" si="26"/>
        <v>4107.3769800000009</v>
      </c>
    </row>
    <row r="1701" spans="1:4">
      <c r="A1701" s="122">
        <v>40359</v>
      </c>
      <c r="B1701" s="24">
        <v>0.84060000000000001</v>
      </c>
      <c r="C1701" s="24">
        <v>4815.7</v>
      </c>
      <c r="D1701" s="47">
        <f t="shared" si="26"/>
        <v>4048.0774200000001</v>
      </c>
    </row>
    <row r="1702" spans="1:4">
      <c r="A1702" s="122">
        <v>40358</v>
      </c>
      <c r="B1702" s="24">
        <v>0.84870000000000001</v>
      </c>
      <c r="C1702" s="24">
        <v>4921</v>
      </c>
      <c r="D1702" s="47">
        <f t="shared" si="26"/>
        <v>4176.4526999999998</v>
      </c>
    </row>
    <row r="1703" spans="1:4">
      <c r="A1703" s="122">
        <v>40357</v>
      </c>
      <c r="B1703" s="24">
        <v>0.87209999999999999</v>
      </c>
      <c r="C1703" s="24">
        <v>4979.8999999999996</v>
      </c>
      <c r="D1703" s="47">
        <f t="shared" si="26"/>
        <v>4342.9707899999994</v>
      </c>
    </row>
    <row r="1704" spans="1:4">
      <c r="A1704" s="122">
        <v>40356</v>
      </c>
      <c r="B1704" s="24">
        <v>0.87609999999999999</v>
      </c>
      <c r="C1704" s="24">
        <v>4937.3999999999996</v>
      </c>
      <c r="D1704" s="47">
        <f t="shared" si="26"/>
        <v>4325.6561400000001</v>
      </c>
    </row>
    <row r="1705" spans="1:4">
      <c r="A1705" s="122">
        <v>40355</v>
      </c>
      <c r="B1705" s="24">
        <v>0.87380000000000002</v>
      </c>
      <c r="C1705" s="24">
        <v>5011.8999999999996</v>
      </c>
      <c r="D1705" s="47">
        <f t="shared" si="26"/>
        <v>4379.39822</v>
      </c>
    </row>
    <row r="1706" spans="1:4">
      <c r="A1706" s="122">
        <v>40354</v>
      </c>
      <c r="B1706" s="24">
        <v>0.87439999999999996</v>
      </c>
      <c r="C1706" s="24">
        <v>4932.8999999999996</v>
      </c>
      <c r="D1706" s="47">
        <f t="shared" si="26"/>
        <v>4313.3277599999992</v>
      </c>
    </row>
    <row r="1707" spans="1:4">
      <c r="A1707" s="122">
        <v>40353</v>
      </c>
      <c r="B1707" s="24">
        <v>0.86660000000000004</v>
      </c>
      <c r="C1707" s="24">
        <v>5002.5</v>
      </c>
      <c r="D1707" s="47">
        <f t="shared" si="26"/>
        <v>4335.1665000000003</v>
      </c>
    </row>
    <row r="1708" spans="1:4">
      <c r="A1708" s="122">
        <v>40352</v>
      </c>
      <c r="B1708" s="24">
        <v>0.87390000000000001</v>
      </c>
      <c r="C1708" s="24">
        <v>5082.1000000000004</v>
      </c>
      <c r="D1708" s="47">
        <f t="shared" si="26"/>
        <v>4441.24719</v>
      </c>
    </row>
    <row r="1709" spans="1:4">
      <c r="A1709" s="122">
        <v>40351</v>
      </c>
      <c r="B1709" s="24">
        <v>0.87170000000000003</v>
      </c>
      <c r="C1709" s="24">
        <v>4998.3</v>
      </c>
      <c r="D1709" s="47">
        <f t="shared" si="26"/>
        <v>4357.01811</v>
      </c>
    </row>
    <row r="1710" spans="1:4">
      <c r="A1710" s="122">
        <v>40350</v>
      </c>
      <c r="B1710" s="24">
        <v>0.87649999999999995</v>
      </c>
      <c r="C1710" s="24">
        <v>5094.8</v>
      </c>
      <c r="D1710" s="47">
        <f t="shared" si="26"/>
        <v>4465.5922</v>
      </c>
    </row>
    <row r="1711" spans="1:4">
      <c r="A1711" s="122">
        <v>40349</v>
      </c>
      <c r="B1711" s="24">
        <v>0.88080000000000003</v>
      </c>
      <c r="C1711" s="24">
        <v>5138.8999999999996</v>
      </c>
      <c r="D1711" s="47">
        <f t="shared" si="26"/>
        <v>4526.3431199999995</v>
      </c>
    </row>
    <row r="1712" spans="1:4">
      <c r="A1712" s="122">
        <v>40348</v>
      </c>
      <c r="B1712" s="24">
        <v>0.87160000000000004</v>
      </c>
      <c r="C1712" s="24">
        <v>5215.3</v>
      </c>
      <c r="D1712" s="47">
        <f t="shared" si="26"/>
        <v>4545.6554800000004</v>
      </c>
    </row>
    <row r="1713" spans="1:4">
      <c r="A1713" s="122">
        <v>40347</v>
      </c>
      <c r="B1713" s="24">
        <v>0.87180000000000002</v>
      </c>
      <c r="C1713" s="24">
        <v>5237</v>
      </c>
      <c r="D1713" s="47">
        <f t="shared" si="26"/>
        <v>4565.6166000000003</v>
      </c>
    </row>
    <row r="1714" spans="1:4">
      <c r="A1714" s="122">
        <v>40346</v>
      </c>
      <c r="B1714" s="24">
        <v>0.86860000000000004</v>
      </c>
      <c r="C1714" s="24">
        <v>5307</v>
      </c>
      <c r="D1714" s="47">
        <f t="shared" si="26"/>
        <v>4609.6602000000003</v>
      </c>
    </row>
    <row r="1715" spans="1:4">
      <c r="A1715" s="122">
        <v>40345</v>
      </c>
      <c r="B1715" s="24">
        <v>0.8639</v>
      </c>
      <c r="C1715" s="24">
        <v>5237.8</v>
      </c>
      <c r="D1715" s="47">
        <f t="shared" si="26"/>
        <v>4524.9354199999998</v>
      </c>
    </row>
    <row r="1716" spans="1:4">
      <c r="A1716" s="122">
        <v>40344</v>
      </c>
      <c r="B1716" s="24">
        <v>0.86560000000000004</v>
      </c>
      <c r="C1716" s="24">
        <v>5290</v>
      </c>
      <c r="D1716" s="47">
        <f t="shared" si="26"/>
        <v>4579.0240000000003</v>
      </c>
    </row>
    <row r="1717" spans="1:4">
      <c r="A1717" s="122">
        <v>40343</v>
      </c>
      <c r="B1717" s="24">
        <v>0.85870000000000002</v>
      </c>
      <c r="C1717" s="24">
        <v>5283.7</v>
      </c>
      <c r="D1717" s="47">
        <f t="shared" si="26"/>
        <v>4537.11319</v>
      </c>
    </row>
    <row r="1718" spans="1:4">
      <c r="A1718" s="122">
        <v>40342</v>
      </c>
      <c r="B1718" s="24">
        <v>0.85650000000000004</v>
      </c>
      <c r="C1718" s="24">
        <v>5288.3</v>
      </c>
      <c r="D1718" s="47">
        <f t="shared" si="26"/>
        <v>4529.4289500000004</v>
      </c>
    </row>
    <row r="1719" spans="1:4">
      <c r="A1719" s="122">
        <v>40341</v>
      </c>
      <c r="B1719" s="24">
        <v>0.85019999999999996</v>
      </c>
      <c r="C1719" s="24">
        <v>5366.6</v>
      </c>
      <c r="D1719" s="47">
        <f t="shared" si="26"/>
        <v>4562.6833200000001</v>
      </c>
    </row>
    <row r="1720" spans="1:4">
      <c r="A1720" s="122">
        <v>40340</v>
      </c>
      <c r="B1720" s="24">
        <v>0.85029999999999994</v>
      </c>
      <c r="C1720" s="24">
        <v>5443.2</v>
      </c>
      <c r="D1720" s="47">
        <f t="shared" si="26"/>
        <v>4628.3529599999993</v>
      </c>
    </row>
    <row r="1721" spans="1:4">
      <c r="A1721" s="122">
        <v>40339</v>
      </c>
      <c r="B1721" s="24">
        <v>0.85019999999999996</v>
      </c>
      <c r="C1721" s="24">
        <v>5422.7</v>
      </c>
      <c r="D1721" s="47">
        <f t="shared" si="26"/>
        <v>4610.3795399999999</v>
      </c>
    </row>
    <row r="1722" spans="1:4">
      <c r="A1722" s="122">
        <v>40338</v>
      </c>
      <c r="B1722" s="24">
        <v>0.82799999999999996</v>
      </c>
      <c r="C1722" s="24">
        <v>5371.7</v>
      </c>
      <c r="D1722" s="47">
        <f t="shared" si="26"/>
        <v>4447.7675999999992</v>
      </c>
    </row>
    <row r="1723" spans="1:4">
      <c r="A1723" s="122">
        <v>40337</v>
      </c>
      <c r="B1723" s="24">
        <v>0.82779999999999998</v>
      </c>
      <c r="C1723" s="24">
        <v>5378.1</v>
      </c>
      <c r="D1723" s="47">
        <f t="shared" si="26"/>
        <v>4451.99118</v>
      </c>
    </row>
    <row r="1724" spans="1:4">
      <c r="A1724" s="122">
        <v>40336</v>
      </c>
      <c r="B1724" s="24">
        <v>0.81040000000000001</v>
      </c>
      <c r="C1724" s="24">
        <v>5329.2</v>
      </c>
      <c r="D1724" s="47">
        <f t="shared" si="26"/>
        <v>4318.7836799999995</v>
      </c>
    </row>
    <row r="1725" spans="1:4">
      <c r="A1725" s="122">
        <v>40335</v>
      </c>
      <c r="B1725" s="24">
        <v>0.81479999999999997</v>
      </c>
      <c r="C1725" s="24">
        <v>5467.3</v>
      </c>
      <c r="D1725" s="47">
        <f t="shared" si="26"/>
        <v>4454.7560400000002</v>
      </c>
    </row>
    <row r="1726" spans="1:4">
      <c r="A1726" s="122">
        <v>40334</v>
      </c>
      <c r="B1726" s="24">
        <v>0.82369999999999999</v>
      </c>
      <c r="C1726" s="24">
        <v>5437.5</v>
      </c>
      <c r="D1726" s="47">
        <f t="shared" si="26"/>
        <v>4478.8687499999996</v>
      </c>
    </row>
    <row r="1727" spans="1:4">
      <c r="A1727" s="122">
        <v>40333</v>
      </c>
      <c r="B1727" s="24">
        <v>0.82350000000000001</v>
      </c>
      <c r="C1727" s="24">
        <v>5592.1</v>
      </c>
      <c r="D1727" s="47">
        <f t="shared" si="26"/>
        <v>4605.0943500000003</v>
      </c>
    </row>
    <row r="1728" spans="1:4">
      <c r="A1728" s="122">
        <v>40332</v>
      </c>
      <c r="B1728" s="24">
        <v>0.8448</v>
      </c>
      <c r="C1728" s="24">
        <v>5530.1</v>
      </c>
      <c r="D1728" s="47">
        <f t="shared" si="26"/>
        <v>4671.8284800000001</v>
      </c>
    </row>
    <row r="1729" spans="1:4">
      <c r="A1729" s="122">
        <v>40331</v>
      </c>
      <c r="B1729" s="24">
        <v>0.84209999999999996</v>
      </c>
      <c r="C1729" s="24">
        <v>5584.5</v>
      </c>
      <c r="D1729" s="47">
        <f t="shared" si="26"/>
        <v>4702.7074499999999</v>
      </c>
    </row>
    <row r="1730" spans="1:4">
      <c r="A1730" s="122">
        <v>40330</v>
      </c>
      <c r="B1730" s="24">
        <v>0.83109999999999995</v>
      </c>
      <c r="C1730" s="24">
        <v>5574.2</v>
      </c>
      <c r="D1730" s="47">
        <f t="shared" si="26"/>
        <v>4632.7176199999994</v>
      </c>
    </row>
    <row r="1731" spans="1:4">
      <c r="A1731" s="122">
        <v>40329</v>
      </c>
      <c r="B1731" s="24">
        <v>0.84599999999999997</v>
      </c>
      <c r="C1731" s="24">
        <v>5662.3</v>
      </c>
      <c r="D1731" s="47">
        <f t="shared" ref="D1731:D1794" si="27">C1731*B1731</f>
        <v>4790.3058000000001</v>
      </c>
    </row>
    <row r="1732" spans="1:4">
      <c r="A1732" s="122">
        <v>40328</v>
      </c>
      <c r="B1732" s="24">
        <v>0.84830000000000005</v>
      </c>
      <c r="C1732" s="24">
        <v>5654.7</v>
      </c>
      <c r="D1732" s="47">
        <f t="shared" si="27"/>
        <v>4796.8820100000003</v>
      </c>
    </row>
    <row r="1733" spans="1:4">
      <c r="A1733" s="122">
        <v>40327</v>
      </c>
      <c r="B1733" s="24">
        <v>0.84689999999999999</v>
      </c>
      <c r="C1733" s="24">
        <v>5709.4</v>
      </c>
      <c r="D1733" s="47">
        <f t="shared" si="27"/>
        <v>4835.2908600000001</v>
      </c>
    </row>
    <row r="1734" spans="1:4">
      <c r="A1734" s="122">
        <v>40326</v>
      </c>
      <c r="B1734" s="24">
        <v>0.84750000000000003</v>
      </c>
      <c r="C1734" s="24">
        <v>5648.1</v>
      </c>
      <c r="D1734" s="47">
        <f t="shared" si="27"/>
        <v>4786.7647500000003</v>
      </c>
    </row>
    <row r="1735" spans="1:4">
      <c r="A1735" s="122">
        <v>40325</v>
      </c>
      <c r="B1735" s="24">
        <v>0.85140000000000005</v>
      </c>
      <c r="C1735" s="24">
        <v>5714.4</v>
      </c>
      <c r="D1735" s="47">
        <f t="shared" si="27"/>
        <v>4865.2401600000003</v>
      </c>
    </row>
    <row r="1736" spans="1:4">
      <c r="A1736" s="122">
        <v>40324</v>
      </c>
      <c r="B1736" s="24">
        <v>0.8216</v>
      </c>
      <c r="C1736" s="24">
        <v>5707</v>
      </c>
      <c r="D1736" s="47">
        <f t="shared" si="27"/>
        <v>4688.8711999999996</v>
      </c>
    </row>
    <row r="1737" spans="1:4">
      <c r="A1737" s="122">
        <v>40323</v>
      </c>
      <c r="B1737" s="24">
        <v>0.82769999999999999</v>
      </c>
      <c r="C1737" s="24">
        <v>5768</v>
      </c>
      <c r="D1737" s="47">
        <f t="shared" si="27"/>
        <v>4774.1736000000001</v>
      </c>
    </row>
    <row r="1738" spans="1:4">
      <c r="A1738" s="122">
        <v>40322</v>
      </c>
      <c r="B1738" s="24">
        <v>0.82650000000000001</v>
      </c>
      <c r="C1738" s="24">
        <v>5826.9</v>
      </c>
      <c r="D1738" s="47">
        <f t="shared" si="27"/>
        <v>4815.9328500000001</v>
      </c>
    </row>
    <row r="1739" spans="1:4">
      <c r="A1739" s="122">
        <v>40321</v>
      </c>
      <c r="B1739" s="24">
        <v>0.82899999999999996</v>
      </c>
      <c r="C1739" s="24">
        <v>5823.4</v>
      </c>
      <c r="D1739" s="47">
        <f t="shared" si="27"/>
        <v>4827.5985999999994</v>
      </c>
    </row>
    <row r="1740" spans="1:4">
      <c r="A1740" s="122">
        <v>40320</v>
      </c>
      <c r="B1740" s="24">
        <v>0.83199999999999996</v>
      </c>
      <c r="C1740" s="24">
        <v>5908.1</v>
      </c>
      <c r="D1740" s="47">
        <f t="shared" si="27"/>
        <v>4915.5392000000002</v>
      </c>
    </row>
    <row r="1741" spans="1:4">
      <c r="A1741" s="122">
        <v>40319</v>
      </c>
      <c r="B1741" s="24">
        <v>0.83230000000000004</v>
      </c>
      <c r="C1741" s="24">
        <v>5949.4</v>
      </c>
      <c r="D1741" s="47">
        <f t="shared" si="27"/>
        <v>4951.6856200000002</v>
      </c>
    </row>
    <row r="1742" spans="1:4">
      <c r="A1742" s="122">
        <v>40318</v>
      </c>
      <c r="B1742" s="24">
        <v>0.81720000000000004</v>
      </c>
      <c r="C1742" s="24">
        <v>5931</v>
      </c>
      <c r="D1742" s="47">
        <f t="shared" si="27"/>
        <v>4846.8132000000005</v>
      </c>
    </row>
    <row r="1743" spans="1:4">
      <c r="A1743" s="122">
        <v>40317</v>
      </c>
      <c r="B1743" s="24">
        <v>0.84699999999999998</v>
      </c>
      <c r="C1743" s="24">
        <v>5890.7</v>
      </c>
      <c r="D1743" s="47">
        <f t="shared" si="27"/>
        <v>4989.4228999999996</v>
      </c>
    </row>
    <row r="1744" spans="1:4">
      <c r="A1744" s="122">
        <v>40316</v>
      </c>
      <c r="B1744" s="24">
        <v>0.86450000000000005</v>
      </c>
      <c r="C1744" s="24">
        <v>5872.7</v>
      </c>
      <c r="D1744" s="47">
        <f t="shared" si="27"/>
        <v>5076.9491500000004</v>
      </c>
    </row>
    <row r="1745" spans="1:4">
      <c r="A1745" s="122">
        <v>40315</v>
      </c>
      <c r="B1745" s="24">
        <v>0.87749999999999995</v>
      </c>
      <c r="C1745" s="24">
        <v>5812.7</v>
      </c>
      <c r="D1745" s="47">
        <f t="shared" si="27"/>
        <v>5100.6442499999994</v>
      </c>
    </row>
    <row r="1746" spans="1:4">
      <c r="A1746" s="122">
        <v>40314</v>
      </c>
      <c r="B1746" s="24">
        <v>0.87660000000000005</v>
      </c>
      <c r="C1746" s="24">
        <v>5828.5</v>
      </c>
      <c r="D1746" s="47">
        <f t="shared" si="27"/>
        <v>5109.2631000000001</v>
      </c>
    </row>
    <row r="1747" spans="1:4">
      <c r="A1747" s="122">
        <v>40313</v>
      </c>
      <c r="B1747" s="24">
        <v>0.88560000000000005</v>
      </c>
      <c r="C1747" s="24">
        <v>5771.8</v>
      </c>
      <c r="D1747" s="47">
        <f t="shared" si="27"/>
        <v>5111.5060800000001</v>
      </c>
    </row>
    <row r="1748" spans="1:4">
      <c r="A1748" s="122">
        <v>40312</v>
      </c>
      <c r="B1748" s="24">
        <v>0.88600000000000001</v>
      </c>
      <c r="C1748" s="24">
        <v>5723.2</v>
      </c>
      <c r="D1748" s="47">
        <f t="shared" si="27"/>
        <v>5070.7551999999996</v>
      </c>
    </row>
    <row r="1749" spans="1:4">
      <c r="A1749" s="122">
        <v>40311</v>
      </c>
      <c r="B1749" s="24">
        <v>0.89629999999999999</v>
      </c>
      <c r="C1749" s="24">
        <v>5668.4</v>
      </c>
      <c r="D1749" s="47">
        <f t="shared" si="27"/>
        <v>5080.5869199999997</v>
      </c>
    </row>
    <row r="1750" spans="1:4">
      <c r="A1750" s="122">
        <v>40310</v>
      </c>
      <c r="B1750" s="24">
        <v>0.89349999999999996</v>
      </c>
      <c r="C1750" s="24">
        <v>5701.4</v>
      </c>
      <c r="D1750" s="47">
        <f t="shared" si="27"/>
        <v>5094.2008999999998</v>
      </c>
    </row>
    <row r="1751" spans="1:4">
      <c r="A1751" s="122">
        <v>40309</v>
      </c>
      <c r="B1751" s="24">
        <v>0.89510000000000001</v>
      </c>
      <c r="C1751" s="24">
        <v>5730.3</v>
      </c>
      <c r="D1751" s="47">
        <f t="shared" si="27"/>
        <v>5129.1915300000001</v>
      </c>
    </row>
    <row r="1752" spans="1:4">
      <c r="A1752" s="122">
        <v>40308</v>
      </c>
      <c r="B1752" s="24">
        <v>0.90290000000000004</v>
      </c>
      <c r="C1752" s="24">
        <v>5700.4</v>
      </c>
      <c r="D1752" s="47">
        <f t="shared" si="27"/>
        <v>5146.8911600000001</v>
      </c>
    </row>
    <row r="1753" spans="1:4">
      <c r="A1753" s="122">
        <v>40305</v>
      </c>
      <c r="B1753" s="24">
        <v>0.88829999999999998</v>
      </c>
      <c r="C1753" s="24">
        <v>5585.8</v>
      </c>
      <c r="D1753" s="47">
        <f t="shared" si="27"/>
        <v>4961.8661400000001</v>
      </c>
    </row>
    <row r="1754" spans="1:4">
      <c r="A1754" s="122">
        <v>40304</v>
      </c>
      <c r="B1754" s="24">
        <v>0.88519999999999999</v>
      </c>
      <c r="C1754" s="24">
        <v>5595.4</v>
      </c>
      <c r="D1754" s="47">
        <f t="shared" si="27"/>
        <v>4953.0480799999996</v>
      </c>
    </row>
    <row r="1755" spans="1:4">
      <c r="A1755" s="122">
        <v>40303</v>
      </c>
      <c r="B1755" s="24">
        <v>0.90610000000000002</v>
      </c>
      <c r="C1755" s="24">
        <v>5606.9</v>
      </c>
      <c r="D1755" s="47">
        <f t="shared" si="27"/>
        <v>5080.4120899999998</v>
      </c>
    </row>
    <row r="1756" spans="1:4">
      <c r="A1756" s="122">
        <v>40302</v>
      </c>
      <c r="B1756" s="24">
        <v>0.90880000000000005</v>
      </c>
      <c r="C1756" s="24">
        <v>5602.7</v>
      </c>
      <c r="D1756" s="47">
        <f t="shared" si="27"/>
        <v>5091.7337600000001</v>
      </c>
    </row>
    <row r="1757" spans="1:4">
      <c r="A1757" s="122">
        <v>40301</v>
      </c>
      <c r="B1757" s="24">
        <v>0.92610000000000003</v>
      </c>
      <c r="C1757" s="24">
        <v>5587.3</v>
      </c>
      <c r="D1757" s="47">
        <f t="shared" si="27"/>
        <v>5174.3985300000004</v>
      </c>
    </row>
    <row r="1758" spans="1:4">
      <c r="A1758" s="122">
        <v>40300</v>
      </c>
      <c r="B1758" s="24">
        <v>0.92379999999999995</v>
      </c>
      <c r="C1758" s="24">
        <v>5587.3</v>
      </c>
      <c r="D1758" s="47">
        <f t="shared" si="27"/>
        <v>5161.54774</v>
      </c>
    </row>
    <row r="1759" spans="1:4">
      <c r="A1759" s="122">
        <v>40299</v>
      </c>
      <c r="B1759" s="24">
        <v>0.92430000000000001</v>
      </c>
      <c r="C1759" s="24">
        <v>5652.9</v>
      </c>
      <c r="D1759" s="47">
        <f t="shared" si="27"/>
        <v>5224.9754699999994</v>
      </c>
    </row>
    <row r="1760" spans="1:4">
      <c r="A1760" s="122">
        <v>40298</v>
      </c>
      <c r="B1760" s="24">
        <v>0.92449999999999999</v>
      </c>
      <c r="C1760" s="24">
        <v>5564.6</v>
      </c>
      <c r="D1760" s="47">
        <f t="shared" si="27"/>
        <v>5144.4727000000003</v>
      </c>
    </row>
    <row r="1761" spans="1:4">
      <c r="A1761" s="122">
        <v>40297</v>
      </c>
      <c r="B1761" s="24">
        <v>0.92769999999999997</v>
      </c>
      <c r="C1761" s="24">
        <v>5600.3</v>
      </c>
      <c r="D1761" s="47">
        <f t="shared" si="27"/>
        <v>5195.3983099999996</v>
      </c>
    </row>
    <row r="1762" spans="1:4">
      <c r="A1762" s="122">
        <v>40296</v>
      </c>
      <c r="B1762" s="24">
        <v>0.9254</v>
      </c>
      <c r="C1762" s="24">
        <v>5429.7</v>
      </c>
      <c r="D1762" s="47">
        <f t="shared" si="27"/>
        <v>5024.6443799999997</v>
      </c>
    </row>
    <row r="1763" spans="1:4">
      <c r="A1763" s="122">
        <v>40295</v>
      </c>
      <c r="B1763" s="24">
        <v>0.91539999999999999</v>
      </c>
      <c r="C1763" s="24">
        <v>5519</v>
      </c>
      <c r="D1763" s="47">
        <f t="shared" si="27"/>
        <v>5052.0925999999999</v>
      </c>
    </row>
    <row r="1764" spans="1:4">
      <c r="A1764" s="122">
        <v>40294</v>
      </c>
      <c r="B1764" s="24">
        <v>0.92679999999999996</v>
      </c>
      <c r="C1764" s="24">
        <v>5470.3</v>
      </c>
      <c r="D1764" s="47">
        <f t="shared" si="27"/>
        <v>5069.8740399999997</v>
      </c>
    </row>
    <row r="1765" spans="1:4">
      <c r="A1765" s="122">
        <v>40293</v>
      </c>
      <c r="B1765" s="24">
        <v>0.92800000000000005</v>
      </c>
      <c r="C1765" s="24">
        <v>5400.4</v>
      </c>
      <c r="D1765" s="47">
        <f t="shared" si="27"/>
        <v>5011.5712000000003</v>
      </c>
    </row>
    <row r="1766" spans="1:4">
      <c r="A1766" s="122">
        <v>40292</v>
      </c>
      <c r="B1766" s="24">
        <v>0.9274</v>
      </c>
      <c r="C1766" s="24">
        <v>5342.4</v>
      </c>
      <c r="D1766" s="47">
        <f t="shared" si="27"/>
        <v>4954.5417600000001</v>
      </c>
    </row>
    <row r="1767" spans="1:4">
      <c r="A1767" s="122">
        <v>40291</v>
      </c>
      <c r="B1767" s="24">
        <v>0.92769999999999997</v>
      </c>
      <c r="C1767" s="24">
        <v>5439.3</v>
      </c>
      <c r="D1767" s="47">
        <f t="shared" si="27"/>
        <v>5046.0386099999996</v>
      </c>
    </row>
    <row r="1768" spans="1:4">
      <c r="A1768" s="122">
        <v>40290</v>
      </c>
      <c r="B1768" s="24">
        <v>0.9274</v>
      </c>
      <c r="C1768" s="24">
        <v>5446.4</v>
      </c>
      <c r="D1768" s="47">
        <f t="shared" si="27"/>
        <v>5050.99136</v>
      </c>
    </row>
    <row r="1769" spans="1:4">
      <c r="A1769" s="122">
        <v>40289</v>
      </c>
      <c r="B1769" s="24">
        <v>0.92679999999999996</v>
      </c>
      <c r="C1769" s="24">
        <v>5520.2</v>
      </c>
      <c r="D1769" s="47">
        <f t="shared" si="27"/>
        <v>5116.1213599999992</v>
      </c>
    </row>
    <row r="1770" spans="1:4">
      <c r="A1770" s="122">
        <v>40288</v>
      </c>
      <c r="B1770" s="24">
        <v>0.93169999999999997</v>
      </c>
      <c r="C1770" s="24">
        <v>5571.5</v>
      </c>
      <c r="D1770" s="47">
        <f t="shared" si="27"/>
        <v>5190.9665500000001</v>
      </c>
    </row>
    <row r="1771" spans="1:4">
      <c r="A1771" s="122">
        <v>40287</v>
      </c>
      <c r="B1771" s="24">
        <v>0.92390000000000005</v>
      </c>
      <c r="C1771" s="24">
        <v>5625</v>
      </c>
      <c r="D1771" s="47">
        <f t="shared" si="27"/>
        <v>5196.9375</v>
      </c>
    </row>
    <row r="1772" spans="1:4">
      <c r="A1772" s="122">
        <v>40286</v>
      </c>
      <c r="B1772" s="24">
        <v>0.91949999999999998</v>
      </c>
      <c r="C1772" s="24">
        <v>5619.6</v>
      </c>
      <c r="D1772" s="47">
        <f t="shared" si="27"/>
        <v>5167.2222000000002</v>
      </c>
    </row>
    <row r="1773" spans="1:4">
      <c r="A1773" s="122">
        <v>40284</v>
      </c>
      <c r="B1773" s="24">
        <v>0.92459999999999998</v>
      </c>
      <c r="C1773" s="24">
        <v>5608.9</v>
      </c>
      <c r="D1773" s="47">
        <f t="shared" si="27"/>
        <v>5185.9889399999993</v>
      </c>
    </row>
    <row r="1774" spans="1:4">
      <c r="A1774" s="122">
        <v>40283</v>
      </c>
      <c r="B1774" s="24">
        <v>0.93459999999999999</v>
      </c>
      <c r="C1774" s="24">
        <v>5502.9</v>
      </c>
      <c r="D1774" s="47">
        <f t="shared" si="27"/>
        <v>5143.0103399999998</v>
      </c>
    </row>
    <row r="1775" spans="1:4">
      <c r="A1775" s="122">
        <v>40282</v>
      </c>
      <c r="B1775" s="24">
        <v>0.93520000000000003</v>
      </c>
      <c r="C1775" s="24">
        <v>5361.2</v>
      </c>
      <c r="D1775" s="47">
        <f t="shared" si="27"/>
        <v>5013.7942400000002</v>
      </c>
    </row>
    <row r="1776" spans="1:4">
      <c r="A1776" s="122">
        <v>40281</v>
      </c>
      <c r="B1776" s="24">
        <v>0.92920000000000003</v>
      </c>
      <c r="C1776" s="24">
        <v>5355.7</v>
      </c>
      <c r="D1776" s="47">
        <f t="shared" si="27"/>
        <v>4976.5164400000003</v>
      </c>
    </row>
    <row r="1777" spans="1:4">
      <c r="A1777" s="122">
        <v>40280</v>
      </c>
      <c r="B1777" s="24">
        <v>0.92759999999999998</v>
      </c>
      <c r="C1777" s="24">
        <v>5351.1</v>
      </c>
      <c r="D1777" s="47">
        <f t="shared" si="27"/>
        <v>4963.6803600000003</v>
      </c>
    </row>
    <row r="1778" spans="1:4">
      <c r="A1778" s="122">
        <v>40279</v>
      </c>
      <c r="B1778" s="24">
        <v>0.93440000000000001</v>
      </c>
      <c r="C1778" s="24">
        <v>5371.6</v>
      </c>
      <c r="D1778" s="47">
        <f t="shared" si="27"/>
        <v>5019.2230400000008</v>
      </c>
    </row>
    <row r="1779" spans="1:4">
      <c r="A1779" s="122">
        <v>40278</v>
      </c>
      <c r="B1779" s="24">
        <v>0.93300000000000005</v>
      </c>
      <c r="C1779" s="24">
        <v>5381.4</v>
      </c>
      <c r="D1779" s="47">
        <f t="shared" si="27"/>
        <v>5020.8462</v>
      </c>
    </row>
    <row r="1780" spans="1:4">
      <c r="A1780" s="122">
        <v>40277</v>
      </c>
      <c r="B1780" s="24">
        <v>0.93340000000000001</v>
      </c>
      <c r="C1780" s="24">
        <v>5318.4</v>
      </c>
      <c r="D1780" s="47">
        <f t="shared" si="27"/>
        <v>4964.1945599999999</v>
      </c>
    </row>
    <row r="1781" spans="1:4">
      <c r="A1781" s="122">
        <v>40276</v>
      </c>
      <c r="B1781" s="24">
        <v>0.92859999999999998</v>
      </c>
      <c r="C1781" s="24">
        <v>5127.5</v>
      </c>
      <c r="D1781" s="47">
        <f t="shared" si="27"/>
        <v>4761.3964999999998</v>
      </c>
    </row>
    <row r="1782" spans="1:4">
      <c r="A1782" s="122">
        <v>40275</v>
      </c>
      <c r="B1782" s="24">
        <v>0.92669999999999997</v>
      </c>
      <c r="C1782" s="24">
        <v>5289.1</v>
      </c>
      <c r="D1782" s="47">
        <f t="shared" si="27"/>
        <v>4901.4089700000004</v>
      </c>
    </row>
    <row r="1783" spans="1:4">
      <c r="A1783" s="122">
        <v>40274</v>
      </c>
      <c r="B1783" s="24">
        <v>0.92830000000000001</v>
      </c>
      <c r="C1783" s="24">
        <v>5086.1000000000004</v>
      </c>
      <c r="D1783" s="47">
        <f t="shared" si="27"/>
        <v>4721.4266300000008</v>
      </c>
    </row>
    <row r="1784" spans="1:4">
      <c r="A1784" s="122">
        <v>40273</v>
      </c>
      <c r="B1784" s="24">
        <v>0.9214</v>
      </c>
      <c r="C1784" s="24">
        <v>5087</v>
      </c>
      <c r="D1784" s="47">
        <f t="shared" si="27"/>
        <v>4687.1617999999999</v>
      </c>
    </row>
    <row r="1785" spans="1:4">
      <c r="A1785" s="122">
        <v>40272</v>
      </c>
      <c r="B1785" s="24">
        <v>0.92079999999999995</v>
      </c>
      <c r="C1785" s="24">
        <v>5206.8999999999996</v>
      </c>
      <c r="D1785" s="47">
        <f t="shared" si="27"/>
        <v>4794.5135199999995</v>
      </c>
    </row>
    <row r="1786" spans="1:4">
      <c r="A1786" s="122">
        <v>40271</v>
      </c>
      <c r="B1786" s="24">
        <v>0.91910000000000003</v>
      </c>
      <c r="C1786" s="24">
        <v>5135.8999999999996</v>
      </c>
      <c r="D1786" s="47">
        <f t="shared" si="27"/>
        <v>4720.4056899999996</v>
      </c>
    </row>
    <row r="1787" spans="1:4">
      <c r="A1787" s="122">
        <v>40270</v>
      </c>
      <c r="B1787" s="24">
        <v>0.91930000000000001</v>
      </c>
      <c r="C1787" s="24">
        <v>5257.9</v>
      </c>
      <c r="D1787" s="47">
        <f t="shared" si="27"/>
        <v>4833.5874699999995</v>
      </c>
    </row>
    <row r="1788" spans="1:4">
      <c r="A1788" s="122">
        <v>40269</v>
      </c>
      <c r="B1788" s="24">
        <v>0.92100000000000004</v>
      </c>
      <c r="C1788" s="24">
        <v>5134.2</v>
      </c>
      <c r="D1788" s="47">
        <f t="shared" si="27"/>
        <v>4728.5982000000004</v>
      </c>
    </row>
    <row r="1789" spans="1:4">
      <c r="A1789" s="122">
        <v>40268</v>
      </c>
      <c r="B1789" s="24">
        <v>0.91720000000000002</v>
      </c>
      <c r="C1789" s="24">
        <v>5180.3999999999996</v>
      </c>
      <c r="D1789" s="47">
        <f t="shared" si="27"/>
        <v>4751.46288</v>
      </c>
    </row>
    <row r="1790" spans="1:4">
      <c r="A1790" s="122">
        <v>40267</v>
      </c>
      <c r="B1790" s="24">
        <v>0.91959999999999997</v>
      </c>
      <c r="C1790" s="24">
        <v>5264</v>
      </c>
      <c r="D1790" s="47">
        <f t="shared" si="27"/>
        <v>4840.7744000000002</v>
      </c>
    </row>
    <row r="1791" spans="1:4">
      <c r="A1791" s="122">
        <v>40266</v>
      </c>
      <c r="B1791" s="24">
        <v>0.91759999999999997</v>
      </c>
      <c r="C1791" s="24">
        <v>5435.5</v>
      </c>
      <c r="D1791" s="47">
        <f t="shared" si="27"/>
        <v>4987.6148000000003</v>
      </c>
    </row>
    <row r="1792" spans="1:4">
      <c r="A1792" s="122">
        <v>40265</v>
      </c>
      <c r="B1792" s="24">
        <v>0.9083</v>
      </c>
      <c r="C1792" s="24">
        <v>5376.6</v>
      </c>
      <c r="D1792" s="47">
        <f t="shared" si="27"/>
        <v>4883.5657799999999</v>
      </c>
    </row>
    <row r="1793" spans="1:4">
      <c r="A1793" s="122">
        <v>40264</v>
      </c>
      <c r="B1793" s="24">
        <v>0.90400000000000003</v>
      </c>
      <c r="C1793" s="24">
        <v>5380.3</v>
      </c>
      <c r="D1793" s="47">
        <f t="shared" si="27"/>
        <v>4863.7912000000006</v>
      </c>
    </row>
    <row r="1794" spans="1:4">
      <c r="A1794" s="122">
        <v>40263</v>
      </c>
      <c r="B1794" s="24">
        <v>0.90410000000000001</v>
      </c>
      <c r="C1794" s="24">
        <v>5405.8</v>
      </c>
      <c r="D1794" s="47">
        <f t="shared" si="27"/>
        <v>4887.3837800000001</v>
      </c>
    </row>
    <row r="1795" spans="1:4">
      <c r="A1795" s="122">
        <v>40262</v>
      </c>
      <c r="B1795" s="24">
        <v>0.90749999999999997</v>
      </c>
      <c r="C1795" s="24">
        <v>5572.1</v>
      </c>
      <c r="D1795" s="47">
        <f t="shared" ref="D1795:D1858" si="28">C1795*B1795</f>
        <v>5056.6807500000004</v>
      </c>
    </row>
    <row r="1796" spans="1:4">
      <c r="A1796" s="122">
        <v>40261</v>
      </c>
      <c r="B1796" s="24">
        <v>0.90739999999999998</v>
      </c>
      <c r="C1796" s="24">
        <v>5651.2</v>
      </c>
      <c r="D1796" s="47">
        <f t="shared" si="28"/>
        <v>5127.8988799999997</v>
      </c>
    </row>
    <row r="1797" spans="1:4">
      <c r="A1797" s="122">
        <v>40260</v>
      </c>
      <c r="B1797" s="24">
        <v>0.91879999999999995</v>
      </c>
      <c r="C1797" s="24">
        <v>5767.2</v>
      </c>
      <c r="D1797" s="47">
        <f t="shared" si="28"/>
        <v>5298.9033599999993</v>
      </c>
    </row>
    <row r="1798" spans="1:4">
      <c r="A1798" s="122">
        <v>40259</v>
      </c>
      <c r="B1798" s="24">
        <v>0.91820000000000002</v>
      </c>
      <c r="C1798" s="24">
        <v>5666.1</v>
      </c>
      <c r="D1798" s="47">
        <f t="shared" si="28"/>
        <v>5202.6130200000007</v>
      </c>
    </row>
    <row r="1799" spans="1:4">
      <c r="A1799" s="122">
        <v>40258</v>
      </c>
      <c r="B1799" s="24">
        <v>0.91459999999999997</v>
      </c>
      <c r="C1799" s="24">
        <v>5621.6</v>
      </c>
      <c r="D1799" s="47">
        <f t="shared" si="28"/>
        <v>5141.5153600000003</v>
      </c>
    </row>
    <row r="1800" spans="1:4">
      <c r="A1800" s="122">
        <v>40257</v>
      </c>
      <c r="B1800" s="24">
        <v>0.91610000000000003</v>
      </c>
      <c r="C1800" s="24">
        <v>5559.9</v>
      </c>
      <c r="D1800" s="47">
        <f t="shared" si="28"/>
        <v>5093.4243900000001</v>
      </c>
    </row>
    <row r="1801" spans="1:4">
      <c r="A1801" s="122">
        <v>40256</v>
      </c>
      <c r="B1801" s="24">
        <v>0.91559999999999997</v>
      </c>
      <c r="C1801" s="24">
        <v>5583.4</v>
      </c>
      <c r="D1801" s="47">
        <f t="shared" si="28"/>
        <v>5112.161039999999</v>
      </c>
    </row>
    <row r="1802" spans="1:4">
      <c r="A1802" s="122">
        <v>40255</v>
      </c>
      <c r="B1802" s="24">
        <v>0.92079999999999995</v>
      </c>
      <c r="C1802" s="24">
        <v>5496.5</v>
      </c>
      <c r="D1802" s="47">
        <f t="shared" si="28"/>
        <v>5061.1772000000001</v>
      </c>
    </row>
    <row r="1803" spans="1:4">
      <c r="A1803" s="122">
        <v>40254</v>
      </c>
      <c r="B1803" s="24">
        <v>0.92359999999999998</v>
      </c>
      <c r="C1803" s="24">
        <v>5619.1</v>
      </c>
      <c r="D1803" s="47">
        <f t="shared" si="28"/>
        <v>5189.8007600000001</v>
      </c>
    </row>
    <row r="1804" spans="1:4">
      <c r="A1804" s="122">
        <v>40253</v>
      </c>
      <c r="B1804" s="24">
        <v>0.91859999999999997</v>
      </c>
      <c r="C1804" s="24">
        <v>5558.4</v>
      </c>
      <c r="D1804" s="47">
        <f t="shared" si="28"/>
        <v>5105.9462399999993</v>
      </c>
    </row>
    <row r="1805" spans="1:4">
      <c r="A1805" s="122">
        <v>40252</v>
      </c>
      <c r="B1805" s="24">
        <v>0.91459999999999997</v>
      </c>
      <c r="C1805" s="24">
        <v>5606.6</v>
      </c>
      <c r="D1805" s="47">
        <f t="shared" si="28"/>
        <v>5127.7963600000003</v>
      </c>
    </row>
    <row r="1806" spans="1:4">
      <c r="A1806" s="122">
        <v>40251</v>
      </c>
      <c r="B1806" s="24">
        <v>0.91410000000000002</v>
      </c>
      <c r="C1806" s="24">
        <v>5684.8</v>
      </c>
      <c r="D1806" s="47">
        <f t="shared" si="28"/>
        <v>5196.4756800000005</v>
      </c>
    </row>
    <row r="1807" spans="1:4">
      <c r="A1807" s="122">
        <v>40250</v>
      </c>
      <c r="B1807" s="24">
        <v>0.91439999999999999</v>
      </c>
      <c r="C1807" s="24">
        <v>5542.1</v>
      </c>
      <c r="D1807" s="47">
        <f t="shared" si="28"/>
        <v>5067.6962400000002</v>
      </c>
    </row>
    <row r="1808" spans="1:4">
      <c r="A1808" s="122">
        <v>40249</v>
      </c>
      <c r="B1808" s="24">
        <v>0.91520000000000001</v>
      </c>
      <c r="C1808" s="24">
        <v>5608.1</v>
      </c>
      <c r="D1808" s="47">
        <f t="shared" si="28"/>
        <v>5132.5331200000001</v>
      </c>
    </row>
    <row r="1809" spans="1:4">
      <c r="A1809" s="122">
        <v>40248</v>
      </c>
      <c r="B1809" s="24">
        <v>0.9153</v>
      </c>
      <c r="C1809" s="24">
        <v>5537.6</v>
      </c>
      <c r="D1809" s="47">
        <f t="shared" si="28"/>
        <v>5068.5652800000007</v>
      </c>
    </row>
    <row r="1810" spans="1:4">
      <c r="A1810" s="122">
        <v>40247</v>
      </c>
      <c r="B1810" s="24">
        <v>0.91539999999999999</v>
      </c>
      <c r="C1810" s="24">
        <v>5658</v>
      </c>
      <c r="D1810" s="47">
        <f t="shared" si="28"/>
        <v>5179.3332</v>
      </c>
    </row>
    <row r="1811" spans="1:4">
      <c r="A1811" s="122">
        <v>40246</v>
      </c>
      <c r="B1811" s="24">
        <v>0.91390000000000005</v>
      </c>
      <c r="C1811" s="24">
        <v>5596.7</v>
      </c>
      <c r="D1811" s="47">
        <f t="shared" si="28"/>
        <v>5114.82413</v>
      </c>
    </row>
    <row r="1812" spans="1:4">
      <c r="A1812" s="122">
        <v>40245</v>
      </c>
      <c r="B1812" s="24">
        <v>0.9093</v>
      </c>
      <c r="C1812" s="24">
        <v>5609.4</v>
      </c>
      <c r="D1812" s="47">
        <f t="shared" si="28"/>
        <v>5100.6274199999998</v>
      </c>
    </row>
    <row r="1813" spans="1:4">
      <c r="A1813" s="122">
        <v>40244</v>
      </c>
      <c r="B1813" s="24">
        <v>0.91100000000000003</v>
      </c>
      <c r="C1813" s="24">
        <v>5792.9</v>
      </c>
      <c r="D1813" s="47">
        <f t="shared" si="28"/>
        <v>5277.3319000000001</v>
      </c>
    </row>
    <row r="1814" spans="1:4">
      <c r="A1814" s="122">
        <v>40243</v>
      </c>
      <c r="B1814" s="24">
        <v>0.90739999999999998</v>
      </c>
      <c r="C1814" s="24">
        <v>5867.4</v>
      </c>
      <c r="D1814" s="47">
        <f t="shared" si="28"/>
        <v>5324.0787599999994</v>
      </c>
    </row>
    <row r="1815" spans="1:4">
      <c r="A1815" s="122">
        <v>40242</v>
      </c>
      <c r="B1815" s="24">
        <v>0.90769999999999995</v>
      </c>
      <c r="C1815" s="24">
        <v>5842.9</v>
      </c>
      <c r="D1815" s="47">
        <f t="shared" si="28"/>
        <v>5303.6003299999993</v>
      </c>
    </row>
    <row r="1816" spans="1:4">
      <c r="A1816" s="122">
        <v>40241</v>
      </c>
      <c r="B1816" s="24">
        <v>0.90010000000000001</v>
      </c>
      <c r="C1816" s="24">
        <v>5650.3</v>
      </c>
      <c r="D1816" s="47">
        <f t="shared" si="28"/>
        <v>5085.8350300000002</v>
      </c>
    </row>
    <row r="1817" spans="1:4">
      <c r="A1817" s="122">
        <v>40240</v>
      </c>
      <c r="B1817" s="24">
        <v>0.90569999999999995</v>
      </c>
      <c r="C1817" s="24">
        <v>5618.7</v>
      </c>
      <c r="D1817" s="47">
        <f t="shared" si="28"/>
        <v>5088.8565899999994</v>
      </c>
    </row>
    <row r="1818" spans="1:4">
      <c r="A1818" s="122">
        <v>40239</v>
      </c>
      <c r="B1818" s="24">
        <v>0.90349999999999997</v>
      </c>
      <c r="C1818" s="24">
        <v>5716.5</v>
      </c>
      <c r="D1818" s="47">
        <f t="shared" si="28"/>
        <v>5164.8577500000001</v>
      </c>
    </row>
    <row r="1819" spans="1:4">
      <c r="A1819" s="122">
        <v>40238</v>
      </c>
      <c r="B1819" s="24">
        <v>0.90100000000000002</v>
      </c>
      <c r="C1819" s="24">
        <v>5860.3</v>
      </c>
      <c r="D1819" s="47">
        <f t="shared" si="28"/>
        <v>5280.1303000000007</v>
      </c>
    </row>
    <row r="1820" spans="1:4">
      <c r="A1820" s="122">
        <v>40237</v>
      </c>
      <c r="B1820" s="24">
        <v>0.89590000000000003</v>
      </c>
      <c r="C1820" s="24">
        <v>5580.4</v>
      </c>
      <c r="D1820" s="47">
        <f t="shared" si="28"/>
        <v>4999.4803599999996</v>
      </c>
    </row>
    <row r="1821" spans="1:4">
      <c r="A1821" s="122">
        <v>40236</v>
      </c>
      <c r="B1821" s="24">
        <v>0.89590000000000003</v>
      </c>
      <c r="C1821" s="24">
        <v>5412.3</v>
      </c>
      <c r="D1821" s="47">
        <f t="shared" si="28"/>
        <v>4848.8795700000001</v>
      </c>
    </row>
    <row r="1822" spans="1:4">
      <c r="A1822" s="122">
        <v>40235</v>
      </c>
      <c r="B1822" s="24">
        <v>0.89570000000000005</v>
      </c>
      <c r="C1822" s="24">
        <v>5186.8</v>
      </c>
      <c r="D1822" s="47">
        <f t="shared" si="28"/>
        <v>4645.8167600000006</v>
      </c>
    </row>
    <row r="1823" spans="1:4">
      <c r="A1823" s="122">
        <v>40234</v>
      </c>
      <c r="B1823" s="24">
        <v>0.88839999999999997</v>
      </c>
      <c r="C1823" s="24">
        <v>5580.4</v>
      </c>
      <c r="D1823" s="47">
        <f t="shared" si="28"/>
        <v>4957.6273599999995</v>
      </c>
    </row>
    <row r="1824" spans="1:4">
      <c r="A1824" s="122">
        <v>40233</v>
      </c>
      <c r="B1824" s="24">
        <v>0.89349999999999996</v>
      </c>
      <c r="C1824" s="24">
        <v>5747.3</v>
      </c>
      <c r="D1824" s="47">
        <f t="shared" si="28"/>
        <v>5135.2125500000002</v>
      </c>
    </row>
    <row r="1825" spans="1:4">
      <c r="A1825" s="122">
        <v>40232</v>
      </c>
      <c r="B1825" s="24">
        <v>0.89129999999999998</v>
      </c>
      <c r="C1825" s="24">
        <v>5796.1</v>
      </c>
      <c r="D1825" s="47">
        <f t="shared" si="28"/>
        <v>5166.0639300000003</v>
      </c>
    </row>
    <row r="1826" spans="1:4">
      <c r="A1826" s="122">
        <v>40231</v>
      </c>
      <c r="B1826" s="24">
        <v>0.90049999999999997</v>
      </c>
      <c r="C1826" s="24">
        <v>5809.7</v>
      </c>
      <c r="D1826" s="47">
        <f t="shared" si="28"/>
        <v>5231.6348499999995</v>
      </c>
    </row>
    <row r="1827" spans="1:4">
      <c r="A1827" s="122">
        <v>40230</v>
      </c>
      <c r="B1827" s="24">
        <v>0.90129999999999999</v>
      </c>
      <c r="C1827" s="24">
        <v>5960</v>
      </c>
      <c r="D1827" s="47">
        <f t="shared" si="28"/>
        <v>5371.7479999999996</v>
      </c>
    </row>
    <row r="1828" spans="1:4">
      <c r="A1828" s="122">
        <v>40228</v>
      </c>
      <c r="B1828" s="24">
        <v>0.89880000000000004</v>
      </c>
      <c r="C1828" s="24">
        <v>5980</v>
      </c>
      <c r="D1828" s="47">
        <f t="shared" si="28"/>
        <v>5374.8240000000005</v>
      </c>
    </row>
    <row r="1829" spans="1:4">
      <c r="A1829" s="122">
        <v>40227</v>
      </c>
      <c r="B1829" s="24">
        <v>0.89429999999999998</v>
      </c>
      <c r="C1829" s="24">
        <v>5981.6</v>
      </c>
      <c r="D1829" s="47">
        <f t="shared" si="28"/>
        <v>5349.3448800000006</v>
      </c>
    </row>
    <row r="1830" spans="1:4">
      <c r="A1830" s="122">
        <v>40226</v>
      </c>
      <c r="B1830" s="24">
        <v>0.89939999999999998</v>
      </c>
      <c r="C1830" s="24">
        <v>6078.7</v>
      </c>
      <c r="D1830" s="47">
        <f t="shared" si="28"/>
        <v>5467.1827800000001</v>
      </c>
    </row>
    <row r="1831" spans="1:4">
      <c r="A1831" s="122">
        <v>40225</v>
      </c>
      <c r="B1831" s="24">
        <v>0.90200000000000002</v>
      </c>
      <c r="C1831" s="24">
        <v>6087.7</v>
      </c>
      <c r="D1831" s="47">
        <f t="shared" si="28"/>
        <v>5491.1054000000004</v>
      </c>
    </row>
    <row r="1832" spans="1:4">
      <c r="A1832" s="122">
        <v>40224</v>
      </c>
      <c r="B1832" s="24">
        <v>0.88849999999999996</v>
      </c>
      <c r="C1832" s="24">
        <v>6128.1</v>
      </c>
      <c r="D1832" s="47">
        <f t="shared" si="28"/>
        <v>5444.8168500000002</v>
      </c>
    </row>
    <row r="1833" spans="1:4">
      <c r="A1833" s="122">
        <v>40223</v>
      </c>
      <c r="B1833" s="24">
        <v>0.88749999999999996</v>
      </c>
      <c r="C1833" s="24">
        <v>6161.6</v>
      </c>
      <c r="D1833" s="47">
        <f t="shared" si="28"/>
        <v>5468.42</v>
      </c>
    </row>
    <row r="1834" spans="1:4">
      <c r="A1834" s="122">
        <v>40222</v>
      </c>
      <c r="B1834" s="24">
        <v>0.88849999999999996</v>
      </c>
      <c r="C1834" s="24">
        <v>6306.8</v>
      </c>
      <c r="D1834" s="47">
        <f t="shared" si="28"/>
        <v>5603.5918000000001</v>
      </c>
    </row>
    <row r="1835" spans="1:4">
      <c r="A1835" s="122">
        <v>40221</v>
      </c>
      <c r="B1835" s="24">
        <v>0.88800000000000001</v>
      </c>
      <c r="C1835" s="24">
        <v>6290.7</v>
      </c>
      <c r="D1835" s="47">
        <f t="shared" si="28"/>
        <v>5586.1415999999999</v>
      </c>
    </row>
    <row r="1836" spans="1:4">
      <c r="A1836" s="122">
        <v>40220</v>
      </c>
      <c r="B1836" s="24">
        <v>0.89039999999999997</v>
      </c>
      <c r="C1836" s="24">
        <v>6353.2</v>
      </c>
      <c r="D1836" s="47">
        <f t="shared" si="28"/>
        <v>5656.8892799999994</v>
      </c>
    </row>
    <row r="1837" spans="1:4">
      <c r="A1837" s="122">
        <v>40219</v>
      </c>
      <c r="B1837" s="24">
        <v>0.87539999999999996</v>
      </c>
      <c r="C1837" s="24">
        <v>6339.8</v>
      </c>
      <c r="D1837" s="47">
        <f t="shared" si="28"/>
        <v>5549.8609200000001</v>
      </c>
    </row>
    <row r="1838" spans="1:4">
      <c r="A1838" s="122">
        <v>40218</v>
      </c>
      <c r="B1838" s="24">
        <v>0.87880000000000003</v>
      </c>
      <c r="C1838" s="24">
        <v>6339.9</v>
      </c>
      <c r="D1838" s="47">
        <f t="shared" si="28"/>
        <v>5571.5041199999996</v>
      </c>
    </row>
    <row r="1839" spans="1:4">
      <c r="A1839" s="122">
        <v>40217</v>
      </c>
      <c r="B1839" s="24">
        <v>0.86470000000000002</v>
      </c>
      <c r="C1839" s="24">
        <v>6350.9</v>
      </c>
      <c r="D1839" s="47">
        <f t="shared" si="28"/>
        <v>5491.6232300000001</v>
      </c>
    </row>
    <row r="1840" spans="1:4">
      <c r="A1840" s="122">
        <v>40216</v>
      </c>
      <c r="B1840" s="24">
        <v>0.86560000000000004</v>
      </c>
      <c r="C1840" s="24">
        <v>6323.6</v>
      </c>
      <c r="D1840" s="47">
        <f t="shared" si="28"/>
        <v>5473.7081600000001</v>
      </c>
    </row>
    <row r="1841" spans="1:4">
      <c r="A1841" s="122">
        <v>40215</v>
      </c>
      <c r="B1841" s="24">
        <v>0.86809999999999998</v>
      </c>
      <c r="C1841" s="24">
        <v>6247</v>
      </c>
      <c r="D1841" s="47">
        <f t="shared" si="28"/>
        <v>5423.0207</v>
      </c>
    </row>
    <row r="1842" spans="1:4">
      <c r="A1842" s="122">
        <v>40214</v>
      </c>
      <c r="B1842" s="24">
        <v>0.86819999999999997</v>
      </c>
      <c r="C1842" s="24">
        <v>6176.9</v>
      </c>
      <c r="D1842" s="47">
        <f t="shared" si="28"/>
        <v>5362.7845799999996</v>
      </c>
    </row>
    <row r="1843" spans="1:4">
      <c r="A1843" s="122">
        <v>40213</v>
      </c>
      <c r="B1843" s="24">
        <v>0.86450000000000005</v>
      </c>
      <c r="C1843" s="24">
        <v>6216.4</v>
      </c>
      <c r="D1843" s="47">
        <f t="shared" si="28"/>
        <v>5374.0778</v>
      </c>
    </row>
    <row r="1844" spans="1:4">
      <c r="A1844" s="122">
        <v>40212</v>
      </c>
      <c r="B1844" s="24">
        <v>0.88290000000000002</v>
      </c>
      <c r="C1844" s="24">
        <v>6236.9</v>
      </c>
      <c r="D1844" s="47">
        <f t="shared" si="28"/>
        <v>5506.5590099999999</v>
      </c>
    </row>
    <row r="1845" spans="1:4">
      <c r="A1845" s="122">
        <v>40211</v>
      </c>
      <c r="B1845" s="24">
        <v>0.88629999999999998</v>
      </c>
      <c r="C1845" s="24">
        <v>6263.5</v>
      </c>
      <c r="D1845" s="47">
        <f t="shared" si="28"/>
        <v>5551.3400499999998</v>
      </c>
    </row>
    <row r="1846" spans="1:4">
      <c r="A1846" s="122">
        <v>40210</v>
      </c>
      <c r="B1846" s="24">
        <v>0.89129999999999998</v>
      </c>
      <c r="C1846" s="24">
        <v>6491.7</v>
      </c>
      <c r="D1846" s="47">
        <f t="shared" si="28"/>
        <v>5786.0522099999998</v>
      </c>
    </row>
    <row r="1847" spans="1:4">
      <c r="A1847" s="122">
        <v>40209</v>
      </c>
      <c r="B1847" s="24">
        <v>0.8831</v>
      </c>
      <c r="C1847" s="24">
        <v>6597.6</v>
      </c>
      <c r="D1847" s="47">
        <f t="shared" si="28"/>
        <v>5826.3405600000006</v>
      </c>
    </row>
    <row r="1848" spans="1:4">
      <c r="A1848" s="122">
        <v>40208</v>
      </c>
      <c r="B1848" s="24">
        <v>0.88319999999999999</v>
      </c>
      <c r="C1848" s="24">
        <v>6615.2</v>
      </c>
      <c r="D1848" s="47">
        <f t="shared" si="28"/>
        <v>5842.5446400000001</v>
      </c>
    </row>
    <row r="1849" spans="1:4">
      <c r="A1849" s="122">
        <v>40207</v>
      </c>
      <c r="B1849" s="24">
        <v>0.88380000000000003</v>
      </c>
      <c r="C1849" s="24">
        <v>6680.4</v>
      </c>
      <c r="D1849" s="47">
        <f t="shared" si="28"/>
        <v>5904.1375200000002</v>
      </c>
    </row>
    <row r="1850" spans="1:4">
      <c r="A1850" s="122">
        <v>40206</v>
      </c>
      <c r="B1850" s="24">
        <v>0.89449999999999996</v>
      </c>
      <c r="C1850" s="24">
        <v>6625.1</v>
      </c>
      <c r="D1850" s="47">
        <f t="shared" si="28"/>
        <v>5926.1519500000004</v>
      </c>
    </row>
    <row r="1851" spans="1:4">
      <c r="A1851" s="122">
        <v>40205</v>
      </c>
      <c r="B1851" s="24">
        <v>0.89529999999999998</v>
      </c>
      <c r="C1851" s="24">
        <v>6654.7</v>
      </c>
      <c r="D1851" s="47">
        <f t="shared" si="28"/>
        <v>5957.95291</v>
      </c>
    </row>
    <row r="1852" spans="1:4">
      <c r="A1852" s="122">
        <v>40204</v>
      </c>
      <c r="B1852" s="24">
        <v>0.89849999999999997</v>
      </c>
      <c r="C1852" s="24">
        <v>6600.9</v>
      </c>
      <c r="D1852" s="47">
        <f t="shared" si="28"/>
        <v>5930.9086499999994</v>
      </c>
    </row>
    <row r="1853" spans="1:4">
      <c r="A1853" s="122">
        <v>40203</v>
      </c>
      <c r="B1853" s="24">
        <v>0.9042</v>
      </c>
      <c r="C1853" s="24">
        <v>6508.1</v>
      </c>
      <c r="D1853" s="47">
        <f t="shared" si="28"/>
        <v>5884.6240200000002</v>
      </c>
    </row>
    <row r="1854" spans="1:4">
      <c r="A1854" s="122">
        <v>40202</v>
      </c>
      <c r="B1854" s="24">
        <v>0.90600000000000003</v>
      </c>
      <c r="C1854" s="24">
        <v>6530.8</v>
      </c>
      <c r="D1854" s="47">
        <f t="shared" si="28"/>
        <v>5916.9048000000003</v>
      </c>
    </row>
    <row r="1855" spans="1:4">
      <c r="A1855" s="122">
        <v>40201</v>
      </c>
      <c r="B1855" s="24">
        <v>0.90029999999999999</v>
      </c>
      <c r="C1855" s="24">
        <v>6533.5</v>
      </c>
      <c r="D1855" s="47">
        <f t="shared" si="28"/>
        <v>5882.1100500000002</v>
      </c>
    </row>
    <row r="1856" spans="1:4">
      <c r="A1856" s="122">
        <v>40200</v>
      </c>
      <c r="B1856" s="24">
        <v>0.90039999999999998</v>
      </c>
      <c r="C1856" s="24">
        <v>6533.1</v>
      </c>
      <c r="D1856" s="47">
        <f t="shared" si="28"/>
        <v>5882.4032400000006</v>
      </c>
    </row>
    <row r="1857" spans="1:4">
      <c r="A1857" s="122">
        <v>40199</v>
      </c>
      <c r="B1857" s="24">
        <v>0.9</v>
      </c>
      <c r="C1857" s="24">
        <v>6444.5</v>
      </c>
      <c r="D1857" s="47">
        <f t="shared" si="28"/>
        <v>5800.05</v>
      </c>
    </row>
    <row r="1858" spans="1:4">
      <c r="A1858" s="122">
        <v>40198</v>
      </c>
      <c r="B1858" s="24">
        <v>0.91</v>
      </c>
      <c r="C1858" s="24">
        <v>6370.1</v>
      </c>
      <c r="D1858" s="47">
        <f t="shared" si="28"/>
        <v>5796.7910000000002</v>
      </c>
    </row>
    <row r="1859" spans="1:4">
      <c r="A1859" s="122">
        <v>40197</v>
      </c>
      <c r="B1859" s="24">
        <v>0.92320000000000002</v>
      </c>
      <c r="C1859" s="24">
        <v>6432.7</v>
      </c>
      <c r="D1859" s="47">
        <f t="shared" ref="D1859:D1922" si="29">C1859*B1859</f>
        <v>5938.6686399999999</v>
      </c>
    </row>
    <row r="1860" spans="1:4">
      <c r="A1860" s="122">
        <v>40196</v>
      </c>
      <c r="B1860" s="24">
        <v>0.9264</v>
      </c>
      <c r="C1860" s="24">
        <v>6471.4</v>
      </c>
      <c r="D1860" s="47">
        <f t="shared" si="29"/>
        <v>5995.1049599999997</v>
      </c>
    </row>
    <row r="1861" spans="1:4">
      <c r="A1861" s="122">
        <v>40195</v>
      </c>
      <c r="B1861" s="24">
        <v>0.92149999999999999</v>
      </c>
      <c r="C1861" s="24">
        <v>6330.2</v>
      </c>
      <c r="D1861" s="47">
        <f t="shared" si="29"/>
        <v>5833.2793000000001</v>
      </c>
    </row>
    <row r="1862" spans="1:4">
      <c r="A1862" s="122">
        <v>40193</v>
      </c>
      <c r="B1862" s="24">
        <v>0.92310000000000003</v>
      </c>
      <c r="C1862" s="24">
        <v>6334.3</v>
      </c>
      <c r="D1862" s="47">
        <f t="shared" si="29"/>
        <v>5847.1923300000008</v>
      </c>
    </row>
    <row r="1863" spans="1:4">
      <c r="A1863" s="122">
        <v>40192</v>
      </c>
      <c r="B1863" s="24">
        <v>0.93179999999999996</v>
      </c>
      <c r="C1863" s="24">
        <v>6384.3</v>
      </c>
      <c r="D1863" s="47">
        <f t="shared" si="29"/>
        <v>5948.8907399999998</v>
      </c>
    </row>
    <row r="1864" spans="1:4">
      <c r="A1864" s="122">
        <v>40191</v>
      </c>
      <c r="B1864" s="24">
        <v>0.92420000000000002</v>
      </c>
      <c r="C1864" s="24">
        <v>6425.4</v>
      </c>
      <c r="D1864" s="47">
        <f t="shared" si="29"/>
        <v>5938.3546799999995</v>
      </c>
    </row>
    <row r="1865" spans="1:4">
      <c r="A1865" s="122">
        <v>40190</v>
      </c>
      <c r="B1865" s="24">
        <v>0.91990000000000005</v>
      </c>
      <c r="C1865" s="24">
        <v>6535.2</v>
      </c>
      <c r="D1865" s="47">
        <f t="shared" si="29"/>
        <v>6011.7304800000002</v>
      </c>
    </row>
    <row r="1866" spans="1:4">
      <c r="A1866" s="122">
        <v>40189</v>
      </c>
      <c r="B1866" s="24">
        <v>0.92979999999999996</v>
      </c>
      <c r="C1866" s="24">
        <v>6461.9</v>
      </c>
      <c r="D1866" s="47">
        <f t="shared" si="29"/>
        <v>6008.2746199999992</v>
      </c>
    </row>
    <row r="1867" spans="1:4">
      <c r="A1867" s="122">
        <v>40188</v>
      </c>
      <c r="B1867" s="24">
        <v>0.93079999999999996</v>
      </c>
      <c r="C1867" s="24">
        <v>6528.6</v>
      </c>
      <c r="D1867" s="47">
        <f t="shared" si="29"/>
        <v>6076.8208800000002</v>
      </c>
    </row>
    <row r="1868" spans="1:4">
      <c r="A1868" s="122">
        <v>40187</v>
      </c>
      <c r="B1868" s="24">
        <v>0.92490000000000006</v>
      </c>
      <c r="C1868" s="24">
        <v>6598.6</v>
      </c>
      <c r="D1868" s="47">
        <f t="shared" si="29"/>
        <v>6103.0451400000011</v>
      </c>
    </row>
    <row r="1869" spans="1:4">
      <c r="A1869" s="122">
        <v>40186</v>
      </c>
      <c r="B1869" s="24">
        <v>0.92459999999999998</v>
      </c>
      <c r="C1869" s="24">
        <v>6515.2</v>
      </c>
      <c r="D1869" s="47">
        <f t="shared" si="29"/>
        <v>6023.9539199999999</v>
      </c>
    </row>
    <row r="1870" spans="1:4">
      <c r="A1870" s="122">
        <v>40185</v>
      </c>
      <c r="B1870" s="24">
        <v>0.91749999999999998</v>
      </c>
      <c r="C1870" s="24">
        <v>6455.3</v>
      </c>
      <c r="D1870" s="47">
        <f t="shared" si="29"/>
        <v>5922.7377500000002</v>
      </c>
    </row>
    <row r="1871" spans="1:4">
      <c r="A1871" s="122">
        <v>40184</v>
      </c>
      <c r="B1871" s="24">
        <v>0.91979999999999995</v>
      </c>
      <c r="C1871" s="24">
        <v>6545.7</v>
      </c>
      <c r="D1871" s="47">
        <f t="shared" si="29"/>
        <v>6020.7348599999996</v>
      </c>
    </row>
    <row r="1872" spans="1:4">
      <c r="A1872" s="122">
        <v>40183</v>
      </c>
      <c r="B1872" s="24">
        <v>0.91190000000000004</v>
      </c>
      <c r="C1872" s="24">
        <v>6521.6</v>
      </c>
      <c r="D1872" s="47">
        <f t="shared" si="29"/>
        <v>5947.0470400000004</v>
      </c>
    </row>
    <row r="1873" spans="1:4">
      <c r="A1873" s="122">
        <v>40182</v>
      </c>
      <c r="B1873" s="24">
        <v>0.91259999999999997</v>
      </c>
      <c r="C1873" s="24">
        <v>6692.4</v>
      </c>
      <c r="D1873" s="47">
        <f t="shared" si="29"/>
        <v>6107.4842399999998</v>
      </c>
    </row>
    <row r="1874" spans="1:4">
      <c r="A1874" s="122">
        <v>40181</v>
      </c>
      <c r="B1874" s="24">
        <v>0.89829999999999999</v>
      </c>
      <c r="C1874" s="24">
        <v>6628</v>
      </c>
      <c r="D1874" s="47">
        <f t="shared" si="29"/>
        <v>5953.9323999999997</v>
      </c>
    </row>
    <row r="1875" spans="1:4">
      <c r="A1875" s="122">
        <v>40179</v>
      </c>
      <c r="B1875" s="24">
        <v>0.8972</v>
      </c>
      <c r="C1875" s="24">
        <v>6582.3</v>
      </c>
      <c r="D1875" s="47">
        <f t="shared" si="29"/>
        <v>5905.6395600000005</v>
      </c>
    </row>
    <row r="1876" spans="1:4">
      <c r="A1876" s="122">
        <v>40178</v>
      </c>
      <c r="B1876" s="24">
        <v>0.89739999999999998</v>
      </c>
      <c r="C1876" s="24">
        <v>6696.6</v>
      </c>
      <c r="D1876" s="47">
        <f t="shared" si="29"/>
        <v>6009.5288399999999</v>
      </c>
    </row>
    <row r="1877" spans="1:4">
      <c r="A1877" s="122">
        <v>40177</v>
      </c>
      <c r="B1877" s="24">
        <v>0.89429999999999998</v>
      </c>
      <c r="C1877" s="24">
        <v>6828.7</v>
      </c>
      <c r="D1877" s="47">
        <f t="shared" si="29"/>
        <v>6106.9064099999996</v>
      </c>
    </row>
    <row r="1878" spans="1:4">
      <c r="A1878" s="122">
        <v>40176</v>
      </c>
      <c r="B1878" s="24">
        <v>0.89480000000000004</v>
      </c>
      <c r="C1878" s="24">
        <v>6754.1</v>
      </c>
      <c r="D1878" s="47">
        <f t="shared" si="29"/>
        <v>6043.5686800000003</v>
      </c>
    </row>
    <row r="1879" spans="1:4">
      <c r="A1879" s="122">
        <v>40175</v>
      </c>
      <c r="B1879" s="24">
        <v>0.88700000000000001</v>
      </c>
      <c r="C1879" s="24">
        <v>6750.2</v>
      </c>
      <c r="D1879" s="47">
        <f t="shared" si="29"/>
        <v>5987.4273999999996</v>
      </c>
    </row>
    <row r="1880" spans="1:4">
      <c r="A1880" s="122">
        <v>40174</v>
      </c>
      <c r="B1880" s="24">
        <v>0.88839999999999997</v>
      </c>
      <c r="C1880" s="24">
        <v>6792.1</v>
      </c>
      <c r="D1880" s="47">
        <f t="shared" si="29"/>
        <v>6034.1016399999999</v>
      </c>
    </row>
    <row r="1881" spans="1:4">
      <c r="A1881" s="122">
        <v>40172</v>
      </c>
      <c r="B1881" s="24">
        <v>0.88370000000000004</v>
      </c>
      <c r="C1881" s="24">
        <v>6700.6</v>
      </c>
      <c r="D1881" s="47">
        <f t="shared" si="29"/>
        <v>5921.3202200000005</v>
      </c>
    </row>
    <row r="1882" spans="1:4">
      <c r="A1882" s="122">
        <v>40171</v>
      </c>
      <c r="B1882" s="24">
        <v>0.88280000000000003</v>
      </c>
      <c r="C1882" s="24">
        <v>6624.3</v>
      </c>
      <c r="D1882" s="47">
        <f t="shared" si="29"/>
        <v>5847.9320400000006</v>
      </c>
    </row>
    <row r="1883" spans="1:4">
      <c r="A1883" s="122">
        <v>40170</v>
      </c>
      <c r="B1883" s="24">
        <v>0.87990000000000002</v>
      </c>
      <c r="C1883" s="24">
        <v>6634.4</v>
      </c>
      <c r="D1883" s="47">
        <f t="shared" si="29"/>
        <v>5837.6085599999997</v>
      </c>
    </row>
    <row r="1884" spans="1:4">
      <c r="A1884" s="122">
        <v>40169</v>
      </c>
      <c r="B1884" s="24">
        <v>0.87609999999999999</v>
      </c>
      <c r="C1884" s="24">
        <v>6660.9</v>
      </c>
      <c r="D1884" s="47">
        <f t="shared" si="29"/>
        <v>5835.6144899999999</v>
      </c>
    </row>
    <row r="1885" spans="1:4">
      <c r="A1885" s="122">
        <v>40168</v>
      </c>
      <c r="B1885" s="24">
        <v>0.88149999999999995</v>
      </c>
      <c r="C1885" s="24">
        <v>6577.3</v>
      </c>
      <c r="D1885" s="47">
        <f t="shared" si="29"/>
        <v>5797.8899499999998</v>
      </c>
    </row>
    <row r="1886" spans="1:4">
      <c r="A1886" s="122">
        <v>40167</v>
      </c>
      <c r="B1886" s="24">
        <v>0.8861</v>
      </c>
      <c r="C1886" s="24">
        <v>6706.3</v>
      </c>
      <c r="D1886" s="47">
        <f t="shared" si="29"/>
        <v>5942.4524300000003</v>
      </c>
    </row>
    <row r="1887" spans="1:4">
      <c r="A1887" s="122">
        <v>40166</v>
      </c>
      <c r="B1887" s="24">
        <v>0.89029999999999998</v>
      </c>
      <c r="C1887" s="24">
        <v>6767.7</v>
      </c>
      <c r="D1887" s="47">
        <f t="shared" si="29"/>
        <v>6025.2833099999998</v>
      </c>
    </row>
    <row r="1888" spans="1:4">
      <c r="A1888" s="122">
        <v>40165</v>
      </c>
      <c r="B1888" s="24">
        <v>0.89019999999999999</v>
      </c>
      <c r="C1888" s="24">
        <v>6680.1</v>
      </c>
      <c r="D1888" s="47">
        <f t="shared" si="29"/>
        <v>5946.6250200000004</v>
      </c>
    </row>
    <row r="1889" spans="1:4">
      <c r="A1889" s="122">
        <v>40164</v>
      </c>
      <c r="B1889" s="24">
        <v>0.88670000000000004</v>
      </c>
      <c r="C1889" s="24">
        <v>6692</v>
      </c>
      <c r="D1889" s="47">
        <f t="shared" si="29"/>
        <v>5933.7964000000002</v>
      </c>
    </row>
    <row r="1890" spans="1:4">
      <c r="A1890" s="122">
        <v>40163</v>
      </c>
      <c r="B1890" s="24">
        <v>0.90080000000000005</v>
      </c>
      <c r="C1890" s="24">
        <v>6739</v>
      </c>
      <c r="D1890" s="47">
        <f t="shared" si="29"/>
        <v>6070.4912000000004</v>
      </c>
    </row>
    <row r="1891" spans="1:4">
      <c r="A1891" s="122">
        <v>40162</v>
      </c>
      <c r="B1891" s="24">
        <v>0.90620000000000001</v>
      </c>
      <c r="C1891" s="24">
        <v>6748.9</v>
      </c>
      <c r="D1891" s="47">
        <f t="shared" si="29"/>
        <v>6115.8531800000001</v>
      </c>
    </row>
    <row r="1892" spans="1:4">
      <c r="A1892" s="122">
        <v>40161</v>
      </c>
      <c r="B1892" s="24">
        <v>0.91679999999999995</v>
      </c>
      <c r="C1892" s="24">
        <v>6771.9</v>
      </c>
      <c r="D1892" s="47">
        <f t="shared" si="29"/>
        <v>6208.4779199999994</v>
      </c>
    </row>
    <row r="1893" spans="1:4">
      <c r="A1893" s="122">
        <v>40160</v>
      </c>
      <c r="B1893" s="24">
        <v>0.91059999999999997</v>
      </c>
      <c r="C1893" s="24">
        <v>6738.3</v>
      </c>
      <c r="D1893" s="47">
        <f t="shared" si="29"/>
        <v>6135.8959800000002</v>
      </c>
    </row>
    <row r="1894" spans="1:4">
      <c r="A1894" s="122">
        <v>40159</v>
      </c>
      <c r="B1894" s="24">
        <v>0.91300000000000003</v>
      </c>
      <c r="C1894" s="24">
        <v>6677.8</v>
      </c>
      <c r="D1894" s="47">
        <f t="shared" si="29"/>
        <v>6096.8314</v>
      </c>
    </row>
    <row r="1895" spans="1:4">
      <c r="A1895" s="122">
        <v>40158</v>
      </c>
      <c r="B1895" s="24">
        <v>0.91269999999999996</v>
      </c>
      <c r="C1895" s="24">
        <v>6654.3</v>
      </c>
      <c r="D1895" s="47">
        <f t="shared" si="29"/>
        <v>6073.37961</v>
      </c>
    </row>
    <row r="1896" spans="1:4">
      <c r="A1896" s="122">
        <v>40157</v>
      </c>
      <c r="B1896" s="24">
        <v>0.91679999999999995</v>
      </c>
      <c r="C1896" s="24">
        <v>6605.4</v>
      </c>
      <c r="D1896" s="47">
        <f t="shared" si="29"/>
        <v>6055.830719999999</v>
      </c>
    </row>
    <row r="1897" spans="1:4">
      <c r="A1897" s="122">
        <v>40156</v>
      </c>
      <c r="B1897" s="24">
        <v>0.90859999999999996</v>
      </c>
      <c r="C1897" s="24">
        <v>6566.9</v>
      </c>
      <c r="D1897" s="47">
        <f t="shared" si="29"/>
        <v>5966.6853399999991</v>
      </c>
    </row>
    <row r="1898" spans="1:4">
      <c r="A1898" s="122">
        <v>40155</v>
      </c>
      <c r="B1898" s="24">
        <v>0.90369999999999995</v>
      </c>
      <c r="C1898" s="24">
        <v>6660</v>
      </c>
      <c r="D1898" s="47">
        <f t="shared" si="29"/>
        <v>6018.6419999999998</v>
      </c>
    </row>
    <row r="1899" spans="1:4">
      <c r="A1899" s="122">
        <v>40154</v>
      </c>
      <c r="B1899" s="24">
        <v>0.91269999999999996</v>
      </c>
      <c r="C1899" s="24">
        <v>6659.9</v>
      </c>
      <c r="D1899" s="47">
        <f t="shared" si="29"/>
        <v>6078.4907299999995</v>
      </c>
    </row>
    <row r="1900" spans="1:4">
      <c r="A1900" s="122">
        <v>40153</v>
      </c>
      <c r="B1900" s="24">
        <v>0.91600000000000004</v>
      </c>
      <c r="C1900" s="24">
        <v>6563.7</v>
      </c>
      <c r="D1900" s="47">
        <f t="shared" si="29"/>
        <v>6012.3491999999997</v>
      </c>
    </row>
    <row r="1901" spans="1:4">
      <c r="A1901" s="122">
        <v>40152</v>
      </c>
      <c r="B1901" s="24">
        <v>0.9153</v>
      </c>
      <c r="C1901" s="24">
        <v>6567.8</v>
      </c>
      <c r="D1901" s="47">
        <f t="shared" si="29"/>
        <v>6011.5073400000001</v>
      </c>
    </row>
    <row r="1902" spans="1:4">
      <c r="A1902" s="122">
        <v>40151</v>
      </c>
      <c r="B1902" s="24">
        <v>0.91479999999999995</v>
      </c>
      <c r="C1902" s="24">
        <v>6538.1</v>
      </c>
      <c r="D1902" s="47">
        <f t="shared" si="29"/>
        <v>5981.0538800000004</v>
      </c>
    </row>
    <row r="1903" spans="1:4">
      <c r="A1903" s="122">
        <v>40150</v>
      </c>
      <c r="B1903" s="24">
        <v>0.92390000000000005</v>
      </c>
      <c r="C1903" s="24">
        <v>6481.4</v>
      </c>
      <c r="D1903" s="47">
        <f t="shared" si="29"/>
        <v>5988.1654600000002</v>
      </c>
    </row>
    <row r="1904" spans="1:4">
      <c r="A1904" s="122">
        <v>40149</v>
      </c>
      <c r="B1904" s="24">
        <v>0.92459999999999998</v>
      </c>
      <c r="C1904" s="24">
        <v>6483</v>
      </c>
      <c r="D1904" s="47">
        <f t="shared" si="29"/>
        <v>5994.1818000000003</v>
      </c>
    </row>
    <row r="1905" spans="1:4">
      <c r="A1905" s="122">
        <v>40148</v>
      </c>
      <c r="B1905" s="24">
        <v>0.92510000000000003</v>
      </c>
      <c r="C1905" s="24">
        <v>6451.5</v>
      </c>
      <c r="D1905" s="47">
        <f t="shared" si="29"/>
        <v>5968.2826500000001</v>
      </c>
    </row>
    <row r="1906" spans="1:4">
      <c r="A1906" s="122">
        <v>40147</v>
      </c>
      <c r="B1906" s="24">
        <v>0.91600000000000004</v>
      </c>
      <c r="C1906" s="24">
        <v>6357.9</v>
      </c>
      <c r="D1906" s="47">
        <f t="shared" si="29"/>
        <v>5823.8364000000001</v>
      </c>
    </row>
    <row r="1907" spans="1:4">
      <c r="A1907" s="122">
        <v>40146</v>
      </c>
      <c r="B1907" s="24">
        <v>0.91590000000000005</v>
      </c>
      <c r="C1907" s="24">
        <v>6393.7</v>
      </c>
      <c r="D1907" s="47">
        <f t="shared" si="29"/>
        <v>5855.9898300000004</v>
      </c>
    </row>
    <row r="1908" spans="1:4">
      <c r="A1908" s="122">
        <v>40145</v>
      </c>
      <c r="B1908" s="24">
        <v>0.90690000000000004</v>
      </c>
      <c r="C1908" s="24">
        <v>6356.1</v>
      </c>
      <c r="D1908" s="47">
        <f t="shared" si="29"/>
        <v>5764.3470900000002</v>
      </c>
    </row>
    <row r="1909" spans="1:4">
      <c r="A1909" s="122">
        <v>40144</v>
      </c>
      <c r="B1909" s="24">
        <v>0.90629999999999999</v>
      </c>
      <c r="C1909" s="24">
        <v>6192.5</v>
      </c>
      <c r="D1909" s="47">
        <f t="shared" si="29"/>
        <v>5612.2627499999999</v>
      </c>
    </row>
    <row r="1910" spans="1:4">
      <c r="A1910" s="122">
        <v>40143</v>
      </c>
      <c r="B1910" s="24">
        <v>0.91359999999999997</v>
      </c>
      <c r="C1910" s="24">
        <v>6271.4</v>
      </c>
      <c r="D1910" s="47">
        <f t="shared" si="29"/>
        <v>5729.5510399999994</v>
      </c>
    </row>
    <row r="1911" spans="1:4">
      <c r="A1911" s="122">
        <v>40142</v>
      </c>
      <c r="B1911" s="24">
        <v>0.93200000000000005</v>
      </c>
      <c r="C1911" s="24">
        <v>6306.8</v>
      </c>
      <c r="D1911" s="47">
        <f t="shared" si="29"/>
        <v>5877.9376000000002</v>
      </c>
    </row>
    <row r="1912" spans="1:4">
      <c r="A1912" s="122">
        <v>40141</v>
      </c>
      <c r="B1912" s="24">
        <v>0.91920000000000002</v>
      </c>
      <c r="C1912" s="24">
        <v>6230.6</v>
      </c>
      <c r="D1912" s="47">
        <f t="shared" si="29"/>
        <v>5727.1675200000009</v>
      </c>
    </row>
    <row r="1913" spans="1:4">
      <c r="A1913" s="122">
        <v>40140</v>
      </c>
      <c r="B1913" s="24">
        <v>0.92369999999999997</v>
      </c>
      <c r="C1913" s="24">
        <v>6220.3</v>
      </c>
      <c r="D1913" s="47">
        <f t="shared" si="29"/>
        <v>5745.6911099999998</v>
      </c>
    </row>
    <row r="1914" spans="1:4">
      <c r="A1914" s="122">
        <v>40139</v>
      </c>
      <c r="B1914" s="24">
        <v>0.91910000000000003</v>
      </c>
      <c r="C1914" s="24">
        <v>6235.5</v>
      </c>
      <c r="D1914" s="47">
        <f t="shared" si="29"/>
        <v>5731.0480500000003</v>
      </c>
    </row>
    <row r="1915" spans="1:4">
      <c r="A1915" s="122">
        <v>40138</v>
      </c>
      <c r="B1915" s="24">
        <v>0.91510000000000002</v>
      </c>
      <c r="C1915" s="24">
        <v>6191.2</v>
      </c>
      <c r="D1915" s="47">
        <f t="shared" si="29"/>
        <v>5665.5671199999997</v>
      </c>
    </row>
    <row r="1916" spans="1:4">
      <c r="A1916" s="122">
        <v>40137</v>
      </c>
      <c r="B1916" s="24">
        <v>0.91459999999999997</v>
      </c>
      <c r="C1916" s="24">
        <v>6278.4</v>
      </c>
      <c r="D1916" s="47">
        <f t="shared" si="29"/>
        <v>5742.2246399999995</v>
      </c>
    </row>
    <row r="1917" spans="1:4">
      <c r="A1917" s="122">
        <v>40136</v>
      </c>
      <c r="B1917" s="24">
        <v>0.91859999999999997</v>
      </c>
      <c r="C1917" s="24">
        <v>6251</v>
      </c>
      <c r="D1917" s="47">
        <f t="shared" si="29"/>
        <v>5742.1686</v>
      </c>
    </row>
    <row r="1918" spans="1:4">
      <c r="A1918" s="122">
        <v>40135</v>
      </c>
      <c r="B1918" s="24">
        <v>0.92959999999999998</v>
      </c>
      <c r="C1918" s="24">
        <v>6262.7</v>
      </c>
      <c r="D1918" s="47">
        <f t="shared" si="29"/>
        <v>5821.8059199999998</v>
      </c>
    </row>
    <row r="1919" spans="1:4">
      <c r="A1919" s="122">
        <v>40134</v>
      </c>
      <c r="B1919" s="24">
        <v>0.93059999999999998</v>
      </c>
      <c r="C1919" s="24">
        <v>6293.3</v>
      </c>
      <c r="D1919" s="47">
        <f t="shared" si="29"/>
        <v>5856.5449799999997</v>
      </c>
    </row>
    <row r="1920" spans="1:4">
      <c r="A1920" s="122">
        <v>40133</v>
      </c>
      <c r="B1920" s="24">
        <v>0.93689999999999996</v>
      </c>
      <c r="C1920" s="24">
        <v>6267.3</v>
      </c>
      <c r="D1920" s="47">
        <f t="shared" si="29"/>
        <v>5871.8333700000003</v>
      </c>
    </row>
    <row r="1921" spans="1:4">
      <c r="A1921" s="122">
        <v>40132</v>
      </c>
      <c r="B1921" s="24">
        <v>0.93459999999999999</v>
      </c>
      <c r="C1921" s="24">
        <v>6247.2</v>
      </c>
      <c r="D1921" s="47">
        <f t="shared" si="29"/>
        <v>5838.6331199999995</v>
      </c>
    </row>
    <row r="1922" spans="1:4">
      <c r="A1922" s="122">
        <v>40131</v>
      </c>
      <c r="B1922" s="24">
        <v>0.93340000000000001</v>
      </c>
      <c r="C1922" s="24">
        <v>6135</v>
      </c>
      <c r="D1922" s="47">
        <f t="shared" si="29"/>
        <v>5726.4089999999997</v>
      </c>
    </row>
    <row r="1923" spans="1:4">
      <c r="A1923" s="122">
        <v>40130</v>
      </c>
      <c r="B1923" s="24">
        <v>0.93310000000000004</v>
      </c>
      <c r="C1923" s="24">
        <v>6100.3</v>
      </c>
      <c r="D1923" s="47">
        <f t="shared" ref="D1923:D1986" si="30">C1923*B1923</f>
        <v>5692.1899300000005</v>
      </c>
    </row>
    <row r="1924" spans="1:4">
      <c r="A1924" s="122">
        <v>40129</v>
      </c>
      <c r="B1924" s="24">
        <v>0.9234</v>
      </c>
      <c r="C1924" s="24">
        <v>6176.3</v>
      </c>
      <c r="D1924" s="47">
        <f t="shared" si="30"/>
        <v>5703.19542</v>
      </c>
    </row>
    <row r="1925" spans="1:4">
      <c r="A1925" s="122">
        <v>40128</v>
      </c>
      <c r="B1925" s="24">
        <v>0.92979999999999996</v>
      </c>
      <c r="C1925" s="24">
        <v>6185.2</v>
      </c>
      <c r="D1925" s="47">
        <f t="shared" si="30"/>
        <v>5750.9989599999999</v>
      </c>
    </row>
    <row r="1926" spans="1:4">
      <c r="A1926" s="122">
        <v>40127</v>
      </c>
      <c r="B1926" s="24">
        <v>0.93059999999999998</v>
      </c>
      <c r="C1926" s="24">
        <v>6088.5</v>
      </c>
      <c r="D1926" s="47">
        <f t="shared" si="30"/>
        <v>5665.9580999999998</v>
      </c>
    </row>
    <row r="1927" spans="1:4">
      <c r="A1927" s="122">
        <v>40126</v>
      </c>
      <c r="B1927" s="24">
        <v>0.92969999999999997</v>
      </c>
      <c r="C1927" s="24">
        <v>6159.7</v>
      </c>
      <c r="D1927" s="47">
        <f t="shared" si="30"/>
        <v>5726.6730899999993</v>
      </c>
    </row>
    <row r="1928" spans="1:4">
      <c r="A1928" s="122">
        <v>40125</v>
      </c>
      <c r="B1928" s="24">
        <v>0.92490000000000006</v>
      </c>
      <c r="C1928" s="24">
        <v>6005</v>
      </c>
      <c r="D1928" s="47">
        <f t="shared" si="30"/>
        <v>5554.0245000000004</v>
      </c>
    </row>
    <row r="1929" spans="1:4">
      <c r="A1929" s="122">
        <v>40124</v>
      </c>
      <c r="B1929" s="24">
        <v>0.91849999999999998</v>
      </c>
      <c r="C1929" s="24">
        <v>5989.4</v>
      </c>
      <c r="D1929" s="47">
        <f t="shared" si="30"/>
        <v>5501.2638999999999</v>
      </c>
    </row>
    <row r="1930" spans="1:4">
      <c r="A1930" s="122">
        <v>40123</v>
      </c>
      <c r="B1930" s="24">
        <v>0.91869999999999996</v>
      </c>
      <c r="C1930" s="24">
        <v>5932.6</v>
      </c>
      <c r="D1930" s="47">
        <f t="shared" si="30"/>
        <v>5450.2796200000003</v>
      </c>
    </row>
    <row r="1931" spans="1:4">
      <c r="A1931" s="122">
        <v>40122</v>
      </c>
      <c r="B1931" s="24">
        <v>0.91</v>
      </c>
      <c r="C1931" s="24">
        <v>5671</v>
      </c>
      <c r="D1931" s="47">
        <f t="shared" si="30"/>
        <v>5160.6100000000006</v>
      </c>
    </row>
    <row r="1932" spans="1:4">
      <c r="A1932" s="122">
        <v>40121</v>
      </c>
      <c r="B1932" s="24">
        <v>0.91</v>
      </c>
      <c r="C1932" s="24">
        <v>5711.5</v>
      </c>
      <c r="D1932" s="47">
        <f t="shared" si="30"/>
        <v>5197.4650000000001</v>
      </c>
    </row>
    <row r="1933" spans="1:4">
      <c r="A1933" s="122">
        <v>40120</v>
      </c>
      <c r="B1933" s="24">
        <v>0.90239999999999998</v>
      </c>
      <c r="C1933" s="24">
        <v>5788</v>
      </c>
      <c r="D1933" s="47">
        <f t="shared" si="30"/>
        <v>5223.0911999999998</v>
      </c>
    </row>
    <row r="1934" spans="1:4">
      <c r="A1934" s="122">
        <v>40119</v>
      </c>
      <c r="B1934" s="24">
        <v>0.90390000000000004</v>
      </c>
      <c r="C1934" s="24">
        <v>5964.8</v>
      </c>
      <c r="D1934" s="47">
        <f t="shared" si="30"/>
        <v>5391.5827200000003</v>
      </c>
    </row>
    <row r="1935" spans="1:4">
      <c r="A1935" s="122">
        <v>40118</v>
      </c>
      <c r="B1935" s="24">
        <v>0.90400000000000003</v>
      </c>
      <c r="C1935" s="24">
        <v>6011.6</v>
      </c>
      <c r="D1935" s="47">
        <f t="shared" si="30"/>
        <v>5434.4864000000007</v>
      </c>
    </row>
    <row r="1936" spans="1:4">
      <c r="A1936" s="122">
        <v>40116</v>
      </c>
      <c r="B1936" s="24">
        <v>0.90010000000000001</v>
      </c>
      <c r="C1936" s="24">
        <v>5936</v>
      </c>
      <c r="D1936" s="47">
        <f t="shared" si="30"/>
        <v>5342.9935999999998</v>
      </c>
    </row>
    <row r="1937" spans="1:4">
      <c r="A1937" s="122">
        <v>40115</v>
      </c>
      <c r="B1937" s="24">
        <v>0.91490000000000005</v>
      </c>
      <c r="C1937" s="24">
        <v>6165.6</v>
      </c>
      <c r="D1937" s="47">
        <f t="shared" si="30"/>
        <v>5640.9074400000009</v>
      </c>
    </row>
    <row r="1938" spans="1:4">
      <c r="A1938" s="122">
        <v>40114</v>
      </c>
      <c r="B1938" s="24">
        <v>0.89700000000000002</v>
      </c>
      <c r="C1938" s="24">
        <v>6100.8</v>
      </c>
      <c r="D1938" s="47">
        <f t="shared" si="30"/>
        <v>5472.4176000000007</v>
      </c>
    </row>
    <row r="1939" spans="1:4">
      <c r="A1939" s="122">
        <v>40113</v>
      </c>
      <c r="B1939" s="24">
        <v>0.91659999999999997</v>
      </c>
      <c r="C1939" s="24">
        <v>5985</v>
      </c>
      <c r="D1939" s="47">
        <f t="shared" si="30"/>
        <v>5485.8509999999997</v>
      </c>
    </row>
    <row r="1940" spans="1:4">
      <c r="A1940" s="122">
        <v>40112</v>
      </c>
      <c r="B1940" s="24">
        <v>0.91600000000000004</v>
      </c>
      <c r="C1940" s="24">
        <v>5920.2</v>
      </c>
      <c r="D1940" s="47">
        <f t="shared" si="30"/>
        <v>5422.9031999999997</v>
      </c>
    </row>
    <row r="1941" spans="1:4">
      <c r="A1941" s="122">
        <v>40111</v>
      </c>
      <c r="B1941" s="24">
        <v>0.92069999999999996</v>
      </c>
      <c r="C1941" s="24">
        <v>6021</v>
      </c>
      <c r="D1941" s="47">
        <f t="shared" si="30"/>
        <v>5543.5347000000002</v>
      </c>
    </row>
    <row r="1942" spans="1:4">
      <c r="A1942" s="122">
        <v>40109</v>
      </c>
      <c r="B1942" s="24">
        <v>0.92249999999999999</v>
      </c>
      <c r="C1942" s="24">
        <v>6011.8</v>
      </c>
      <c r="D1942" s="47">
        <f t="shared" si="30"/>
        <v>5545.8855000000003</v>
      </c>
    </row>
    <row r="1943" spans="1:4">
      <c r="A1943" s="122">
        <v>40108</v>
      </c>
      <c r="B1943" s="24">
        <v>0.92679999999999996</v>
      </c>
      <c r="C1943" s="24">
        <v>5941.2</v>
      </c>
      <c r="D1943" s="47">
        <f t="shared" si="30"/>
        <v>5506.3041599999997</v>
      </c>
    </row>
    <row r="1944" spans="1:4">
      <c r="A1944" s="122">
        <v>40107</v>
      </c>
      <c r="B1944" s="24">
        <v>0.92930000000000001</v>
      </c>
      <c r="C1944" s="24">
        <v>6144.2</v>
      </c>
      <c r="D1944" s="47">
        <f t="shared" si="30"/>
        <v>5709.8050599999997</v>
      </c>
    </row>
    <row r="1945" spans="1:4">
      <c r="A1945" s="122">
        <v>40106</v>
      </c>
      <c r="B1945" s="24">
        <v>0.92390000000000005</v>
      </c>
      <c r="C1945" s="24">
        <v>6108.8</v>
      </c>
      <c r="D1945" s="47">
        <f t="shared" si="30"/>
        <v>5643.9203200000002</v>
      </c>
    </row>
    <row r="1946" spans="1:4">
      <c r="A1946" s="122">
        <v>40105</v>
      </c>
      <c r="B1946" s="24">
        <v>0.92910000000000004</v>
      </c>
      <c r="C1946" s="24">
        <v>6082.9</v>
      </c>
      <c r="D1946" s="47">
        <f t="shared" si="30"/>
        <v>5651.6223899999995</v>
      </c>
    </row>
    <row r="1947" spans="1:4">
      <c r="A1947" s="122">
        <v>40104</v>
      </c>
      <c r="B1947" s="24">
        <v>0.91549999999999998</v>
      </c>
      <c r="C1947" s="24">
        <v>6258.5</v>
      </c>
      <c r="D1947" s="47">
        <f t="shared" si="30"/>
        <v>5729.6567500000001</v>
      </c>
    </row>
    <row r="1948" spans="1:4">
      <c r="A1948" s="122">
        <v>40102</v>
      </c>
      <c r="B1948" s="24">
        <v>0.91639999999999999</v>
      </c>
      <c r="C1948" s="24">
        <v>6340.5</v>
      </c>
      <c r="D1948" s="47">
        <f t="shared" si="30"/>
        <v>5810.4341999999997</v>
      </c>
    </row>
    <row r="1949" spans="1:4">
      <c r="A1949" s="122">
        <v>40101</v>
      </c>
      <c r="B1949" s="24">
        <v>0.9204</v>
      </c>
      <c r="C1949" s="24">
        <v>6422.3</v>
      </c>
      <c r="D1949" s="47">
        <f t="shared" si="30"/>
        <v>5911.0849200000002</v>
      </c>
    </row>
    <row r="1950" spans="1:4">
      <c r="A1950" s="122">
        <v>40100</v>
      </c>
      <c r="B1950" s="24">
        <v>0.91490000000000005</v>
      </c>
      <c r="C1950" s="24">
        <v>6390.4</v>
      </c>
      <c r="D1950" s="47">
        <f t="shared" si="30"/>
        <v>5846.5769600000003</v>
      </c>
    </row>
    <row r="1951" spans="1:4">
      <c r="A1951" s="122">
        <v>40099</v>
      </c>
      <c r="B1951" s="24">
        <v>0.90900000000000003</v>
      </c>
      <c r="C1951" s="24">
        <v>6421.8</v>
      </c>
      <c r="D1951" s="47">
        <f t="shared" si="30"/>
        <v>5837.4162000000006</v>
      </c>
    </row>
    <row r="1952" spans="1:4">
      <c r="A1952" s="122">
        <v>40098</v>
      </c>
      <c r="B1952" s="24">
        <v>0.90720000000000001</v>
      </c>
      <c r="C1952" s="24">
        <v>6384.2</v>
      </c>
      <c r="D1952" s="47">
        <f t="shared" si="30"/>
        <v>5791.7462399999995</v>
      </c>
    </row>
    <row r="1953" spans="1:4">
      <c r="A1953" s="122">
        <v>40097</v>
      </c>
      <c r="B1953" s="24">
        <v>0.90500000000000003</v>
      </c>
      <c r="C1953" s="24">
        <v>6329.1</v>
      </c>
      <c r="D1953" s="47">
        <f t="shared" si="30"/>
        <v>5727.8355000000001</v>
      </c>
    </row>
    <row r="1954" spans="1:4">
      <c r="A1954" s="122">
        <v>40095</v>
      </c>
      <c r="B1954" s="24">
        <v>0.90380000000000005</v>
      </c>
      <c r="C1954" s="24">
        <v>6381.6</v>
      </c>
      <c r="D1954" s="47">
        <f t="shared" si="30"/>
        <v>5767.6900800000003</v>
      </c>
    </row>
    <row r="1955" spans="1:4">
      <c r="A1955" s="122">
        <v>40094</v>
      </c>
      <c r="B1955" s="24">
        <v>0.90610000000000002</v>
      </c>
      <c r="C1955" s="24">
        <v>6380.8</v>
      </c>
      <c r="D1955" s="47">
        <f t="shared" si="30"/>
        <v>5781.6428800000003</v>
      </c>
    </row>
    <row r="1956" spans="1:4">
      <c r="A1956" s="122">
        <v>40093</v>
      </c>
      <c r="B1956" s="24">
        <v>0.89100000000000001</v>
      </c>
      <c r="C1956" s="24">
        <v>6389.4</v>
      </c>
      <c r="D1956" s="47">
        <f t="shared" si="30"/>
        <v>5692.9553999999998</v>
      </c>
    </row>
    <row r="1957" spans="1:4">
      <c r="A1957" s="122">
        <v>40092</v>
      </c>
      <c r="B1957" s="24">
        <v>0.89039999999999997</v>
      </c>
      <c r="C1957" s="24">
        <v>6363.4</v>
      </c>
      <c r="D1957" s="47">
        <f t="shared" si="30"/>
        <v>5665.9713599999995</v>
      </c>
    </row>
    <row r="1958" spans="1:4">
      <c r="A1958" s="122">
        <v>40091</v>
      </c>
      <c r="B1958" s="24">
        <v>0.87770000000000004</v>
      </c>
      <c r="C1958" s="24">
        <v>6325.1</v>
      </c>
      <c r="D1958" s="47">
        <f t="shared" si="30"/>
        <v>5551.5402700000004</v>
      </c>
    </row>
    <row r="1959" spans="1:4">
      <c r="A1959" s="122">
        <v>40090</v>
      </c>
      <c r="B1959" s="24">
        <v>0.86750000000000005</v>
      </c>
      <c r="C1959" s="24">
        <v>6361.5</v>
      </c>
      <c r="D1959" s="47">
        <f t="shared" si="30"/>
        <v>5518.6012500000006</v>
      </c>
    </row>
    <row r="1960" spans="1:4">
      <c r="A1960" s="122">
        <v>40088</v>
      </c>
      <c r="B1960" s="24">
        <v>0.86550000000000005</v>
      </c>
      <c r="C1960" s="24">
        <v>6400.6</v>
      </c>
      <c r="D1960" s="47">
        <f t="shared" si="30"/>
        <v>5539.7193000000007</v>
      </c>
    </row>
    <row r="1961" spans="1:4">
      <c r="A1961" s="122">
        <v>40087</v>
      </c>
      <c r="B1961" s="24">
        <v>0.86960000000000004</v>
      </c>
      <c r="C1961" s="24">
        <v>6351.1</v>
      </c>
      <c r="D1961" s="47">
        <f t="shared" si="30"/>
        <v>5522.9165600000006</v>
      </c>
    </row>
    <row r="1962" spans="1:4">
      <c r="A1962" s="122">
        <v>40086</v>
      </c>
      <c r="B1962" s="24">
        <v>0.88290000000000002</v>
      </c>
      <c r="C1962" s="24">
        <v>6362.3</v>
      </c>
      <c r="D1962" s="47">
        <f t="shared" si="30"/>
        <v>5617.2746700000007</v>
      </c>
    </row>
    <row r="1963" spans="1:4">
      <c r="A1963" s="122">
        <v>40085</v>
      </c>
      <c r="B1963" s="24">
        <v>0.87039999999999995</v>
      </c>
      <c r="C1963" s="24">
        <v>6298.6</v>
      </c>
      <c r="D1963" s="47">
        <f t="shared" si="30"/>
        <v>5482.3014400000002</v>
      </c>
    </row>
    <row r="1964" spans="1:4">
      <c r="A1964" s="122">
        <v>40084</v>
      </c>
      <c r="B1964" s="24">
        <v>0.87239999999999995</v>
      </c>
      <c r="C1964" s="24">
        <v>6299</v>
      </c>
      <c r="D1964" s="47">
        <f t="shared" si="30"/>
        <v>5495.2475999999997</v>
      </c>
    </row>
    <row r="1965" spans="1:4">
      <c r="A1965" s="122">
        <v>40083</v>
      </c>
      <c r="B1965" s="24">
        <v>0.86780000000000002</v>
      </c>
      <c r="C1965" s="24">
        <v>6263.3</v>
      </c>
      <c r="D1965" s="47">
        <f t="shared" si="30"/>
        <v>5435.2917400000006</v>
      </c>
    </row>
    <row r="1966" spans="1:4">
      <c r="A1966" s="122">
        <v>40081</v>
      </c>
      <c r="B1966" s="24">
        <v>0.86799999999999999</v>
      </c>
      <c r="C1966" s="24">
        <v>6274.9</v>
      </c>
      <c r="D1966" s="47">
        <f t="shared" si="30"/>
        <v>5446.6131999999998</v>
      </c>
    </row>
    <row r="1967" spans="1:4">
      <c r="A1967" s="122">
        <v>40080</v>
      </c>
      <c r="B1967" s="24">
        <v>0.86480000000000001</v>
      </c>
      <c r="C1967" s="24">
        <v>6265.6</v>
      </c>
      <c r="D1967" s="47">
        <f t="shared" si="30"/>
        <v>5418.4908800000003</v>
      </c>
    </row>
    <row r="1968" spans="1:4">
      <c r="A1968" s="122">
        <v>40079</v>
      </c>
      <c r="B1968" s="24">
        <v>0.86960000000000004</v>
      </c>
      <c r="C1968" s="24">
        <v>6184.2</v>
      </c>
      <c r="D1968" s="47">
        <f t="shared" si="30"/>
        <v>5377.7803199999998</v>
      </c>
    </row>
    <row r="1969" spans="1:4">
      <c r="A1969" s="122">
        <v>40078</v>
      </c>
      <c r="B1969" s="24">
        <v>0.87339999999999995</v>
      </c>
      <c r="C1969" s="24">
        <v>6308.6</v>
      </c>
      <c r="D1969" s="47">
        <f t="shared" si="30"/>
        <v>5509.9312399999999</v>
      </c>
    </row>
    <row r="1970" spans="1:4">
      <c r="A1970" s="122">
        <v>40077</v>
      </c>
      <c r="B1970" s="24">
        <v>0.86280000000000001</v>
      </c>
      <c r="C1970" s="24">
        <v>6329.8</v>
      </c>
      <c r="D1970" s="47">
        <f t="shared" si="30"/>
        <v>5461.3514400000004</v>
      </c>
    </row>
    <row r="1971" spans="1:4">
      <c r="A1971" s="122">
        <v>40074</v>
      </c>
      <c r="B1971" s="24">
        <v>0.86739999999999995</v>
      </c>
      <c r="C1971" s="24">
        <v>6382.6</v>
      </c>
      <c r="D1971" s="47">
        <f t="shared" si="30"/>
        <v>5536.2672400000001</v>
      </c>
    </row>
    <row r="1972" spans="1:4">
      <c r="A1972" s="122">
        <v>40073</v>
      </c>
      <c r="B1972" s="24">
        <v>0.87270000000000003</v>
      </c>
      <c r="C1972" s="24">
        <v>6387</v>
      </c>
      <c r="D1972" s="47">
        <f t="shared" si="30"/>
        <v>5573.9349000000002</v>
      </c>
    </row>
    <row r="1973" spans="1:4">
      <c r="A1973" s="122">
        <v>40072</v>
      </c>
      <c r="B1973" s="24">
        <v>0.87360000000000004</v>
      </c>
      <c r="C1973" s="24">
        <v>6396.9</v>
      </c>
      <c r="D1973" s="47">
        <f t="shared" si="30"/>
        <v>5588.3318399999998</v>
      </c>
    </row>
    <row r="1974" spans="1:4">
      <c r="A1974" s="122">
        <v>40071</v>
      </c>
      <c r="B1974" s="24">
        <v>0.86329999999999996</v>
      </c>
      <c r="C1974" s="24">
        <v>6372</v>
      </c>
      <c r="D1974" s="47">
        <f t="shared" si="30"/>
        <v>5500.9475999999995</v>
      </c>
    </row>
    <row r="1975" spans="1:4">
      <c r="A1975" s="122">
        <v>40070</v>
      </c>
      <c r="B1975" s="24">
        <v>0.86209999999999998</v>
      </c>
      <c r="C1975" s="24">
        <v>6343.4</v>
      </c>
      <c r="D1975" s="47">
        <f t="shared" si="30"/>
        <v>5468.6451399999996</v>
      </c>
    </row>
    <row r="1976" spans="1:4">
      <c r="A1976" s="122">
        <v>40069</v>
      </c>
      <c r="B1976" s="24">
        <v>0.86180000000000001</v>
      </c>
      <c r="C1976" s="24">
        <v>6293.8</v>
      </c>
      <c r="D1976" s="47">
        <f t="shared" si="30"/>
        <v>5423.9968399999998</v>
      </c>
    </row>
    <row r="1977" spans="1:4">
      <c r="A1977" s="122">
        <v>40067</v>
      </c>
      <c r="B1977" s="24">
        <v>0.86329999999999996</v>
      </c>
      <c r="C1977" s="24">
        <v>6261.2</v>
      </c>
      <c r="D1977" s="47">
        <f t="shared" si="30"/>
        <v>5405.29396</v>
      </c>
    </row>
    <row r="1978" spans="1:4">
      <c r="A1978" s="122">
        <v>40066</v>
      </c>
      <c r="B1978" s="24">
        <v>0.86409999999999998</v>
      </c>
      <c r="C1978" s="24">
        <v>6180.7</v>
      </c>
      <c r="D1978" s="47">
        <f t="shared" si="30"/>
        <v>5340.74287</v>
      </c>
    </row>
    <row r="1979" spans="1:4">
      <c r="A1979" s="122">
        <v>40065</v>
      </c>
      <c r="B1979" s="24">
        <v>0.86250000000000004</v>
      </c>
      <c r="C1979" s="24">
        <v>6240.1</v>
      </c>
      <c r="D1979" s="47">
        <f t="shared" si="30"/>
        <v>5382.0862500000003</v>
      </c>
    </row>
    <row r="1980" spans="1:4">
      <c r="A1980" s="122">
        <v>40064</v>
      </c>
      <c r="B1980" s="24">
        <v>0.86160000000000003</v>
      </c>
      <c r="C1980" s="24">
        <v>6231.7</v>
      </c>
      <c r="D1980" s="47">
        <f t="shared" si="30"/>
        <v>5369.23272</v>
      </c>
    </row>
    <row r="1981" spans="1:4">
      <c r="A1981" s="122">
        <v>40063</v>
      </c>
      <c r="B1981" s="24">
        <v>0.85580000000000001</v>
      </c>
      <c r="C1981" s="24">
        <v>6311.1</v>
      </c>
      <c r="D1981" s="47">
        <f t="shared" si="30"/>
        <v>5401.0393800000002</v>
      </c>
    </row>
    <row r="1982" spans="1:4">
      <c r="A1982" s="122">
        <v>40060</v>
      </c>
      <c r="B1982" s="24">
        <v>0.85060000000000002</v>
      </c>
      <c r="C1982" s="24">
        <v>6337.1</v>
      </c>
      <c r="D1982" s="47">
        <f t="shared" si="30"/>
        <v>5390.3372600000002</v>
      </c>
    </row>
    <row r="1983" spans="1:4">
      <c r="A1983" s="122">
        <v>40059</v>
      </c>
      <c r="B1983" s="24">
        <v>0.84030000000000005</v>
      </c>
      <c r="C1983" s="24">
        <v>6370.8</v>
      </c>
      <c r="D1983" s="47">
        <f t="shared" si="30"/>
        <v>5353.3832400000001</v>
      </c>
    </row>
    <row r="1984" spans="1:4">
      <c r="A1984" s="122">
        <v>40058</v>
      </c>
      <c r="B1984" s="24">
        <v>0.83389999999999997</v>
      </c>
      <c r="C1984" s="24">
        <v>6392.9</v>
      </c>
      <c r="D1984" s="47">
        <f t="shared" si="30"/>
        <v>5331.0393099999992</v>
      </c>
    </row>
    <row r="1985" spans="1:4">
      <c r="A1985" s="122">
        <v>40057</v>
      </c>
      <c r="B1985" s="24">
        <v>0.82609999999999995</v>
      </c>
      <c r="C1985" s="24">
        <v>6333.5</v>
      </c>
      <c r="D1985" s="47">
        <f t="shared" si="30"/>
        <v>5232.1043499999996</v>
      </c>
    </row>
    <row r="1986" spans="1:4">
      <c r="A1986" s="122">
        <v>40056</v>
      </c>
      <c r="B1986" s="24">
        <v>0.84379999999999999</v>
      </c>
      <c r="C1986" s="24">
        <v>6313.5</v>
      </c>
      <c r="D1986" s="47">
        <f t="shared" si="30"/>
        <v>5327.3312999999998</v>
      </c>
    </row>
    <row r="1987" spans="1:4">
      <c r="A1987" s="122">
        <v>40053</v>
      </c>
      <c r="B1987" s="24">
        <v>0.84119999999999995</v>
      </c>
      <c r="C1987" s="24">
        <v>6243.4</v>
      </c>
      <c r="D1987" s="47">
        <f t="shared" ref="D1987:D2050" si="31">C1987*B1987</f>
        <v>5251.9480799999992</v>
      </c>
    </row>
    <row r="1988" spans="1:4">
      <c r="A1988" s="122">
        <v>40052</v>
      </c>
      <c r="B1988" s="24">
        <v>0.83940000000000003</v>
      </c>
      <c r="C1988" s="24">
        <v>6317.6</v>
      </c>
      <c r="D1988" s="47">
        <f t="shared" si="31"/>
        <v>5302.9934400000002</v>
      </c>
    </row>
    <row r="1989" spans="1:4">
      <c r="A1989" s="122">
        <v>40051</v>
      </c>
      <c r="B1989" s="24">
        <v>0.82830000000000004</v>
      </c>
      <c r="C1989" s="24">
        <v>6251.4</v>
      </c>
      <c r="D1989" s="47">
        <f t="shared" si="31"/>
        <v>5178.0346200000004</v>
      </c>
    </row>
    <row r="1990" spans="1:4">
      <c r="A1990" s="122">
        <v>40050</v>
      </c>
      <c r="B1990" s="24">
        <v>0.83550000000000002</v>
      </c>
      <c r="C1990" s="24">
        <v>6252.8</v>
      </c>
      <c r="D1990" s="47">
        <f t="shared" si="31"/>
        <v>5224.2143999999998</v>
      </c>
    </row>
    <row r="1991" spans="1:4">
      <c r="A1991" s="122">
        <v>40049</v>
      </c>
      <c r="B1991" s="24">
        <v>0.83889999999999998</v>
      </c>
      <c r="C1991" s="24">
        <v>6279.1</v>
      </c>
      <c r="D1991" s="47">
        <f t="shared" si="31"/>
        <v>5267.5369900000005</v>
      </c>
    </row>
    <row r="1992" spans="1:4">
      <c r="A1992" s="122">
        <v>40046</v>
      </c>
      <c r="B1992" s="24">
        <v>0.83479999999999999</v>
      </c>
      <c r="C1992" s="24">
        <v>6355.1</v>
      </c>
      <c r="D1992" s="47">
        <f t="shared" si="31"/>
        <v>5305.2374799999998</v>
      </c>
    </row>
    <row r="1993" spans="1:4">
      <c r="A1993" s="122">
        <v>40045</v>
      </c>
      <c r="B1993" s="24">
        <v>0.83120000000000005</v>
      </c>
      <c r="C1993" s="24">
        <v>6338.8</v>
      </c>
      <c r="D1993" s="47">
        <f t="shared" si="31"/>
        <v>5268.8105600000008</v>
      </c>
    </row>
    <row r="1994" spans="1:4">
      <c r="A1994" s="122">
        <v>40044</v>
      </c>
      <c r="B1994" s="24">
        <v>0.82869999999999999</v>
      </c>
      <c r="C1994" s="24">
        <v>6369</v>
      </c>
      <c r="D1994" s="47">
        <f t="shared" si="31"/>
        <v>5277.9903000000004</v>
      </c>
    </row>
    <row r="1995" spans="1:4">
      <c r="A1995" s="122">
        <v>40043</v>
      </c>
      <c r="B1995" s="24">
        <v>0.82679999999999998</v>
      </c>
      <c r="C1995" s="24">
        <v>6312.5</v>
      </c>
      <c r="D1995" s="47">
        <f t="shared" si="31"/>
        <v>5219.1750000000002</v>
      </c>
    </row>
    <row r="1996" spans="1:4">
      <c r="A1996" s="122">
        <v>40042</v>
      </c>
      <c r="B1996" s="24">
        <v>0.82050000000000001</v>
      </c>
      <c r="C1996" s="24">
        <v>6365.9</v>
      </c>
      <c r="D1996" s="47">
        <f t="shared" si="31"/>
        <v>5223.2209499999999</v>
      </c>
    </row>
    <row r="1997" spans="1:4">
      <c r="A1997" s="122">
        <v>40039</v>
      </c>
      <c r="B1997" s="24">
        <v>0.83260000000000001</v>
      </c>
      <c r="C1997" s="24">
        <v>6294.6</v>
      </c>
      <c r="D1997" s="47">
        <f t="shared" si="31"/>
        <v>5240.8839600000001</v>
      </c>
    </row>
    <row r="1998" spans="1:4">
      <c r="A1998" s="122">
        <v>40038</v>
      </c>
      <c r="B1998" s="24">
        <v>0.84319999999999995</v>
      </c>
      <c r="C1998" s="24">
        <v>6291.2</v>
      </c>
      <c r="D1998" s="47">
        <f t="shared" si="31"/>
        <v>5304.7398399999993</v>
      </c>
    </row>
    <row r="1999" spans="1:4">
      <c r="A1999" s="122">
        <v>40037</v>
      </c>
      <c r="B1999" s="24">
        <v>0.8337</v>
      </c>
      <c r="C1999" s="24">
        <v>6345.1</v>
      </c>
      <c r="D1999" s="47">
        <f t="shared" si="31"/>
        <v>5289.9098700000004</v>
      </c>
    </row>
    <row r="2000" spans="1:4">
      <c r="A2000" s="122">
        <v>40036</v>
      </c>
      <c r="B2000" s="24">
        <v>0.82920000000000005</v>
      </c>
      <c r="C2000" s="24">
        <v>6297.4</v>
      </c>
      <c r="D2000" s="47">
        <f t="shared" si="31"/>
        <v>5221.8040799999999</v>
      </c>
    </row>
    <row r="2001" spans="1:4">
      <c r="A2001" s="122">
        <v>40035</v>
      </c>
      <c r="B2001" s="24">
        <v>0.83720000000000006</v>
      </c>
      <c r="C2001" s="24">
        <v>6355.5</v>
      </c>
      <c r="D2001" s="47">
        <f t="shared" si="31"/>
        <v>5320.8245999999999</v>
      </c>
    </row>
    <row r="2002" spans="1:4">
      <c r="A2002" s="122">
        <v>40032</v>
      </c>
      <c r="B2002" s="24">
        <v>0.83740000000000003</v>
      </c>
      <c r="C2002" s="24">
        <v>6341</v>
      </c>
      <c r="D2002" s="47">
        <f t="shared" si="31"/>
        <v>5309.9534000000003</v>
      </c>
    </row>
    <row r="2003" spans="1:4">
      <c r="A2003" s="122">
        <v>40031</v>
      </c>
      <c r="B2003" s="24">
        <v>0.83960000000000001</v>
      </c>
      <c r="C2003" s="24">
        <v>6304.4</v>
      </c>
      <c r="D2003" s="47">
        <f t="shared" si="31"/>
        <v>5293.1742399999994</v>
      </c>
    </row>
    <row r="2004" spans="1:4">
      <c r="A2004" s="122">
        <v>40030</v>
      </c>
      <c r="B2004" s="24">
        <v>0.84060000000000001</v>
      </c>
      <c r="C2004" s="24">
        <v>6335.7</v>
      </c>
      <c r="D2004" s="47">
        <f t="shared" si="31"/>
        <v>5325.7894200000001</v>
      </c>
    </row>
    <row r="2005" spans="1:4">
      <c r="A2005" s="122">
        <v>40029</v>
      </c>
      <c r="B2005" s="24">
        <v>0.84460000000000002</v>
      </c>
      <c r="C2005" s="24">
        <v>6304.9</v>
      </c>
      <c r="D2005" s="47">
        <f t="shared" si="31"/>
        <v>5325.1185399999995</v>
      </c>
    </row>
    <row r="2006" spans="1:4">
      <c r="A2006" s="122">
        <v>40028</v>
      </c>
      <c r="B2006" s="24">
        <v>0.84209999999999996</v>
      </c>
      <c r="C2006" s="24">
        <v>6245.6</v>
      </c>
      <c r="D2006" s="47">
        <f t="shared" si="31"/>
        <v>5259.4197599999998</v>
      </c>
    </row>
    <row r="2007" spans="1:4">
      <c r="A2007" s="122">
        <v>40025</v>
      </c>
      <c r="B2007" s="24">
        <v>0.83579999999999999</v>
      </c>
      <c r="C2007" s="24">
        <v>6237.7</v>
      </c>
      <c r="D2007" s="47">
        <f t="shared" si="31"/>
        <v>5213.4696599999997</v>
      </c>
    </row>
    <row r="2008" spans="1:4">
      <c r="A2008" s="122">
        <v>40024</v>
      </c>
      <c r="B2008" s="24">
        <v>0.8256</v>
      </c>
      <c r="C2008" s="24">
        <v>6145.8</v>
      </c>
      <c r="D2008" s="47">
        <f t="shared" si="31"/>
        <v>5073.9724800000004</v>
      </c>
    </row>
    <row r="2009" spans="1:4">
      <c r="A2009" s="122">
        <v>40023</v>
      </c>
      <c r="B2009" s="24">
        <v>0.81779999999999997</v>
      </c>
      <c r="C2009" s="24">
        <v>6166</v>
      </c>
      <c r="D2009" s="47">
        <f t="shared" si="31"/>
        <v>5042.5547999999999</v>
      </c>
    </row>
    <row r="2010" spans="1:4">
      <c r="A2010" s="122">
        <v>40022</v>
      </c>
      <c r="B2010" s="24">
        <v>0.82679999999999998</v>
      </c>
      <c r="C2010" s="24">
        <v>6151.6</v>
      </c>
      <c r="D2010" s="47">
        <f t="shared" si="31"/>
        <v>5086.1428800000003</v>
      </c>
    </row>
    <row r="2011" spans="1:4">
      <c r="A2011" s="122">
        <v>40021</v>
      </c>
      <c r="B2011" s="24">
        <v>0.8226</v>
      </c>
      <c r="C2011" s="24">
        <v>6212.2</v>
      </c>
      <c r="D2011" s="47">
        <f t="shared" si="31"/>
        <v>5110.1557199999997</v>
      </c>
    </row>
    <row r="2012" spans="1:4">
      <c r="A2012" s="122">
        <v>40018</v>
      </c>
      <c r="B2012" s="24">
        <v>0.81730000000000003</v>
      </c>
      <c r="C2012" s="24">
        <v>6188.2</v>
      </c>
      <c r="D2012" s="47">
        <f t="shared" si="31"/>
        <v>5057.6158599999999</v>
      </c>
    </row>
    <row r="2013" spans="1:4">
      <c r="A2013" s="122">
        <v>40017</v>
      </c>
      <c r="B2013" s="24">
        <v>0.81220000000000003</v>
      </c>
      <c r="C2013" s="24">
        <v>6209.1</v>
      </c>
      <c r="D2013" s="47">
        <f t="shared" si="31"/>
        <v>5043.0310200000004</v>
      </c>
    </row>
    <row r="2014" spans="1:4">
      <c r="A2014" s="122">
        <v>40016</v>
      </c>
      <c r="B2014" s="24">
        <v>0.81569999999999998</v>
      </c>
      <c r="C2014" s="24">
        <v>6207.5</v>
      </c>
      <c r="D2014" s="47">
        <f t="shared" si="31"/>
        <v>5063.4577499999996</v>
      </c>
    </row>
    <row r="2015" spans="1:4">
      <c r="A2015" s="122">
        <v>40015</v>
      </c>
      <c r="B2015" s="24">
        <v>0.81820000000000004</v>
      </c>
      <c r="C2015" s="24">
        <v>6165.1</v>
      </c>
      <c r="D2015" s="47">
        <f t="shared" si="31"/>
        <v>5044.2848200000008</v>
      </c>
    </row>
    <row r="2016" spans="1:4">
      <c r="A2016" s="122">
        <v>40014</v>
      </c>
      <c r="B2016" s="24">
        <v>0.81659999999999999</v>
      </c>
      <c r="C2016" s="24">
        <v>6236.9</v>
      </c>
      <c r="D2016" s="47">
        <f t="shared" si="31"/>
        <v>5093.0525399999997</v>
      </c>
    </row>
    <row r="2017" spans="1:4">
      <c r="A2017" s="122">
        <v>40011</v>
      </c>
      <c r="B2017" s="24">
        <v>0.80200000000000005</v>
      </c>
      <c r="C2017" s="24">
        <v>6186.5</v>
      </c>
      <c r="D2017" s="47">
        <f t="shared" si="31"/>
        <v>4961.5730000000003</v>
      </c>
    </row>
    <row r="2018" spans="1:4">
      <c r="A2018" s="122">
        <v>40010</v>
      </c>
      <c r="B2018" s="24">
        <v>0.80630000000000002</v>
      </c>
      <c r="C2018" s="24">
        <v>6197.7</v>
      </c>
      <c r="D2018" s="47">
        <f t="shared" si="31"/>
        <v>4997.2055099999998</v>
      </c>
    </row>
    <row r="2019" spans="1:4">
      <c r="A2019" s="122">
        <v>40009</v>
      </c>
      <c r="B2019" s="24">
        <v>0.80320000000000003</v>
      </c>
      <c r="C2019" s="24">
        <v>6135.8</v>
      </c>
      <c r="D2019" s="47">
        <f t="shared" si="31"/>
        <v>4928.2745600000007</v>
      </c>
    </row>
    <row r="2020" spans="1:4">
      <c r="A2020" s="122">
        <v>40008</v>
      </c>
      <c r="B2020" s="24">
        <v>0.79300000000000004</v>
      </c>
      <c r="C2020" s="24">
        <v>6158.2</v>
      </c>
      <c r="D2020" s="47">
        <f t="shared" si="31"/>
        <v>4883.4526000000005</v>
      </c>
    </row>
    <row r="2021" spans="1:4">
      <c r="A2021" s="122">
        <v>40007</v>
      </c>
      <c r="B2021" s="24">
        <v>0.78300000000000003</v>
      </c>
      <c r="C2021" s="24">
        <v>6151.4</v>
      </c>
      <c r="D2021" s="47">
        <f t="shared" si="31"/>
        <v>4816.5461999999998</v>
      </c>
    </row>
    <row r="2022" spans="1:4">
      <c r="A2022" s="122">
        <v>40004</v>
      </c>
      <c r="B2022" s="24">
        <v>0.77859999999999996</v>
      </c>
      <c r="C2022" s="24">
        <v>6153</v>
      </c>
      <c r="D2022" s="47">
        <f t="shared" si="31"/>
        <v>4790.7258000000002</v>
      </c>
    </row>
    <row r="2023" spans="1:4">
      <c r="A2023" s="122">
        <v>40003</v>
      </c>
      <c r="B2023" s="24">
        <v>0.78290000000000004</v>
      </c>
      <c r="C2023" s="24">
        <v>6077.1</v>
      </c>
      <c r="D2023" s="47">
        <f t="shared" si="31"/>
        <v>4757.761590000001</v>
      </c>
    </row>
    <row r="2024" spans="1:4">
      <c r="A2024" s="122">
        <v>40002</v>
      </c>
      <c r="B2024" s="24">
        <v>0.77849999999999997</v>
      </c>
      <c r="C2024" s="24">
        <v>6077.1</v>
      </c>
      <c r="D2024" s="47">
        <f t="shared" si="31"/>
        <v>4731.0223500000002</v>
      </c>
    </row>
    <row r="2025" spans="1:4">
      <c r="A2025" s="122">
        <v>40001</v>
      </c>
      <c r="B2025" s="24">
        <v>0.78900000000000003</v>
      </c>
      <c r="C2025" s="24">
        <v>6077.1</v>
      </c>
      <c r="D2025" s="47">
        <f t="shared" si="31"/>
        <v>4794.8319000000001</v>
      </c>
    </row>
    <row r="2026" spans="1:4">
      <c r="A2026" s="122">
        <v>40000</v>
      </c>
      <c r="B2026" s="24">
        <v>0.79759999999999998</v>
      </c>
      <c r="C2026" s="24">
        <v>6097.2</v>
      </c>
      <c r="D2026" s="47">
        <f t="shared" si="31"/>
        <v>4863.1267199999993</v>
      </c>
    </row>
    <row r="2027" spans="1:4">
      <c r="A2027" s="122">
        <v>39997</v>
      </c>
      <c r="B2027" s="24">
        <v>0.79720000000000002</v>
      </c>
      <c r="C2027" s="24">
        <v>6013.4</v>
      </c>
      <c r="D2027" s="47">
        <f t="shared" si="31"/>
        <v>4793.8824800000002</v>
      </c>
    </row>
    <row r="2028" spans="1:4">
      <c r="A2028" s="122">
        <v>39996</v>
      </c>
      <c r="B2028" s="24">
        <v>0.79379999999999995</v>
      </c>
      <c r="C2028" s="24">
        <v>5915.8</v>
      </c>
      <c r="D2028" s="47">
        <f t="shared" si="31"/>
        <v>4695.9620399999994</v>
      </c>
    </row>
    <row r="2029" spans="1:4">
      <c r="A2029" s="122">
        <v>39995</v>
      </c>
      <c r="B2029" s="24">
        <v>0.80840000000000001</v>
      </c>
      <c r="C2029" s="24">
        <v>5995</v>
      </c>
      <c r="D2029" s="47">
        <f t="shared" si="31"/>
        <v>4846.3580000000002</v>
      </c>
    </row>
    <row r="2030" spans="1:4">
      <c r="A2030" s="122">
        <v>39994</v>
      </c>
      <c r="B2030" s="24">
        <v>0.80649999999999999</v>
      </c>
      <c r="C2030" s="24">
        <v>5960.9</v>
      </c>
      <c r="D2030" s="47">
        <f t="shared" si="31"/>
        <v>4807.4658499999996</v>
      </c>
    </row>
    <row r="2031" spans="1:4">
      <c r="A2031" s="122">
        <v>39993</v>
      </c>
      <c r="B2031" s="24">
        <v>0.80820000000000003</v>
      </c>
      <c r="C2031" s="24">
        <v>5923.2</v>
      </c>
      <c r="D2031" s="47">
        <f t="shared" si="31"/>
        <v>4787.1302400000004</v>
      </c>
    </row>
    <row r="2032" spans="1:4">
      <c r="A2032" s="122">
        <v>39990</v>
      </c>
      <c r="B2032" s="24">
        <v>0.80759999999999998</v>
      </c>
      <c r="C2032" s="24">
        <v>5964.2</v>
      </c>
      <c r="D2032" s="47">
        <f t="shared" si="31"/>
        <v>4816.6879199999994</v>
      </c>
    </row>
    <row r="2033" spans="1:4">
      <c r="A2033" s="122">
        <v>39989</v>
      </c>
      <c r="B2033" s="24">
        <v>0.8024</v>
      </c>
      <c r="C2033" s="24">
        <v>5990.7</v>
      </c>
      <c r="D2033" s="47">
        <f t="shared" si="31"/>
        <v>4806.93768</v>
      </c>
    </row>
    <row r="2034" spans="1:4">
      <c r="A2034" s="122">
        <v>39988</v>
      </c>
      <c r="B2034" s="24">
        <v>0.79679999999999995</v>
      </c>
      <c r="C2034" s="24">
        <v>5952.3</v>
      </c>
      <c r="D2034" s="47">
        <f t="shared" si="31"/>
        <v>4742.7926399999997</v>
      </c>
    </row>
    <row r="2035" spans="1:4">
      <c r="A2035" s="122">
        <v>39987</v>
      </c>
      <c r="B2035" s="24">
        <v>0.79400000000000004</v>
      </c>
      <c r="C2035" s="24">
        <v>5955.7</v>
      </c>
      <c r="D2035" s="47">
        <f t="shared" si="31"/>
        <v>4728.8258000000005</v>
      </c>
    </row>
    <row r="2036" spans="1:4">
      <c r="A2036" s="122">
        <v>39986</v>
      </c>
      <c r="B2036" s="24">
        <v>0.78569999999999995</v>
      </c>
      <c r="C2036" s="24">
        <v>5861.9</v>
      </c>
      <c r="D2036" s="47">
        <f t="shared" si="31"/>
        <v>4605.6948299999995</v>
      </c>
    </row>
    <row r="2037" spans="1:4">
      <c r="A2037" s="122">
        <v>39983</v>
      </c>
      <c r="B2037" s="24">
        <v>0.80600000000000005</v>
      </c>
      <c r="C2037" s="24">
        <v>5876.6</v>
      </c>
      <c r="D2037" s="47">
        <f t="shared" si="31"/>
        <v>4736.539600000001</v>
      </c>
    </row>
    <row r="2038" spans="1:4">
      <c r="A2038" s="122">
        <v>39982</v>
      </c>
      <c r="B2038" s="24">
        <v>0.79900000000000004</v>
      </c>
      <c r="C2038" s="24">
        <v>5859.7</v>
      </c>
      <c r="D2038" s="47">
        <f t="shared" si="31"/>
        <v>4681.9003000000002</v>
      </c>
    </row>
    <row r="2039" spans="1:4">
      <c r="A2039" s="122">
        <v>39981</v>
      </c>
      <c r="B2039" s="24">
        <v>0.79449999999999998</v>
      </c>
      <c r="C2039" s="24">
        <v>5836.3</v>
      </c>
      <c r="D2039" s="47">
        <f t="shared" si="31"/>
        <v>4636.9403499999999</v>
      </c>
    </row>
    <row r="2040" spans="1:4">
      <c r="A2040" s="122">
        <v>39980</v>
      </c>
      <c r="B2040" s="24">
        <v>0.79330000000000001</v>
      </c>
      <c r="C2040" s="24">
        <v>5853</v>
      </c>
      <c r="D2040" s="47">
        <f t="shared" si="31"/>
        <v>4643.1849000000002</v>
      </c>
    </row>
    <row r="2041" spans="1:4">
      <c r="A2041" s="122">
        <v>39979</v>
      </c>
      <c r="B2041" s="24">
        <v>0.79500000000000004</v>
      </c>
      <c r="C2041" s="24">
        <v>5741.9</v>
      </c>
      <c r="D2041" s="47">
        <f t="shared" si="31"/>
        <v>4564.8104999999996</v>
      </c>
    </row>
    <row r="2042" spans="1:4">
      <c r="A2042" s="122">
        <v>39976</v>
      </c>
      <c r="B2042" s="24">
        <v>0.81259999999999999</v>
      </c>
      <c r="C2042" s="24">
        <v>5865</v>
      </c>
      <c r="D2042" s="47">
        <f t="shared" si="31"/>
        <v>4765.8990000000003</v>
      </c>
    </row>
    <row r="2043" spans="1:4">
      <c r="A2043" s="122">
        <v>39975</v>
      </c>
      <c r="B2043" s="24">
        <v>0.81950000000000001</v>
      </c>
      <c r="C2043" s="24">
        <v>5891</v>
      </c>
      <c r="D2043" s="47">
        <f t="shared" si="31"/>
        <v>4827.6745000000001</v>
      </c>
    </row>
    <row r="2044" spans="1:4">
      <c r="A2044" s="122">
        <v>39974</v>
      </c>
      <c r="B2044" s="24">
        <v>0.80279999999999996</v>
      </c>
      <c r="C2044" s="24">
        <v>5830.2</v>
      </c>
      <c r="D2044" s="47">
        <f t="shared" si="31"/>
        <v>4680.4845599999999</v>
      </c>
    </row>
    <row r="2045" spans="1:4">
      <c r="A2045" s="122">
        <v>39973</v>
      </c>
      <c r="B2045" s="24">
        <v>0.80149999999999999</v>
      </c>
      <c r="C2045" s="24">
        <v>5822.3</v>
      </c>
      <c r="D2045" s="47">
        <f t="shared" si="31"/>
        <v>4666.5734499999999</v>
      </c>
    </row>
    <row r="2046" spans="1:4">
      <c r="A2046" s="122">
        <v>39972</v>
      </c>
      <c r="B2046" s="24">
        <v>0.78900000000000003</v>
      </c>
      <c r="C2046" s="24">
        <v>5825.3</v>
      </c>
      <c r="D2046" s="47">
        <f t="shared" si="31"/>
        <v>4596.1617000000006</v>
      </c>
    </row>
    <row r="2047" spans="1:4">
      <c r="A2047" s="122">
        <v>39969</v>
      </c>
      <c r="B2047" s="24">
        <v>0.79330000000000001</v>
      </c>
      <c r="C2047" s="24">
        <v>5771.8</v>
      </c>
      <c r="D2047" s="47">
        <f t="shared" si="31"/>
        <v>4578.7689399999999</v>
      </c>
    </row>
    <row r="2048" spans="1:4">
      <c r="A2048" s="122">
        <v>39968</v>
      </c>
      <c r="B2048" s="24">
        <v>0.80179999999999996</v>
      </c>
      <c r="C2048" s="24">
        <v>5653.6</v>
      </c>
      <c r="D2048" s="47">
        <f t="shared" si="31"/>
        <v>4533.0564800000002</v>
      </c>
    </row>
    <row r="2049" spans="1:4">
      <c r="A2049" s="122">
        <v>39967</v>
      </c>
      <c r="B2049" s="24">
        <v>0.80059999999999998</v>
      </c>
      <c r="C2049" s="24">
        <v>5786</v>
      </c>
      <c r="D2049" s="47">
        <f t="shared" si="31"/>
        <v>4632.2716</v>
      </c>
    </row>
    <row r="2050" spans="1:4">
      <c r="A2050" s="122">
        <v>39966</v>
      </c>
      <c r="B2050" s="24">
        <v>0.82079999999999997</v>
      </c>
      <c r="C2050" s="24">
        <v>5810.2</v>
      </c>
      <c r="D2050" s="47">
        <f t="shared" si="31"/>
        <v>4769.0121599999993</v>
      </c>
    </row>
    <row r="2051" spans="1:4">
      <c r="A2051" s="122">
        <v>39965</v>
      </c>
      <c r="B2051" s="24">
        <v>0.81</v>
      </c>
      <c r="C2051" s="24">
        <v>5832.5</v>
      </c>
      <c r="D2051" s="47">
        <f t="shared" ref="D2051:D2114" si="32">C2051*B2051</f>
        <v>4724.3250000000007</v>
      </c>
    </row>
    <row r="2052" spans="1:4">
      <c r="A2052" s="122">
        <v>39962</v>
      </c>
      <c r="B2052" s="24">
        <v>0.80130000000000001</v>
      </c>
      <c r="C2052" s="24">
        <v>5993.8</v>
      </c>
      <c r="D2052" s="47">
        <f t="shared" si="32"/>
        <v>4802.83194</v>
      </c>
    </row>
    <row r="2053" spans="1:4">
      <c r="A2053" s="122">
        <v>39961</v>
      </c>
      <c r="B2053" s="24">
        <v>0.7843</v>
      </c>
      <c r="C2053" s="24">
        <v>6044</v>
      </c>
      <c r="D2053" s="47">
        <f t="shared" si="32"/>
        <v>4740.3091999999997</v>
      </c>
    </row>
    <row r="2054" spans="1:4">
      <c r="A2054" s="122">
        <v>39960</v>
      </c>
      <c r="B2054" s="24">
        <v>0.77600000000000002</v>
      </c>
      <c r="C2054" s="24">
        <v>6036.1</v>
      </c>
      <c r="D2054" s="47">
        <f t="shared" si="32"/>
        <v>4684.0136000000002</v>
      </c>
    </row>
    <row r="2055" spans="1:4">
      <c r="A2055" s="122">
        <v>39959</v>
      </c>
      <c r="B2055" s="24">
        <v>0.7863</v>
      </c>
      <c r="C2055" s="24">
        <v>6017.1</v>
      </c>
      <c r="D2055" s="47">
        <f t="shared" si="32"/>
        <v>4731.2457300000005</v>
      </c>
    </row>
    <row r="2056" spans="1:4">
      <c r="A2056" s="122">
        <v>39958</v>
      </c>
      <c r="B2056" s="24">
        <v>0.78220000000000001</v>
      </c>
      <c r="C2056" s="24">
        <v>5951.8</v>
      </c>
      <c r="D2056" s="47">
        <f t="shared" si="32"/>
        <v>4655.4979600000006</v>
      </c>
    </row>
    <row r="2057" spans="1:4">
      <c r="A2057" s="122">
        <v>39955</v>
      </c>
      <c r="B2057" s="24">
        <v>0.78290000000000004</v>
      </c>
      <c r="C2057" s="24">
        <v>5989.7</v>
      </c>
      <c r="D2057" s="47">
        <f t="shared" si="32"/>
        <v>4689.3361299999997</v>
      </c>
    </row>
    <row r="2058" spans="1:4">
      <c r="A2058" s="122">
        <v>39954</v>
      </c>
      <c r="B2058" s="24">
        <v>0.77839999999999998</v>
      </c>
      <c r="C2058" s="24">
        <v>5990.1</v>
      </c>
      <c r="D2058" s="47">
        <f t="shared" si="32"/>
        <v>4662.6938399999999</v>
      </c>
    </row>
    <row r="2059" spans="1:4">
      <c r="A2059" s="122">
        <v>39953</v>
      </c>
      <c r="B2059" s="24">
        <v>0.77529999999999999</v>
      </c>
      <c r="C2059" s="24">
        <v>5953.7</v>
      </c>
      <c r="D2059" s="47">
        <f t="shared" si="32"/>
        <v>4615.9036099999994</v>
      </c>
    </row>
    <row r="2060" spans="1:4">
      <c r="A2060" s="122">
        <v>39952</v>
      </c>
      <c r="B2060" s="24">
        <v>0.77490000000000003</v>
      </c>
      <c r="C2060" s="24">
        <v>5992.8</v>
      </c>
      <c r="D2060" s="47">
        <f t="shared" si="32"/>
        <v>4643.8207200000006</v>
      </c>
    </row>
    <row r="2061" spans="1:4">
      <c r="A2061" s="122">
        <v>39951</v>
      </c>
      <c r="B2061" s="24">
        <v>0.76570000000000005</v>
      </c>
      <c r="C2061" s="24">
        <v>5960.5</v>
      </c>
      <c r="D2061" s="47">
        <f t="shared" si="32"/>
        <v>4563.9548500000001</v>
      </c>
    </row>
    <row r="2062" spans="1:4">
      <c r="A2062" s="122">
        <v>39948</v>
      </c>
      <c r="B2062" s="24">
        <v>0.74929999999999997</v>
      </c>
      <c r="C2062" s="24">
        <v>5936.6</v>
      </c>
      <c r="D2062" s="47">
        <f t="shared" si="32"/>
        <v>4448.2943800000003</v>
      </c>
    </row>
    <row r="2063" spans="1:4">
      <c r="A2063" s="122">
        <v>39947</v>
      </c>
      <c r="B2063" s="24">
        <v>0.7601</v>
      </c>
      <c r="C2063" s="24">
        <v>5924.1</v>
      </c>
      <c r="D2063" s="47">
        <f t="shared" si="32"/>
        <v>4502.90841</v>
      </c>
    </row>
    <row r="2064" spans="1:4">
      <c r="A2064" s="122">
        <v>39946</v>
      </c>
      <c r="B2064" s="24">
        <v>0.75319999999999998</v>
      </c>
      <c r="C2064" s="24">
        <v>5927.2</v>
      </c>
      <c r="D2064" s="47">
        <f t="shared" si="32"/>
        <v>4464.3670400000001</v>
      </c>
    </row>
    <row r="2065" spans="1:4">
      <c r="A2065" s="122">
        <v>39945</v>
      </c>
      <c r="B2065" s="24">
        <v>0.76500000000000001</v>
      </c>
      <c r="C2065" s="24">
        <v>5899.5</v>
      </c>
      <c r="D2065" s="47">
        <f t="shared" si="32"/>
        <v>4513.1175000000003</v>
      </c>
    </row>
    <row r="2066" spans="1:4">
      <c r="A2066" s="122">
        <v>39944</v>
      </c>
      <c r="B2066" s="24">
        <v>0.75890000000000002</v>
      </c>
      <c r="C2066" s="24">
        <v>5899.8</v>
      </c>
      <c r="D2066" s="47">
        <f t="shared" si="32"/>
        <v>4477.3582200000001</v>
      </c>
    </row>
    <row r="2067" spans="1:4">
      <c r="A2067" s="122">
        <v>39941</v>
      </c>
      <c r="B2067" s="24">
        <v>0.76859999999999995</v>
      </c>
      <c r="C2067" s="24">
        <v>5870.5</v>
      </c>
      <c r="D2067" s="47">
        <f t="shared" si="32"/>
        <v>4512.0662999999995</v>
      </c>
    </row>
    <row r="2068" spans="1:4">
      <c r="A2068" s="122">
        <v>39940</v>
      </c>
      <c r="B2068" s="24">
        <v>0.75429999999999997</v>
      </c>
      <c r="C2068" s="24">
        <v>5822.1</v>
      </c>
      <c r="D2068" s="47">
        <f t="shared" si="32"/>
        <v>4391.6100299999998</v>
      </c>
    </row>
    <row r="2069" spans="1:4">
      <c r="A2069" s="122">
        <v>39939</v>
      </c>
      <c r="B2069" s="24">
        <v>0.74839999999999995</v>
      </c>
      <c r="C2069" s="24">
        <v>5831.5</v>
      </c>
      <c r="D2069" s="47">
        <f t="shared" si="32"/>
        <v>4364.2946000000002</v>
      </c>
    </row>
    <row r="2070" spans="1:4">
      <c r="A2070" s="122">
        <v>39938</v>
      </c>
      <c r="B2070" s="24">
        <v>0.74270000000000003</v>
      </c>
      <c r="C2070" s="24">
        <v>5814.1</v>
      </c>
      <c r="D2070" s="47">
        <f t="shared" si="32"/>
        <v>4318.1320700000006</v>
      </c>
    </row>
    <row r="2071" spans="1:4">
      <c r="A2071" s="122">
        <v>39937</v>
      </c>
      <c r="B2071" s="24">
        <v>0.74029999999999996</v>
      </c>
      <c r="C2071" s="24">
        <v>5773.4</v>
      </c>
      <c r="D2071" s="47">
        <f t="shared" si="32"/>
        <v>4274.0480199999993</v>
      </c>
    </row>
    <row r="2072" spans="1:4">
      <c r="A2072" s="122">
        <v>39934</v>
      </c>
      <c r="B2072" s="24">
        <v>0.73040000000000005</v>
      </c>
      <c r="C2072" s="24">
        <v>5812.5</v>
      </c>
      <c r="D2072" s="47">
        <f t="shared" si="32"/>
        <v>4245.4500000000007</v>
      </c>
    </row>
    <row r="2073" spans="1:4">
      <c r="A2073" s="122">
        <v>39933</v>
      </c>
      <c r="B2073" s="24">
        <v>0.72619999999999996</v>
      </c>
      <c r="C2073" s="24">
        <v>5760.4</v>
      </c>
      <c r="D2073" s="47">
        <f t="shared" si="32"/>
        <v>4183.2024799999999</v>
      </c>
    </row>
    <row r="2074" spans="1:4">
      <c r="A2074" s="122">
        <v>39932</v>
      </c>
      <c r="B2074" s="24">
        <v>0.72699999999999998</v>
      </c>
      <c r="C2074" s="24">
        <v>5769.9</v>
      </c>
      <c r="D2074" s="47">
        <f t="shared" si="32"/>
        <v>4194.7172999999993</v>
      </c>
    </row>
    <row r="2075" spans="1:4">
      <c r="A2075" s="122">
        <v>39931</v>
      </c>
      <c r="B2075" s="24">
        <v>0.70640000000000003</v>
      </c>
      <c r="C2075" s="24">
        <v>5769.9</v>
      </c>
      <c r="D2075" s="47">
        <f t="shared" si="32"/>
        <v>4075.85736</v>
      </c>
    </row>
    <row r="2076" spans="1:4">
      <c r="A2076" s="122">
        <v>39930</v>
      </c>
      <c r="B2076" s="24">
        <v>0.71020000000000005</v>
      </c>
      <c r="C2076" s="24">
        <v>5768.8</v>
      </c>
      <c r="D2076" s="47">
        <f t="shared" si="32"/>
        <v>4097.0017600000001</v>
      </c>
    </row>
    <row r="2077" spans="1:4">
      <c r="A2077" s="122">
        <v>39927</v>
      </c>
      <c r="B2077" s="24">
        <v>0.72309999999999997</v>
      </c>
      <c r="C2077" s="24">
        <v>5735</v>
      </c>
      <c r="D2077" s="47">
        <f t="shared" si="32"/>
        <v>4146.9785000000002</v>
      </c>
    </row>
    <row r="2078" spans="1:4">
      <c r="A2078" s="122">
        <v>39926</v>
      </c>
      <c r="B2078" s="24">
        <v>0.7147</v>
      </c>
      <c r="C2078" s="24">
        <v>5726.6</v>
      </c>
      <c r="D2078" s="47">
        <f t="shared" si="32"/>
        <v>4092.8010200000003</v>
      </c>
    </row>
    <row r="2079" spans="1:4">
      <c r="A2079" s="122">
        <v>39925</v>
      </c>
      <c r="B2079" s="24">
        <v>0.70540000000000003</v>
      </c>
      <c r="C2079" s="24">
        <v>5673.1</v>
      </c>
      <c r="D2079" s="47">
        <f t="shared" si="32"/>
        <v>4001.8047400000005</v>
      </c>
    </row>
    <row r="2080" spans="1:4">
      <c r="A2080" s="122">
        <v>39924</v>
      </c>
      <c r="B2080" s="24">
        <v>0.71160000000000001</v>
      </c>
      <c r="C2080" s="24">
        <v>5672.4</v>
      </c>
      <c r="D2080" s="47">
        <f t="shared" si="32"/>
        <v>4036.47984</v>
      </c>
    </row>
    <row r="2081" spans="1:4">
      <c r="A2081" s="122">
        <v>39923</v>
      </c>
      <c r="B2081" s="24">
        <v>0.6966</v>
      </c>
      <c r="C2081" s="24">
        <v>5646.1</v>
      </c>
      <c r="D2081" s="47">
        <f t="shared" si="32"/>
        <v>3933.0732600000001</v>
      </c>
    </row>
    <row r="2082" spans="1:4">
      <c r="A2082" s="122">
        <v>39920</v>
      </c>
      <c r="B2082" s="24">
        <v>0.72209999999999996</v>
      </c>
      <c r="C2082" s="24">
        <v>5673.4</v>
      </c>
      <c r="D2082" s="47">
        <f t="shared" si="32"/>
        <v>4096.7621399999998</v>
      </c>
    </row>
    <row r="2083" spans="1:4">
      <c r="A2083" s="122">
        <v>39919</v>
      </c>
      <c r="B2083" s="24">
        <v>0.72060000000000002</v>
      </c>
      <c r="C2083" s="24">
        <v>5673.8</v>
      </c>
      <c r="D2083" s="47">
        <f t="shared" si="32"/>
        <v>4088.5402800000002</v>
      </c>
    </row>
    <row r="2084" spans="1:4">
      <c r="A2084" s="122">
        <v>39918</v>
      </c>
      <c r="B2084" s="24">
        <v>0.72840000000000005</v>
      </c>
      <c r="C2084" s="24">
        <v>5638.8</v>
      </c>
      <c r="D2084" s="47">
        <f t="shared" si="32"/>
        <v>4107.3019200000008</v>
      </c>
    </row>
    <row r="2085" spans="1:4">
      <c r="A2085" s="122">
        <v>39917</v>
      </c>
      <c r="B2085" s="24">
        <v>0.7238</v>
      </c>
      <c r="C2085" s="24">
        <v>5564.9</v>
      </c>
      <c r="D2085" s="47">
        <f t="shared" si="32"/>
        <v>4027.8746199999996</v>
      </c>
    </row>
    <row r="2086" spans="1:4">
      <c r="A2086" s="122">
        <v>39916</v>
      </c>
      <c r="B2086" s="24">
        <v>0.73170000000000002</v>
      </c>
      <c r="C2086" s="24">
        <v>5520.9</v>
      </c>
      <c r="D2086" s="47">
        <f t="shared" si="32"/>
        <v>4039.6425299999996</v>
      </c>
    </row>
    <row r="2087" spans="1:4">
      <c r="A2087" s="122">
        <v>39913</v>
      </c>
      <c r="B2087" s="24">
        <v>0.71899999999999997</v>
      </c>
      <c r="C2087" s="24">
        <v>5589.7</v>
      </c>
      <c r="D2087" s="47">
        <f t="shared" si="32"/>
        <v>4018.9942999999998</v>
      </c>
    </row>
    <row r="2088" spans="1:4">
      <c r="A2088" s="122">
        <v>39912</v>
      </c>
      <c r="B2088" s="24">
        <v>0.71940000000000004</v>
      </c>
      <c r="C2088" s="24">
        <v>5502</v>
      </c>
      <c r="D2088" s="47">
        <f t="shared" si="32"/>
        <v>3958.1388000000002</v>
      </c>
    </row>
    <row r="2089" spans="1:4">
      <c r="A2089" s="122">
        <v>39911</v>
      </c>
      <c r="B2089" s="24">
        <v>0.71020000000000005</v>
      </c>
      <c r="C2089" s="24">
        <v>5572</v>
      </c>
      <c r="D2089" s="47">
        <f t="shared" si="32"/>
        <v>3957.2344000000003</v>
      </c>
    </row>
    <row r="2090" spans="1:4">
      <c r="A2090" s="122">
        <v>39910</v>
      </c>
      <c r="B2090" s="24">
        <v>0.71079999999999999</v>
      </c>
      <c r="C2090" s="24">
        <v>5584.8</v>
      </c>
      <c r="D2090" s="47">
        <f t="shared" si="32"/>
        <v>3969.6758399999999</v>
      </c>
    </row>
    <row r="2091" spans="1:4">
      <c r="A2091" s="122">
        <v>39909</v>
      </c>
      <c r="B2091" s="24">
        <v>0.71399999999999997</v>
      </c>
      <c r="C2091" s="24">
        <v>5649.4</v>
      </c>
      <c r="D2091" s="47">
        <f t="shared" si="32"/>
        <v>4033.6715999999997</v>
      </c>
    </row>
    <row r="2092" spans="1:4">
      <c r="A2092" s="122">
        <v>39906</v>
      </c>
      <c r="B2092" s="24">
        <v>0.71499999999999997</v>
      </c>
      <c r="C2092" s="24">
        <v>5670.2</v>
      </c>
      <c r="D2092" s="47">
        <f t="shared" si="32"/>
        <v>4054.1929999999998</v>
      </c>
    </row>
    <row r="2093" spans="1:4">
      <c r="A2093" s="122">
        <v>39905</v>
      </c>
      <c r="B2093" s="24">
        <v>0.71530000000000005</v>
      </c>
      <c r="C2093" s="24">
        <v>5669.9</v>
      </c>
      <c r="D2093" s="47">
        <f t="shared" si="32"/>
        <v>4055.67947</v>
      </c>
    </row>
    <row r="2094" spans="1:4">
      <c r="A2094" s="122">
        <v>39904</v>
      </c>
      <c r="B2094" s="24">
        <v>0.69899999999999995</v>
      </c>
      <c r="C2094" s="24">
        <v>5660.5</v>
      </c>
      <c r="D2094" s="47">
        <f t="shared" si="32"/>
        <v>3956.6895</v>
      </c>
    </row>
    <row r="2095" spans="1:4">
      <c r="A2095" s="122">
        <v>39903</v>
      </c>
      <c r="B2095" s="24">
        <v>0.69120000000000004</v>
      </c>
      <c r="C2095" s="24">
        <v>5643.2</v>
      </c>
      <c r="D2095" s="47">
        <f t="shared" si="32"/>
        <v>3900.5798399999999</v>
      </c>
    </row>
    <row r="2096" spans="1:4">
      <c r="A2096" s="122">
        <v>39902</v>
      </c>
      <c r="B2096" s="24">
        <v>0.68130000000000002</v>
      </c>
      <c r="C2096" s="24">
        <v>5603.7</v>
      </c>
      <c r="D2096" s="47">
        <f t="shared" si="32"/>
        <v>3817.8008100000002</v>
      </c>
    </row>
    <row r="2097" spans="1:4">
      <c r="A2097" s="122">
        <v>39899</v>
      </c>
      <c r="B2097" s="24">
        <v>0.69399999999999995</v>
      </c>
      <c r="C2097" s="24">
        <v>5583.5</v>
      </c>
      <c r="D2097" s="47">
        <f t="shared" si="32"/>
        <v>3874.9489999999996</v>
      </c>
    </row>
    <row r="2098" spans="1:4">
      <c r="A2098" s="122">
        <v>39898</v>
      </c>
      <c r="B2098" s="24">
        <v>0.7016</v>
      </c>
      <c r="C2098" s="24">
        <v>5607.8</v>
      </c>
      <c r="D2098" s="47">
        <f t="shared" si="32"/>
        <v>3934.4324799999999</v>
      </c>
    </row>
    <row r="2099" spans="1:4">
      <c r="A2099" s="122">
        <v>39897</v>
      </c>
      <c r="B2099" s="24">
        <v>0.69769999999999999</v>
      </c>
      <c r="C2099" s="24">
        <v>5559.7</v>
      </c>
      <c r="D2099" s="47">
        <f t="shared" si="32"/>
        <v>3879.0026899999998</v>
      </c>
    </row>
    <row r="2100" spans="1:4">
      <c r="A2100" s="122">
        <v>39896</v>
      </c>
      <c r="B2100" s="24">
        <v>0.69540000000000002</v>
      </c>
      <c r="C2100" s="24">
        <v>5591.5</v>
      </c>
      <c r="D2100" s="47">
        <f t="shared" si="32"/>
        <v>3888.3290999999999</v>
      </c>
    </row>
    <row r="2101" spans="1:4">
      <c r="A2101" s="122">
        <v>39895</v>
      </c>
      <c r="B2101" s="24">
        <v>0.70530000000000004</v>
      </c>
      <c r="C2101" s="24">
        <v>5575.4</v>
      </c>
      <c r="D2101" s="47">
        <f t="shared" si="32"/>
        <v>3932.32962</v>
      </c>
    </row>
    <row r="2102" spans="1:4">
      <c r="A2102" s="122">
        <v>39892</v>
      </c>
      <c r="B2102" s="24">
        <v>0.68689999999999996</v>
      </c>
      <c r="C2102" s="24">
        <v>5573.1</v>
      </c>
      <c r="D2102" s="47">
        <f t="shared" si="32"/>
        <v>3828.16239</v>
      </c>
    </row>
    <row r="2103" spans="1:4">
      <c r="A2103" s="122">
        <v>39891</v>
      </c>
      <c r="B2103" s="24">
        <v>0.68530000000000002</v>
      </c>
      <c r="C2103" s="24">
        <v>5488.2</v>
      </c>
      <c r="D2103" s="47">
        <f t="shared" si="32"/>
        <v>3761.0634599999998</v>
      </c>
    </row>
    <row r="2104" spans="1:4">
      <c r="A2104" s="122">
        <v>39890</v>
      </c>
      <c r="B2104" s="24">
        <v>0.67659999999999998</v>
      </c>
      <c r="C2104" s="24">
        <v>5473.6</v>
      </c>
      <c r="D2104" s="47">
        <f t="shared" si="32"/>
        <v>3703.4377600000003</v>
      </c>
    </row>
    <row r="2105" spans="1:4">
      <c r="A2105" s="122">
        <v>39889</v>
      </c>
      <c r="B2105" s="24">
        <v>0.66200000000000003</v>
      </c>
      <c r="C2105" s="24">
        <v>5469.7</v>
      </c>
      <c r="D2105" s="47">
        <f t="shared" si="32"/>
        <v>3620.9414000000002</v>
      </c>
    </row>
    <row r="2106" spans="1:4">
      <c r="A2106" s="122">
        <v>39888</v>
      </c>
      <c r="B2106" s="24">
        <v>0.65939999999999999</v>
      </c>
      <c r="C2106" s="24">
        <v>5425.8</v>
      </c>
      <c r="D2106" s="47">
        <f t="shared" si="32"/>
        <v>3577.77252</v>
      </c>
    </row>
    <row r="2107" spans="1:4">
      <c r="A2107" s="122">
        <v>39885</v>
      </c>
      <c r="B2107" s="24">
        <v>0.65790000000000004</v>
      </c>
      <c r="C2107" s="24">
        <v>5465.2</v>
      </c>
      <c r="D2107" s="47">
        <f t="shared" si="32"/>
        <v>3595.5550800000001</v>
      </c>
    </row>
    <row r="2108" spans="1:4">
      <c r="A2108" s="122">
        <v>39884</v>
      </c>
      <c r="B2108" s="24">
        <v>0.65469999999999995</v>
      </c>
      <c r="C2108" s="24">
        <v>5466.7</v>
      </c>
      <c r="D2108" s="47">
        <f t="shared" si="32"/>
        <v>3579.0484899999997</v>
      </c>
    </row>
    <row r="2109" spans="1:4">
      <c r="A2109" s="122">
        <v>39883</v>
      </c>
      <c r="B2109" s="24">
        <v>0.65210000000000001</v>
      </c>
      <c r="C2109" s="24">
        <v>5426.5</v>
      </c>
      <c r="D2109" s="47">
        <f t="shared" si="32"/>
        <v>3538.6206500000003</v>
      </c>
    </row>
    <row r="2110" spans="1:4">
      <c r="A2110" s="122">
        <v>39882</v>
      </c>
      <c r="B2110" s="24">
        <v>0.64590000000000003</v>
      </c>
      <c r="C2110" s="24">
        <v>5424.9</v>
      </c>
      <c r="D2110" s="47">
        <f t="shared" si="32"/>
        <v>3503.9429099999998</v>
      </c>
    </row>
    <row r="2111" spans="1:4">
      <c r="A2111" s="122">
        <v>39881</v>
      </c>
      <c r="B2111" s="24">
        <v>0.63180000000000003</v>
      </c>
      <c r="C2111" s="24">
        <v>5427.9</v>
      </c>
      <c r="D2111" s="47">
        <f t="shared" si="32"/>
        <v>3429.3472200000001</v>
      </c>
    </row>
    <row r="2112" spans="1:4">
      <c r="A2112" s="122">
        <v>39878</v>
      </c>
      <c r="B2112" s="24">
        <v>0.64059999999999995</v>
      </c>
      <c r="C2112" s="24">
        <v>5482.1</v>
      </c>
      <c r="D2112" s="47">
        <f t="shared" si="32"/>
        <v>3511.8332599999999</v>
      </c>
    </row>
    <row r="2113" spans="1:4">
      <c r="A2113" s="122">
        <v>39877</v>
      </c>
      <c r="B2113" s="24">
        <v>0.63849999999999996</v>
      </c>
      <c r="C2113" s="24">
        <v>5452.6</v>
      </c>
      <c r="D2113" s="47">
        <f t="shared" si="32"/>
        <v>3481.4850999999999</v>
      </c>
    </row>
    <row r="2114" spans="1:4">
      <c r="A2114" s="122">
        <v>39876</v>
      </c>
      <c r="B2114" s="24">
        <v>0.64939999999999998</v>
      </c>
      <c r="C2114" s="24">
        <v>5384.3</v>
      </c>
      <c r="D2114" s="47">
        <f t="shared" si="32"/>
        <v>3496.5644200000002</v>
      </c>
    </row>
    <row r="2115" spans="1:4">
      <c r="A2115" s="122">
        <v>39875</v>
      </c>
      <c r="B2115" s="24">
        <v>0.63780000000000003</v>
      </c>
      <c r="C2115" s="24">
        <v>5452.2</v>
      </c>
      <c r="D2115" s="47">
        <f t="shared" ref="D2115:D2178" si="33">C2115*B2115</f>
        <v>3477.4131600000001</v>
      </c>
    </row>
    <row r="2116" spans="1:4">
      <c r="A2116" s="122">
        <v>39874</v>
      </c>
      <c r="B2116" s="24">
        <v>0.62980000000000003</v>
      </c>
      <c r="C2116" s="24">
        <v>5453.6</v>
      </c>
      <c r="D2116" s="47">
        <f t="shared" si="33"/>
        <v>3434.6772800000003</v>
      </c>
    </row>
    <row r="2117" spans="1:4">
      <c r="A2117" s="122">
        <v>39871</v>
      </c>
      <c r="B2117" s="24">
        <v>0.63859999999999995</v>
      </c>
      <c r="C2117" s="24">
        <v>5466.9</v>
      </c>
      <c r="D2117" s="47">
        <f t="shared" si="33"/>
        <v>3491.1623399999994</v>
      </c>
    </row>
    <row r="2118" spans="1:4">
      <c r="A2118" s="122">
        <v>39870</v>
      </c>
      <c r="B2118" s="24">
        <v>0.64770000000000005</v>
      </c>
      <c r="C2118" s="24">
        <v>5445.7</v>
      </c>
      <c r="D2118" s="47">
        <f t="shared" si="33"/>
        <v>3527.1798900000003</v>
      </c>
    </row>
    <row r="2119" spans="1:4">
      <c r="A2119" s="122">
        <v>39869</v>
      </c>
      <c r="B2119" s="24">
        <v>0.64690000000000003</v>
      </c>
      <c r="C2119" s="24">
        <v>5358</v>
      </c>
      <c r="D2119" s="47">
        <f t="shared" si="33"/>
        <v>3466.0902000000001</v>
      </c>
    </row>
    <row r="2120" spans="1:4">
      <c r="A2120" s="122">
        <v>39868</v>
      </c>
      <c r="B2120" s="24">
        <v>0.65110000000000001</v>
      </c>
      <c r="C2120" s="24">
        <v>5322.4</v>
      </c>
      <c r="D2120" s="47">
        <f t="shared" si="33"/>
        <v>3465.41464</v>
      </c>
    </row>
    <row r="2121" spans="1:4">
      <c r="A2121" s="122">
        <v>39867</v>
      </c>
      <c r="B2121" s="24">
        <v>0.64149999999999996</v>
      </c>
      <c r="C2121" s="24">
        <v>5419.7</v>
      </c>
      <c r="D2121" s="47">
        <f t="shared" si="33"/>
        <v>3476.7375499999998</v>
      </c>
    </row>
    <row r="2122" spans="1:4">
      <c r="A2122" s="122">
        <v>39864</v>
      </c>
      <c r="B2122" s="24">
        <v>0.64549999999999996</v>
      </c>
      <c r="C2122" s="24">
        <v>5392.6</v>
      </c>
      <c r="D2122" s="47">
        <f t="shared" si="33"/>
        <v>3480.9232999999999</v>
      </c>
    </row>
    <row r="2123" spans="1:4">
      <c r="A2123" s="122">
        <v>39863</v>
      </c>
      <c r="B2123" s="24">
        <v>0.64370000000000005</v>
      </c>
      <c r="C2123" s="24">
        <v>5429.9</v>
      </c>
      <c r="D2123" s="47">
        <f t="shared" si="33"/>
        <v>3495.2266300000001</v>
      </c>
    </row>
    <row r="2124" spans="1:4">
      <c r="A2124" s="122">
        <v>39862</v>
      </c>
      <c r="B2124" s="24">
        <v>0.63719999999999999</v>
      </c>
      <c r="C2124" s="24">
        <v>5435.6</v>
      </c>
      <c r="D2124" s="47">
        <f t="shared" si="33"/>
        <v>3463.56432</v>
      </c>
    </row>
    <row r="2125" spans="1:4">
      <c r="A2125" s="122">
        <v>39861</v>
      </c>
      <c r="B2125" s="24">
        <v>0.63500000000000001</v>
      </c>
      <c r="C2125" s="24">
        <v>5418.4</v>
      </c>
      <c r="D2125" s="47">
        <f t="shared" si="33"/>
        <v>3440.6839999999997</v>
      </c>
    </row>
    <row r="2126" spans="1:4">
      <c r="A2126" s="122">
        <v>39860</v>
      </c>
      <c r="B2126" s="24">
        <v>0.6502</v>
      </c>
      <c r="C2126" s="24">
        <v>5436.7</v>
      </c>
      <c r="D2126" s="47">
        <f t="shared" si="33"/>
        <v>3534.9423400000001</v>
      </c>
    </row>
    <row r="2127" spans="1:4">
      <c r="A2127" s="122">
        <v>39857</v>
      </c>
      <c r="B2127" s="24">
        <v>0.65559999999999996</v>
      </c>
      <c r="C2127" s="24">
        <v>5429</v>
      </c>
      <c r="D2127" s="47">
        <f t="shared" si="33"/>
        <v>3559.2523999999999</v>
      </c>
    </row>
    <row r="2128" spans="1:4">
      <c r="A2128" s="122">
        <v>39856</v>
      </c>
      <c r="B2128" s="24">
        <v>0.65239999999999998</v>
      </c>
      <c r="C2128" s="24">
        <v>5459.2</v>
      </c>
      <c r="D2128" s="47">
        <f t="shared" si="33"/>
        <v>3561.5820799999997</v>
      </c>
    </row>
    <row r="2129" spans="1:4">
      <c r="A2129" s="122">
        <v>39855</v>
      </c>
      <c r="B2129" s="24">
        <v>0.65590000000000004</v>
      </c>
      <c r="C2129" s="24">
        <v>5491.6</v>
      </c>
      <c r="D2129" s="47">
        <f t="shared" si="33"/>
        <v>3601.9404400000003</v>
      </c>
    </row>
    <row r="2130" spans="1:4">
      <c r="A2130" s="122">
        <v>39854</v>
      </c>
      <c r="B2130" s="24">
        <v>0.65490000000000004</v>
      </c>
      <c r="C2130" s="24">
        <v>5444.1</v>
      </c>
      <c r="D2130" s="47">
        <f t="shared" si="33"/>
        <v>3565.3410900000003</v>
      </c>
    </row>
    <row r="2131" spans="1:4">
      <c r="A2131" s="122">
        <v>39853</v>
      </c>
      <c r="B2131" s="24">
        <v>0.6784</v>
      </c>
      <c r="C2131" s="24">
        <v>5432</v>
      </c>
      <c r="D2131" s="47">
        <f t="shared" si="33"/>
        <v>3685.0688</v>
      </c>
    </row>
    <row r="2132" spans="1:4">
      <c r="A2132" s="122">
        <v>39850</v>
      </c>
      <c r="B2132" s="24">
        <v>0.67549999999999999</v>
      </c>
      <c r="C2132" s="24">
        <v>5416.4</v>
      </c>
      <c r="D2132" s="47">
        <f t="shared" si="33"/>
        <v>3658.7781999999997</v>
      </c>
    </row>
    <row r="2133" spans="1:4">
      <c r="A2133" s="122">
        <v>39849</v>
      </c>
      <c r="B2133" s="24">
        <v>0.65229999999999999</v>
      </c>
      <c r="C2133" s="24">
        <v>5384.4</v>
      </c>
      <c r="D2133" s="47">
        <f t="shared" si="33"/>
        <v>3512.2441199999998</v>
      </c>
    </row>
    <row r="2134" spans="1:4">
      <c r="A2134" s="122">
        <v>39848</v>
      </c>
      <c r="B2134" s="24">
        <v>0.64410000000000001</v>
      </c>
      <c r="C2134" s="24">
        <v>5399.4</v>
      </c>
      <c r="D2134" s="47">
        <f t="shared" si="33"/>
        <v>3477.7535399999997</v>
      </c>
    </row>
    <row r="2135" spans="1:4">
      <c r="A2135" s="122">
        <v>39847</v>
      </c>
      <c r="B2135" s="24">
        <v>0.6512</v>
      </c>
      <c r="C2135" s="24">
        <v>5358.5</v>
      </c>
      <c r="D2135" s="47">
        <f t="shared" si="33"/>
        <v>3489.4551999999999</v>
      </c>
    </row>
    <row r="2136" spans="1:4">
      <c r="A2136" s="122">
        <v>39846</v>
      </c>
      <c r="B2136" s="24">
        <v>0.63149999999999995</v>
      </c>
      <c r="C2136" s="24">
        <v>5389.7</v>
      </c>
      <c r="D2136" s="47">
        <f t="shared" si="33"/>
        <v>3403.5955499999995</v>
      </c>
    </row>
    <row r="2137" spans="1:4">
      <c r="A2137" s="122">
        <v>39843</v>
      </c>
      <c r="B2137" s="24">
        <v>0.63759999999999994</v>
      </c>
      <c r="C2137" s="24">
        <v>5352.3</v>
      </c>
      <c r="D2137" s="47">
        <f t="shared" si="33"/>
        <v>3412.6264799999999</v>
      </c>
    </row>
    <row r="2138" spans="1:4">
      <c r="A2138" s="122">
        <v>39842</v>
      </c>
      <c r="B2138" s="24">
        <v>0.6522</v>
      </c>
      <c r="C2138" s="24">
        <v>5317.1</v>
      </c>
      <c r="D2138" s="47">
        <f t="shared" si="33"/>
        <v>3467.8126200000002</v>
      </c>
    </row>
    <row r="2139" spans="1:4">
      <c r="A2139" s="122">
        <v>39841</v>
      </c>
      <c r="B2139" s="24">
        <v>0.66600000000000004</v>
      </c>
      <c r="C2139" s="24">
        <v>5333.5</v>
      </c>
      <c r="D2139" s="47">
        <f t="shared" si="33"/>
        <v>3552.1110000000003</v>
      </c>
    </row>
    <row r="2140" spans="1:4">
      <c r="A2140" s="122">
        <v>39840</v>
      </c>
      <c r="B2140" s="24">
        <v>0.66149999999999998</v>
      </c>
      <c r="C2140" s="24">
        <v>5335.4</v>
      </c>
      <c r="D2140" s="47">
        <f t="shared" si="33"/>
        <v>3529.3670999999995</v>
      </c>
    </row>
    <row r="2141" spans="1:4">
      <c r="A2141" s="122">
        <v>39839</v>
      </c>
      <c r="B2141" s="24">
        <v>0.65990000000000004</v>
      </c>
      <c r="C2141" s="24">
        <v>5285.3</v>
      </c>
      <c r="D2141" s="47">
        <f t="shared" si="33"/>
        <v>3487.7694700000002</v>
      </c>
    </row>
    <row r="2142" spans="1:4">
      <c r="A2142" s="122">
        <v>39836</v>
      </c>
      <c r="B2142" s="24">
        <v>0.65380000000000005</v>
      </c>
      <c r="C2142" s="24">
        <v>5313.2</v>
      </c>
      <c r="D2142" s="47">
        <f t="shared" si="33"/>
        <v>3473.77016</v>
      </c>
    </row>
    <row r="2143" spans="1:4">
      <c r="A2143" s="122">
        <v>39835</v>
      </c>
      <c r="B2143" s="24">
        <v>0.65539999999999998</v>
      </c>
      <c r="C2143" s="24">
        <v>5281.3</v>
      </c>
      <c r="D2143" s="47">
        <f t="shared" si="33"/>
        <v>3461.36402</v>
      </c>
    </row>
    <row r="2144" spans="1:4">
      <c r="A2144" s="122">
        <v>39834</v>
      </c>
      <c r="B2144" s="24">
        <v>0.66200000000000003</v>
      </c>
      <c r="C2144" s="24">
        <v>5311</v>
      </c>
      <c r="D2144" s="47">
        <f t="shared" si="33"/>
        <v>3515.8820000000001</v>
      </c>
    </row>
    <row r="2145" spans="1:4">
      <c r="A2145" s="122">
        <v>39833</v>
      </c>
      <c r="B2145" s="24">
        <v>0.65069999999999995</v>
      </c>
      <c r="C2145" s="24">
        <v>5290</v>
      </c>
      <c r="D2145" s="47">
        <f t="shared" si="33"/>
        <v>3442.2029999999995</v>
      </c>
    </row>
    <row r="2146" spans="1:4">
      <c r="A2146" s="122">
        <v>39832</v>
      </c>
      <c r="B2146" s="24">
        <v>0.66690000000000005</v>
      </c>
      <c r="C2146" s="24">
        <v>5259.4</v>
      </c>
      <c r="D2146" s="47">
        <f t="shared" si="33"/>
        <v>3507.49386</v>
      </c>
    </row>
    <row r="2147" spans="1:4">
      <c r="A2147" s="122">
        <v>39829</v>
      </c>
      <c r="B2147" s="24">
        <v>0.67330000000000001</v>
      </c>
      <c r="C2147" s="24">
        <v>5282.8</v>
      </c>
      <c r="D2147" s="47">
        <f t="shared" si="33"/>
        <v>3556.90924</v>
      </c>
    </row>
    <row r="2148" spans="1:4">
      <c r="A2148" s="122">
        <v>39828</v>
      </c>
      <c r="B2148" s="24">
        <v>0.66300000000000003</v>
      </c>
      <c r="C2148" s="24">
        <v>5248.6</v>
      </c>
      <c r="D2148" s="47">
        <f t="shared" si="33"/>
        <v>3479.8218000000006</v>
      </c>
    </row>
    <row r="2149" spans="1:4">
      <c r="A2149" s="122">
        <v>39827</v>
      </c>
      <c r="B2149" s="24">
        <v>0.6613</v>
      </c>
      <c r="C2149" s="24">
        <v>5199.1000000000004</v>
      </c>
      <c r="D2149" s="47">
        <f t="shared" si="33"/>
        <v>3438.1648300000002</v>
      </c>
    </row>
    <row r="2150" spans="1:4">
      <c r="A2150" s="122">
        <v>39826</v>
      </c>
      <c r="B2150" s="24">
        <v>0.66490000000000005</v>
      </c>
      <c r="C2150" s="24">
        <v>5220.7</v>
      </c>
      <c r="D2150" s="47">
        <f t="shared" si="33"/>
        <v>3471.24343</v>
      </c>
    </row>
    <row r="2151" spans="1:4">
      <c r="A2151" s="122">
        <v>39825</v>
      </c>
      <c r="B2151" s="24">
        <v>0.68179999999999996</v>
      </c>
      <c r="C2151" s="24">
        <v>5219.3</v>
      </c>
      <c r="D2151" s="47">
        <f t="shared" si="33"/>
        <v>3558.51874</v>
      </c>
    </row>
    <row r="2152" spans="1:4">
      <c r="A2152" s="122">
        <v>39822</v>
      </c>
      <c r="B2152" s="24">
        <v>0.70369999999999999</v>
      </c>
      <c r="C2152" s="24">
        <v>5142.7</v>
      </c>
      <c r="D2152" s="47">
        <f t="shared" si="33"/>
        <v>3618.9179899999999</v>
      </c>
    </row>
    <row r="2153" spans="1:4">
      <c r="A2153" s="122">
        <v>39821</v>
      </c>
      <c r="B2153" s="24">
        <v>0.71199999999999997</v>
      </c>
      <c r="C2153" s="24">
        <v>5184.3</v>
      </c>
      <c r="D2153" s="47">
        <f t="shared" si="33"/>
        <v>3691.2215999999999</v>
      </c>
    </row>
    <row r="2154" spans="1:4">
      <c r="A2154" s="122">
        <v>39820</v>
      </c>
      <c r="B2154" s="24">
        <v>0.71279999999999999</v>
      </c>
      <c r="C2154" s="24">
        <v>5178.8</v>
      </c>
      <c r="D2154" s="47">
        <f t="shared" si="33"/>
        <v>3691.4486400000001</v>
      </c>
    </row>
    <row r="2155" spans="1:4">
      <c r="A2155" s="122">
        <v>39819</v>
      </c>
      <c r="B2155" s="24">
        <v>0.72319999999999995</v>
      </c>
      <c r="C2155" s="24">
        <v>5154.1000000000004</v>
      </c>
      <c r="D2155" s="47">
        <f t="shared" si="33"/>
        <v>3727.4451199999999</v>
      </c>
    </row>
    <row r="2156" spans="1:4">
      <c r="A2156" s="122">
        <v>39818</v>
      </c>
      <c r="B2156" s="24">
        <v>0.71719999999999995</v>
      </c>
      <c r="C2156" s="24">
        <v>5113.8999999999996</v>
      </c>
      <c r="D2156" s="47">
        <f t="shared" si="33"/>
        <v>3667.6890799999996</v>
      </c>
    </row>
    <row r="2157" spans="1:4">
      <c r="A2157" s="122">
        <v>39815</v>
      </c>
      <c r="B2157" s="24">
        <v>0.71140000000000003</v>
      </c>
      <c r="C2157" s="24">
        <v>5093.2</v>
      </c>
      <c r="D2157" s="47">
        <f t="shared" si="33"/>
        <v>3623.3024799999998</v>
      </c>
    </row>
    <row r="2158" spans="1:4">
      <c r="A2158" s="122">
        <v>39814</v>
      </c>
      <c r="B2158" s="24">
        <v>0.70540000000000003</v>
      </c>
      <c r="C2158" s="24">
        <v>4989.6000000000004</v>
      </c>
      <c r="D2158" s="47">
        <f t="shared" si="33"/>
        <v>3519.6638400000006</v>
      </c>
    </row>
    <row r="2159" spans="1:4">
      <c r="A2159" s="122">
        <v>39813</v>
      </c>
      <c r="B2159" s="24">
        <v>0.7026</v>
      </c>
      <c r="C2159" s="24">
        <v>4986.3</v>
      </c>
      <c r="D2159" s="47">
        <f t="shared" si="33"/>
        <v>3503.3743800000002</v>
      </c>
    </row>
    <row r="2160" spans="1:4">
      <c r="A2160" s="122">
        <v>39812</v>
      </c>
      <c r="B2160" s="24">
        <v>0.69169999999999998</v>
      </c>
      <c r="C2160" s="24">
        <v>4983.2</v>
      </c>
      <c r="D2160" s="47">
        <f t="shared" si="33"/>
        <v>3446.8794399999997</v>
      </c>
    </row>
    <row r="2161" spans="1:4">
      <c r="A2161" s="122">
        <v>39811</v>
      </c>
      <c r="B2161" s="24">
        <v>0.68530000000000002</v>
      </c>
      <c r="C2161" s="24">
        <v>4995.8999999999996</v>
      </c>
      <c r="D2161" s="47">
        <f t="shared" si="33"/>
        <v>3423.6902700000001</v>
      </c>
    </row>
    <row r="2162" spans="1:4">
      <c r="A2162" s="122">
        <v>39808</v>
      </c>
      <c r="B2162" s="24">
        <v>0.6845</v>
      </c>
      <c r="C2162" s="24">
        <v>4998.5</v>
      </c>
      <c r="D2162" s="47">
        <f t="shared" si="33"/>
        <v>3421.47325</v>
      </c>
    </row>
    <row r="2163" spans="1:4">
      <c r="A2163" s="122">
        <v>39807</v>
      </c>
      <c r="B2163" s="24">
        <v>0.68300000000000005</v>
      </c>
      <c r="C2163" s="24">
        <v>5056.8</v>
      </c>
      <c r="D2163" s="47">
        <f t="shared" si="33"/>
        <v>3453.7944000000002</v>
      </c>
    </row>
    <row r="2164" spans="1:4">
      <c r="A2164" s="122">
        <v>39806</v>
      </c>
      <c r="B2164" s="24">
        <v>0.68300000000000005</v>
      </c>
      <c r="C2164" s="24">
        <v>5072.8</v>
      </c>
      <c r="D2164" s="47">
        <f t="shared" si="33"/>
        <v>3464.7224000000006</v>
      </c>
    </row>
    <row r="2165" spans="1:4">
      <c r="A2165" s="122">
        <v>39805</v>
      </c>
      <c r="B2165" s="24">
        <v>0.68059999999999998</v>
      </c>
      <c r="C2165" s="24">
        <v>5036.3999999999996</v>
      </c>
      <c r="D2165" s="47">
        <f t="shared" si="33"/>
        <v>3427.7738399999998</v>
      </c>
    </row>
    <row r="2166" spans="1:4">
      <c r="A2166" s="122">
        <v>39804</v>
      </c>
      <c r="B2166" s="24">
        <v>0.68400000000000005</v>
      </c>
      <c r="C2166" s="24">
        <v>5070.3999999999996</v>
      </c>
      <c r="D2166" s="47">
        <f t="shared" si="33"/>
        <v>3468.1536000000001</v>
      </c>
    </row>
    <row r="2167" spans="1:4">
      <c r="A2167" s="122">
        <v>39801</v>
      </c>
      <c r="B2167" s="24">
        <v>0.6804</v>
      </c>
      <c r="C2167" s="24">
        <v>5017.2</v>
      </c>
      <c r="D2167" s="47">
        <f t="shared" si="33"/>
        <v>3413.7028799999998</v>
      </c>
    </row>
    <row r="2168" spans="1:4">
      <c r="A2168" s="122">
        <v>39800</v>
      </c>
      <c r="B2168" s="24">
        <v>0.6865</v>
      </c>
      <c r="C2168" s="24">
        <v>4974.3999999999996</v>
      </c>
      <c r="D2168" s="47">
        <f t="shared" si="33"/>
        <v>3414.9255999999996</v>
      </c>
    </row>
    <row r="2169" spans="1:4">
      <c r="A2169" s="122">
        <v>39799</v>
      </c>
      <c r="B2169" s="24">
        <v>0.70379999999999998</v>
      </c>
      <c r="C2169" s="24">
        <v>5026</v>
      </c>
      <c r="D2169" s="47">
        <f t="shared" si="33"/>
        <v>3537.2988</v>
      </c>
    </row>
    <row r="2170" spans="1:4">
      <c r="A2170" s="122">
        <v>39798</v>
      </c>
      <c r="B2170" s="24">
        <v>0.69440000000000002</v>
      </c>
      <c r="C2170" s="24">
        <v>5098.3</v>
      </c>
      <c r="D2170" s="47">
        <f t="shared" si="33"/>
        <v>3540.2595200000001</v>
      </c>
    </row>
    <row r="2171" spans="1:4">
      <c r="A2171" s="122">
        <v>39797</v>
      </c>
      <c r="B2171" s="24">
        <v>0.66869999999999996</v>
      </c>
      <c r="C2171" s="24">
        <v>5108.7</v>
      </c>
      <c r="D2171" s="47">
        <f t="shared" si="33"/>
        <v>3416.1876899999997</v>
      </c>
    </row>
    <row r="2172" spans="1:4">
      <c r="A2172" s="122">
        <v>39794</v>
      </c>
      <c r="B2172" s="24">
        <v>0.66420000000000001</v>
      </c>
      <c r="C2172" s="24">
        <v>5113.8</v>
      </c>
      <c r="D2172" s="47">
        <f t="shared" si="33"/>
        <v>3396.5859600000003</v>
      </c>
    </row>
    <row r="2173" spans="1:4">
      <c r="A2173" s="122">
        <v>39793</v>
      </c>
      <c r="B2173" s="24">
        <v>0.67210000000000003</v>
      </c>
      <c r="C2173" s="24">
        <v>5150.6000000000004</v>
      </c>
      <c r="D2173" s="47">
        <f t="shared" si="33"/>
        <v>3461.7182600000006</v>
      </c>
    </row>
    <row r="2174" spans="1:4">
      <c r="A2174" s="122">
        <v>39792</v>
      </c>
      <c r="B2174" s="24">
        <v>0.65580000000000005</v>
      </c>
      <c r="C2174" s="24">
        <v>5129.2</v>
      </c>
      <c r="D2174" s="47">
        <f t="shared" si="33"/>
        <v>3363.7293600000003</v>
      </c>
    </row>
    <row r="2175" spans="1:4">
      <c r="A2175" s="122">
        <v>39791</v>
      </c>
      <c r="B2175" s="24">
        <v>0.65869999999999995</v>
      </c>
      <c r="C2175" s="24">
        <v>5097.1000000000004</v>
      </c>
      <c r="D2175" s="47">
        <f t="shared" si="33"/>
        <v>3357.4597699999999</v>
      </c>
    </row>
    <row r="2176" spans="1:4">
      <c r="A2176" s="122">
        <v>39790</v>
      </c>
      <c r="B2176" s="24">
        <v>0.66459999999999997</v>
      </c>
      <c r="C2176" s="24">
        <v>5115.3999999999996</v>
      </c>
      <c r="D2176" s="47">
        <f t="shared" si="33"/>
        <v>3399.6948399999997</v>
      </c>
    </row>
    <row r="2177" spans="1:4">
      <c r="A2177" s="122">
        <v>39787</v>
      </c>
      <c r="B2177" s="24">
        <v>0.64549999999999996</v>
      </c>
      <c r="C2177" s="24">
        <v>5067.3</v>
      </c>
      <c r="D2177" s="47">
        <f t="shared" si="33"/>
        <v>3270.9421499999999</v>
      </c>
    </row>
    <row r="2178" spans="1:4">
      <c r="A2178" s="122">
        <v>39786</v>
      </c>
      <c r="B2178" s="24">
        <v>0.64449999999999996</v>
      </c>
      <c r="C2178" s="24">
        <v>5067.6000000000004</v>
      </c>
      <c r="D2178" s="47">
        <f t="shared" si="33"/>
        <v>3266.0682000000002</v>
      </c>
    </row>
    <row r="2179" spans="1:4">
      <c r="A2179" s="122">
        <v>39785</v>
      </c>
      <c r="B2179" s="24">
        <v>0.64870000000000005</v>
      </c>
      <c r="C2179" s="24">
        <v>5024.2</v>
      </c>
      <c r="D2179" s="47">
        <f t="shared" ref="D2179:D2242" si="34">C2179*B2179</f>
        <v>3259.1985400000003</v>
      </c>
    </row>
    <row r="2180" spans="1:4">
      <c r="A2180" s="122">
        <v>39784</v>
      </c>
      <c r="B2180" s="24">
        <v>0.64290000000000003</v>
      </c>
      <c r="C2180" s="24">
        <v>5023.6000000000004</v>
      </c>
      <c r="D2180" s="47">
        <f t="shared" si="34"/>
        <v>3229.6724400000003</v>
      </c>
    </row>
    <row r="2181" spans="1:4">
      <c r="A2181" s="122">
        <v>39783</v>
      </c>
      <c r="B2181" s="24">
        <v>0.64029999999999998</v>
      </c>
      <c r="C2181" s="24">
        <v>4987.8</v>
      </c>
      <c r="D2181" s="47">
        <f t="shared" si="34"/>
        <v>3193.6883400000002</v>
      </c>
    </row>
    <row r="2182" spans="1:4">
      <c r="A2182" s="122">
        <v>39780</v>
      </c>
      <c r="B2182" s="24">
        <v>0.65510000000000002</v>
      </c>
      <c r="C2182" s="24">
        <v>5082.3</v>
      </c>
      <c r="D2182" s="47">
        <f t="shared" si="34"/>
        <v>3329.4147300000004</v>
      </c>
    </row>
    <row r="2183" spans="1:4">
      <c r="A2183" s="122">
        <v>39779</v>
      </c>
      <c r="B2183" s="24">
        <v>0.65710000000000002</v>
      </c>
      <c r="C2183" s="24">
        <v>5076.2</v>
      </c>
      <c r="D2183" s="47">
        <f t="shared" si="34"/>
        <v>3335.5710199999999</v>
      </c>
    </row>
    <row r="2184" spans="1:4">
      <c r="A2184" s="122">
        <v>39778</v>
      </c>
      <c r="B2184" s="24">
        <v>0.65229999999999999</v>
      </c>
      <c r="C2184" s="24">
        <v>5063.6000000000004</v>
      </c>
      <c r="D2184" s="47">
        <f t="shared" si="34"/>
        <v>3302.9862800000001</v>
      </c>
    </row>
    <row r="2185" spans="1:4">
      <c r="A2185" s="122">
        <v>39777</v>
      </c>
      <c r="B2185" s="24">
        <v>0.64929999999999999</v>
      </c>
      <c r="C2185" s="24">
        <v>5052.5</v>
      </c>
      <c r="D2185" s="47">
        <f t="shared" si="34"/>
        <v>3280.5882499999998</v>
      </c>
    </row>
    <row r="2186" spans="1:4">
      <c r="A2186" s="122">
        <v>39776</v>
      </c>
      <c r="B2186" s="24">
        <v>0.65369999999999995</v>
      </c>
      <c r="C2186" s="24">
        <v>5055.8999999999996</v>
      </c>
      <c r="D2186" s="47">
        <f t="shared" si="34"/>
        <v>3305.0418299999997</v>
      </c>
    </row>
    <row r="2187" spans="1:4">
      <c r="A2187" s="122">
        <v>39773</v>
      </c>
      <c r="B2187" s="24">
        <v>0.63200000000000001</v>
      </c>
      <c r="C2187" s="24">
        <v>4961.8999999999996</v>
      </c>
      <c r="D2187" s="47">
        <f t="shared" si="34"/>
        <v>3135.9207999999999</v>
      </c>
    </row>
    <row r="2188" spans="1:4">
      <c r="A2188" s="122">
        <v>39772</v>
      </c>
      <c r="B2188" s="24">
        <v>0.61040000000000005</v>
      </c>
      <c r="C2188" s="24">
        <v>4936</v>
      </c>
      <c r="D2188" s="47">
        <f t="shared" si="34"/>
        <v>3012.9344000000001</v>
      </c>
    </row>
    <row r="2189" spans="1:4">
      <c r="A2189" s="122">
        <v>39771</v>
      </c>
      <c r="B2189" s="24">
        <v>0.63660000000000005</v>
      </c>
      <c r="C2189" s="24">
        <v>4971.3</v>
      </c>
      <c r="D2189" s="47">
        <f t="shared" si="34"/>
        <v>3164.7295800000002</v>
      </c>
    </row>
    <row r="2190" spans="1:4">
      <c r="A2190" s="122">
        <v>39770</v>
      </c>
      <c r="B2190" s="24">
        <v>0.65249999999999997</v>
      </c>
      <c r="C2190" s="24">
        <v>4949.2</v>
      </c>
      <c r="D2190" s="47">
        <f t="shared" si="34"/>
        <v>3229.3529999999996</v>
      </c>
    </row>
    <row r="2191" spans="1:4">
      <c r="A2191" s="122">
        <v>39769</v>
      </c>
      <c r="B2191" s="24">
        <v>0.64890000000000003</v>
      </c>
      <c r="C2191" s="24">
        <v>4953.2</v>
      </c>
      <c r="D2191" s="47">
        <f t="shared" si="34"/>
        <v>3214.13148</v>
      </c>
    </row>
    <row r="2192" spans="1:4">
      <c r="A2192" s="122">
        <v>39766</v>
      </c>
      <c r="B2192" s="24">
        <v>0.64839999999999998</v>
      </c>
      <c r="C2192" s="24">
        <v>4962</v>
      </c>
      <c r="D2192" s="47">
        <f t="shared" si="34"/>
        <v>3217.3607999999999</v>
      </c>
    </row>
    <row r="2193" spans="1:4">
      <c r="A2193" s="122">
        <v>39765</v>
      </c>
      <c r="B2193" s="24">
        <v>0.66620000000000001</v>
      </c>
      <c r="C2193" s="24">
        <v>5024.8</v>
      </c>
      <c r="D2193" s="47">
        <f t="shared" si="34"/>
        <v>3347.5217600000001</v>
      </c>
    </row>
    <row r="2194" spans="1:4">
      <c r="A2194" s="122">
        <v>39764</v>
      </c>
      <c r="B2194" s="24">
        <v>0.64070000000000005</v>
      </c>
      <c r="C2194" s="24">
        <v>4961.8</v>
      </c>
      <c r="D2194" s="47">
        <f t="shared" si="34"/>
        <v>3179.0252600000003</v>
      </c>
    </row>
    <row r="2195" spans="1:4">
      <c r="A2195" s="122">
        <v>39763</v>
      </c>
      <c r="B2195" s="24">
        <v>0.65710000000000002</v>
      </c>
      <c r="C2195" s="24">
        <v>4956.1000000000004</v>
      </c>
      <c r="D2195" s="47">
        <f t="shared" si="34"/>
        <v>3256.6533100000001</v>
      </c>
    </row>
    <row r="2196" spans="1:4">
      <c r="A2196" s="122">
        <v>39762</v>
      </c>
      <c r="B2196" s="24">
        <v>0.66969999999999996</v>
      </c>
      <c r="C2196" s="24">
        <v>4997.5</v>
      </c>
      <c r="D2196" s="47">
        <f t="shared" si="34"/>
        <v>3346.82575</v>
      </c>
    </row>
    <row r="2197" spans="1:4">
      <c r="A2197" s="122">
        <v>39759</v>
      </c>
      <c r="B2197" s="24">
        <v>0.67420000000000002</v>
      </c>
      <c r="C2197" s="24">
        <v>4931.5</v>
      </c>
      <c r="D2197" s="47">
        <f t="shared" si="34"/>
        <v>3324.8173000000002</v>
      </c>
    </row>
    <row r="2198" spans="1:4">
      <c r="A2198" s="122">
        <v>39758</v>
      </c>
      <c r="B2198" s="24">
        <v>0.66539999999999999</v>
      </c>
      <c r="C2198" s="24">
        <v>4981.3</v>
      </c>
      <c r="D2198" s="47">
        <f t="shared" si="34"/>
        <v>3314.5570200000002</v>
      </c>
    </row>
    <row r="2199" spans="1:4">
      <c r="A2199" s="122">
        <v>39757</v>
      </c>
      <c r="B2199" s="24">
        <v>0.68169999999999997</v>
      </c>
      <c r="C2199" s="24">
        <v>4986</v>
      </c>
      <c r="D2199" s="47">
        <f t="shared" si="34"/>
        <v>3398.9562000000001</v>
      </c>
    </row>
    <row r="2200" spans="1:4">
      <c r="A2200" s="122">
        <v>39756</v>
      </c>
      <c r="B2200" s="24">
        <v>0.69789999999999996</v>
      </c>
      <c r="C2200" s="24">
        <v>4958.3</v>
      </c>
      <c r="D2200" s="47">
        <f t="shared" si="34"/>
        <v>3460.3975700000001</v>
      </c>
    </row>
    <row r="2201" spans="1:4">
      <c r="A2201" s="122">
        <v>39755</v>
      </c>
      <c r="B2201" s="24">
        <v>0.67659999999999998</v>
      </c>
      <c r="C2201" s="24">
        <v>5007.8</v>
      </c>
      <c r="D2201" s="47">
        <f t="shared" si="34"/>
        <v>3388.2774800000002</v>
      </c>
    </row>
    <row r="2202" spans="1:4">
      <c r="A2202" s="122">
        <v>39752</v>
      </c>
      <c r="B2202" s="24">
        <v>0.66769999999999996</v>
      </c>
      <c r="C2202" s="24">
        <v>4935.7</v>
      </c>
      <c r="D2202" s="47">
        <f t="shared" si="34"/>
        <v>3295.5668899999996</v>
      </c>
    </row>
    <row r="2203" spans="1:4">
      <c r="A2203" s="122">
        <v>39751</v>
      </c>
      <c r="B2203" s="24">
        <v>0.68240000000000001</v>
      </c>
      <c r="C2203" s="24">
        <v>4992.3999999999996</v>
      </c>
      <c r="D2203" s="47">
        <f t="shared" si="34"/>
        <v>3406.81376</v>
      </c>
    </row>
    <row r="2204" spans="1:4">
      <c r="A2204" s="122">
        <v>39750</v>
      </c>
      <c r="B2204" s="24">
        <v>0.66800000000000004</v>
      </c>
      <c r="C2204" s="24">
        <v>4934.3999999999996</v>
      </c>
      <c r="D2204" s="47">
        <f t="shared" si="34"/>
        <v>3296.1792</v>
      </c>
    </row>
    <row r="2205" spans="1:4">
      <c r="A2205" s="122">
        <v>39749</v>
      </c>
      <c r="B2205" s="24">
        <v>0.64180000000000004</v>
      </c>
      <c r="C2205" s="24">
        <v>4960.6000000000004</v>
      </c>
      <c r="D2205" s="47">
        <f t="shared" si="34"/>
        <v>3183.7130800000004</v>
      </c>
    </row>
    <row r="2206" spans="1:4">
      <c r="A2206" s="122">
        <v>39748</v>
      </c>
      <c r="B2206" s="24">
        <v>0.60129999999999995</v>
      </c>
      <c r="C2206" s="24">
        <v>4996.5</v>
      </c>
      <c r="D2206" s="47">
        <f t="shared" si="34"/>
        <v>3004.3954499999995</v>
      </c>
    </row>
    <row r="2207" spans="1:4">
      <c r="A2207" s="122">
        <v>39745</v>
      </c>
      <c r="B2207" s="24">
        <v>0.62209999999999999</v>
      </c>
      <c r="C2207" s="24">
        <v>4900.1000000000004</v>
      </c>
      <c r="D2207" s="47">
        <f t="shared" si="34"/>
        <v>3048.35221</v>
      </c>
    </row>
    <row r="2208" spans="1:4">
      <c r="A2208" s="122">
        <v>39744</v>
      </c>
      <c r="B2208" s="24">
        <v>0.66930000000000001</v>
      </c>
      <c r="C2208" s="24">
        <v>4923.3</v>
      </c>
      <c r="D2208" s="47">
        <f t="shared" si="34"/>
        <v>3295.1646900000001</v>
      </c>
    </row>
    <row r="2209" spans="1:4">
      <c r="A2209" s="122">
        <v>39743</v>
      </c>
      <c r="B2209" s="24">
        <v>0.67320000000000002</v>
      </c>
      <c r="C2209" s="24">
        <v>4956.2</v>
      </c>
      <c r="D2209" s="47">
        <f t="shared" si="34"/>
        <v>3336.5138400000001</v>
      </c>
    </row>
    <row r="2210" spans="1:4">
      <c r="A2210" s="122">
        <v>39742</v>
      </c>
      <c r="B2210" s="24">
        <v>0.67110000000000003</v>
      </c>
      <c r="C2210" s="24">
        <v>4966.1000000000004</v>
      </c>
      <c r="D2210" s="47">
        <f t="shared" si="34"/>
        <v>3332.7497100000005</v>
      </c>
    </row>
    <row r="2211" spans="1:4">
      <c r="A2211" s="122">
        <v>39741</v>
      </c>
      <c r="B2211" s="24">
        <v>0.70399999999999996</v>
      </c>
      <c r="C2211" s="24">
        <v>5084.6000000000004</v>
      </c>
      <c r="D2211" s="47">
        <f t="shared" si="34"/>
        <v>3579.5583999999999</v>
      </c>
    </row>
    <row r="2212" spans="1:4">
      <c r="A2212" s="122">
        <v>39738</v>
      </c>
      <c r="B2212" s="24">
        <v>0.68869999999999998</v>
      </c>
      <c r="C2212" s="24">
        <v>5128.3</v>
      </c>
      <c r="D2212" s="47">
        <f t="shared" si="34"/>
        <v>3531.8602099999998</v>
      </c>
    </row>
    <row r="2213" spans="1:4">
      <c r="A2213" s="122">
        <v>39737</v>
      </c>
      <c r="B2213" s="24">
        <v>0.69020000000000004</v>
      </c>
      <c r="C2213" s="24">
        <v>5107.2</v>
      </c>
      <c r="D2213" s="47">
        <f t="shared" si="34"/>
        <v>3524.9894399999998</v>
      </c>
    </row>
    <row r="2214" spans="1:4">
      <c r="A2214" s="122">
        <v>39736</v>
      </c>
      <c r="B2214" s="24">
        <v>0.66149999999999998</v>
      </c>
      <c r="C2214" s="24">
        <v>5142.8</v>
      </c>
      <c r="D2214" s="47">
        <f t="shared" si="34"/>
        <v>3401.9621999999999</v>
      </c>
    </row>
    <row r="2215" spans="1:4">
      <c r="A2215" s="122">
        <v>39735</v>
      </c>
      <c r="B2215" s="24">
        <v>0.69620000000000004</v>
      </c>
      <c r="C2215" s="24">
        <v>5135.3</v>
      </c>
      <c r="D2215" s="47">
        <f t="shared" si="34"/>
        <v>3575.1958600000003</v>
      </c>
    </row>
    <row r="2216" spans="1:4">
      <c r="A2216" s="122">
        <v>39734</v>
      </c>
      <c r="B2216" s="24">
        <v>0.69840000000000002</v>
      </c>
      <c r="C2216" s="24">
        <v>5120.3</v>
      </c>
      <c r="D2216" s="47">
        <f t="shared" si="34"/>
        <v>3576.0175200000003</v>
      </c>
    </row>
    <row r="2217" spans="1:4">
      <c r="A2217" s="122">
        <v>39731</v>
      </c>
      <c r="B2217" s="24">
        <v>0.64349999999999996</v>
      </c>
      <c r="C2217" s="24">
        <v>5096.8999999999996</v>
      </c>
      <c r="D2217" s="47">
        <f t="shared" si="34"/>
        <v>3279.8551499999994</v>
      </c>
    </row>
    <row r="2218" spans="1:4">
      <c r="A2218" s="122">
        <v>39730</v>
      </c>
      <c r="B2218" s="24">
        <v>0.68420000000000003</v>
      </c>
      <c r="C2218" s="24">
        <v>5104.7</v>
      </c>
      <c r="D2218" s="47">
        <f t="shared" si="34"/>
        <v>3492.6357400000002</v>
      </c>
    </row>
    <row r="2219" spans="1:4">
      <c r="A2219" s="122">
        <v>39729</v>
      </c>
      <c r="B2219" s="24">
        <v>0.6643</v>
      </c>
      <c r="C2219" s="24">
        <v>5092.2</v>
      </c>
      <c r="D2219" s="47">
        <f t="shared" si="34"/>
        <v>3382.7484599999998</v>
      </c>
    </row>
    <row r="2220" spans="1:4">
      <c r="A2220" s="122">
        <v>39728</v>
      </c>
      <c r="B2220" s="24">
        <v>0.70599999999999996</v>
      </c>
      <c r="C2220" s="24">
        <v>5073.8999999999996</v>
      </c>
      <c r="D2220" s="47">
        <f t="shared" si="34"/>
        <v>3582.1733999999997</v>
      </c>
    </row>
    <row r="2221" spans="1:4">
      <c r="A2221" s="122">
        <v>39727</v>
      </c>
      <c r="B2221" s="24">
        <v>0.72230000000000005</v>
      </c>
      <c r="C2221" s="24">
        <v>4997.2</v>
      </c>
      <c r="D2221" s="47">
        <f t="shared" si="34"/>
        <v>3609.4775600000003</v>
      </c>
    </row>
    <row r="2222" spans="1:4">
      <c r="A2222" s="122">
        <v>39724</v>
      </c>
      <c r="B2222" s="24">
        <v>0.77400000000000002</v>
      </c>
      <c r="C2222" s="24">
        <v>4946.8</v>
      </c>
      <c r="D2222" s="47">
        <f t="shared" si="34"/>
        <v>3828.8232000000003</v>
      </c>
    </row>
    <row r="2223" spans="1:4">
      <c r="A2223" s="122">
        <v>39723</v>
      </c>
      <c r="B2223" s="24">
        <v>0.77270000000000005</v>
      </c>
      <c r="C2223" s="24">
        <v>4999.2</v>
      </c>
      <c r="D2223" s="47">
        <f t="shared" si="34"/>
        <v>3862.88184</v>
      </c>
    </row>
    <row r="2224" spans="1:4">
      <c r="A2224" s="122">
        <v>39722</v>
      </c>
      <c r="B2224" s="24">
        <v>0.78739999999999999</v>
      </c>
      <c r="C2224" s="24">
        <v>4965</v>
      </c>
      <c r="D2224" s="47">
        <f t="shared" si="34"/>
        <v>3909.4409999999998</v>
      </c>
    </row>
    <row r="2225" spans="1:4">
      <c r="A2225" s="122">
        <v>39721</v>
      </c>
      <c r="B2225" s="24">
        <v>0.79239999999999999</v>
      </c>
      <c r="C2225" s="24">
        <v>4964.8999999999996</v>
      </c>
      <c r="D2225" s="47">
        <f t="shared" si="34"/>
        <v>3934.1867599999996</v>
      </c>
    </row>
    <row r="2226" spans="1:4">
      <c r="A2226" s="122">
        <v>39720</v>
      </c>
      <c r="B2226" s="24">
        <v>0.80449999999999999</v>
      </c>
      <c r="C2226" s="24">
        <v>5010.8</v>
      </c>
      <c r="D2226" s="47">
        <f t="shared" si="34"/>
        <v>4031.1886</v>
      </c>
    </row>
    <row r="2227" spans="1:4">
      <c r="A2227" s="122">
        <v>39717</v>
      </c>
      <c r="B2227" s="24">
        <v>0.83099999999999996</v>
      </c>
      <c r="C2227" s="24">
        <v>4918.8999999999996</v>
      </c>
      <c r="D2227" s="47">
        <f t="shared" si="34"/>
        <v>4087.6058999999996</v>
      </c>
    </row>
    <row r="2228" spans="1:4">
      <c r="A2228" s="122">
        <v>39716</v>
      </c>
      <c r="B2228" s="24">
        <v>0.83530000000000004</v>
      </c>
      <c r="C2228" s="24">
        <v>4861.3999999999996</v>
      </c>
      <c r="D2228" s="47">
        <f t="shared" si="34"/>
        <v>4060.7274199999997</v>
      </c>
    </row>
    <row r="2229" spans="1:4">
      <c r="A2229" s="122">
        <v>39715</v>
      </c>
      <c r="B2229" s="24">
        <v>0.83399999999999996</v>
      </c>
      <c r="C2229" s="24">
        <v>4901.2</v>
      </c>
      <c r="D2229" s="47">
        <f t="shared" si="34"/>
        <v>4087.6007999999997</v>
      </c>
    </row>
    <row r="2230" spans="1:4">
      <c r="A2230" s="122">
        <v>39714</v>
      </c>
      <c r="B2230" s="24">
        <v>0.83289999999999997</v>
      </c>
      <c r="C2230" s="24">
        <v>4969</v>
      </c>
      <c r="D2230" s="47">
        <f t="shared" si="34"/>
        <v>4138.6800999999996</v>
      </c>
    </row>
    <row r="2231" spans="1:4">
      <c r="A2231" s="122">
        <v>39713</v>
      </c>
      <c r="B2231" s="24">
        <v>0.84419999999999995</v>
      </c>
      <c r="C2231" s="24">
        <v>4869.7</v>
      </c>
      <c r="D2231" s="47">
        <f t="shared" si="34"/>
        <v>4111.0007399999995</v>
      </c>
    </row>
    <row r="2232" spans="1:4">
      <c r="A2232" s="122">
        <v>39710</v>
      </c>
      <c r="B2232" s="24">
        <v>0.83450000000000002</v>
      </c>
      <c r="C2232" s="24">
        <v>4850.8</v>
      </c>
      <c r="D2232" s="47">
        <f t="shared" si="34"/>
        <v>4047.9926</v>
      </c>
    </row>
    <row r="2233" spans="1:4">
      <c r="A2233" s="122">
        <v>39709</v>
      </c>
      <c r="B2233" s="24">
        <v>0.80479999999999996</v>
      </c>
      <c r="C2233" s="24">
        <v>4838.8999999999996</v>
      </c>
      <c r="D2233" s="47">
        <f t="shared" si="34"/>
        <v>3894.3467199999996</v>
      </c>
    </row>
    <row r="2234" spans="1:4">
      <c r="A2234" s="122">
        <v>39708</v>
      </c>
      <c r="B2234" s="24">
        <v>0.79049999999999998</v>
      </c>
      <c r="C2234" s="24">
        <v>4966</v>
      </c>
      <c r="D2234" s="47">
        <f t="shared" si="34"/>
        <v>3925.623</v>
      </c>
    </row>
    <row r="2235" spans="1:4">
      <c r="A2235" s="122">
        <v>39707</v>
      </c>
      <c r="B2235" s="24">
        <v>0.80069999999999997</v>
      </c>
      <c r="C2235" s="24">
        <v>4907.2</v>
      </c>
      <c r="D2235" s="47">
        <f t="shared" si="34"/>
        <v>3929.1950399999996</v>
      </c>
    </row>
    <row r="2236" spans="1:4">
      <c r="A2236" s="122">
        <v>39706</v>
      </c>
      <c r="B2236" s="24">
        <v>0.80640000000000001</v>
      </c>
      <c r="C2236" s="24">
        <v>5025.5</v>
      </c>
      <c r="D2236" s="47">
        <f t="shared" si="34"/>
        <v>4052.5632000000001</v>
      </c>
    </row>
    <row r="2237" spans="1:4">
      <c r="A2237" s="122">
        <v>39703</v>
      </c>
      <c r="B2237" s="24">
        <v>0.82369999999999999</v>
      </c>
      <c r="C2237" s="24">
        <v>5036.1000000000004</v>
      </c>
      <c r="D2237" s="47">
        <f t="shared" si="34"/>
        <v>4148.2355699999998</v>
      </c>
    </row>
    <row r="2238" spans="1:4">
      <c r="A2238" s="122">
        <v>39702</v>
      </c>
      <c r="B2238" s="24">
        <v>0.80700000000000005</v>
      </c>
      <c r="C2238" s="24">
        <v>5120</v>
      </c>
      <c r="D2238" s="47">
        <f t="shared" si="34"/>
        <v>4131.84</v>
      </c>
    </row>
    <row r="2239" spans="1:4">
      <c r="A2239" s="122">
        <v>39701</v>
      </c>
      <c r="B2239" s="24">
        <v>0.80169999999999997</v>
      </c>
      <c r="C2239" s="24">
        <v>5077.2</v>
      </c>
      <c r="D2239" s="47">
        <f t="shared" si="34"/>
        <v>4070.3912399999995</v>
      </c>
    </row>
    <row r="2240" spans="1:4">
      <c r="A2240" s="122">
        <v>39700</v>
      </c>
      <c r="B2240" s="24">
        <v>0.80220000000000002</v>
      </c>
      <c r="C2240" s="24">
        <v>5060.6000000000004</v>
      </c>
      <c r="D2240" s="47">
        <f t="shared" si="34"/>
        <v>4059.6133200000004</v>
      </c>
    </row>
    <row r="2241" spans="1:4">
      <c r="A2241" s="122">
        <v>39699</v>
      </c>
      <c r="B2241" s="24">
        <v>0.8165</v>
      </c>
      <c r="C2241" s="24">
        <v>5001.7</v>
      </c>
      <c r="D2241" s="47">
        <f t="shared" si="34"/>
        <v>4083.88805</v>
      </c>
    </row>
    <row r="2242" spans="1:4">
      <c r="A2242" s="122">
        <v>39696</v>
      </c>
      <c r="B2242" s="24">
        <v>0.81579999999999997</v>
      </c>
      <c r="C2242" s="24">
        <v>5105.3999999999996</v>
      </c>
      <c r="D2242" s="47">
        <f t="shared" si="34"/>
        <v>4164.9853199999998</v>
      </c>
    </row>
    <row r="2243" spans="1:4">
      <c r="A2243" s="122">
        <v>39695</v>
      </c>
      <c r="B2243" s="24">
        <v>0.82299999999999995</v>
      </c>
      <c r="C2243" s="24">
        <v>5109.5</v>
      </c>
      <c r="D2243" s="47">
        <f t="shared" ref="D2243:D2306" si="35">C2243*B2243</f>
        <v>4205.1184999999996</v>
      </c>
    </row>
    <row r="2244" spans="1:4">
      <c r="A2244" s="122">
        <v>39694</v>
      </c>
      <c r="B2244" s="24">
        <v>0.83589999999999998</v>
      </c>
      <c r="C2244" s="24">
        <v>5053.7</v>
      </c>
      <c r="D2244" s="47">
        <f t="shared" si="35"/>
        <v>4224.3878299999997</v>
      </c>
    </row>
    <row r="2245" spans="1:4">
      <c r="A2245" s="122">
        <v>39693</v>
      </c>
      <c r="B2245" s="24">
        <v>0.83779999999999999</v>
      </c>
      <c r="C2245" s="24">
        <v>4976.8</v>
      </c>
      <c r="D2245" s="47">
        <f t="shared" si="35"/>
        <v>4169.56304</v>
      </c>
    </row>
    <row r="2246" spans="1:4">
      <c r="A2246" s="122">
        <v>39692</v>
      </c>
      <c r="B2246" s="24">
        <v>0.85350000000000004</v>
      </c>
      <c r="C2246" s="24">
        <v>5037.7</v>
      </c>
      <c r="D2246" s="47">
        <f t="shared" si="35"/>
        <v>4299.67695</v>
      </c>
    </row>
    <row r="2247" spans="1:4">
      <c r="A2247" s="122">
        <v>39689</v>
      </c>
      <c r="B2247" s="24">
        <v>0.85860000000000003</v>
      </c>
      <c r="C2247" s="24">
        <v>5013.8</v>
      </c>
      <c r="D2247" s="47">
        <f t="shared" si="35"/>
        <v>4304.8486800000001</v>
      </c>
    </row>
    <row r="2248" spans="1:4">
      <c r="A2248" s="122">
        <v>39688</v>
      </c>
      <c r="B2248" s="24">
        <v>0.86250000000000004</v>
      </c>
      <c r="C2248" s="24">
        <v>5030.8</v>
      </c>
      <c r="D2248" s="47">
        <f t="shared" si="35"/>
        <v>4339.0650000000005</v>
      </c>
    </row>
    <row r="2249" spans="1:4">
      <c r="A2249" s="122">
        <v>39687</v>
      </c>
      <c r="B2249" s="24">
        <v>0.8589</v>
      </c>
      <c r="C2249" s="24">
        <v>5100.8999999999996</v>
      </c>
      <c r="D2249" s="47">
        <f t="shared" si="35"/>
        <v>4381.1630099999993</v>
      </c>
    </row>
    <row r="2250" spans="1:4">
      <c r="A2250" s="122">
        <v>39686</v>
      </c>
      <c r="B2250" s="24">
        <v>0.85540000000000005</v>
      </c>
      <c r="C2250" s="24">
        <v>5119.3</v>
      </c>
      <c r="D2250" s="47">
        <f t="shared" si="35"/>
        <v>4379.0492200000008</v>
      </c>
    </row>
    <row r="2251" spans="1:4">
      <c r="A2251" s="122">
        <v>39685</v>
      </c>
      <c r="B2251" s="24">
        <v>0.86270000000000002</v>
      </c>
      <c r="C2251" s="24">
        <v>5217.5</v>
      </c>
      <c r="D2251" s="47">
        <f t="shared" si="35"/>
        <v>4501.1372499999998</v>
      </c>
    </row>
    <row r="2252" spans="1:4">
      <c r="A2252" s="122">
        <v>39682</v>
      </c>
      <c r="B2252" s="24">
        <v>0.86650000000000005</v>
      </c>
      <c r="C2252" s="24">
        <v>5217.3999999999996</v>
      </c>
      <c r="D2252" s="47">
        <f t="shared" si="35"/>
        <v>4520.8770999999997</v>
      </c>
    </row>
    <row r="2253" spans="1:4">
      <c r="A2253" s="122">
        <v>39681</v>
      </c>
      <c r="B2253" s="24">
        <v>0.88070000000000004</v>
      </c>
      <c r="C2253" s="24">
        <v>5234.1000000000004</v>
      </c>
      <c r="D2253" s="47">
        <f t="shared" si="35"/>
        <v>4609.6718700000001</v>
      </c>
    </row>
    <row r="2254" spans="1:4">
      <c r="A2254" s="122">
        <v>39680</v>
      </c>
      <c r="B2254" s="24">
        <v>0.87360000000000004</v>
      </c>
      <c r="C2254" s="24">
        <v>5329.5</v>
      </c>
      <c r="D2254" s="47">
        <f t="shared" si="35"/>
        <v>4655.8512000000001</v>
      </c>
    </row>
    <row r="2255" spans="1:4">
      <c r="A2255" s="122">
        <v>39679</v>
      </c>
      <c r="B2255" s="24">
        <v>0.87139999999999995</v>
      </c>
      <c r="C2255" s="24">
        <v>5364.5</v>
      </c>
      <c r="D2255" s="47">
        <f t="shared" si="35"/>
        <v>4674.6252999999997</v>
      </c>
    </row>
    <row r="2256" spans="1:4">
      <c r="A2256" s="122">
        <v>39678</v>
      </c>
      <c r="B2256" s="24">
        <v>0.86819999999999997</v>
      </c>
      <c r="C2256" s="24">
        <v>5352.2</v>
      </c>
      <c r="D2256" s="47">
        <f t="shared" si="35"/>
        <v>4646.7800399999996</v>
      </c>
    </row>
    <row r="2257" spans="1:4">
      <c r="A2257" s="122">
        <v>39675</v>
      </c>
      <c r="B2257" s="24">
        <v>0.86639999999999995</v>
      </c>
      <c r="C2257" s="24">
        <v>5325.8</v>
      </c>
      <c r="D2257" s="47">
        <f t="shared" si="35"/>
        <v>4614.2731199999998</v>
      </c>
    </row>
    <row r="2258" spans="1:4">
      <c r="A2258" s="122">
        <v>39674</v>
      </c>
      <c r="B2258" s="24">
        <v>0.87190000000000001</v>
      </c>
      <c r="C2258" s="24">
        <v>5324</v>
      </c>
      <c r="D2258" s="47">
        <f t="shared" si="35"/>
        <v>4641.9956000000002</v>
      </c>
    </row>
    <row r="2259" spans="1:4">
      <c r="A2259" s="122">
        <v>39673</v>
      </c>
      <c r="B2259" s="24">
        <v>0.87450000000000006</v>
      </c>
      <c r="C2259" s="24">
        <v>5255.4</v>
      </c>
      <c r="D2259" s="47">
        <f t="shared" si="35"/>
        <v>4595.8473000000004</v>
      </c>
    </row>
    <row r="2260" spans="1:4">
      <c r="A2260" s="122">
        <v>39672</v>
      </c>
      <c r="B2260" s="24">
        <v>0.87339999999999995</v>
      </c>
      <c r="C2260" s="24">
        <v>5189.1000000000004</v>
      </c>
      <c r="D2260" s="47">
        <f t="shared" si="35"/>
        <v>4532.1599400000005</v>
      </c>
    </row>
    <row r="2261" spans="1:4">
      <c r="A2261" s="122">
        <v>39671</v>
      </c>
      <c r="B2261" s="24">
        <v>0.88380000000000003</v>
      </c>
      <c r="C2261" s="24">
        <v>5273.5</v>
      </c>
      <c r="D2261" s="47">
        <f t="shared" si="35"/>
        <v>4660.7192999999997</v>
      </c>
    </row>
    <row r="2262" spans="1:4">
      <c r="A2262" s="122">
        <v>39668</v>
      </c>
      <c r="B2262" s="24">
        <v>0.88939999999999997</v>
      </c>
      <c r="C2262" s="24">
        <v>5273.1</v>
      </c>
      <c r="D2262" s="47">
        <f t="shared" si="35"/>
        <v>4689.8951400000005</v>
      </c>
    </row>
    <row r="2263" spans="1:4">
      <c r="A2263" s="122">
        <v>39667</v>
      </c>
      <c r="B2263" s="24">
        <v>0.90649999999999997</v>
      </c>
      <c r="C2263" s="24">
        <v>5310.4</v>
      </c>
      <c r="D2263" s="47">
        <f t="shared" si="35"/>
        <v>4813.8775999999998</v>
      </c>
    </row>
    <row r="2264" spans="1:4">
      <c r="A2264" s="122">
        <v>39666</v>
      </c>
      <c r="B2264" s="24">
        <v>0.9083</v>
      </c>
      <c r="C2264" s="24">
        <v>5258.8</v>
      </c>
      <c r="D2264" s="47">
        <f t="shared" si="35"/>
        <v>4776.5680400000001</v>
      </c>
    </row>
    <row r="2265" spans="1:4">
      <c r="A2265" s="122">
        <v>39665</v>
      </c>
      <c r="B2265" s="24">
        <v>0.91610000000000003</v>
      </c>
      <c r="C2265" s="24">
        <v>5300.2</v>
      </c>
      <c r="D2265" s="47">
        <f t="shared" si="35"/>
        <v>4855.5132199999998</v>
      </c>
    </row>
    <row r="2266" spans="1:4">
      <c r="A2266" s="122">
        <v>39664</v>
      </c>
      <c r="B2266" s="24">
        <v>0.92930000000000001</v>
      </c>
      <c r="C2266" s="24">
        <v>5327.2</v>
      </c>
      <c r="D2266" s="47">
        <f t="shared" si="35"/>
        <v>4950.5669600000001</v>
      </c>
    </row>
    <row r="2267" spans="1:4">
      <c r="A2267" s="122">
        <v>39661</v>
      </c>
      <c r="B2267" s="24">
        <v>0.92910000000000004</v>
      </c>
      <c r="C2267" s="24">
        <v>5269.8</v>
      </c>
      <c r="D2267" s="47">
        <f t="shared" si="35"/>
        <v>4896.1711800000003</v>
      </c>
    </row>
    <row r="2268" spans="1:4">
      <c r="A2268" s="122">
        <v>39660</v>
      </c>
      <c r="B2268" s="24">
        <v>0.94220000000000004</v>
      </c>
      <c r="C2268" s="24">
        <v>5250.1</v>
      </c>
      <c r="D2268" s="47">
        <f t="shared" si="35"/>
        <v>4946.6442200000001</v>
      </c>
    </row>
    <row r="2269" spans="1:4">
      <c r="A2269" s="122">
        <v>39659</v>
      </c>
      <c r="B2269" s="24">
        <v>0.94430000000000003</v>
      </c>
      <c r="C2269" s="24">
        <v>5276.9</v>
      </c>
      <c r="D2269" s="47">
        <f t="shared" si="35"/>
        <v>4982.97667</v>
      </c>
    </row>
    <row r="2270" spans="1:4">
      <c r="A2270" s="122">
        <v>39658</v>
      </c>
      <c r="B2270" s="24">
        <v>0.95279999999999998</v>
      </c>
      <c r="C2270" s="24">
        <v>5283.9</v>
      </c>
      <c r="D2270" s="47">
        <f t="shared" si="35"/>
        <v>5034.4999199999993</v>
      </c>
    </row>
    <row r="2271" spans="1:4">
      <c r="A2271" s="122">
        <v>39657</v>
      </c>
      <c r="B2271" s="24">
        <v>0.95669999999999999</v>
      </c>
      <c r="C2271" s="24">
        <v>5248.6</v>
      </c>
      <c r="D2271" s="47">
        <f t="shared" si="35"/>
        <v>5021.3356200000007</v>
      </c>
    </row>
    <row r="2272" spans="1:4">
      <c r="A2272" s="122">
        <v>39654</v>
      </c>
      <c r="B2272" s="24">
        <v>0.95630000000000004</v>
      </c>
      <c r="C2272" s="24">
        <v>5175.7</v>
      </c>
      <c r="D2272" s="47">
        <f t="shared" si="35"/>
        <v>4949.5219100000004</v>
      </c>
    </row>
    <row r="2273" spans="1:4">
      <c r="A2273" s="122">
        <v>39653</v>
      </c>
      <c r="B2273" s="24">
        <v>0.95850000000000002</v>
      </c>
      <c r="C2273" s="24">
        <v>5183.7</v>
      </c>
      <c r="D2273" s="47">
        <f t="shared" si="35"/>
        <v>4968.5764499999996</v>
      </c>
    </row>
    <row r="2274" spans="1:4">
      <c r="A2274" s="122">
        <v>39652</v>
      </c>
      <c r="B2274" s="24">
        <v>0.96189999999999998</v>
      </c>
      <c r="C2274" s="24">
        <v>5233.5</v>
      </c>
      <c r="D2274" s="47">
        <f t="shared" si="35"/>
        <v>5034.10365</v>
      </c>
    </row>
    <row r="2275" spans="1:4">
      <c r="A2275" s="122">
        <v>39651</v>
      </c>
      <c r="B2275" s="24">
        <v>0.97130000000000005</v>
      </c>
      <c r="C2275" s="24">
        <v>5192.3</v>
      </c>
      <c r="D2275" s="47">
        <f t="shared" si="35"/>
        <v>5043.2809900000002</v>
      </c>
    </row>
    <row r="2276" spans="1:4">
      <c r="A2276" s="122">
        <v>39650</v>
      </c>
      <c r="B2276" s="24">
        <v>0.97709999999999997</v>
      </c>
      <c r="C2276" s="24">
        <v>5232.8999999999996</v>
      </c>
      <c r="D2276" s="47">
        <f t="shared" si="35"/>
        <v>5113.0665899999995</v>
      </c>
    </row>
    <row r="2277" spans="1:4">
      <c r="A2277" s="122">
        <v>39647</v>
      </c>
      <c r="B2277" s="24">
        <v>0.97040000000000004</v>
      </c>
      <c r="C2277" s="24">
        <v>5238.8999999999996</v>
      </c>
      <c r="D2277" s="47">
        <f t="shared" si="35"/>
        <v>5083.8285599999999</v>
      </c>
    </row>
    <row r="2278" spans="1:4">
      <c r="A2278" s="122">
        <v>39646</v>
      </c>
      <c r="B2278" s="24">
        <v>0.97619999999999996</v>
      </c>
      <c r="C2278" s="24">
        <v>5207</v>
      </c>
      <c r="D2278" s="47">
        <f t="shared" si="35"/>
        <v>5083.0734000000002</v>
      </c>
    </row>
    <row r="2279" spans="1:4">
      <c r="A2279" s="122">
        <v>39645</v>
      </c>
      <c r="B2279" s="24">
        <v>0.9748</v>
      </c>
      <c r="C2279" s="24">
        <v>5162.5</v>
      </c>
      <c r="D2279" s="47">
        <f t="shared" si="35"/>
        <v>5032.4049999999997</v>
      </c>
    </row>
    <row r="2280" spans="1:4">
      <c r="A2280" s="122">
        <v>39644</v>
      </c>
      <c r="B2280" s="24">
        <v>0.97940000000000005</v>
      </c>
      <c r="C2280" s="24">
        <v>5180.5</v>
      </c>
      <c r="D2280" s="47">
        <f t="shared" si="35"/>
        <v>5073.7817000000005</v>
      </c>
    </row>
    <row r="2281" spans="1:4">
      <c r="A2281" s="122">
        <v>39643</v>
      </c>
      <c r="B2281" s="24">
        <v>0.9718</v>
      </c>
      <c r="C2281" s="24">
        <v>5129.7</v>
      </c>
      <c r="D2281" s="47">
        <f t="shared" si="35"/>
        <v>4985.0424599999997</v>
      </c>
    </row>
    <row r="2282" spans="1:4">
      <c r="A2282" s="122">
        <v>39640</v>
      </c>
      <c r="B2282" s="24">
        <v>0.96619999999999995</v>
      </c>
      <c r="C2282" s="24">
        <v>5115</v>
      </c>
      <c r="D2282" s="47">
        <f t="shared" si="35"/>
        <v>4942.1129999999994</v>
      </c>
    </row>
    <row r="2283" spans="1:4">
      <c r="A2283" s="122">
        <v>39639</v>
      </c>
      <c r="B2283" s="24">
        <v>0.96189999999999998</v>
      </c>
      <c r="C2283" s="24">
        <v>5090.5</v>
      </c>
      <c r="D2283" s="47">
        <f t="shared" si="35"/>
        <v>4896.55195</v>
      </c>
    </row>
    <row r="2284" spans="1:4">
      <c r="A2284" s="122">
        <v>39638</v>
      </c>
      <c r="B2284" s="24">
        <v>0.95709999999999995</v>
      </c>
      <c r="C2284" s="24">
        <v>5085.8</v>
      </c>
      <c r="D2284" s="47">
        <f t="shared" si="35"/>
        <v>4867.6191799999997</v>
      </c>
    </row>
    <row r="2285" spans="1:4">
      <c r="A2285" s="122">
        <v>39637</v>
      </c>
      <c r="B2285" s="24">
        <v>0.95350000000000001</v>
      </c>
      <c r="C2285" s="24">
        <v>5088.1000000000004</v>
      </c>
      <c r="D2285" s="47">
        <f t="shared" si="35"/>
        <v>4851.5033500000009</v>
      </c>
    </row>
    <row r="2286" spans="1:4">
      <c r="A2286" s="122">
        <v>39636</v>
      </c>
      <c r="B2286" s="24">
        <v>0.95640000000000003</v>
      </c>
      <c r="C2286" s="24">
        <v>5040.1000000000004</v>
      </c>
      <c r="D2286" s="47">
        <f t="shared" si="35"/>
        <v>4820.3516400000008</v>
      </c>
    </row>
    <row r="2287" spans="1:4">
      <c r="A2287" s="122">
        <v>39633</v>
      </c>
      <c r="B2287" s="24">
        <v>0.96319999999999995</v>
      </c>
      <c r="C2287" s="24">
        <v>5035.3</v>
      </c>
      <c r="D2287" s="47">
        <f t="shared" si="35"/>
        <v>4850.0009600000003</v>
      </c>
    </row>
    <row r="2288" spans="1:4">
      <c r="A2288" s="122">
        <v>39632</v>
      </c>
      <c r="B2288" s="24">
        <v>0.96020000000000005</v>
      </c>
      <c r="C2288" s="24">
        <v>5013.3999999999996</v>
      </c>
      <c r="D2288" s="47">
        <f t="shared" si="35"/>
        <v>4813.8666800000001</v>
      </c>
    </row>
    <row r="2289" spans="1:4">
      <c r="A2289" s="122">
        <v>39631</v>
      </c>
      <c r="B2289" s="24">
        <v>0.96189999999999998</v>
      </c>
      <c r="C2289" s="24">
        <v>4991.3</v>
      </c>
      <c r="D2289" s="47">
        <f t="shared" si="35"/>
        <v>4801.1314700000003</v>
      </c>
    </row>
    <row r="2290" spans="1:4">
      <c r="A2290" s="122">
        <v>39630</v>
      </c>
      <c r="B2290" s="24">
        <v>0.95509999999999995</v>
      </c>
      <c r="C2290" s="24">
        <v>5000.3999999999996</v>
      </c>
      <c r="D2290" s="47">
        <f t="shared" si="35"/>
        <v>4775.8820399999995</v>
      </c>
    </row>
    <row r="2291" spans="1:4">
      <c r="A2291" s="122">
        <v>39629</v>
      </c>
      <c r="B2291" s="24">
        <v>0.95840000000000003</v>
      </c>
      <c r="C2291" s="24">
        <v>4971.7</v>
      </c>
      <c r="D2291" s="47">
        <f t="shared" si="35"/>
        <v>4764.8772799999997</v>
      </c>
    </row>
    <row r="2292" spans="1:4">
      <c r="A2292" s="122">
        <v>39626</v>
      </c>
      <c r="B2292" s="24">
        <v>0.96079999999999999</v>
      </c>
      <c r="C2292" s="24">
        <v>4977.8999999999996</v>
      </c>
      <c r="D2292" s="47">
        <f t="shared" si="35"/>
        <v>4782.7663199999997</v>
      </c>
    </row>
    <row r="2293" spans="1:4">
      <c r="A2293" s="122">
        <v>39625</v>
      </c>
      <c r="B2293" s="24">
        <v>0.95569999999999999</v>
      </c>
      <c r="C2293" s="24">
        <v>4946.3</v>
      </c>
      <c r="D2293" s="47">
        <f t="shared" si="35"/>
        <v>4727.1789100000005</v>
      </c>
    </row>
    <row r="2294" spans="1:4">
      <c r="A2294" s="122">
        <v>39624</v>
      </c>
      <c r="B2294" s="24">
        <v>0.9597</v>
      </c>
      <c r="C2294" s="24">
        <v>4932.2</v>
      </c>
      <c r="D2294" s="47">
        <f t="shared" si="35"/>
        <v>4733.4323399999994</v>
      </c>
    </row>
    <row r="2295" spans="1:4">
      <c r="A2295" s="122">
        <v>39623</v>
      </c>
      <c r="B2295" s="24">
        <v>0.95509999999999995</v>
      </c>
      <c r="C2295" s="24">
        <v>4951.3</v>
      </c>
      <c r="D2295" s="47">
        <f t="shared" si="35"/>
        <v>4728.9866300000003</v>
      </c>
    </row>
    <row r="2296" spans="1:4">
      <c r="A2296" s="122">
        <v>39622</v>
      </c>
      <c r="B2296" s="24">
        <v>0.95199999999999996</v>
      </c>
      <c r="C2296" s="24">
        <v>4888.1000000000004</v>
      </c>
      <c r="D2296" s="47">
        <f t="shared" si="35"/>
        <v>4653.4712</v>
      </c>
    </row>
    <row r="2297" spans="1:4">
      <c r="A2297" s="122">
        <v>39619</v>
      </c>
      <c r="B2297" s="24">
        <v>0.95330000000000004</v>
      </c>
      <c r="C2297" s="24">
        <v>4894.3999999999996</v>
      </c>
      <c r="D2297" s="47">
        <f t="shared" si="35"/>
        <v>4665.8315199999997</v>
      </c>
    </row>
    <row r="2298" spans="1:4">
      <c r="A2298" s="122">
        <v>39618</v>
      </c>
      <c r="B2298" s="24">
        <v>0.95099999999999996</v>
      </c>
      <c r="C2298" s="24">
        <v>4873</v>
      </c>
      <c r="D2298" s="47">
        <f t="shared" si="35"/>
        <v>4634.223</v>
      </c>
    </row>
    <row r="2299" spans="1:4">
      <c r="A2299" s="122">
        <v>39617</v>
      </c>
      <c r="B2299" s="24">
        <v>0.94710000000000005</v>
      </c>
      <c r="C2299" s="24">
        <v>4879.7</v>
      </c>
      <c r="D2299" s="47">
        <f t="shared" si="35"/>
        <v>4621.56387</v>
      </c>
    </row>
    <row r="2300" spans="1:4">
      <c r="A2300" s="122">
        <v>39616</v>
      </c>
      <c r="B2300" s="24">
        <v>0.94369999999999998</v>
      </c>
      <c r="C2300" s="24">
        <v>4903.8999999999996</v>
      </c>
      <c r="D2300" s="47">
        <f t="shared" si="35"/>
        <v>4627.8104299999995</v>
      </c>
    </row>
    <row r="2301" spans="1:4">
      <c r="A2301" s="122">
        <v>39615</v>
      </c>
      <c r="B2301" s="24">
        <v>0.94069999999999998</v>
      </c>
      <c r="C2301" s="24">
        <v>4898.5</v>
      </c>
      <c r="D2301" s="47">
        <f t="shared" si="35"/>
        <v>4608.0189499999997</v>
      </c>
    </row>
    <row r="2302" spans="1:4">
      <c r="A2302" s="122">
        <v>39612</v>
      </c>
      <c r="B2302" s="24">
        <v>0.93910000000000005</v>
      </c>
      <c r="C2302" s="24">
        <v>4903.8</v>
      </c>
      <c r="D2302" s="47">
        <f t="shared" si="35"/>
        <v>4605.1585800000003</v>
      </c>
    </row>
    <row r="2303" spans="1:4">
      <c r="A2303" s="122">
        <v>39611</v>
      </c>
      <c r="B2303" s="24">
        <v>0.93430000000000002</v>
      </c>
      <c r="C2303" s="24">
        <v>4850.6000000000004</v>
      </c>
      <c r="D2303" s="47">
        <f t="shared" si="35"/>
        <v>4531.9155800000008</v>
      </c>
    </row>
    <row r="2304" spans="1:4">
      <c r="A2304" s="122">
        <v>39610</v>
      </c>
      <c r="B2304" s="24">
        <v>0.94689999999999996</v>
      </c>
      <c r="C2304" s="24">
        <v>4921.3</v>
      </c>
      <c r="D2304" s="47">
        <f t="shared" si="35"/>
        <v>4659.9789700000001</v>
      </c>
    </row>
    <row r="2305" spans="1:4">
      <c r="A2305" s="122">
        <v>39609</v>
      </c>
      <c r="B2305" s="24">
        <v>0.94599999999999995</v>
      </c>
      <c r="C2305" s="24">
        <v>4924.1000000000004</v>
      </c>
      <c r="D2305" s="47">
        <f t="shared" si="35"/>
        <v>4658.1985999999997</v>
      </c>
    </row>
    <row r="2306" spans="1:4">
      <c r="A2306" s="122">
        <v>39608</v>
      </c>
      <c r="B2306" s="24">
        <v>0.95040000000000002</v>
      </c>
      <c r="C2306" s="24">
        <v>4893.3999999999996</v>
      </c>
      <c r="D2306" s="47">
        <f t="shared" si="35"/>
        <v>4650.6873599999999</v>
      </c>
    </row>
    <row r="2307" spans="1:4">
      <c r="A2307" s="122">
        <v>39605</v>
      </c>
      <c r="B2307" s="24">
        <v>0.96279999999999999</v>
      </c>
      <c r="C2307" s="24">
        <v>4913.2</v>
      </c>
      <c r="D2307" s="47">
        <f t="shared" ref="D2307:D2370" si="36">C2307*B2307</f>
        <v>4730.4289600000002</v>
      </c>
    </row>
    <row r="2308" spans="1:4">
      <c r="A2308" s="122">
        <v>39604</v>
      </c>
      <c r="B2308" s="24">
        <v>0.95899999999999996</v>
      </c>
      <c r="C2308" s="24">
        <v>4886.7</v>
      </c>
      <c r="D2308" s="47">
        <f t="shared" si="36"/>
        <v>4686.3453</v>
      </c>
    </row>
    <row r="2309" spans="1:4">
      <c r="A2309" s="122">
        <v>39603</v>
      </c>
      <c r="B2309" s="24">
        <v>0.95740000000000003</v>
      </c>
      <c r="C2309" s="24">
        <v>4879.1000000000004</v>
      </c>
      <c r="D2309" s="47">
        <f t="shared" si="36"/>
        <v>4671.2503400000005</v>
      </c>
    </row>
    <row r="2310" spans="1:4">
      <c r="A2310" s="122">
        <v>39602</v>
      </c>
      <c r="B2310" s="24">
        <v>0.95240000000000002</v>
      </c>
      <c r="C2310" s="24">
        <v>4835.5</v>
      </c>
      <c r="D2310" s="47">
        <f t="shared" si="36"/>
        <v>4605.3302000000003</v>
      </c>
    </row>
    <row r="2311" spans="1:4">
      <c r="A2311" s="122">
        <v>39601</v>
      </c>
      <c r="B2311" s="24">
        <v>0.95530000000000004</v>
      </c>
      <c r="C2311" s="24">
        <v>4799.8999999999996</v>
      </c>
      <c r="D2311" s="47">
        <f t="shared" si="36"/>
        <v>4585.34447</v>
      </c>
    </row>
    <row r="2312" spans="1:4">
      <c r="A2312" s="122">
        <v>39598</v>
      </c>
      <c r="B2312" s="24">
        <v>0.95589999999999997</v>
      </c>
      <c r="C2312" s="24">
        <v>4820.6000000000004</v>
      </c>
      <c r="D2312" s="47">
        <f t="shared" si="36"/>
        <v>4608.0115400000004</v>
      </c>
    </row>
    <row r="2313" spans="1:4">
      <c r="A2313" s="122">
        <v>39597</v>
      </c>
      <c r="B2313" s="24">
        <v>0.95550000000000002</v>
      </c>
      <c r="C2313" s="24">
        <v>4835</v>
      </c>
      <c r="D2313" s="47">
        <f t="shared" si="36"/>
        <v>4619.8424999999997</v>
      </c>
    </row>
    <row r="2314" spans="1:4">
      <c r="A2314" s="122">
        <v>39596</v>
      </c>
      <c r="B2314" s="24">
        <v>0.9627</v>
      </c>
      <c r="C2314" s="24">
        <v>4864.2</v>
      </c>
      <c r="D2314" s="47">
        <f t="shared" si="36"/>
        <v>4682.7653399999999</v>
      </c>
    </row>
    <row r="2315" spans="1:4">
      <c r="A2315" s="122">
        <v>39595</v>
      </c>
      <c r="B2315" s="24">
        <v>0.95879999999999999</v>
      </c>
      <c r="C2315" s="24">
        <v>4817.1000000000004</v>
      </c>
      <c r="D2315" s="47">
        <f t="shared" si="36"/>
        <v>4618.6354799999999</v>
      </c>
    </row>
    <row r="2316" spans="1:4">
      <c r="A2316" s="122">
        <v>39594</v>
      </c>
      <c r="B2316" s="24">
        <v>0.96079999999999999</v>
      </c>
      <c r="C2316" s="24">
        <v>4871.5</v>
      </c>
      <c r="D2316" s="47">
        <f t="shared" si="36"/>
        <v>4680.5371999999998</v>
      </c>
    </row>
    <row r="2317" spans="1:4">
      <c r="A2317" s="122">
        <v>39591</v>
      </c>
      <c r="B2317" s="24">
        <v>0.95940000000000003</v>
      </c>
      <c r="C2317" s="24">
        <v>4877.6000000000004</v>
      </c>
      <c r="D2317" s="47">
        <f t="shared" si="36"/>
        <v>4679.5694400000002</v>
      </c>
    </row>
    <row r="2318" spans="1:4">
      <c r="A2318" s="122">
        <v>39590</v>
      </c>
      <c r="B2318" s="24">
        <v>0.95550000000000002</v>
      </c>
      <c r="C2318" s="24">
        <v>4831.3999999999996</v>
      </c>
      <c r="D2318" s="47">
        <f t="shared" si="36"/>
        <v>4616.4026999999996</v>
      </c>
    </row>
    <row r="2319" spans="1:4">
      <c r="A2319" s="122">
        <v>39589</v>
      </c>
      <c r="B2319" s="24">
        <v>0.96230000000000004</v>
      </c>
      <c r="C2319" s="24">
        <v>4905.3999999999996</v>
      </c>
      <c r="D2319" s="47">
        <f t="shared" si="36"/>
        <v>4720.4664199999997</v>
      </c>
    </row>
    <row r="2320" spans="1:4">
      <c r="A2320" s="122">
        <v>39588</v>
      </c>
      <c r="B2320" s="24">
        <v>0.95860000000000001</v>
      </c>
      <c r="C2320" s="24">
        <v>4915.6000000000004</v>
      </c>
      <c r="D2320" s="47">
        <f t="shared" si="36"/>
        <v>4712.0941600000006</v>
      </c>
    </row>
    <row r="2321" spans="1:4">
      <c r="A2321" s="122">
        <v>39587</v>
      </c>
      <c r="B2321" s="24">
        <v>0.95340000000000003</v>
      </c>
      <c r="C2321" s="24">
        <v>4883.8</v>
      </c>
      <c r="D2321" s="47">
        <f t="shared" si="36"/>
        <v>4656.2149200000003</v>
      </c>
    </row>
    <row r="2322" spans="1:4">
      <c r="A2322" s="122">
        <v>39584</v>
      </c>
      <c r="B2322" s="24">
        <v>0.9556</v>
      </c>
      <c r="C2322" s="24">
        <v>4905.1000000000004</v>
      </c>
      <c r="D2322" s="47">
        <f t="shared" si="36"/>
        <v>4687.3135600000005</v>
      </c>
    </row>
    <row r="2323" spans="1:4">
      <c r="A2323" s="122">
        <v>39583</v>
      </c>
      <c r="B2323" s="24">
        <v>0.94040000000000001</v>
      </c>
      <c r="C2323" s="24">
        <v>4956.7</v>
      </c>
      <c r="D2323" s="47">
        <f t="shared" si="36"/>
        <v>4661.2806799999998</v>
      </c>
    </row>
    <row r="2324" spans="1:4">
      <c r="A2324" s="122">
        <v>39582</v>
      </c>
      <c r="B2324" s="24">
        <v>0.93410000000000004</v>
      </c>
      <c r="C2324" s="24">
        <v>4929.6000000000004</v>
      </c>
      <c r="D2324" s="47">
        <f t="shared" si="36"/>
        <v>4604.7393600000005</v>
      </c>
    </row>
    <row r="2325" spans="1:4">
      <c r="A2325" s="122">
        <v>39581</v>
      </c>
      <c r="B2325" s="24">
        <v>0.94020000000000004</v>
      </c>
      <c r="C2325" s="24">
        <v>4943.3999999999996</v>
      </c>
      <c r="D2325" s="47">
        <f t="shared" si="36"/>
        <v>4647.7846799999998</v>
      </c>
    </row>
    <row r="2326" spans="1:4">
      <c r="A2326" s="122">
        <v>39580</v>
      </c>
      <c r="B2326" s="24">
        <v>0.94769999999999999</v>
      </c>
      <c r="C2326" s="24">
        <v>4919.3</v>
      </c>
      <c r="D2326" s="47">
        <f t="shared" si="36"/>
        <v>4662.0206100000005</v>
      </c>
    </row>
    <row r="2327" spans="1:4">
      <c r="A2327" s="122">
        <v>39577</v>
      </c>
      <c r="B2327" s="24">
        <v>0.94330000000000003</v>
      </c>
      <c r="C2327" s="24">
        <v>4861.3999999999996</v>
      </c>
      <c r="D2327" s="47">
        <f t="shared" si="36"/>
        <v>4585.7586199999996</v>
      </c>
    </row>
    <row r="2328" spans="1:4">
      <c r="A2328" s="122">
        <v>39576</v>
      </c>
      <c r="B2328" s="24">
        <v>0.94350000000000001</v>
      </c>
      <c r="C2328" s="24">
        <v>4824.8</v>
      </c>
      <c r="D2328" s="47">
        <f t="shared" si="36"/>
        <v>4552.1988000000001</v>
      </c>
    </row>
    <row r="2329" spans="1:4">
      <c r="A2329" s="122">
        <v>39575</v>
      </c>
      <c r="B2329" s="24">
        <v>0.94210000000000005</v>
      </c>
      <c r="C2329" s="24">
        <v>4812.1000000000004</v>
      </c>
      <c r="D2329" s="47">
        <f t="shared" si="36"/>
        <v>4533.4794100000008</v>
      </c>
    </row>
    <row r="2330" spans="1:4">
      <c r="A2330" s="122">
        <v>39574</v>
      </c>
      <c r="B2330" s="24">
        <v>0.9496</v>
      </c>
      <c r="C2330" s="24">
        <v>4854.3999999999996</v>
      </c>
      <c r="D2330" s="47">
        <f t="shared" si="36"/>
        <v>4609.7382399999997</v>
      </c>
    </row>
    <row r="2331" spans="1:4">
      <c r="A2331" s="122">
        <v>39573</v>
      </c>
      <c r="B2331" s="24">
        <v>0.9466</v>
      </c>
      <c r="C2331" s="24">
        <v>4840.8999999999996</v>
      </c>
      <c r="D2331" s="47">
        <f t="shared" si="36"/>
        <v>4582.3959399999994</v>
      </c>
    </row>
    <row r="2332" spans="1:4">
      <c r="A2332" s="122">
        <v>39570</v>
      </c>
      <c r="B2332" s="24">
        <v>0.93469999999999998</v>
      </c>
      <c r="C2332" s="24">
        <v>4786.8999999999996</v>
      </c>
      <c r="D2332" s="47">
        <f t="shared" si="36"/>
        <v>4474.3154299999997</v>
      </c>
    </row>
    <row r="2333" spans="1:4">
      <c r="A2333" s="122">
        <v>39569</v>
      </c>
      <c r="B2333" s="24">
        <v>0.93340000000000001</v>
      </c>
      <c r="C2333" s="24">
        <v>4866.1000000000004</v>
      </c>
      <c r="D2333" s="47">
        <f t="shared" si="36"/>
        <v>4542.0177400000002</v>
      </c>
    </row>
    <row r="2334" spans="1:4">
      <c r="A2334" s="122">
        <v>39568</v>
      </c>
      <c r="B2334" s="24">
        <v>0.94369999999999998</v>
      </c>
      <c r="C2334" s="24">
        <v>4836.3999999999996</v>
      </c>
      <c r="D2334" s="47">
        <f t="shared" si="36"/>
        <v>4564.1106799999998</v>
      </c>
    </row>
    <row r="2335" spans="1:4">
      <c r="A2335" s="122">
        <v>39567</v>
      </c>
      <c r="B2335" s="24">
        <v>0.93400000000000005</v>
      </c>
      <c r="C2335" s="24">
        <v>4836.7</v>
      </c>
      <c r="D2335" s="47">
        <f t="shared" si="36"/>
        <v>4517.4777999999997</v>
      </c>
    </row>
    <row r="2336" spans="1:4">
      <c r="A2336" s="122">
        <v>39566</v>
      </c>
      <c r="B2336" s="24">
        <v>0.93899999999999995</v>
      </c>
      <c r="C2336" s="24">
        <v>4836.8999999999996</v>
      </c>
      <c r="D2336" s="47">
        <f t="shared" si="36"/>
        <v>4541.8490999999995</v>
      </c>
    </row>
    <row r="2337" spans="1:4">
      <c r="A2337" s="122">
        <v>39563</v>
      </c>
      <c r="B2337" s="24">
        <v>0.93320000000000003</v>
      </c>
      <c r="C2337" s="24">
        <v>4838.1000000000004</v>
      </c>
      <c r="D2337" s="47">
        <f t="shared" si="36"/>
        <v>4514.9149200000002</v>
      </c>
    </row>
    <row r="2338" spans="1:4">
      <c r="A2338" s="122">
        <v>39562</v>
      </c>
      <c r="B2338" s="24">
        <v>0.93969999999999998</v>
      </c>
      <c r="C2338" s="24">
        <v>4816.7</v>
      </c>
      <c r="D2338" s="47">
        <f t="shared" si="36"/>
        <v>4526.25299</v>
      </c>
    </row>
    <row r="2339" spans="1:4">
      <c r="A2339" s="122">
        <v>39561</v>
      </c>
      <c r="B2339" s="24">
        <v>0.94910000000000005</v>
      </c>
      <c r="C2339" s="24">
        <v>4831.5</v>
      </c>
      <c r="D2339" s="47">
        <f t="shared" si="36"/>
        <v>4585.57665</v>
      </c>
    </row>
    <row r="2340" spans="1:4">
      <c r="A2340" s="122">
        <v>39560</v>
      </c>
      <c r="B2340" s="24">
        <v>0.94479999999999997</v>
      </c>
      <c r="C2340" s="24">
        <v>4791.1000000000004</v>
      </c>
      <c r="D2340" s="47">
        <f t="shared" si="36"/>
        <v>4526.6312800000005</v>
      </c>
    </row>
    <row r="2341" spans="1:4">
      <c r="A2341" s="122">
        <v>39559</v>
      </c>
      <c r="B2341" s="24">
        <v>0.94269999999999998</v>
      </c>
      <c r="C2341" s="24">
        <v>4813.7</v>
      </c>
      <c r="D2341" s="47">
        <f t="shared" si="36"/>
        <v>4537.8749899999993</v>
      </c>
    </row>
    <row r="2342" spans="1:4">
      <c r="A2342" s="122">
        <v>39556</v>
      </c>
      <c r="B2342" s="24">
        <v>0.93440000000000001</v>
      </c>
      <c r="C2342" s="24">
        <v>4820.3</v>
      </c>
      <c r="D2342" s="47">
        <f t="shared" si="36"/>
        <v>4504.0883199999998</v>
      </c>
    </row>
    <row r="2343" spans="1:4">
      <c r="A2343" s="122">
        <v>39555</v>
      </c>
      <c r="B2343" s="24">
        <v>0.93759999999999999</v>
      </c>
      <c r="C2343" s="24">
        <v>4776</v>
      </c>
      <c r="D2343" s="47">
        <f t="shared" si="36"/>
        <v>4477.9776000000002</v>
      </c>
    </row>
    <row r="2344" spans="1:4">
      <c r="A2344" s="122">
        <v>39554</v>
      </c>
      <c r="B2344" s="24">
        <v>0.93959999999999999</v>
      </c>
      <c r="C2344" s="24">
        <v>4763.3999999999996</v>
      </c>
      <c r="D2344" s="47">
        <f t="shared" si="36"/>
        <v>4475.6906399999998</v>
      </c>
    </row>
    <row r="2345" spans="1:4">
      <c r="A2345" s="122">
        <v>39553</v>
      </c>
      <c r="B2345" s="24">
        <v>0.9264</v>
      </c>
      <c r="C2345" s="24">
        <v>4763.3999999999996</v>
      </c>
      <c r="D2345" s="47">
        <f t="shared" si="36"/>
        <v>4412.81376</v>
      </c>
    </row>
    <row r="2346" spans="1:4">
      <c r="A2346" s="122">
        <v>39552</v>
      </c>
      <c r="B2346" s="24">
        <v>0.92669999999999997</v>
      </c>
      <c r="C2346" s="24">
        <v>4772.5</v>
      </c>
      <c r="D2346" s="47">
        <f t="shared" si="36"/>
        <v>4422.6757499999994</v>
      </c>
    </row>
    <row r="2347" spans="1:4">
      <c r="A2347" s="122">
        <v>39549</v>
      </c>
      <c r="B2347" s="24">
        <v>0.92769999999999997</v>
      </c>
      <c r="C2347" s="24">
        <v>4755.6000000000004</v>
      </c>
      <c r="D2347" s="47">
        <f t="shared" si="36"/>
        <v>4411.7701200000001</v>
      </c>
    </row>
    <row r="2348" spans="1:4">
      <c r="A2348" s="122">
        <v>39548</v>
      </c>
      <c r="B2348" s="24">
        <v>0.93220000000000003</v>
      </c>
      <c r="C2348" s="24">
        <v>4727.7</v>
      </c>
      <c r="D2348" s="47">
        <f t="shared" si="36"/>
        <v>4407.16194</v>
      </c>
    </row>
    <row r="2349" spans="1:4">
      <c r="A2349" s="122">
        <v>39547</v>
      </c>
      <c r="B2349" s="24">
        <v>0.9284</v>
      </c>
      <c r="C2349" s="24">
        <v>4707.8</v>
      </c>
      <c r="D2349" s="47">
        <f t="shared" si="36"/>
        <v>4370.7215200000001</v>
      </c>
    </row>
    <row r="2350" spans="1:4">
      <c r="A2350" s="122">
        <v>39546</v>
      </c>
      <c r="B2350" s="24">
        <v>0.93189999999999995</v>
      </c>
      <c r="C2350" s="24">
        <v>4718.2</v>
      </c>
      <c r="D2350" s="47">
        <f t="shared" si="36"/>
        <v>4396.8905799999993</v>
      </c>
    </row>
    <row r="2351" spans="1:4">
      <c r="A2351" s="122">
        <v>39545</v>
      </c>
      <c r="B2351" s="24">
        <v>0.92579999999999996</v>
      </c>
      <c r="C2351" s="24">
        <v>4672.3</v>
      </c>
      <c r="D2351" s="47">
        <f t="shared" si="36"/>
        <v>4325.6153400000003</v>
      </c>
    </row>
    <row r="2352" spans="1:4">
      <c r="A2352" s="122">
        <v>39542</v>
      </c>
      <c r="B2352" s="24">
        <v>0.92249999999999999</v>
      </c>
      <c r="C2352" s="24">
        <v>4655.3999999999996</v>
      </c>
      <c r="D2352" s="47">
        <f t="shared" si="36"/>
        <v>4294.6064999999999</v>
      </c>
    </row>
    <row r="2353" spans="1:4">
      <c r="A2353" s="122">
        <v>39541</v>
      </c>
      <c r="B2353" s="24">
        <v>0.91639999999999999</v>
      </c>
      <c r="C2353" s="24">
        <v>4644</v>
      </c>
      <c r="D2353" s="47">
        <f t="shared" si="36"/>
        <v>4255.7615999999998</v>
      </c>
    </row>
    <row r="2354" spans="1:4">
      <c r="A2354" s="122">
        <v>39540</v>
      </c>
      <c r="B2354" s="24">
        <v>0.91410000000000002</v>
      </c>
      <c r="C2354" s="24">
        <v>4627.8999999999996</v>
      </c>
      <c r="D2354" s="47">
        <f t="shared" si="36"/>
        <v>4230.3633899999995</v>
      </c>
    </row>
    <row r="2355" spans="1:4">
      <c r="A2355" s="122">
        <v>39539</v>
      </c>
      <c r="B2355" s="24">
        <v>0.9073</v>
      </c>
      <c r="C2355" s="24">
        <v>4617.8999999999996</v>
      </c>
      <c r="D2355" s="47">
        <f t="shared" si="36"/>
        <v>4189.8206700000001</v>
      </c>
    </row>
    <row r="2356" spans="1:4">
      <c r="A2356" s="122">
        <v>39538</v>
      </c>
      <c r="B2356" s="24">
        <v>0.91300000000000003</v>
      </c>
      <c r="C2356" s="24">
        <v>4587.1000000000004</v>
      </c>
      <c r="D2356" s="47">
        <f t="shared" si="36"/>
        <v>4188.0223000000005</v>
      </c>
    </row>
    <row r="2357" spans="1:4">
      <c r="A2357" s="122">
        <v>39535</v>
      </c>
      <c r="B2357" s="24">
        <v>0.91739999999999999</v>
      </c>
      <c r="C2357" s="24">
        <v>4611.8999999999996</v>
      </c>
      <c r="D2357" s="47">
        <f t="shared" si="36"/>
        <v>4230.9570599999997</v>
      </c>
    </row>
    <row r="2358" spans="1:4">
      <c r="A2358" s="122">
        <v>39534</v>
      </c>
      <c r="B2358" s="24">
        <v>0.91890000000000005</v>
      </c>
      <c r="C2358" s="24">
        <v>4580.1000000000004</v>
      </c>
      <c r="D2358" s="47">
        <f t="shared" si="36"/>
        <v>4208.6538900000005</v>
      </c>
    </row>
    <row r="2359" spans="1:4">
      <c r="A2359" s="122">
        <v>39533</v>
      </c>
      <c r="B2359" s="24">
        <v>0.92</v>
      </c>
      <c r="C2359" s="24">
        <v>4578</v>
      </c>
      <c r="D2359" s="47">
        <f t="shared" si="36"/>
        <v>4211.76</v>
      </c>
    </row>
    <row r="2360" spans="1:4">
      <c r="A2360" s="122">
        <v>39532</v>
      </c>
      <c r="B2360" s="24">
        <v>0.91739999999999999</v>
      </c>
      <c r="C2360" s="24">
        <v>4623.8999999999996</v>
      </c>
      <c r="D2360" s="47">
        <f t="shared" si="36"/>
        <v>4241.9658599999993</v>
      </c>
    </row>
    <row r="2361" spans="1:4">
      <c r="A2361" s="122">
        <v>39531</v>
      </c>
      <c r="B2361" s="24">
        <v>0.90639999999999998</v>
      </c>
      <c r="C2361" s="24">
        <v>4616</v>
      </c>
      <c r="D2361" s="47">
        <f t="shared" si="36"/>
        <v>4183.9423999999999</v>
      </c>
    </row>
    <row r="2362" spans="1:4">
      <c r="A2362" s="122">
        <v>39528</v>
      </c>
      <c r="B2362" s="24">
        <v>0.90169999999999995</v>
      </c>
      <c r="C2362" s="24">
        <v>4624.6000000000004</v>
      </c>
      <c r="D2362" s="47">
        <f t="shared" si="36"/>
        <v>4170.0018200000004</v>
      </c>
    </row>
    <row r="2363" spans="1:4">
      <c r="A2363" s="122">
        <v>39527</v>
      </c>
      <c r="B2363" s="24">
        <v>0.8992</v>
      </c>
      <c r="C2363" s="24">
        <v>4623.5</v>
      </c>
      <c r="D2363" s="47">
        <f t="shared" si="36"/>
        <v>4157.4512000000004</v>
      </c>
    </row>
    <row r="2364" spans="1:4">
      <c r="A2364" s="122">
        <v>39526</v>
      </c>
      <c r="B2364" s="24">
        <v>0.91439999999999999</v>
      </c>
      <c r="C2364" s="24">
        <v>4580.1000000000004</v>
      </c>
      <c r="D2364" s="47">
        <f t="shared" si="36"/>
        <v>4188.0434400000004</v>
      </c>
    </row>
    <row r="2365" spans="1:4">
      <c r="A2365" s="122">
        <v>39525</v>
      </c>
      <c r="B2365" s="24">
        <v>0.92700000000000005</v>
      </c>
      <c r="C2365" s="24">
        <v>4634.8</v>
      </c>
      <c r="D2365" s="47">
        <f t="shared" si="36"/>
        <v>4296.4596000000001</v>
      </c>
    </row>
    <row r="2366" spans="1:4">
      <c r="A2366" s="122">
        <v>39524</v>
      </c>
      <c r="B2366" s="24">
        <v>0.92190000000000005</v>
      </c>
      <c r="C2366" s="24">
        <v>4639</v>
      </c>
      <c r="D2366" s="47">
        <f t="shared" si="36"/>
        <v>4276.6941000000006</v>
      </c>
    </row>
    <row r="2367" spans="1:4">
      <c r="A2367" s="122">
        <v>39521</v>
      </c>
      <c r="B2367" s="24">
        <v>0.93710000000000004</v>
      </c>
      <c r="C2367" s="24">
        <v>4665.3</v>
      </c>
      <c r="D2367" s="47">
        <f t="shared" si="36"/>
        <v>4371.8526300000003</v>
      </c>
    </row>
    <row r="2368" spans="1:4">
      <c r="A2368" s="122">
        <v>39520</v>
      </c>
      <c r="B2368" s="24">
        <v>0.94679999999999997</v>
      </c>
      <c r="C2368" s="24">
        <v>4648.8</v>
      </c>
      <c r="D2368" s="47">
        <f t="shared" si="36"/>
        <v>4401.4838399999999</v>
      </c>
    </row>
    <row r="2369" spans="1:4">
      <c r="A2369" s="122">
        <v>39519</v>
      </c>
      <c r="B2369" s="24">
        <v>0.93320000000000003</v>
      </c>
      <c r="C2369" s="24">
        <v>4652.3</v>
      </c>
      <c r="D2369" s="47">
        <f t="shared" si="36"/>
        <v>4341.5263600000008</v>
      </c>
    </row>
    <row r="2370" spans="1:4">
      <c r="A2370" s="122">
        <v>39518</v>
      </c>
      <c r="B2370" s="24">
        <v>0.92889999999999995</v>
      </c>
      <c r="C2370" s="24">
        <v>4616.6000000000004</v>
      </c>
      <c r="D2370" s="47">
        <f t="shared" si="36"/>
        <v>4288.3597399999999</v>
      </c>
    </row>
    <row r="2371" spans="1:4">
      <c r="A2371" s="122">
        <v>39517</v>
      </c>
      <c r="B2371" s="24">
        <v>0.91620000000000001</v>
      </c>
      <c r="C2371" s="24">
        <v>4622.8999999999996</v>
      </c>
      <c r="D2371" s="47">
        <f t="shared" ref="D2371:D2434" si="37">C2371*B2371</f>
        <v>4235.5009799999998</v>
      </c>
    </row>
    <row r="2372" spans="1:4">
      <c r="A2372" s="122">
        <v>39514</v>
      </c>
      <c r="B2372" s="24">
        <v>0.92679999999999996</v>
      </c>
      <c r="C2372" s="24">
        <v>4654.2</v>
      </c>
      <c r="D2372" s="47">
        <f t="shared" si="37"/>
        <v>4313.5125599999992</v>
      </c>
    </row>
    <row r="2373" spans="1:4">
      <c r="A2373" s="122">
        <v>39513</v>
      </c>
      <c r="B2373" s="24">
        <v>0.92620000000000002</v>
      </c>
      <c r="C2373" s="24">
        <v>4671.1000000000004</v>
      </c>
      <c r="D2373" s="47">
        <f t="shared" si="37"/>
        <v>4326.3728200000005</v>
      </c>
    </row>
    <row r="2374" spans="1:4">
      <c r="A2374" s="122">
        <v>39512</v>
      </c>
      <c r="B2374" s="24">
        <v>0.93420000000000003</v>
      </c>
      <c r="C2374" s="24">
        <v>4629.1000000000004</v>
      </c>
      <c r="D2374" s="47">
        <f t="shared" si="37"/>
        <v>4324.5052200000009</v>
      </c>
    </row>
    <row r="2375" spans="1:4">
      <c r="A2375" s="122">
        <v>39511</v>
      </c>
      <c r="B2375" s="24">
        <v>0.92759999999999998</v>
      </c>
      <c r="C2375" s="24">
        <v>4621.1000000000004</v>
      </c>
      <c r="D2375" s="47">
        <f t="shared" si="37"/>
        <v>4286.5323600000002</v>
      </c>
    </row>
    <row r="2376" spans="1:4">
      <c r="A2376" s="122">
        <v>39510</v>
      </c>
      <c r="B2376" s="24">
        <v>0.9395</v>
      </c>
      <c r="C2376" s="24">
        <v>4603.2</v>
      </c>
      <c r="D2376" s="47">
        <f t="shared" si="37"/>
        <v>4324.7064</v>
      </c>
    </row>
    <row r="2377" spans="1:4">
      <c r="A2377" s="122">
        <v>39507</v>
      </c>
      <c r="B2377" s="24">
        <v>0.93079999999999996</v>
      </c>
      <c r="C2377" s="24">
        <v>4608.3999999999996</v>
      </c>
      <c r="D2377" s="47">
        <f t="shared" si="37"/>
        <v>4289.4987199999996</v>
      </c>
    </row>
    <row r="2378" spans="1:4">
      <c r="A2378" s="122">
        <v>39506</v>
      </c>
      <c r="B2378" s="24">
        <v>0.94879999999999998</v>
      </c>
      <c r="C2378" s="24">
        <v>4574.3</v>
      </c>
      <c r="D2378" s="47">
        <f t="shared" si="37"/>
        <v>4340.09584</v>
      </c>
    </row>
    <row r="2379" spans="1:4">
      <c r="A2379" s="122">
        <v>39505</v>
      </c>
      <c r="B2379" s="24">
        <v>0.94159999999999999</v>
      </c>
      <c r="C2379" s="24">
        <v>4543.7</v>
      </c>
      <c r="D2379" s="47">
        <f t="shared" si="37"/>
        <v>4278.3479200000002</v>
      </c>
    </row>
    <row r="2380" spans="1:4">
      <c r="A2380" s="122">
        <v>39504</v>
      </c>
      <c r="B2380" s="24">
        <v>0.93379999999999996</v>
      </c>
      <c r="C2380" s="24">
        <v>4526.1000000000004</v>
      </c>
      <c r="D2380" s="47">
        <f t="shared" si="37"/>
        <v>4226.4721799999998</v>
      </c>
    </row>
    <row r="2381" spans="1:4">
      <c r="A2381" s="122">
        <v>39503</v>
      </c>
      <c r="B2381" s="24">
        <v>0.92669999999999997</v>
      </c>
      <c r="C2381" s="24">
        <v>4554.5</v>
      </c>
      <c r="D2381" s="47">
        <f t="shared" si="37"/>
        <v>4220.6551499999996</v>
      </c>
    </row>
    <row r="2382" spans="1:4">
      <c r="A2382" s="122">
        <v>39500</v>
      </c>
      <c r="B2382" s="24">
        <v>0.9234</v>
      </c>
      <c r="C2382" s="24">
        <v>4512.5</v>
      </c>
      <c r="D2382" s="47">
        <f t="shared" si="37"/>
        <v>4166.8424999999997</v>
      </c>
    </row>
    <row r="2383" spans="1:4">
      <c r="A2383" s="122">
        <v>39499</v>
      </c>
      <c r="B2383" s="24">
        <v>0.91879999999999995</v>
      </c>
      <c r="C2383" s="24">
        <v>4519.5</v>
      </c>
      <c r="D2383" s="47">
        <f t="shared" si="37"/>
        <v>4152.5165999999999</v>
      </c>
    </row>
    <row r="2384" spans="1:4">
      <c r="A2384" s="122">
        <v>39498</v>
      </c>
      <c r="B2384" s="24">
        <v>0.91839999999999999</v>
      </c>
      <c r="C2384" s="24">
        <v>4513.7</v>
      </c>
      <c r="D2384" s="47">
        <f t="shared" si="37"/>
        <v>4145.3820799999994</v>
      </c>
    </row>
    <row r="2385" spans="1:4">
      <c r="A2385" s="122">
        <v>39497</v>
      </c>
      <c r="B2385" s="24">
        <v>0.91879999999999995</v>
      </c>
      <c r="C2385" s="24">
        <v>4456.3</v>
      </c>
      <c r="D2385" s="47">
        <f t="shared" si="37"/>
        <v>4094.4484400000001</v>
      </c>
    </row>
    <row r="2386" spans="1:4">
      <c r="A2386" s="122">
        <v>39496</v>
      </c>
      <c r="B2386" s="24">
        <v>0.91359999999999997</v>
      </c>
      <c r="C2386" s="24">
        <v>4474.7</v>
      </c>
      <c r="D2386" s="47">
        <f t="shared" si="37"/>
        <v>4088.0859199999995</v>
      </c>
    </row>
    <row r="2387" spans="1:4">
      <c r="A2387" s="122">
        <v>39493</v>
      </c>
      <c r="B2387" s="24">
        <v>0.90900000000000003</v>
      </c>
      <c r="C2387" s="24">
        <v>4459.7</v>
      </c>
      <c r="D2387" s="47">
        <f t="shared" si="37"/>
        <v>4053.8672999999999</v>
      </c>
    </row>
    <row r="2388" spans="1:4">
      <c r="A2388" s="122">
        <v>39492</v>
      </c>
      <c r="B2388" s="24">
        <v>0.90190000000000003</v>
      </c>
      <c r="C2388" s="24">
        <v>4383</v>
      </c>
      <c r="D2388" s="47">
        <f t="shared" si="37"/>
        <v>3953.0277000000001</v>
      </c>
    </row>
    <row r="2389" spans="1:4">
      <c r="A2389" s="122">
        <v>39491</v>
      </c>
      <c r="B2389" s="24">
        <v>0.89600000000000002</v>
      </c>
      <c r="C2389" s="24">
        <v>4433</v>
      </c>
      <c r="D2389" s="47">
        <f t="shared" si="37"/>
        <v>3971.9680000000003</v>
      </c>
    </row>
    <row r="2390" spans="1:4">
      <c r="A2390" s="122">
        <v>39490</v>
      </c>
      <c r="B2390" s="24">
        <v>0.90339999999999998</v>
      </c>
      <c r="C2390" s="24">
        <v>4443.3999999999996</v>
      </c>
      <c r="D2390" s="47">
        <f t="shared" si="37"/>
        <v>4014.1675599999994</v>
      </c>
    </row>
    <row r="2391" spans="1:4">
      <c r="A2391" s="122">
        <v>39489</v>
      </c>
      <c r="B2391" s="24">
        <v>0.90359999999999996</v>
      </c>
      <c r="C2391" s="24">
        <v>4390.8</v>
      </c>
      <c r="D2391" s="47">
        <f t="shared" si="37"/>
        <v>3967.5268799999999</v>
      </c>
    </row>
    <row r="2392" spans="1:4">
      <c r="A2392" s="122">
        <v>39486</v>
      </c>
      <c r="B2392" s="24">
        <v>0.89539999999999997</v>
      </c>
      <c r="C2392" s="24">
        <v>4357.2</v>
      </c>
      <c r="D2392" s="47">
        <f t="shared" si="37"/>
        <v>3901.4368799999997</v>
      </c>
    </row>
    <row r="2393" spans="1:4">
      <c r="A2393" s="122">
        <v>39485</v>
      </c>
      <c r="B2393" s="24">
        <v>0.89470000000000005</v>
      </c>
      <c r="C2393" s="24">
        <v>4364.3</v>
      </c>
      <c r="D2393" s="47">
        <f t="shared" si="37"/>
        <v>3904.7392100000002</v>
      </c>
    </row>
    <row r="2394" spans="1:4">
      <c r="A2394" s="122">
        <v>39484</v>
      </c>
      <c r="B2394" s="24">
        <v>0.89610000000000001</v>
      </c>
      <c r="C2394" s="24">
        <v>4380.1000000000004</v>
      </c>
      <c r="D2394" s="47">
        <f t="shared" si="37"/>
        <v>3925.0076100000006</v>
      </c>
    </row>
    <row r="2395" spans="1:4">
      <c r="A2395" s="122">
        <v>39483</v>
      </c>
      <c r="B2395" s="24">
        <v>0.8972</v>
      </c>
      <c r="C2395" s="24">
        <v>4377.2</v>
      </c>
      <c r="D2395" s="47">
        <f t="shared" si="37"/>
        <v>3927.2238399999997</v>
      </c>
    </row>
    <row r="2396" spans="1:4">
      <c r="A2396" s="122">
        <v>39482</v>
      </c>
      <c r="B2396" s="24">
        <v>0.90800000000000003</v>
      </c>
      <c r="C2396" s="24">
        <v>4459.3</v>
      </c>
      <c r="D2396" s="47">
        <f t="shared" si="37"/>
        <v>4049.0444000000002</v>
      </c>
    </row>
    <row r="2397" spans="1:4">
      <c r="A2397" s="122">
        <v>39479</v>
      </c>
      <c r="B2397" s="24">
        <v>0.90410000000000001</v>
      </c>
      <c r="C2397" s="24">
        <v>4425.3</v>
      </c>
      <c r="D2397" s="47">
        <f t="shared" si="37"/>
        <v>4000.9137300000002</v>
      </c>
    </row>
    <row r="2398" spans="1:4">
      <c r="A2398" s="122">
        <v>39478</v>
      </c>
      <c r="B2398" s="24">
        <v>0.89570000000000005</v>
      </c>
      <c r="C2398" s="24">
        <v>4406.1000000000004</v>
      </c>
      <c r="D2398" s="47">
        <f t="shared" si="37"/>
        <v>3946.5437700000007</v>
      </c>
    </row>
    <row r="2399" spans="1:4">
      <c r="A2399" s="122">
        <v>39477</v>
      </c>
      <c r="B2399" s="24">
        <v>0.89370000000000005</v>
      </c>
      <c r="C2399" s="24">
        <v>4431</v>
      </c>
      <c r="D2399" s="47">
        <f t="shared" si="37"/>
        <v>3959.9847000000004</v>
      </c>
    </row>
    <row r="2400" spans="1:4">
      <c r="A2400" s="122">
        <v>39476</v>
      </c>
      <c r="B2400" s="24">
        <v>0.88939999999999997</v>
      </c>
      <c r="C2400" s="24">
        <v>4468.2</v>
      </c>
      <c r="D2400" s="47">
        <f t="shared" si="37"/>
        <v>3974.0170799999996</v>
      </c>
    </row>
    <row r="2401" spans="1:4">
      <c r="A2401" s="122">
        <v>39475</v>
      </c>
      <c r="B2401" s="24">
        <v>0.88880000000000003</v>
      </c>
      <c r="C2401" s="24">
        <v>4428.8</v>
      </c>
      <c r="D2401" s="47">
        <f t="shared" si="37"/>
        <v>3936.3174400000003</v>
      </c>
    </row>
    <row r="2402" spans="1:4">
      <c r="A2402" s="122">
        <v>39472</v>
      </c>
      <c r="B2402" s="24">
        <v>0.87970000000000004</v>
      </c>
      <c r="C2402" s="24">
        <v>4469.1000000000004</v>
      </c>
      <c r="D2402" s="47">
        <f t="shared" si="37"/>
        <v>3931.4672700000006</v>
      </c>
    </row>
    <row r="2403" spans="1:4">
      <c r="A2403" s="122">
        <v>39471</v>
      </c>
      <c r="B2403" s="24">
        <v>0.88180000000000003</v>
      </c>
      <c r="C2403" s="24">
        <v>4440.6000000000004</v>
      </c>
      <c r="D2403" s="47">
        <f t="shared" si="37"/>
        <v>3915.7210800000003</v>
      </c>
    </row>
    <row r="2404" spans="1:4">
      <c r="A2404" s="122">
        <v>39470</v>
      </c>
      <c r="B2404" s="24">
        <v>0.87329999999999997</v>
      </c>
      <c r="C2404" s="24">
        <v>4447.3</v>
      </c>
      <c r="D2404" s="47">
        <f t="shared" si="37"/>
        <v>3883.8270900000002</v>
      </c>
    </row>
    <row r="2405" spans="1:4">
      <c r="A2405" s="122">
        <v>39469</v>
      </c>
      <c r="B2405" s="24">
        <v>0.86839999999999995</v>
      </c>
      <c r="C2405" s="24">
        <v>4543.5</v>
      </c>
      <c r="D2405" s="47">
        <f t="shared" si="37"/>
        <v>3945.5753999999997</v>
      </c>
    </row>
    <row r="2406" spans="1:4">
      <c r="A2406" s="122">
        <v>39468</v>
      </c>
      <c r="B2406" s="24">
        <v>0.86150000000000004</v>
      </c>
      <c r="C2406" s="24">
        <v>4643.6000000000004</v>
      </c>
      <c r="D2406" s="47">
        <f t="shared" si="37"/>
        <v>4000.4614000000006</v>
      </c>
    </row>
    <row r="2407" spans="1:4">
      <c r="A2407" s="122">
        <v>39465</v>
      </c>
      <c r="B2407" s="24">
        <v>0.87909999999999999</v>
      </c>
      <c r="C2407" s="24">
        <v>4642.3999999999996</v>
      </c>
      <c r="D2407" s="47">
        <f t="shared" si="37"/>
        <v>4081.1338399999995</v>
      </c>
    </row>
    <row r="2408" spans="1:4">
      <c r="A2408" s="122">
        <v>39464</v>
      </c>
      <c r="B2408" s="24">
        <v>0.87660000000000005</v>
      </c>
      <c r="C2408" s="24">
        <v>4641.2</v>
      </c>
      <c r="D2408" s="47">
        <f t="shared" si="37"/>
        <v>4068.4759199999999</v>
      </c>
    </row>
    <row r="2409" spans="1:4">
      <c r="A2409" s="122">
        <v>39463</v>
      </c>
      <c r="B2409" s="24">
        <v>0.87990000000000002</v>
      </c>
      <c r="C2409" s="24">
        <v>4671.7</v>
      </c>
      <c r="D2409" s="47">
        <f t="shared" si="37"/>
        <v>4110.6288299999997</v>
      </c>
    </row>
    <row r="2410" spans="1:4">
      <c r="A2410" s="122">
        <v>39462</v>
      </c>
      <c r="B2410" s="24">
        <v>0.88100000000000001</v>
      </c>
      <c r="C2410" s="24">
        <v>4627.6000000000004</v>
      </c>
      <c r="D2410" s="47">
        <f t="shared" si="37"/>
        <v>4076.9156000000003</v>
      </c>
    </row>
    <row r="2411" spans="1:4">
      <c r="A2411" s="122">
        <v>39461</v>
      </c>
      <c r="B2411" s="24">
        <v>0.89949999999999997</v>
      </c>
      <c r="C2411" s="24">
        <v>4629.2</v>
      </c>
      <c r="D2411" s="47">
        <f t="shared" si="37"/>
        <v>4163.9654</v>
      </c>
    </row>
    <row r="2412" spans="1:4">
      <c r="A2412" s="122">
        <v>39458</v>
      </c>
      <c r="B2412" s="24">
        <v>0.89080000000000004</v>
      </c>
      <c r="C2412" s="24">
        <v>4618.8999999999996</v>
      </c>
      <c r="D2412" s="47">
        <f t="shared" si="37"/>
        <v>4114.5161200000002</v>
      </c>
    </row>
    <row r="2413" spans="1:4">
      <c r="A2413" s="122">
        <v>39457</v>
      </c>
      <c r="B2413" s="24">
        <v>0.89549999999999996</v>
      </c>
      <c r="C2413" s="24">
        <v>4562.3999999999996</v>
      </c>
      <c r="D2413" s="47">
        <f t="shared" si="37"/>
        <v>4085.6291999999994</v>
      </c>
    </row>
    <row r="2414" spans="1:4">
      <c r="A2414" s="122">
        <v>39456</v>
      </c>
      <c r="B2414" s="24">
        <v>0.8831</v>
      </c>
      <c r="C2414" s="24">
        <v>4561.7</v>
      </c>
      <c r="D2414" s="47">
        <f t="shared" si="37"/>
        <v>4028.4372699999999</v>
      </c>
    </row>
    <row r="2415" spans="1:4">
      <c r="A2415" s="122">
        <v>39455</v>
      </c>
      <c r="B2415" s="24">
        <v>0.87860000000000005</v>
      </c>
      <c r="C2415" s="24">
        <v>4552.3999999999996</v>
      </c>
      <c r="D2415" s="47">
        <f t="shared" si="37"/>
        <v>3999.73864</v>
      </c>
    </row>
    <row r="2416" spans="1:4">
      <c r="A2416" s="122">
        <v>39454</v>
      </c>
      <c r="B2416" s="24">
        <v>0.873</v>
      </c>
      <c r="C2416" s="24">
        <v>4580.8999999999996</v>
      </c>
      <c r="D2416" s="47">
        <f t="shared" si="37"/>
        <v>3999.1256999999996</v>
      </c>
    </row>
    <row r="2417" spans="1:4">
      <c r="A2417" s="122">
        <v>39451</v>
      </c>
      <c r="B2417" s="24">
        <v>0.87219999999999998</v>
      </c>
      <c r="C2417" s="24">
        <v>4551.3</v>
      </c>
      <c r="D2417" s="47">
        <f t="shared" si="37"/>
        <v>3969.6438600000001</v>
      </c>
    </row>
    <row r="2418" spans="1:4">
      <c r="A2418" s="122">
        <v>39450</v>
      </c>
      <c r="B2418" s="24">
        <v>0.88029999999999997</v>
      </c>
      <c r="C2418" s="24">
        <v>4553.6000000000004</v>
      </c>
      <c r="D2418" s="47">
        <f t="shared" si="37"/>
        <v>4008.5340800000004</v>
      </c>
    </row>
    <row r="2419" spans="1:4">
      <c r="A2419" s="122">
        <v>39449</v>
      </c>
      <c r="B2419" s="24">
        <v>0.88370000000000004</v>
      </c>
      <c r="C2419" s="24">
        <v>4513.8999999999996</v>
      </c>
      <c r="D2419" s="47">
        <f t="shared" si="37"/>
        <v>3988.93343</v>
      </c>
    </row>
    <row r="2420" spans="1:4">
      <c r="A2420" s="122">
        <v>39448</v>
      </c>
      <c r="B2420" s="24">
        <v>0.87619999999999998</v>
      </c>
      <c r="C2420" s="24">
        <v>4518.3</v>
      </c>
      <c r="D2420" s="47">
        <f t="shared" si="37"/>
        <v>3958.9344599999999</v>
      </c>
    </row>
    <row r="2421" spans="1:4">
      <c r="A2421" s="122">
        <v>39447</v>
      </c>
      <c r="B2421" s="24">
        <v>0.87490000000000001</v>
      </c>
      <c r="C2421" s="24">
        <v>4495.1000000000004</v>
      </c>
      <c r="D2421" s="47">
        <f t="shared" si="37"/>
        <v>3932.7629900000002</v>
      </c>
    </row>
    <row r="2422" spans="1:4">
      <c r="A2422" s="122">
        <v>39444</v>
      </c>
      <c r="B2422" s="24">
        <v>0.876</v>
      </c>
      <c r="C2422" s="24">
        <v>4471.8</v>
      </c>
      <c r="D2422" s="47">
        <f t="shared" si="37"/>
        <v>3917.2968000000001</v>
      </c>
    </row>
    <row r="2423" spans="1:4">
      <c r="A2423" s="122">
        <v>39443</v>
      </c>
      <c r="B2423" s="24">
        <v>0.878</v>
      </c>
      <c r="C2423" s="24">
        <v>4468.1000000000004</v>
      </c>
      <c r="D2423" s="47">
        <f t="shared" si="37"/>
        <v>3922.9918000000002</v>
      </c>
    </row>
    <row r="2424" spans="1:4">
      <c r="A2424" s="122">
        <v>39442</v>
      </c>
      <c r="B2424" s="24">
        <v>0.87419999999999998</v>
      </c>
      <c r="C2424" s="24">
        <v>4474.8999999999996</v>
      </c>
      <c r="D2424" s="47">
        <f t="shared" si="37"/>
        <v>3911.9575799999998</v>
      </c>
    </row>
    <row r="2425" spans="1:4">
      <c r="A2425" s="122">
        <v>39441</v>
      </c>
      <c r="B2425" s="24">
        <v>0.87129999999999996</v>
      </c>
      <c r="C2425" s="24">
        <v>4492</v>
      </c>
      <c r="D2425" s="47">
        <f t="shared" si="37"/>
        <v>3913.8795999999998</v>
      </c>
    </row>
    <row r="2426" spans="1:4">
      <c r="A2426" s="122">
        <v>39440</v>
      </c>
      <c r="B2426" s="24">
        <v>0.87150000000000005</v>
      </c>
      <c r="C2426" s="24">
        <v>4462</v>
      </c>
      <c r="D2426" s="47">
        <f t="shared" si="37"/>
        <v>3888.6330000000003</v>
      </c>
    </row>
    <row r="2427" spans="1:4">
      <c r="A2427" s="122">
        <v>39437</v>
      </c>
      <c r="B2427" s="24">
        <v>0.86739999999999995</v>
      </c>
      <c r="C2427" s="24">
        <v>4455.3999999999996</v>
      </c>
      <c r="D2427" s="47">
        <f t="shared" si="37"/>
        <v>3864.6139599999997</v>
      </c>
    </row>
    <row r="2428" spans="1:4">
      <c r="A2428" s="122">
        <v>39436</v>
      </c>
      <c r="B2428" s="24">
        <v>0.85880000000000001</v>
      </c>
      <c r="C2428" s="24">
        <v>4473.7</v>
      </c>
      <c r="D2428" s="47">
        <f t="shared" si="37"/>
        <v>3842.0135599999999</v>
      </c>
    </row>
    <row r="2429" spans="1:4">
      <c r="A2429" s="122">
        <v>39435</v>
      </c>
      <c r="B2429" s="24">
        <v>0.85899999999999999</v>
      </c>
      <c r="C2429" s="24">
        <v>4497.7</v>
      </c>
      <c r="D2429" s="47">
        <f t="shared" si="37"/>
        <v>3863.5242999999996</v>
      </c>
    </row>
    <row r="2430" spans="1:4">
      <c r="A2430" s="122">
        <v>39434</v>
      </c>
      <c r="B2430" s="24">
        <v>0.86050000000000004</v>
      </c>
      <c r="C2430" s="24">
        <v>4446.8</v>
      </c>
      <c r="D2430" s="47">
        <f t="shared" si="37"/>
        <v>3826.4714000000004</v>
      </c>
    </row>
    <row r="2431" spans="1:4">
      <c r="A2431" s="122">
        <v>39433</v>
      </c>
      <c r="B2431" s="24">
        <v>0.85699999999999998</v>
      </c>
      <c r="C2431" s="24">
        <v>4438.6000000000004</v>
      </c>
      <c r="D2431" s="47">
        <f t="shared" si="37"/>
        <v>3803.8802000000001</v>
      </c>
    </row>
    <row r="2432" spans="1:4">
      <c r="A2432" s="122">
        <v>39430</v>
      </c>
      <c r="B2432" s="24">
        <v>0.86080000000000001</v>
      </c>
      <c r="C2432" s="24">
        <v>4396.8</v>
      </c>
      <c r="D2432" s="47">
        <f t="shared" si="37"/>
        <v>3784.7654400000001</v>
      </c>
    </row>
    <row r="2433" spans="1:4">
      <c r="A2433" s="122">
        <v>39429</v>
      </c>
      <c r="B2433" s="24">
        <v>0.87590000000000001</v>
      </c>
      <c r="C2433" s="24">
        <v>4452.5</v>
      </c>
      <c r="D2433" s="47">
        <f t="shared" si="37"/>
        <v>3899.9447500000001</v>
      </c>
    </row>
    <row r="2434" spans="1:4">
      <c r="A2434" s="122">
        <v>39428</v>
      </c>
      <c r="B2434" s="24">
        <v>0.88339999999999996</v>
      </c>
      <c r="C2434" s="24">
        <v>4424.5</v>
      </c>
      <c r="D2434" s="47">
        <f t="shared" si="37"/>
        <v>3908.6032999999998</v>
      </c>
    </row>
    <row r="2435" spans="1:4">
      <c r="A2435" s="122">
        <v>39427</v>
      </c>
      <c r="B2435" s="24">
        <v>0.87329999999999997</v>
      </c>
      <c r="C2435" s="24">
        <v>4446.3999999999996</v>
      </c>
      <c r="D2435" s="47">
        <f t="shared" ref="D2435:D2498" si="38">C2435*B2435</f>
        <v>3883.0411199999994</v>
      </c>
    </row>
    <row r="2436" spans="1:4">
      <c r="A2436" s="122">
        <v>39426</v>
      </c>
      <c r="B2436" s="24">
        <v>0.88500000000000001</v>
      </c>
      <c r="C2436" s="24">
        <v>4484.8999999999996</v>
      </c>
      <c r="D2436" s="47">
        <f t="shared" si="38"/>
        <v>3969.1364999999996</v>
      </c>
    </row>
    <row r="2437" spans="1:4">
      <c r="A2437" s="122">
        <v>39423</v>
      </c>
      <c r="B2437" s="24">
        <v>0.87619999999999998</v>
      </c>
      <c r="C2437" s="24">
        <v>4499.3</v>
      </c>
      <c r="D2437" s="47">
        <f t="shared" si="38"/>
        <v>3942.2866600000002</v>
      </c>
    </row>
    <row r="2438" spans="1:4">
      <c r="A2438" s="122">
        <v>39422</v>
      </c>
      <c r="B2438" s="24">
        <v>0.87880000000000003</v>
      </c>
      <c r="C2438" s="24">
        <v>4461.6000000000004</v>
      </c>
      <c r="D2438" s="47">
        <f t="shared" si="38"/>
        <v>3920.8540800000005</v>
      </c>
    </row>
    <row r="2439" spans="1:4">
      <c r="A2439" s="122">
        <v>39421</v>
      </c>
      <c r="B2439" s="24">
        <v>0.86990000000000001</v>
      </c>
      <c r="C2439" s="24">
        <v>4442.8999999999996</v>
      </c>
      <c r="D2439" s="47">
        <f t="shared" si="38"/>
        <v>3864.8787099999995</v>
      </c>
    </row>
    <row r="2440" spans="1:4">
      <c r="A2440" s="122">
        <v>39420</v>
      </c>
      <c r="B2440" s="24">
        <v>0.874</v>
      </c>
      <c r="C2440" s="24">
        <v>4467.8</v>
      </c>
      <c r="D2440" s="47">
        <f t="shared" si="38"/>
        <v>3904.8572000000004</v>
      </c>
    </row>
    <row r="2441" spans="1:4">
      <c r="A2441" s="122">
        <v>39419</v>
      </c>
      <c r="B2441" s="24">
        <v>0.88060000000000005</v>
      </c>
      <c r="C2441" s="24">
        <v>4481.2</v>
      </c>
      <c r="D2441" s="47">
        <f t="shared" si="38"/>
        <v>3946.1447200000002</v>
      </c>
    </row>
    <row r="2442" spans="1:4">
      <c r="A2442" s="122">
        <v>39416</v>
      </c>
      <c r="B2442" s="24">
        <v>0.88429999999999997</v>
      </c>
      <c r="C2442" s="24">
        <v>4459.5</v>
      </c>
      <c r="D2442" s="47">
        <f t="shared" si="38"/>
        <v>3943.5358499999998</v>
      </c>
    </row>
    <row r="2443" spans="1:4">
      <c r="A2443" s="122">
        <v>39415</v>
      </c>
      <c r="B2443" s="24">
        <v>0.88139999999999996</v>
      </c>
      <c r="C2443" s="24">
        <v>4469.2</v>
      </c>
      <c r="D2443" s="47">
        <f t="shared" si="38"/>
        <v>3939.1528799999996</v>
      </c>
    </row>
    <row r="2444" spans="1:4">
      <c r="A2444" s="122">
        <v>39414</v>
      </c>
      <c r="B2444" s="24">
        <v>0.88959999999999995</v>
      </c>
      <c r="C2444" s="24">
        <v>4460.2</v>
      </c>
      <c r="D2444" s="47">
        <f t="shared" si="38"/>
        <v>3967.7939199999996</v>
      </c>
    </row>
    <row r="2445" spans="1:4">
      <c r="A2445" s="122">
        <v>39413</v>
      </c>
      <c r="B2445" s="24">
        <v>0.877</v>
      </c>
      <c r="C2445" s="24">
        <v>4425.6000000000004</v>
      </c>
      <c r="D2445" s="47">
        <f t="shared" si="38"/>
        <v>3881.2512000000002</v>
      </c>
    </row>
    <row r="2446" spans="1:4">
      <c r="A2446" s="122">
        <v>39412</v>
      </c>
      <c r="B2446" s="24">
        <v>0.87070000000000003</v>
      </c>
      <c r="C2446" s="24">
        <v>4417.8</v>
      </c>
      <c r="D2446" s="47">
        <f t="shared" si="38"/>
        <v>3846.5784600000002</v>
      </c>
    </row>
    <row r="2447" spans="1:4">
      <c r="A2447" s="122">
        <v>39409</v>
      </c>
      <c r="B2447" s="24">
        <v>0.87780000000000002</v>
      </c>
      <c r="C2447" s="24">
        <v>4407.8999999999996</v>
      </c>
      <c r="D2447" s="47">
        <f t="shared" si="38"/>
        <v>3869.2546199999997</v>
      </c>
    </row>
    <row r="2448" spans="1:4">
      <c r="A2448" s="122">
        <v>39408</v>
      </c>
      <c r="B2448" s="24">
        <v>0.87150000000000005</v>
      </c>
      <c r="C2448" s="24">
        <v>4377.3</v>
      </c>
      <c r="D2448" s="47">
        <f t="shared" si="38"/>
        <v>3814.8169500000004</v>
      </c>
    </row>
    <row r="2449" spans="1:4">
      <c r="A2449" s="122">
        <v>39407</v>
      </c>
      <c r="B2449" s="24">
        <v>0.87080000000000002</v>
      </c>
      <c r="C2449" s="24">
        <v>4374.8</v>
      </c>
      <c r="D2449" s="47">
        <f t="shared" si="38"/>
        <v>3809.5758400000004</v>
      </c>
    </row>
    <row r="2450" spans="1:4">
      <c r="A2450" s="122">
        <v>39406</v>
      </c>
      <c r="B2450" s="24">
        <v>0.89270000000000005</v>
      </c>
      <c r="C2450" s="24">
        <v>4369.1000000000004</v>
      </c>
      <c r="D2450" s="47">
        <f t="shared" si="38"/>
        <v>3900.2955700000007</v>
      </c>
    </row>
    <row r="2451" spans="1:4">
      <c r="A2451" s="122">
        <v>39405</v>
      </c>
      <c r="B2451" s="24">
        <v>0.88400000000000001</v>
      </c>
      <c r="C2451" s="24">
        <v>4385.3999999999996</v>
      </c>
      <c r="D2451" s="47">
        <f t="shared" si="38"/>
        <v>3876.6935999999996</v>
      </c>
    </row>
    <row r="2452" spans="1:4">
      <c r="A2452" s="122">
        <v>39402</v>
      </c>
      <c r="B2452" s="24">
        <v>0.89300000000000002</v>
      </c>
      <c r="C2452" s="24">
        <v>4378</v>
      </c>
      <c r="D2452" s="47">
        <f t="shared" si="38"/>
        <v>3909.5540000000001</v>
      </c>
    </row>
    <row r="2453" spans="1:4">
      <c r="A2453" s="122">
        <v>39401</v>
      </c>
      <c r="B2453" s="24">
        <v>0.88560000000000005</v>
      </c>
      <c r="C2453" s="24">
        <v>4388.8</v>
      </c>
      <c r="D2453" s="47">
        <f t="shared" si="38"/>
        <v>3886.7212800000002</v>
      </c>
    </row>
    <row r="2454" spans="1:4">
      <c r="A2454" s="122">
        <v>39400</v>
      </c>
      <c r="B2454" s="24">
        <v>0.8952</v>
      </c>
      <c r="C2454" s="24">
        <v>4367.8</v>
      </c>
      <c r="D2454" s="47">
        <f t="shared" si="38"/>
        <v>3910.05456</v>
      </c>
    </row>
    <row r="2455" spans="1:4">
      <c r="A2455" s="122">
        <v>39399</v>
      </c>
      <c r="B2455" s="24">
        <v>0.89580000000000004</v>
      </c>
      <c r="C2455" s="24">
        <v>4386.8</v>
      </c>
      <c r="D2455" s="47">
        <f t="shared" si="38"/>
        <v>3929.6954400000004</v>
      </c>
    </row>
    <row r="2456" spans="1:4">
      <c r="A2456" s="122">
        <v>39398</v>
      </c>
      <c r="B2456" s="24">
        <v>0.87749999999999995</v>
      </c>
      <c r="C2456" s="24">
        <v>4380.5</v>
      </c>
      <c r="D2456" s="47">
        <f t="shared" si="38"/>
        <v>3843.8887499999996</v>
      </c>
    </row>
    <row r="2457" spans="1:4">
      <c r="A2457" s="122">
        <v>39395</v>
      </c>
      <c r="B2457" s="24">
        <v>0.9113</v>
      </c>
      <c r="C2457" s="24">
        <v>4378.8</v>
      </c>
      <c r="D2457" s="47">
        <f t="shared" si="38"/>
        <v>3990.4004400000003</v>
      </c>
    </row>
    <row r="2458" spans="1:4">
      <c r="A2458" s="122">
        <v>39394</v>
      </c>
      <c r="B2458" s="24">
        <v>0.92720000000000002</v>
      </c>
      <c r="C2458" s="24">
        <v>4371.1000000000004</v>
      </c>
      <c r="D2458" s="47">
        <f t="shared" si="38"/>
        <v>4052.8839200000002</v>
      </c>
    </row>
    <row r="2459" spans="1:4">
      <c r="A2459" s="122">
        <v>39393</v>
      </c>
      <c r="B2459" s="24">
        <v>0.92800000000000005</v>
      </c>
      <c r="C2459" s="24">
        <v>4343.2</v>
      </c>
      <c r="D2459" s="47">
        <f t="shared" si="38"/>
        <v>4030.4895999999999</v>
      </c>
    </row>
    <row r="2460" spans="1:4">
      <c r="A2460" s="122">
        <v>39392</v>
      </c>
      <c r="B2460" s="24">
        <v>0.92889999999999995</v>
      </c>
      <c r="C2460" s="24">
        <v>4301.2</v>
      </c>
      <c r="D2460" s="47">
        <f t="shared" si="38"/>
        <v>3995.3846799999997</v>
      </c>
    </row>
    <row r="2461" spans="1:4">
      <c r="A2461" s="122">
        <v>39391</v>
      </c>
      <c r="B2461" s="24">
        <v>0.92069999999999996</v>
      </c>
      <c r="C2461" s="24">
        <v>4276.3</v>
      </c>
      <c r="D2461" s="47">
        <f t="shared" si="38"/>
        <v>3937.18941</v>
      </c>
    </row>
    <row r="2462" spans="1:4">
      <c r="A2462" s="122">
        <v>39388</v>
      </c>
      <c r="B2462" s="24">
        <v>0.92320000000000002</v>
      </c>
      <c r="C2462" s="24">
        <v>4298.3999999999996</v>
      </c>
      <c r="D2462" s="47">
        <f t="shared" si="38"/>
        <v>3968.2828799999997</v>
      </c>
    </row>
    <row r="2463" spans="1:4">
      <c r="A2463" s="122">
        <v>39387</v>
      </c>
      <c r="B2463" s="24">
        <v>0.9123</v>
      </c>
      <c r="C2463" s="24">
        <v>4292.3999999999996</v>
      </c>
      <c r="D2463" s="47">
        <f t="shared" si="38"/>
        <v>3915.9565199999997</v>
      </c>
    </row>
    <row r="2464" spans="1:4">
      <c r="A2464" s="122">
        <v>39386</v>
      </c>
      <c r="B2464" s="24">
        <v>0.93430000000000002</v>
      </c>
      <c r="C2464" s="24">
        <v>4295.1000000000004</v>
      </c>
      <c r="D2464" s="47">
        <f t="shared" si="38"/>
        <v>4012.9119300000002</v>
      </c>
    </row>
    <row r="2465" spans="1:4">
      <c r="A2465" s="122">
        <v>39385</v>
      </c>
      <c r="B2465" s="24">
        <v>0.91879999999999995</v>
      </c>
      <c r="C2465" s="24">
        <v>4280.3</v>
      </c>
      <c r="D2465" s="47">
        <f t="shared" si="38"/>
        <v>3932.7396399999998</v>
      </c>
    </row>
    <row r="2466" spans="1:4">
      <c r="A2466" s="122">
        <v>39384</v>
      </c>
      <c r="B2466" s="24">
        <v>0.92130000000000001</v>
      </c>
      <c r="C2466" s="24">
        <v>4262.1000000000004</v>
      </c>
      <c r="D2466" s="47">
        <f t="shared" si="38"/>
        <v>3926.6727300000002</v>
      </c>
    </row>
    <row r="2467" spans="1:4">
      <c r="A2467" s="122">
        <v>39381</v>
      </c>
      <c r="B2467" s="24">
        <v>0.91830000000000001</v>
      </c>
      <c r="C2467" s="24">
        <v>4264.1000000000004</v>
      </c>
      <c r="D2467" s="47">
        <f t="shared" si="38"/>
        <v>3915.7230300000006</v>
      </c>
    </row>
    <row r="2468" spans="1:4">
      <c r="A2468" s="122">
        <v>39380</v>
      </c>
      <c r="B2468" s="24">
        <v>0.90890000000000004</v>
      </c>
      <c r="C2468" s="24">
        <v>4229.2</v>
      </c>
      <c r="D2468" s="47">
        <f t="shared" si="38"/>
        <v>3843.9198799999999</v>
      </c>
    </row>
    <row r="2469" spans="1:4">
      <c r="A2469" s="122">
        <v>39379</v>
      </c>
      <c r="B2469" s="24">
        <v>0.90300000000000002</v>
      </c>
      <c r="C2469" s="24">
        <v>4234</v>
      </c>
      <c r="D2469" s="47">
        <f t="shared" si="38"/>
        <v>3823.3020000000001</v>
      </c>
    </row>
    <row r="2470" spans="1:4">
      <c r="A2470" s="122">
        <v>39378</v>
      </c>
      <c r="B2470" s="24">
        <v>0.89859999999999995</v>
      </c>
      <c r="C2470" s="24">
        <v>4275.1000000000004</v>
      </c>
      <c r="D2470" s="47">
        <f t="shared" si="38"/>
        <v>3841.6048599999999</v>
      </c>
    </row>
    <row r="2471" spans="1:4">
      <c r="A2471" s="122">
        <v>39377</v>
      </c>
      <c r="B2471" s="24">
        <v>0.8861</v>
      </c>
      <c r="C2471" s="24">
        <v>4301.8</v>
      </c>
      <c r="D2471" s="47">
        <f t="shared" si="38"/>
        <v>3811.8249800000003</v>
      </c>
    </row>
    <row r="2472" spans="1:4">
      <c r="A2472" s="122">
        <v>39374</v>
      </c>
      <c r="B2472" s="24">
        <v>0.89059999999999995</v>
      </c>
      <c r="C2472" s="24">
        <v>4281.8999999999996</v>
      </c>
      <c r="D2472" s="47">
        <f t="shared" si="38"/>
        <v>3813.4601399999992</v>
      </c>
    </row>
    <row r="2473" spans="1:4">
      <c r="A2473" s="122">
        <v>39373</v>
      </c>
      <c r="B2473" s="24">
        <v>0.89600000000000002</v>
      </c>
      <c r="C2473" s="24">
        <v>4272.6000000000004</v>
      </c>
      <c r="D2473" s="47">
        <f t="shared" si="38"/>
        <v>3828.2496000000006</v>
      </c>
    </row>
    <row r="2474" spans="1:4">
      <c r="A2474" s="122">
        <v>39372</v>
      </c>
      <c r="B2474" s="24">
        <v>0.8871</v>
      </c>
      <c r="C2474" s="24">
        <v>4277.5</v>
      </c>
      <c r="D2474" s="47">
        <f t="shared" si="38"/>
        <v>3794.5702500000002</v>
      </c>
    </row>
    <row r="2475" spans="1:4">
      <c r="A2475" s="122">
        <v>39371</v>
      </c>
      <c r="B2475" s="24">
        <v>0.88800000000000001</v>
      </c>
      <c r="C2475" s="24">
        <v>4263</v>
      </c>
      <c r="D2475" s="47">
        <f t="shared" si="38"/>
        <v>3785.5439999999999</v>
      </c>
    </row>
    <row r="2476" spans="1:4">
      <c r="A2476" s="122">
        <v>39370</v>
      </c>
      <c r="B2476" s="24">
        <v>0.89880000000000004</v>
      </c>
      <c r="C2476" s="24">
        <v>4270.8</v>
      </c>
      <c r="D2476" s="47">
        <f t="shared" si="38"/>
        <v>3838.5950400000002</v>
      </c>
    </row>
    <row r="2477" spans="1:4">
      <c r="A2477" s="122">
        <v>39367</v>
      </c>
      <c r="B2477" s="24">
        <v>0.90300000000000002</v>
      </c>
      <c r="C2477" s="24">
        <v>4231.2</v>
      </c>
      <c r="D2477" s="47">
        <f t="shared" si="38"/>
        <v>3820.7736</v>
      </c>
    </row>
    <row r="2478" spans="1:4">
      <c r="A2478" s="122">
        <v>39366</v>
      </c>
      <c r="B2478" s="24">
        <v>0.89970000000000006</v>
      </c>
      <c r="C2478" s="24">
        <v>4245.6000000000004</v>
      </c>
      <c r="D2478" s="47">
        <f t="shared" si="38"/>
        <v>3819.7663200000006</v>
      </c>
    </row>
    <row r="2479" spans="1:4">
      <c r="A2479" s="122">
        <v>39365</v>
      </c>
      <c r="B2479" s="24">
        <v>0.89780000000000004</v>
      </c>
      <c r="C2479" s="24">
        <v>4269.8999999999996</v>
      </c>
      <c r="D2479" s="47">
        <f t="shared" si="38"/>
        <v>3833.51622</v>
      </c>
    </row>
    <row r="2480" spans="1:4">
      <c r="A2480" s="122">
        <v>39364</v>
      </c>
      <c r="B2480" s="24">
        <v>0.89880000000000004</v>
      </c>
      <c r="C2480" s="24">
        <v>4277.8999999999996</v>
      </c>
      <c r="D2480" s="47">
        <f t="shared" si="38"/>
        <v>3844.9765199999997</v>
      </c>
    </row>
    <row r="2481" spans="1:4">
      <c r="A2481" s="122">
        <v>39363</v>
      </c>
      <c r="B2481" s="24">
        <v>0.89249999999999996</v>
      </c>
      <c r="C2481" s="24">
        <v>4300.1000000000004</v>
      </c>
      <c r="D2481" s="47">
        <f t="shared" si="38"/>
        <v>3837.83925</v>
      </c>
    </row>
    <row r="2482" spans="1:4">
      <c r="A2482" s="122">
        <v>39360</v>
      </c>
      <c r="B2482" s="24">
        <v>0.89700000000000002</v>
      </c>
      <c r="C2482" s="24">
        <v>4305.6000000000004</v>
      </c>
      <c r="D2482" s="47">
        <f t="shared" si="38"/>
        <v>3862.1232000000005</v>
      </c>
    </row>
    <row r="2483" spans="1:4">
      <c r="A2483" s="122">
        <v>39359</v>
      </c>
      <c r="B2483" s="24">
        <v>0.88749999999999996</v>
      </c>
      <c r="C2483" s="24">
        <v>4312.2</v>
      </c>
      <c r="D2483" s="47">
        <f t="shared" si="38"/>
        <v>3827.0774999999999</v>
      </c>
    </row>
    <row r="2484" spans="1:4">
      <c r="A2484" s="122">
        <v>39358</v>
      </c>
      <c r="B2484" s="24">
        <v>0.88200000000000001</v>
      </c>
      <c r="C2484" s="24">
        <v>4262.8</v>
      </c>
      <c r="D2484" s="47">
        <f t="shared" si="38"/>
        <v>3759.7896000000001</v>
      </c>
    </row>
    <row r="2485" spans="1:4">
      <c r="A2485" s="122">
        <v>39357</v>
      </c>
      <c r="B2485" s="24">
        <v>0.88500000000000001</v>
      </c>
      <c r="C2485" s="24">
        <v>4246.5</v>
      </c>
      <c r="D2485" s="47">
        <f t="shared" si="38"/>
        <v>3758.1525000000001</v>
      </c>
    </row>
    <row r="2486" spans="1:4">
      <c r="A2486" s="122">
        <v>39356</v>
      </c>
      <c r="B2486" s="24">
        <v>0.89429999999999998</v>
      </c>
      <c r="C2486" s="24">
        <v>4228.8</v>
      </c>
      <c r="D2486" s="47">
        <f t="shared" si="38"/>
        <v>3781.8158400000002</v>
      </c>
    </row>
    <row r="2487" spans="1:4">
      <c r="A2487" s="122">
        <v>39353</v>
      </c>
      <c r="B2487" s="24">
        <v>0.88770000000000004</v>
      </c>
      <c r="C2487" s="24">
        <v>4221.7</v>
      </c>
      <c r="D2487" s="47">
        <f t="shared" si="38"/>
        <v>3747.6030900000001</v>
      </c>
    </row>
    <row r="2488" spans="1:4">
      <c r="A2488" s="122">
        <v>39352</v>
      </c>
      <c r="B2488" s="24">
        <v>0.87960000000000005</v>
      </c>
      <c r="C2488" s="24">
        <v>4221.7</v>
      </c>
      <c r="D2488" s="47">
        <f t="shared" si="38"/>
        <v>3713.4073200000003</v>
      </c>
    </row>
    <row r="2489" spans="1:4">
      <c r="A2489" s="122">
        <v>39351</v>
      </c>
      <c r="B2489" s="24">
        <v>0.87580000000000002</v>
      </c>
      <c r="C2489" s="24">
        <v>4214</v>
      </c>
      <c r="D2489" s="47">
        <f t="shared" si="38"/>
        <v>3690.6212</v>
      </c>
    </row>
    <row r="2490" spans="1:4">
      <c r="A2490" s="122">
        <v>39350</v>
      </c>
      <c r="B2490" s="24">
        <v>0.873</v>
      </c>
      <c r="C2490" s="24">
        <v>4219.8999999999996</v>
      </c>
      <c r="D2490" s="47">
        <f t="shared" si="38"/>
        <v>3683.9726999999998</v>
      </c>
    </row>
    <row r="2491" spans="1:4">
      <c r="A2491" s="122">
        <v>39349</v>
      </c>
      <c r="B2491" s="24">
        <v>0.86739999999999995</v>
      </c>
      <c r="C2491" s="24">
        <v>4205.6000000000004</v>
      </c>
      <c r="D2491" s="47">
        <f t="shared" si="38"/>
        <v>3647.9374400000002</v>
      </c>
    </row>
    <row r="2492" spans="1:4">
      <c r="A2492" s="122">
        <v>39346</v>
      </c>
      <c r="B2492" s="24">
        <v>0.86499999999999999</v>
      </c>
      <c r="C2492" s="24">
        <v>4198</v>
      </c>
      <c r="D2492" s="47">
        <f t="shared" si="38"/>
        <v>3631.27</v>
      </c>
    </row>
    <row r="2493" spans="1:4">
      <c r="A2493" s="122">
        <v>39345</v>
      </c>
      <c r="B2493" s="24">
        <v>0.86360000000000003</v>
      </c>
      <c r="C2493" s="24">
        <v>4194</v>
      </c>
      <c r="D2493" s="47">
        <f t="shared" si="38"/>
        <v>3621.9384</v>
      </c>
    </row>
    <row r="2494" spans="1:4">
      <c r="A2494" s="122">
        <v>39344</v>
      </c>
      <c r="B2494" s="24">
        <v>0.85599999999999998</v>
      </c>
      <c r="C2494" s="24">
        <v>4180.7</v>
      </c>
      <c r="D2494" s="47">
        <f t="shared" si="38"/>
        <v>3578.6791999999996</v>
      </c>
    </row>
    <row r="2495" spans="1:4">
      <c r="A2495" s="122">
        <v>39343</v>
      </c>
      <c r="B2495" s="24">
        <v>0.8518</v>
      </c>
      <c r="C2495" s="24">
        <v>4147.8</v>
      </c>
      <c r="D2495" s="47">
        <f t="shared" si="38"/>
        <v>3533.0960400000004</v>
      </c>
    </row>
    <row r="2496" spans="1:4">
      <c r="A2496" s="122">
        <v>39342</v>
      </c>
      <c r="B2496" s="24">
        <v>0.83289999999999997</v>
      </c>
      <c r="C2496" s="24">
        <v>4106.3999999999996</v>
      </c>
      <c r="D2496" s="47">
        <f t="shared" si="38"/>
        <v>3420.2205599999998</v>
      </c>
    </row>
    <row r="2497" spans="1:4">
      <c r="A2497" s="122">
        <v>39339</v>
      </c>
      <c r="B2497" s="24">
        <v>0.8427</v>
      </c>
      <c r="C2497" s="24">
        <v>4132.7</v>
      </c>
      <c r="D2497" s="47">
        <f t="shared" si="38"/>
        <v>3482.6262899999997</v>
      </c>
    </row>
    <row r="2498" spans="1:4">
      <c r="A2498" s="122">
        <v>39338</v>
      </c>
      <c r="B2498" s="24">
        <v>0.84079999999999999</v>
      </c>
      <c r="C2498" s="24">
        <v>4116.3999999999996</v>
      </c>
      <c r="D2498" s="47">
        <f t="shared" si="38"/>
        <v>3461.0691199999997</v>
      </c>
    </row>
    <row r="2499" spans="1:4">
      <c r="A2499" s="122">
        <v>39337</v>
      </c>
      <c r="B2499" s="24">
        <v>0.84209999999999996</v>
      </c>
      <c r="C2499" s="24">
        <v>4093.2</v>
      </c>
      <c r="D2499" s="47">
        <f t="shared" ref="D2499:D2562" si="39">C2499*B2499</f>
        <v>3446.8837199999998</v>
      </c>
    </row>
    <row r="2500" spans="1:4">
      <c r="A2500" s="122">
        <v>39336</v>
      </c>
      <c r="B2500" s="24">
        <v>0.83420000000000005</v>
      </c>
      <c r="C2500" s="24">
        <v>4091.1</v>
      </c>
      <c r="D2500" s="47">
        <f t="shared" si="39"/>
        <v>3412.7956200000003</v>
      </c>
    </row>
    <row r="2501" spans="1:4">
      <c r="A2501" s="122">
        <v>39335</v>
      </c>
      <c r="B2501" s="24">
        <v>0.82640000000000002</v>
      </c>
      <c r="C2501" s="24">
        <v>4102</v>
      </c>
      <c r="D2501" s="47">
        <f t="shared" si="39"/>
        <v>3389.8928000000001</v>
      </c>
    </row>
    <row r="2502" spans="1:4">
      <c r="A2502" s="122">
        <v>39332</v>
      </c>
      <c r="B2502" s="24">
        <v>0.82640000000000002</v>
      </c>
      <c r="C2502" s="24">
        <v>4077.2</v>
      </c>
      <c r="D2502" s="47">
        <f t="shared" si="39"/>
        <v>3369.3980799999999</v>
      </c>
    </row>
    <row r="2503" spans="1:4">
      <c r="A2503" s="122">
        <v>39331</v>
      </c>
      <c r="B2503" s="24">
        <v>0.8286</v>
      </c>
      <c r="C2503" s="24">
        <v>4041.3</v>
      </c>
      <c r="D2503" s="47">
        <f t="shared" si="39"/>
        <v>3348.6211800000001</v>
      </c>
    </row>
    <row r="2504" spans="1:4">
      <c r="A2504" s="122">
        <v>39330</v>
      </c>
      <c r="B2504" s="24">
        <v>0.8226</v>
      </c>
      <c r="C2504" s="24">
        <v>4044.5</v>
      </c>
      <c r="D2504" s="47">
        <f t="shared" si="39"/>
        <v>3327.0057000000002</v>
      </c>
    </row>
    <row r="2505" spans="1:4">
      <c r="A2505" s="122">
        <v>39329</v>
      </c>
      <c r="B2505" s="24">
        <v>0.82440000000000002</v>
      </c>
      <c r="C2505" s="24">
        <v>3987.5</v>
      </c>
      <c r="D2505" s="47">
        <f t="shared" si="39"/>
        <v>3287.2950000000001</v>
      </c>
    </row>
    <row r="2506" spans="1:4">
      <c r="A2506" s="122">
        <v>39328</v>
      </c>
      <c r="B2506" s="24">
        <v>0.8206</v>
      </c>
      <c r="C2506" s="24">
        <v>3954.5</v>
      </c>
      <c r="D2506" s="47">
        <f t="shared" si="39"/>
        <v>3245.0626999999999</v>
      </c>
    </row>
    <row r="2507" spans="1:4">
      <c r="A2507" s="122">
        <v>39325</v>
      </c>
      <c r="B2507" s="24">
        <v>0.81850000000000001</v>
      </c>
      <c r="C2507" s="24">
        <v>3965.4</v>
      </c>
      <c r="D2507" s="47">
        <f t="shared" si="39"/>
        <v>3245.6799000000001</v>
      </c>
    </row>
    <row r="2508" spans="1:4">
      <c r="A2508" s="122">
        <v>39324</v>
      </c>
      <c r="B2508" s="24">
        <v>0.81520000000000004</v>
      </c>
      <c r="C2508" s="24">
        <v>4012.1</v>
      </c>
      <c r="D2508" s="47">
        <f t="shared" si="39"/>
        <v>3270.66392</v>
      </c>
    </row>
    <row r="2509" spans="1:4">
      <c r="A2509" s="122">
        <v>39323</v>
      </c>
      <c r="B2509" s="24">
        <v>0.81910000000000005</v>
      </c>
      <c r="C2509" s="24">
        <v>4028.9</v>
      </c>
      <c r="D2509" s="47">
        <f t="shared" si="39"/>
        <v>3300.0719900000004</v>
      </c>
    </row>
    <row r="2510" spans="1:4">
      <c r="A2510" s="122">
        <v>39322</v>
      </c>
      <c r="B2510" s="24">
        <v>0.81759999999999999</v>
      </c>
      <c r="C2510" s="24">
        <v>4005.7</v>
      </c>
      <c r="D2510" s="47">
        <f t="shared" si="39"/>
        <v>3275.06032</v>
      </c>
    </row>
    <row r="2511" spans="1:4">
      <c r="A2511" s="122">
        <v>39321</v>
      </c>
      <c r="B2511" s="24">
        <v>0.83020000000000005</v>
      </c>
      <c r="C2511" s="24">
        <v>3992.2</v>
      </c>
      <c r="D2511" s="47">
        <f t="shared" si="39"/>
        <v>3314.3244399999999</v>
      </c>
    </row>
    <row r="2512" spans="1:4">
      <c r="A2512" s="122">
        <v>39318</v>
      </c>
      <c r="B2512" s="24">
        <v>0.82630000000000003</v>
      </c>
      <c r="C2512" s="24">
        <v>3999.2</v>
      </c>
      <c r="D2512" s="47">
        <f t="shared" si="39"/>
        <v>3304.5389599999999</v>
      </c>
    </row>
    <row r="2513" spans="1:4">
      <c r="A2513" s="122">
        <v>39317</v>
      </c>
      <c r="B2513" s="24">
        <v>0.81850000000000001</v>
      </c>
      <c r="C2513" s="24">
        <v>3983.3</v>
      </c>
      <c r="D2513" s="47">
        <f t="shared" si="39"/>
        <v>3260.3310500000002</v>
      </c>
    </row>
    <row r="2514" spans="1:4">
      <c r="A2514" s="122">
        <v>39316</v>
      </c>
      <c r="B2514" s="24">
        <v>0.80620000000000003</v>
      </c>
      <c r="C2514" s="24">
        <v>3956.1</v>
      </c>
      <c r="D2514" s="47">
        <f t="shared" si="39"/>
        <v>3189.4078199999999</v>
      </c>
    </row>
    <row r="2515" spans="1:4">
      <c r="A2515" s="122">
        <v>39315</v>
      </c>
      <c r="B2515" s="24">
        <v>0.80149999999999999</v>
      </c>
      <c r="C2515" s="24">
        <v>3947.1</v>
      </c>
      <c r="D2515" s="47">
        <f t="shared" si="39"/>
        <v>3163.6006499999999</v>
      </c>
    </row>
    <row r="2516" spans="1:4">
      <c r="A2516" s="122">
        <v>39314</v>
      </c>
      <c r="B2516" s="24">
        <v>0.80659999999999998</v>
      </c>
      <c r="C2516" s="24">
        <v>3986.3</v>
      </c>
      <c r="D2516" s="47">
        <f t="shared" si="39"/>
        <v>3215.3495800000001</v>
      </c>
    </row>
    <row r="2517" spans="1:4">
      <c r="A2517" s="122">
        <v>39311</v>
      </c>
      <c r="B2517" s="24">
        <v>0.79720000000000002</v>
      </c>
      <c r="C2517" s="24">
        <v>4011.3</v>
      </c>
      <c r="D2517" s="47">
        <f t="shared" si="39"/>
        <v>3197.8083600000004</v>
      </c>
    </row>
    <row r="2518" spans="1:4">
      <c r="A2518" s="122">
        <v>39310</v>
      </c>
      <c r="B2518" s="24">
        <v>0.78580000000000005</v>
      </c>
      <c r="C2518" s="24">
        <v>3983.2</v>
      </c>
      <c r="D2518" s="47">
        <f t="shared" si="39"/>
        <v>3129.99856</v>
      </c>
    </row>
    <row r="2519" spans="1:4">
      <c r="A2519" s="122">
        <v>39309</v>
      </c>
      <c r="B2519" s="24">
        <v>0.82120000000000004</v>
      </c>
      <c r="C2519" s="24">
        <v>4011.6</v>
      </c>
      <c r="D2519" s="47">
        <f t="shared" si="39"/>
        <v>3294.3259200000002</v>
      </c>
    </row>
    <row r="2520" spans="1:4">
      <c r="A2520" s="122">
        <v>39308</v>
      </c>
      <c r="B2520" s="24">
        <v>0.8347</v>
      </c>
      <c r="C2520" s="24">
        <v>4019</v>
      </c>
      <c r="D2520" s="47">
        <f t="shared" si="39"/>
        <v>3354.6592999999998</v>
      </c>
    </row>
    <row r="2521" spans="1:4">
      <c r="A2521" s="122">
        <v>39307</v>
      </c>
      <c r="B2521" s="24">
        <v>0.84219999999999995</v>
      </c>
      <c r="C2521" s="24">
        <v>4027.8</v>
      </c>
      <c r="D2521" s="47">
        <f t="shared" si="39"/>
        <v>3392.2131599999998</v>
      </c>
    </row>
    <row r="2522" spans="1:4">
      <c r="A2522" s="122">
        <v>39304</v>
      </c>
      <c r="B2522" s="24">
        <v>0.84470000000000001</v>
      </c>
      <c r="C2522" s="24">
        <v>4034.1</v>
      </c>
      <c r="D2522" s="47">
        <f t="shared" si="39"/>
        <v>3407.6042699999998</v>
      </c>
    </row>
    <row r="2523" spans="1:4">
      <c r="A2523" s="122">
        <v>39303</v>
      </c>
      <c r="B2523" s="24">
        <v>0.85009999999999997</v>
      </c>
      <c r="C2523" s="24">
        <v>4013.9</v>
      </c>
      <c r="D2523" s="47">
        <f t="shared" si="39"/>
        <v>3412.21639</v>
      </c>
    </row>
    <row r="2524" spans="1:4">
      <c r="A2524" s="122">
        <v>39302</v>
      </c>
      <c r="B2524" s="24">
        <v>0.86150000000000004</v>
      </c>
      <c r="C2524" s="24">
        <v>4022.6</v>
      </c>
      <c r="D2524" s="47">
        <f t="shared" si="39"/>
        <v>3465.4699000000001</v>
      </c>
    </row>
    <row r="2525" spans="1:4">
      <c r="A2525" s="122">
        <v>39301</v>
      </c>
      <c r="B2525" s="24">
        <v>0.85640000000000005</v>
      </c>
      <c r="C2525" s="24">
        <v>4021.2</v>
      </c>
      <c r="D2525" s="47">
        <f t="shared" si="39"/>
        <v>3443.7556800000002</v>
      </c>
    </row>
    <row r="2526" spans="1:4">
      <c r="A2526" s="122">
        <v>39300</v>
      </c>
      <c r="B2526" s="24">
        <v>0.85740000000000005</v>
      </c>
      <c r="C2526" s="24">
        <v>3959.4</v>
      </c>
      <c r="D2526" s="47">
        <f t="shared" si="39"/>
        <v>3394.7895600000002</v>
      </c>
    </row>
    <row r="2527" spans="1:4">
      <c r="A2527" s="122">
        <v>39297</v>
      </c>
      <c r="B2527" s="24">
        <v>0.85640000000000005</v>
      </c>
      <c r="C2527" s="24">
        <v>4014.3</v>
      </c>
      <c r="D2527" s="47">
        <f t="shared" si="39"/>
        <v>3437.8465200000005</v>
      </c>
    </row>
    <row r="2528" spans="1:4">
      <c r="A2528" s="122">
        <v>39296</v>
      </c>
      <c r="B2528" s="24">
        <v>0.85850000000000004</v>
      </c>
      <c r="C2528" s="24">
        <v>4082.3</v>
      </c>
      <c r="D2528" s="47">
        <f t="shared" si="39"/>
        <v>3504.6545500000002</v>
      </c>
    </row>
    <row r="2529" spans="1:4">
      <c r="A2529" s="122">
        <v>39295</v>
      </c>
      <c r="B2529" s="24">
        <v>0.84960000000000002</v>
      </c>
      <c r="C2529" s="24">
        <v>4135</v>
      </c>
      <c r="D2529" s="47">
        <f t="shared" si="39"/>
        <v>3513.096</v>
      </c>
    </row>
    <row r="2530" spans="1:4">
      <c r="A2530" s="122">
        <v>39294</v>
      </c>
      <c r="B2530" s="24">
        <v>0.85460000000000003</v>
      </c>
      <c r="C2530" s="24">
        <v>4142</v>
      </c>
      <c r="D2530" s="47">
        <f t="shared" si="39"/>
        <v>3539.7532000000001</v>
      </c>
    </row>
    <row r="2531" spans="1:4">
      <c r="A2531" s="122">
        <v>39293</v>
      </c>
      <c r="B2531" s="24">
        <v>0.8548</v>
      </c>
      <c r="C2531" s="24">
        <v>4132.6000000000004</v>
      </c>
      <c r="D2531" s="47">
        <f t="shared" si="39"/>
        <v>3532.5464800000004</v>
      </c>
    </row>
    <row r="2532" spans="1:4">
      <c r="A2532" s="122">
        <v>39290</v>
      </c>
      <c r="B2532" s="24">
        <v>0.85399999999999998</v>
      </c>
      <c r="C2532" s="24">
        <v>4165.5</v>
      </c>
      <c r="D2532" s="47">
        <f t="shared" si="39"/>
        <v>3557.337</v>
      </c>
    </row>
    <row r="2533" spans="1:4">
      <c r="A2533" s="122">
        <v>39289</v>
      </c>
      <c r="B2533" s="24">
        <v>0.87190000000000001</v>
      </c>
      <c r="C2533" s="24">
        <v>4127.8</v>
      </c>
      <c r="D2533" s="47">
        <f t="shared" si="39"/>
        <v>3599.02882</v>
      </c>
    </row>
    <row r="2534" spans="1:4">
      <c r="A2534" s="122">
        <v>39288</v>
      </c>
      <c r="B2534" s="24">
        <v>0.88300000000000001</v>
      </c>
      <c r="C2534" s="24">
        <v>4118.8999999999996</v>
      </c>
      <c r="D2534" s="47">
        <f t="shared" si="39"/>
        <v>3636.9886999999999</v>
      </c>
    </row>
    <row r="2535" spans="1:4">
      <c r="A2535" s="122">
        <v>39287</v>
      </c>
      <c r="B2535" s="24">
        <v>0.88260000000000005</v>
      </c>
      <c r="C2535" s="24">
        <v>4132.3999999999996</v>
      </c>
      <c r="D2535" s="47">
        <f t="shared" si="39"/>
        <v>3647.2562399999997</v>
      </c>
    </row>
    <row r="2536" spans="1:4">
      <c r="A2536" s="122">
        <v>39286</v>
      </c>
      <c r="B2536" s="24">
        <v>0.88270000000000004</v>
      </c>
      <c r="C2536" s="24">
        <v>4120.8</v>
      </c>
      <c r="D2536" s="47">
        <f t="shared" si="39"/>
        <v>3637.4301600000003</v>
      </c>
    </row>
    <row r="2537" spans="1:4">
      <c r="A2537" s="122">
        <v>39283</v>
      </c>
      <c r="B2537" s="24">
        <v>0.87919999999999998</v>
      </c>
      <c r="C2537" s="24">
        <v>4138.3</v>
      </c>
      <c r="D2537" s="47">
        <f t="shared" si="39"/>
        <v>3638.39336</v>
      </c>
    </row>
    <row r="2538" spans="1:4">
      <c r="A2538" s="122">
        <v>39282</v>
      </c>
      <c r="B2538" s="24">
        <v>0.87909999999999999</v>
      </c>
      <c r="C2538" s="24">
        <v>4109.8</v>
      </c>
      <c r="D2538" s="47">
        <f t="shared" si="39"/>
        <v>3612.9251800000002</v>
      </c>
    </row>
    <row r="2539" spans="1:4">
      <c r="A2539" s="122">
        <v>39281</v>
      </c>
      <c r="B2539" s="24">
        <v>0.87660000000000005</v>
      </c>
      <c r="C2539" s="24">
        <v>4095.2</v>
      </c>
      <c r="D2539" s="47">
        <f t="shared" si="39"/>
        <v>3589.85232</v>
      </c>
    </row>
    <row r="2540" spans="1:4">
      <c r="A2540" s="122">
        <v>39280</v>
      </c>
      <c r="B2540" s="24">
        <v>0.87229999999999996</v>
      </c>
      <c r="C2540" s="24">
        <v>4095.6</v>
      </c>
      <c r="D2540" s="47">
        <f t="shared" si="39"/>
        <v>3572.5918799999999</v>
      </c>
    </row>
    <row r="2541" spans="1:4">
      <c r="A2541" s="122">
        <v>39279</v>
      </c>
      <c r="B2541" s="24">
        <v>0.87170000000000003</v>
      </c>
      <c r="C2541" s="24">
        <v>4136.3999999999996</v>
      </c>
      <c r="D2541" s="47">
        <f t="shared" si="39"/>
        <v>3605.6998799999997</v>
      </c>
    </row>
    <row r="2542" spans="1:4">
      <c r="A2542" s="122">
        <v>39276</v>
      </c>
      <c r="B2542" s="24">
        <v>0.86929999999999996</v>
      </c>
      <c r="C2542" s="24">
        <v>4170.8</v>
      </c>
      <c r="D2542" s="47">
        <f t="shared" si="39"/>
        <v>3625.6764400000002</v>
      </c>
    </row>
    <row r="2543" spans="1:4">
      <c r="A2543" s="122">
        <v>39275</v>
      </c>
      <c r="B2543" s="24">
        <v>0.86509999999999998</v>
      </c>
      <c r="C2543" s="24">
        <v>4233.8</v>
      </c>
      <c r="D2543" s="47">
        <f t="shared" si="39"/>
        <v>3662.6603800000003</v>
      </c>
    </row>
    <row r="2544" spans="1:4">
      <c r="A2544" s="122">
        <v>39274</v>
      </c>
      <c r="B2544" s="24">
        <v>0.86170000000000002</v>
      </c>
      <c r="C2544" s="24">
        <v>4266.3999999999996</v>
      </c>
      <c r="D2544" s="47">
        <f t="shared" si="39"/>
        <v>3676.3568799999998</v>
      </c>
    </row>
    <row r="2545" spans="1:4">
      <c r="A2545" s="122">
        <v>39273</v>
      </c>
      <c r="B2545" s="24">
        <v>0.86160000000000003</v>
      </c>
      <c r="C2545" s="24">
        <v>4249.1000000000004</v>
      </c>
      <c r="D2545" s="47">
        <f t="shared" si="39"/>
        <v>3661.0245600000003</v>
      </c>
    </row>
    <row r="2546" spans="1:4">
      <c r="A2546" s="122">
        <v>39272</v>
      </c>
      <c r="B2546" s="24">
        <v>0.86019999999999996</v>
      </c>
      <c r="C2546" s="24">
        <v>4232.3999999999996</v>
      </c>
      <c r="D2546" s="47">
        <f t="shared" si="39"/>
        <v>3640.7104799999997</v>
      </c>
    </row>
    <row r="2547" spans="1:4">
      <c r="A2547" s="122">
        <v>39269</v>
      </c>
      <c r="B2547" s="24">
        <v>0.85770000000000002</v>
      </c>
      <c r="C2547" s="24">
        <v>4244.3999999999996</v>
      </c>
      <c r="D2547" s="47">
        <f t="shared" si="39"/>
        <v>3640.4218799999999</v>
      </c>
    </row>
    <row r="2548" spans="1:4">
      <c r="A2548" s="122">
        <v>39268</v>
      </c>
      <c r="B2548" s="24">
        <v>0.85619999999999996</v>
      </c>
      <c r="C2548" s="24">
        <v>4225.3999999999996</v>
      </c>
      <c r="D2548" s="47">
        <f t="shared" si="39"/>
        <v>3617.7874799999995</v>
      </c>
    </row>
    <row r="2549" spans="1:4">
      <c r="A2549" s="122">
        <v>39267</v>
      </c>
      <c r="B2549" s="24">
        <v>0.85750000000000004</v>
      </c>
      <c r="C2549" s="24">
        <v>4233.5</v>
      </c>
      <c r="D2549" s="47">
        <f t="shared" si="39"/>
        <v>3630.2262500000002</v>
      </c>
    </row>
    <row r="2550" spans="1:4">
      <c r="A2550" s="122">
        <v>39266</v>
      </c>
      <c r="B2550" s="24">
        <v>0.85470000000000002</v>
      </c>
      <c r="C2550" s="24">
        <v>4203.8</v>
      </c>
      <c r="D2550" s="47">
        <f t="shared" si="39"/>
        <v>3592.9878600000002</v>
      </c>
    </row>
    <row r="2551" spans="1:4">
      <c r="A2551" s="122">
        <v>39265</v>
      </c>
      <c r="B2551" s="24">
        <v>0.85940000000000005</v>
      </c>
      <c r="C2551" s="24">
        <v>4215.5</v>
      </c>
      <c r="D2551" s="47">
        <f t="shared" si="39"/>
        <v>3622.8007000000002</v>
      </c>
    </row>
    <row r="2552" spans="1:4">
      <c r="A2552" s="122">
        <v>39262</v>
      </c>
      <c r="B2552" s="24">
        <v>0.84799999999999998</v>
      </c>
      <c r="C2552" s="24">
        <v>4241.8</v>
      </c>
      <c r="D2552" s="47">
        <f t="shared" si="39"/>
        <v>3597.0464000000002</v>
      </c>
    </row>
    <row r="2553" spans="1:4">
      <c r="A2553" s="122">
        <v>39261</v>
      </c>
      <c r="B2553" s="24">
        <v>0.8458</v>
      </c>
      <c r="C2553" s="24">
        <v>4242.8999999999996</v>
      </c>
      <c r="D2553" s="47">
        <f t="shared" si="39"/>
        <v>3588.6448199999995</v>
      </c>
    </row>
    <row r="2554" spans="1:4">
      <c r="A2554" s="122">
        <v>39260</v>
      </c>
      <c r="B2554" s="24">
        <v>0.83699999999999997</v>
      </c>
      <c r="C2554" s="24">
        <v>4238.3999999999996</v>
      </c>
      <c r="D2554" s="47">
        <f t="shared" si="39"/>
        <v>3547.5407999999998</v>
      </c>
    </row>
    <row r="2555" spans="1:4">
      <c r="A2555" s="122">
        <v>39259</v>
      </c>
      <c r="B2555" s="24">
        <v>0.84630000000000005</v>
      </c>
      <c r="C2555" s="24">
        <v>4220.3999999999996</v>
      </c>
      <c r="D2555" s="47">
        <f t="shared" si="39"/>
        <v>3571.7245199999998</v>
      </c>
    </row>
    <row r="2556" spans="1:4">
      <c r="A2556" s="122">
        <v>39258</v>
      </c>
      <c r="B2556" s="24">
        <v>0.84660000000000002</v>
      </c>
      <c r="C2556" s="24">
        <v>4205.2</v>
      </c>
      <c r="D2556" s="47">
        <f t="shared" si="39"/>
        <v>3560.1223199999999</v>
      </c>
    </row>
    <row r="2557" spans="1:4">
      <c r="A2557" s="122">
        <v>39255</v>
      </c>
      <c r="B2557" s="24">
        <v>0.8468</v>
      </c>
      <c r="C2557" s="24">
        <v>4191.5</v>
      </c>
      <c r="D2557" s="47">
        <f t="shared" si="39"/>
        <v>3549.3622</v>
      </c>
    </row>
    <row r="2558" spans="1:4">
      <c r="A2558" s="122">
        <v>39254</v>
      </c>
      <c r="B2558" s="24">
        <v>0.84709999999999996</v>
      </c>
      <c r="C2558" s="24">
        <v>4184.8999999999996</v>
      </c>
      <c r="D2558" s="47">
        <f t="shared" si="39"/>
        <v>3545.0287899999994</v>
      </c>
    </row>
    <row r="2559" spans="1:4">
      <c r="A2559" s="122">
        <v>39253</v>
      </c>
      <c r="B2559" s="24">
        <v>0.84509999999999996</v>
      </c>
      <c r="C2559" s="24">
        <v>4172.8</v>
      </c>
      <c r="D2559" s="47">
        <f t="shared" si="39"/>
        <v>3526.4332800000002</v>
      </c>
    </row>
    <row r="2560" spans="1:4">
      <c r="A2560" s="122">
        <v>39252</v>
      </c>
      <c r="B2560" s="24">
        <v>0.84670000000000001</v>
      </c>
      <c r="C2560" s="24">
        <v>4130.5</v>
      </c>
      <c r="D2560" s="47">
        <f t="shared" si="39"/>
        <v>3497.2943500000001</v>
      </c>
    </row>
    <row r="2561" spans="1:4">
      <c r="A2561" s="122">
        <v>39251</v>
      </c>
      <c r="B2561" s="24">
        <v>0.84340000000000004</v>
      </c>
      <c r="C2561" s="24">
        <v>4096.8999999999996</v>
      </c>
      <c r="D2561" s="47">
        <f t="shared" si="39"/>
        <v>3455.32546</v>
      </c>
    </row>
    <row r="2562" spans="1:4">
      <c r="A2562" s="122">
        <v>39248</v>
      </c>
      <c r="B2562" s="24">
        <v>0.84140000000000004</v>
      </c>
      <c r="C2562" s="24">
        <v>4119.2</v>
      </c>
      <c r="D2562" s="47">
        <f t="shared" si="39"/>
        <v>3465.8948799999998</v>
      </c>
    </row>
    <row r="2563" spans="1:4">
      <c r="A2563" s="122">
        <v>39247</v>
      </c>
      <c r="B2563" s="24">
        <v>0.83579999999999999</v>
      </c>
      <c r="C2563" s="24">
        <v>4153.3</v>
      </c>
      <c r="D2563" s="47">
        <f t="shared" ref="D2563:D2626" si="40">C2563*B2563</f>
        <v>3471.3281400000001</v>
      </c>
    </row>
    <row r="2564" spans="1:4">
      <c r="A2564" s="122">
        <v>39246</v>
      </c>
      <c r="B2564" s="24">
        <v>0.83950000000000002</v>
      </c>
      <c r="C2564" s="24">
        <v>4168.2</v>
      </c>
      <c r="D2564" s="47">
        <f t="shared" si="40"/>
        <v>3499.2039</v>
      </c>
    </row>
    <row r="2565" spans="1:4">
      <c r="A2565" s="122">
        <v>39245</v>
      </c>
      <c r="B2565" s="24">
        <v>0.84199999999999997</v>
      </c>
      <c r="C2565" s="24">
        <v>4163.6000000000004</v>
      </c>
      <c r="D2565" s="47">
        <f t="shared" si="40"/>
        <v>3505.7512000000002</v>
      </c>
    </row>
    <row r="2566" spans="1:4">
      <c r="A2566" s="122">
        <v>39244</v>
      </c>
      <c r="B2566" s="24">
        <v>0.84340000000000004</v>
      </c>
      <c r="C2566" s="24">
        <v>4166.8999999999996</v>
      </c>
      <c r="D2566" s="47">
        <f t="shared" si="40"/>
        <v>3514.36346</v>
      </c>
    </row>
    <row r="2567" spans="1:4">
      <c r="A2567" s="122">
        <v>39241</v>
      </c>
      <c r="B2567" s="24">
        <v>0.84360000000000002</v>
      </c>
      <c r="C2567" s="24">
        <v>4151.7</v>
      </c>
      <c r="D2567" s="47">
        <f t="shared" si="40"/>
        <v>3502.3741199999999</v>
      </c>
    </row>
    <row r="2568" spans="1:4">
      <c r="A2568" s="122">
        <v>39240</v>
      </c>
      <c r="B2568" s="24">
        <v>0.84179999999999999</v>
      </c>
      <c r="C2568" s="24">
        <v>4144.8</v>
      </c>
      <c r="D2568" s="47">
        <f t="shared" si="40"/>
        <v>3489.0926400000003</v>
      </c>
    </row>
    <row r="2569" spans="1:4">
      <c r="A2569" s="122">
        <v>39239</v>
      </c>
      <c r="B2569" s="24">
        <v>0.84030000000000005</v>
      </c>
      <c r="C2569" s="24">
        <v>4150.2</v>
      </c>
      <c r="D2569" s="47">
        <f t="shared" si="40"/>
        <v>3487.4130599999999</v>
      </c>
    </row>
    <row r="2570" spans="1:4">
      <c r="A2570" s="122">
        <v>39238</v>
      </c>
      <c r="B2570" s="24">
        <v>0.83750000000000002</v>
      </c>
      <c r="C2570" s="24">
        <v>4174.3</v>
      </c>
      <c r="D2570" s="47">
        <f t="shared" si="40"/>
        <v>3495.9762500000002</v>
      </c>
    </row>
    <row r="2571" spans="1:4">
      <c r="A2571" s="122">
        <v>39237</v>
      </c>
      <c r="B2571" s="24">
        <v>0.83440000000000003</v>
      </c>
      <c r="C2571" s="24">
        <v>4174.8999999999996</v>
      </c>
      <c r="D2571" s="47">
        <f t="shared" si="40"/>
        <v>3483.53656</v>
      </c>
    </row>
    <row r="2572" spans="1:4">
      <c r="A2572" s="122">
        <v>39234</v>
      </c>
      <c r="B2572" s="24">
        <v>0.83240000000000003</v>
      </c>
      <c r="C2572" s="24">
        <v>4172.1000000000004</v>
      </c>
      <c r="D2572" s="47">
        <f t="shared" si="40"/>
        <v>3472.8560400000006</v>
      </c>
    </row>
    <row r="2573" spans="1:4">
      <c r="A2573" s="122">
        <v>39233</v>
      </c>
      <c r="B2573" s="24">
        <v>0.82799999999999996</v>
      </c>
      <c r="C2573" s="24">
        <v>4179.1000000000004</v>
      </c>
      <c r="D2573" s="47">
        <f t="shared" si="40"/>
        <v>3460.2948000000001</v>
      </c>
    </row>
    <row r="2574" spans="1:4">
      <c r="A2574" s="122">
        <v>39232</v>
      </c>
      <c r="B2574" s="24">
        <v>0.82220000000000004</v>
      </c>
      <c r="C2574" s="24">
        <v>4189.6000000000004</v>
      </c>
      <c r="D2574" s="47">
        <f t="shared" si="40"/>
        <v>3444.6891200000005</v>
      </c>
    </row>
    <row r="2575" spans="1:4">
      <c r="A2575" s="122">
        <v>39231</v>
      </c>
      <c r="B2575" s="24">
        <v>0.81850000000000001</v>
      </c>
      <c r="C2575" s="24">
        <v>4161.8</v>
      </c>
      <c r="D2575" s="47">
        <f t="shared" si="40"/>
        <v>3406.4333000000001</v>
      </c>
    </row>
    <row r="2576" spans="1:4">
      <c r="A2576" s="122">
        <v>39230</v>
      </c>
      <c r="B2576" s="24">
        <v>0.81950000000000001</v>
      </c>
      <c r="C2576" s="24">
        <v>4151.3</v>
      </c>
      <c r="D2576" s="47">
        <f t="shared" si="40"/>
        <v>3401.99035</v>
      </c>
    </row>
    <row r="2577" spans="1:4">
      <c r="A2577" s="122">
        <v>39227</v>
      </c>
      <c r="B2577" s="24">
        <v>0.81840000000000002</v>
      </c>
      <c r="C2577" s="24">
        <v>4145.3</v>
      </c>
      <c r="D2577" s="47">
        <f t="shared" si="40"/>
        <v>3392.5135200000004</v>
      </c>
    </row>
    <row r="2578" spans="1:4">
      <c r="A2578" s="122">
        <v>39226</v>
      </c>
      <c r="B2578" s="24">
        <v>0.81879999999999997</v>
      </c>
      <c r="C2578" s="24">
        <v>4127.7</v>
      </c>
      <c r="D2578" s="47">
        <f t="shared" si="40"/>
        <v>3379.7607599999997</v>
      </c>
    </row>
    <row r="2579" spans="1:4">
      <c r="A2579" s="122">
        <v>39225</v>
      </c>
      <c r="B2579" s="24">
        <v>0.82379999999999998</v>
      </c>
      <c r="C2579" s="24">
        <v>4107.3</v>
      </c>
      <c r="D2579" s="47">
        <f t="shared" si="40"/>
        <v>3383.5937400000003</v>
      </c>
    </row>
    <row r="2580" spans="1:4">
      <c r="A2580" s="122">
        <v>39224</v>
      </c>
      <c r="B2580" s="24">
        <v>0.8196</v>
      </c>
      <c r="C2580" s="24">
        <v>4098.8999999999996</v>
      </c>
      <c r="D2580" s="47">
        <f t="shared" si="40"/>
        <v>3359.4584399999999</v>
      </c>
    </row>
    <row r="2581" spans="1:4">
      <c r="A2581" s="122">
        <v>39223</v>
      </c>
      <c r="B2581" s="24">
        <v>0.82179999999999997</v>
      </c>
      <c r="C2581" s="24">
        <v>4105.7</v>
      </c>
      <c r="D2581" s="47">
        <f t="shared" si="40"/>
        <v>3374.0642599999996</v>
      </c>
    </row>
    <row r="2582" spans="1:4">
      <c r="A2582" s="122">
        <v>39220</v>
      </c>
      <c r="B2582" s="24">
        <v>0.82369999999999999</v>
      </c>
      <c r="C2582" s="24">
        <v>4055.9</v>
      </c>
      <c r="D2582" s="47">
        <f t="shared" si="40"/>
        <v>3340.84483</v>
      </c>
    </row>
    <row r="2583" spans="1:4">
      <c r="A2583" s="122">
        <v>39219</v>
      </c>
      <c r="B2583" s="24">
        <v>0.8236</v>
      </c>
      <c r="C2583" s="24">
        <v>4044.8</v>
      </c>
      <c r="D2583" s="47">
        <f t="shared" si="40"/>
        <v>3331.2972800000002</v>
      </c>
    </row>
    <row r="2584" spans="1:4">
      <c r="A2584" s="122">
        <v>39218</v>
      </c>
      <c r="B2584" s="24">
        <v>0.82389999999999997</v>
      </c>
      <c r="C2584" s="24">
        <v>4043.9</v>
      </c>
      <c r="D2584" s="47">
        <f t="shared" si="40"/>
        <v>3331.7692099999999</v>
      </c>
    </row>
    <row r="2585" spans="1:4">
      <c r="A2585" s="122">
        <v>39217</v>
      </c>
      <c r="B2585" s="24">
        <v>0.83289999999999997</v>
      </c>
      <c r="C2585" s="24">
        <v>4036</v>
      </c>
      <c r="D2585" s="47">
        <f t="shared" si="40"/>
        <v>3361.5843999999997</v>
      </c>
    </row>
    <row r="2586" spans="1:4">
      <c r="A2586" s="122">
        <v>39216</v>
      </c>
      <c r="B2586" s="24">
        <v>0.83240000000000003</v>
      </c>
      <c r="C2586" s="24">
        <v>4052.6</v>
      </c>
      <c r="D2586" s="47">
        <f t="shared" si="40"/>
        <v>3373.3842399999999</v>
      </c>
    </row>
    <row r="2587" spans="1:4">
      <c r="A2587" s="122">
        <v>39213</v>
      </c>
      <c r="B2587" s="24">
        <v>0.83140000000000003</v>
      </c>
      <c r="C2587" s="24">
        <v>4062</v>
      </c>
      <c r="D2587" s="47">
        <f t="shared" si="40"/>
        <v>3377.1468</v>
      </c>
    </row>
    <row r="2588" spans="1:4">
      <c r="A2588" s="122">
        <v>39212</v>
      </c>
      <c r="B2588" s="24">
        <v>0.82879999999999998</v>
      </c>
      <c r="C2588" s="24">
        <v>4076.9</v>
      </c>
      <c r="D2588" s="47">
        <f t="shared" si="40"/>
        <v>3378.9347200000002</v>
      </c>
    </row>
    <row r="2589" spans="1:4">
      <c r="A2589" s="122">
        <v>39211</v>
      </c>
      <c r="B2589" s="24">
        <v>0.82779999999999998</v>
      </c>
      <c r="C2589" s="24">
        <v>4061.6</v>
      </c>
      <c r="D2589" s="47">
        <f t="shared" si="40"/>
        <v>3362.1924799999997</v>
      </c>
    </row>
    <row r="2590" spans="1:4">
      <c r="A2590" s="122">
        <v>39210</v>
      </c>
      <c r="B2590" s="24">
        <v>0.82840000000000003</v>
      </c>
      <c r="C2590" s="24">
        <v>4069.5</v>
      </c>
      <c r="D2590" s="47">
        <f t="shared" si="40"/>
        <v>3371.1738</v>
      </c>
    </row>
    <row r="2591" spans="1:4">
      <c r="A2591" s="122">
        <v>39209</v>
      </c>
      <c r="B2591" s="24">
        <v>0.82509999999999994</v>
      </c>
      <c r="C2591" s="24">
        <v>4070.4</v>
      </c>
      <c r="D2591" s="47">
        <f t="shared" si="40"/>
        <v>3358.48704</v>
      </c>
    </row>
    <row r="2592" spans="1:4">
      <c r="A2592" s="122">
        <v>39206</v>
      </c>
      <c r="B2592" s="24">
        <v>0.82099999999999995</v>
      </c>
      <c r="C2592" s="24">
        <v>4072.7</v>
      </c>
      <c r="D2592" s="47">
        <f t="shared" si="40"/>
        <v>3343.6866999999997</v>
      </c>
    </row>
    <row r="2593" spans="1:4">
      <c r="A2593" s="122">
        <v>39205</v>
      </c>
      <c r="B2593" s="24">
        <v>0.82420000000000004</v>
      </c>
      <c r="C2593" s="24">
        <v>4074.9</v>
      </c>
      <c r="D2593" s="47">
        <f t="shared" si="40"/>
        <v>3358.5325800000001</v>
      </c>
    </row>
    <row r="2594" spans="1:4">
      <c r="A2594" s="122">
        <v>39204</v>
      </c>
      <c r="B2594" s="24">
        <v>0.82550000000000001</v>
      </c>
      <c r="C2594" s="24">
        <v>4063.2</v>
      </c>
      <c r="D2594" s="47">
        <f t="shared" si="40"/>
        <v>3354.1715999999997</v>
      </c>
    </row>
    <row r="2595" spans="1:4">
      <c r="A2595" s="122">
        <v>39203</v>
      </c>
      <c r="B2595" s="24">
        <v>0.82869999999999999</v>
      </c>
      <c r="C2595" s="24">
        <v>4029.9</v>
      </c>
      <c r="D2595" s="47">
        <f t="shared" si="40"/>
        <v>3339.5781299999999</v>
      </c>
    </row>
    <row r="2596" spans="1:4">
      <c r="A2596" s="122">
        <v>39202</v>
      </c>
      <c r="B2596" s="24">
        <v>0.8306</v>
      </c>
      <c r="C2596" s="24">
        <v>4039.4</v>
      </c>
      <c r="D2596" s="47">
        <f t="shared" si="40"/>
        <v>3355.1256400000002</v>
      </c>
    </row>
    <row r="2597" spans="1:4">
      <c r="A2597" s="122">
        <v>39199</v>
      </c>
      <c r="B2597" s="24">
        <v>0.83</v>
      </c>
      <c r="C2597" s="24">
        <v>4058.6</v>
      </c>
      <c r="D2597" s="47">
        <f t="shared" si="40"/>
        <v>3368.6379999999999</v>
      </c>
    </row>
    <row r="2598" spans="1:4">
      <c r="A2598" s="122">
        <v>39198</v>
      </c>
      <c r="B2598" s="24">
        <v>0.82609999999999995</v>
      </c>
      <c r="C2598" s="24">
        <v>4050.6</v>
      </c>
      <c r="D2598" s="47">
        <f t="shared" si="40"/>
        <v>3346.2006599999995</v>
      </c>
    </row>
    <row r="2599" spans="1:4">
      <c r="A2599" s="122">
        <v>39197</v>
      </c>
      <c r="B2599" s="24">
        <v>0.83320000000000005</v>
      </c>
      <c r="C2599" s="24">
        <v>4050.6</v>
      </c>
      <c r="D2599" s="47">
        <f t="shared" si="40"/>
        <v>3374.9599200000002</v>
      </c>
    </row>
    <row r="2600" spans="1:4">
      <c r="A2600" s="122">
        <v>39196</v>
      </c>
      <c r="B2600" s="24">
        <v>0.82689999999999997</v>
      </c>
      <c r="C2600" s="24">
        <v>4054.9</v>
      </c>
      <c r="D2600" s="47">
        <f t="shared" si="40"/>
        <v>3352.9968100000001</v>
      </c>
    </row>
    <row r="2601" spans="1:4">
      <c r="A2601" s="122">
        <v>39195</v>
      </c>
      <c r="B2601" s="24">
        <v>0.83220000000000005</v>
      </c>
      <c r="C2601" s="24">
        <v>4042.1</v>
      </c>
      <c r="D2601" s="47">
        <f t="shared" si="40"/>
        <v>3363.8356200000003</v>
      </c>
    </row>
    <row r="2602" spans="1:4">
      <c r="A2602" s="122">
        <v>39192</v>
      </c>
      <c r="B2602" s="24">
        <v>0.83750000000000002</v>
      </c>
      <c r="C2602" s="24">
        <v>4048.6</v>
      </c>
      <c r="D2602" s="47">
        <f t="shared" si="40"/>
        <v>3390.7024999999999</v>
      </c>
    </row>
    <row r="2603" spans="1:4">
      <c r="A2603" s="122">
        <v>39191</v>
      </c>
      <c r="B2603" s="24">
        <v>0.8347</v>
      </c>
      <c r="C2603" s="24">
        <v>4048.6</v>
      </c>
      <c r="D2603" s="47">
        <f t="shared" si="40"/>
        <v>3379.3664199999998</v>
      </c>
    </row>
    <row r="2604" spans="1:4">
      <c r="A2604" s="122">
        <v>39190</v>
      </c>
      <c r="B2604" s="24">
        <v>0.83660000000000001</v>
      </c>
      <c r="C2604" s="24">
        <v>4048.6</v>
      </c>
      <c r="D2604" s="47">
        <f t="shared" si="40"/>
        <v>3387.0587599999999</v>
      </c>
    </row>
    <row r="2605" spans="1:4">
      <c r="A2605" s="122">
        <v>39189</v>
      </c>
      <c r="B2605" s="24">
        <v>0.8367</v>
      </c>
      <c r="C2605" s="24">
        <v>4025.9</v>
      </c>
      <c r="D2605" s="47">
        <f t="shared" si="40"/>
        <v>3368.4705300000001</v>
      </c>
    </row>
    <row r="2606" spans="1:4">
      <c r="A2606" s="122">
        <v>39188</v>
      </c>
      <c r="B2606" s="24">
        <v>0.83260000000000001</v>
      </c>
      <c r="C2606" s="24">
        <v>4032.3</v>
      </c>
      <c r="D2606" s="47">
        <f t="shared" si="40"/>
        <v>3357.2929800000002</v>
      </c>
    </row>
    <row r="2607" spans="1:4">
      <c r="A2607" s="122">
        <v>39185</v>
      </c>
      <c r="B2607" s="24">
        <v>0.8327</v>
      </c>
      <c r="C2607" s="24">
        <v>4013.6</v>
      </c>
      <c r="D2607" s="47">
        <f t="shared" si="40"/>
        <v>3342.1247199999998</v>
      </c>
    </row>
    <row r="2608" spans="1:4">
      <c r="A2608" s="122">
        <v>39184</v>
      </c>
      <c r="B2608" s="24">
        <v>0.82930000000000004</v>
      </c>
      <c r="C2608" s="24">
        <v>3993.4</v>
      </c>
      <c r="D2608" s="47">
        <f t="shared" si="40"/>
        <v>3311.7266200000004</v>
      </c>
    </row>
    <row r="2609" spans="1:4">
      <c r="A2609" s="122">
        <v>39183</v>
      </c>
      <c r="B2609" s="24">
        <v>0.82420000000000004</v>
      </c>
      <c r="C2609" s="24">
        <v>3988</v>
      </c>
      <c r="D2609" s="47">
        <f t="shared" si="40"/>
        <v>3286.9096</v>
      </c>
    </row>
    <row r="2610" spans="1:4">
      <c r="A2610" s="122">
        <v>39182</v>
      </c>
      <c r="B2610" s="24">
        <v>0.82650000000000001</v>
      </c>
      <c r="C2610" s="24">
        <v>3975.1</v>
      </c>
      <c r="D2610" s="47">
        <f t="shared" si="40"/>
        <v>3285.4201499999999</v>
      </c>
    </row>
    <row r="2611" spans="1:4">
      <c r="A2611" s="122">
        <v>39181</v>
      </c>
      <c r="B2611" s="24">
        <v>0.81669999999999998</v>
      </c>
      <c r="C2611" s="24">
        <v>3944.2</v>
      </c>
      <c r="D2611" s="47">
        <f t="shared" si="40"/>
        <v>3221.2281399999997</v>
      </c>
    </row>
    <row r="2612" spans="1:4">
      <c r="A2612" s="122">
        <v>39178</v>
      </c>
      <c r="B2612" s="24">
        <v>0.81630000000000003</v>
      </c>
      <c r="C2612" s="24">
        <v>3929</v>
      </c>
      <c r="D2612" s="47">
        <f t="shared" si="40"/>
        <v>3207.2427000000002</v>
      </c>
    </row>
    <row r="2613" spans="1:4">
      <c r="A2613" s="122">
        <v>39177</v>
      </c>
      <c r="B2613" s="24">
        <v>0.8196</v>
      </c>
      <c r="C2613" s="24">
        <v>3907.3</v>
      </c>
      <c r="D2613" s="47">
        <f t="shared" si="40"/>
        <v>3202.42308</v>
      </c>
    </row>
    <row r="2614" spans="1:4">
      <c r="A2614" s="122">
        <v>39176</v>
      </c>
      <c r="B2614" s="24">
        <v>0.81830000000000003</v>
      </c>
      <c r="C2614" s="24">
        <v>3898.5</v>
      </c>
      <c r="D2614" s="47">
        <f t="shared" si="40"/>
        <v>3190.14255</v>
      </c>
    </row>
    <row r="2615" spans="1:4">
      <c r="A2615" s="122">
        <v>39175</v>
      </c>
      <c r="B2615" s="24">
        <v>0.81220000000000003</v>
      </c>
      <c r="C2615" s="24">
        <v>3886.9</v>
      </c>
      <c r="D2615" s="47">
        <f t="shared" si="40"/>
        <v>3156.9401800000001</v>
      </c>
    </row>
    <row r="2616" spans="1:4">
      <c r="A2616" s="122">
        <v>39174</v>
      </c>
      <c r="B2616" s="24">
        <v>0.81689999999999996</v>
      </c>
      <c r="C2616" s="24">
        <v>3897.7</v>
      </c>
      <c r="D2616" s="47">
        <f t="shared" si="40"/>
        <v>3184.0311299999998</v>
      </c>
    </row>
    <row r="2617" spans="1:4">
      <c r="A2617" s="122">
        <v>39171</v>
      </c>
      <c r="B2617" s="24">
        <v>0.80859999999999999</v>
      </c>
      <c r="C2617" s="24">
        <v>3927.5</v>
      </c>
      <c r="D2617" s="47">
        <f t="shared" si="40"/>
        <v>3175.7764999999999</v>
      </c>
    </row>
    <row r="2618" spans="1:4">
      <c r="A2618" s="122">
        <v>39170</v>
      </c>
      <c r="B2618" s="24">
        <v>0.80649999999999999</v>
      </c>
      <c r="C2618" s="24">
        <v>3950.5</v>
      </c>
      <c r="D2618" s="47">
        <f t="shared" si="40"/>
        <v>3186.07825</v>
      </c>
    </row>
    <row r="2619" spans="1:4">
      <c r="A2619" s="122">
        <v>39169</v>
      </c>
      <c r="B2619" s="24">
        <v>0.80489999999999995</v>
      </c>
      <c r="C2619" s="24">
        <v>3939.5</v>
      </c>
      <c r="D2619" s="47">
        <f t="shared" si="40"/>
        <v>3170.90355</v>
      </c>
    </row>
    <row r="2620" spans="1:4">
      <c r="A2620" s="122">
        <v>39168</v>
      </c>
      <c r="B2620" s="24">
        <v>0.80830000000000002</v>
      </c>
      <c r="C2620" s="24">
        <v>3941.9</v>
      </c>
      <c r="D2620" s="47">
        <f t="shared" si="40"/>
        <v>3186.2377700000002</v>
      </c>
    </row>
    <row r="2621" spans="1:4">
      <c r="A2621" s="122">
        <v>39167</v>
      </c>
      <c r="B2621" s="24">
        <v>0.81020000000000003</v>
      </c>
      <c r="C2621" s="24">
        <v>3899.3</v>
      </c>
      <c r="D2621" s="47">
        <f t="shared" si="40"/>
        <v>3159.2128600000001</v>
      </c>
    </row>
    <row r="2622" spans="1:4">
      <c r="A2622" s="122">
        <v>39164</v>
      </c>
      <c r="B2622" s="24">
        <v>0.80559999999999998</v>
      </c>
      <c r="C2622" s="24">
        <v>3931.3</v>
      </c>
      <c r="D2622" s="47">
        <f t="shared" si="40"/>
        <v>3167.05528</v>
      </c>
    </row>
    <row r="2623" spans="1:4">
      <c r="A2623" s="122">
        <v>39163</v>
      </c>
      <c r="B2623" s="24">
        <v>0.80649999999999999</v>
      </c>
      <c r="C2623" s="24">
        <v>3926.8</v>
      </c>
      <c r="D2623" s="47">
        <f t="shared" si="40"/>
        <v>3166.9642000000003</v>
      </c>
    </row>
    <row r="2624" spans="1:4">
      <c r="A2624" s="122">
        <v>39162</v>
      </c>
      <c r="B2624" s="24">
        <v>0.80720000000000003</v>
      </c>
      <c r="C2624" s="24">
        <v>3912.1</v>
      </c>
      <c r="D2624" s="47">
        <f t="shared" si="40"/>
        <v>3157.8471199999999</v>
      </c>
    </row>
    <row r="2625" spans="1:4">
      <c r="A2625" s="122">
        <v>39161</v>
      </c>
      <c r="B2625" s="24">
        <v>0.80359999999999998</v>
      </c>
      <c r="C2625" s="24">
        <v>3904.2</v>
      </c>
      <c r="D2625" s="47">
        <f t="shared" si="40"/>
        <v>3137.4151199999997</v>
      </c>
    </row>
    <row r="2626" spans="1:4">
      <c r="A2626" s="122">
        <v>39160</v>
      </c>
      <c r="B2626" s="24">
        <v>0.79930000000000001</v>
      </c>
      <c r="C2626" s="24">
        <v>3882.5</v>
      </c>
      <c r="D2626" s="47">
        <f t="shared" si="40"/>
        <v>3103.2822500000002</v>
      </c>
    </row>
    <row r="2627" spans="1:4">
      <c r="A2627" s="122">
        <v>39157</v>
      </c>
      <c r="B2627" s="24">
        <v>0.79610000000000003</v>
      </c>
      <c r="C2627" s="24">
        <v>3866.1</v>
      </c>
      <c r="D2627" s="47">
        <f t="shared" ref="D2627:D2690" si="41">C2627*B2627</f>
        <v>3077.8022099999998</v>
      </c>
    </row>
    <row r="2628" spans="1:4">
      <c r="A2628" s="122">
        <v>39156</v>
      </c>
      <c r="B2628" s="24">
        <v>0.78869999999999996</v>
      </c>
      <c r="C2628" s="24">
        <v>3830.7</v>
      </c>
      <c r="D2628" s="47">
        <f t="shared" si="41"/>
        <v>3021.2730899999997</v>
      </c>
    </row>
    <row r="2629" spans="1:4">
      <c r="A2629" s="122">
        <v>39155</v>
      </c>
      <c r="B2629" s="24">
        <v>0.78549999999999998</v>
      </c>
      <c r="C2629" s="24">
        <v>3872.7</v>
      </c>
      <c r="D2629" s="47">
        <f t="shared" si="41"/>
        <v>3042.0058499999996</v>
      </c>
    </row>
    <row r="2630" spans="1:4">
      <c r="A2630" s="122">
        <v>39154</v>
      </c>
      <c r="B2630" s="24">
        <v>0.78259999999999996</v>
      </c>
      <c r="C2630" s="24">
        <v>3879.5</v>
      </c>
      <c r="D2630" s="47">
        <f t="shared" si="41"/>
        <v>3036.0967000000001</v>
      </c>
    </row>
    <row r="2631" spans="1:4">
      <c r="A2631" s="122">
        <v>39153</v>
      </c>
      <c r="B2631" s="24">
        <v>0.78410000000000002</v>
      </c>
      <c r="C2631" s="24">
        <v>3876</v>
      </c>
      <c r="D2631" s="47">
        <f t="shared" si="41"/>
        <v>3039.1716000000001</v>
      </c>
    </row>
    <row r="2632" spans="1:4">
      <c r="A2632" s="122">
        <v>39150</v>
      </c>
      <c r="B2632" s="24">
        <v>0.78029999999999999</v>
      </c>
      <c r="C2632" s="24">
        <v>3869.4</v>
      </c>
      <c r="D2632" s="47">
        <f t="shared" si="41"/>
        <v>3019.2928200000001</v>
      </c>
    </row>
    <row r="2633" spans="1:4">
      <c r="A2633" s="122">
        <v>39149</v>
      </c>
      <c r="B2633" s="24">
        <v>0.77700000000000002</v>
      </c>
      <c r="C2633" s="24">
        <v>3880.6</v>
      </c>
      <c r="D2633" s="47">
        <f t="shared" si="41"/>
        <v>3015.2262000000001</v>
      </c>
    </row>
    <row r="2634" spans="1:4">
      <c r="A2634" s="122">
        <v>39148</v>
      </c>
      <c r="B2634" s="24">
        <v>0.77800000000000002</v>
      </c>
      <c r="C2634" s="24">
        <v>3862.5</v>
      </c>
      <c r="D2634" s="47">
        <f t="shared" si="41"/>
        <v>3005.0250000000001</v>
      </c>
    </row>
    <row r="2635" spans="1:4">
      <c r="A2635" s="122">
        <v>39147</v>
      </c>
      <c r="B2635" s="24">
        <v>0.77470000000000006</v>
      </c>
      <c r="C2635" s="24">
        <v>3863.3</v>
      </c>
      <c r="D2635" s="47">
        <f t="shared" si="41"/>
        <v>2992.8985100000004</v>
      </c>
    </row>
    <row r="2636" spans="1:4">
      <c r="A2636" s="122">
        <v>39146</v>
      </c>
      <c r="B2636" s="24">
        <v>0.77070000000000005</v>
      </c>
      <c r="C2636" s="24">
        <v>3846.4</v>
      </c>
      <c r="D2636" s="47">
        <f t="shared" si="41"/>
        <v>2964.4204800000002</v>
      </c>
    </row>
    <row r="2637" spans="1:4">
      <c r="A2637" s="122">
        <v>39143</v>
      </c>
      <c r="B2637" s="24">
        <v>0.78210000000000002</v>
      </c>
      <c r="C2637" s="24">
        <v>3835.5</v>
      </c>
      <c r="D2637" s="47">
        <f t="shared" si="41"/>
        <v>2999.7445499999999</v>
      </c>
    </row>
    <row r="2638" spans="1:4">
      <c r="A2638" s="122">
        <v>39142</v>
      </c>
      <c r="B2638" s="24">
        <v>0.78520000000000001</v>
      </c>
      <c r="C2638" s="24">
        <v>3822.3</v>
      </c>
      <c r="D2638" s="47">
        <f t="shared" si="41"/>
        <v>3001.2699600000001</v>
      </c>
    </row>
    <row r="2639" spans="1:4">
      <c r="A2639" s="122">
        <v>39141</v>
      </c>
      <c r="B2639" s="24">
        <v>0.78820000000000001</v>
      </c>
      <c r="C2639" s="24">
        <v>3843.5</v>
      </c>
      <c r="D2639" s="47">
        <f t="shared" si="41"/>
        <v>3029.4467</v>
      </c>
    </row>
    <row r="2640" spans="1:4">
      <c r="A2640" s="122">
        <v>39140</v>
      </c>
      <c r="B2640" s="24">
        <v>0.78869999999999996</v>
      </c>
      <c r="C2640" s="24">
        <v>3838.5</v>
      </c>
      <c r="D2640" s="47">
        <f t="shared" si="41"/>
        <v>3027.4249499999996</v>
      </c>
    </row>
    <row r="2641" spans="1:4">
      <c r="A2641" s="122">
        <v>39139</v>
      </c>
      <c r="B2641" s="24">
        <v>0.79349999999999998</v>
      </c>
      <c r="C2641" s="24">
        <v>3832.9</v>
      </c>
      <c r="D2641" s="47">
        <f t="shared" si="41"/>
        <v>3041.4061499999998</v>
      </c>
    </row>
    <row r="2642" spans="1:4">
      <c r="A2642" s="122">
        <v>39136</v>
      </c>
      <c r="B2642" s="24">
        <v>0.79169999999999996</v>
      </c>
      <c r="C2642" s="24">
        <v>3798.6</v>
      </c>
      <c r="D2642" s="47">
        <f t="shared" si="41"/>
        <v>3007.3516199999999</v>
      </c>
    </row>
    <row r="2643" spans="1:4">
      <c r="A2643" s="122">
        <v>39135</v>
      </c>
      <c r="B2643" s="24">
        <v>0.78879999999999995</v>
      </c>
      <c r="C2643" s="24">
        <v>3791.2</v>
      </c>
      <c r="D2643" s="47">
        <f t="shared" si="41"/>
        <v>2990.4985599999995</v>
      </c>
    </row>
    <row r="2644" spans="1:4">
      <c r="A2644" s="122">
        <v>39134</v>
      </c>
      <c r="B2644" s="24">
        <v>0.79120000000000001</v>
      </c>
      <c r="C2644" s="24">
        <v>3778.6</v>
      </c>
      <c r="D2644" s="47">
        <f t="shared" si="41"/>
        <v>2989.6283199999998</v>
      </c>
    </row>
    <row r="2645" spans="1:4">
      <c r="A2645" s="122">
        <v>39133</v>
      </c>
      <c r="B2645" s="24">
        <v>0.78600000000000003</v>
      </c>
      <c r="C2645" s="24">
        <v>3776.1</v>
      </c>
      <c r="D2645" s="47">
        <f t="shared" si="41"/>
        <v>2968.0146</v>
      </c>
    </row>
    <row r="2646" spans="1:4">
      <c r="A2646" s="122">
        <v>39132</v>
      </c>
      <c r="B2646" s="24">
        <v>0.78680000000000005</v>
      </c>
      <c r="C2646" s="24">
        <v>3741.2</v>
      </c>
      <c r="D2646" s="47">
        <f t="shared" si="41"/>
        <v>2943.5761600000001</v>
      </c>
    </row>
    <row r="2647" spans="1:4">
      <c r="A2647" s="122">
        <v>39129</v>
      </c>
      <c r="B2647" s="24">
        <v>0.78700000000000003</v>
      </c>
      <c r="C2647" s="24">
        <v>3704.9</v>
      </c>
      <c r="D2647" s="47">
        <f t="shared" si="41"/>
        <v>2915.7563</v>
      </c>
    </row>
    <row r="2648" spans="1:4">
      <c r="A2648" s="122">
        <v>39128</v>
      </c>
      <c r="B2648" s="24">
        <v>0.78469999999999995</v>
      </c>
      <c r="C2648" s="24">
        <v>3681.6</v>
      </c>
      <c r="D2648" s="47">
        <f t="shared" si="41"/>
        <v>2888.9515199999996</v>
      </c>
    </row>
    <row r="2649" spans="1:4">
      <c r="A2649" s="122">
        <v>39127</v>
      </c>
      <c r="B2649" s="24">
        <v>0.78380000000000005</v>
      </c>
      <c r="C2649" s="24">
        <v>3709.9</v>
      </c>
      <c r="D2649" s="47">
        <f t="shared" si="41"/>
        <v>2907.8196200000002</v>
      </c>
    </row>
    <row r="2650" spans="1:4">
      <c r="A2650" s="122">
        <v>39126</v>
      </c>
      <c r="B2650" s="24">
        <v>0.77910000000000001</v>
      </c>
      <c r="C2650" s="24">
        <v>3705.9</v>
      </c>
      <c r="D2650" s="47">
        <f t="shared" si="41"/>
        <v>2887.2666899999999</v>
      </c>
    </row>
    <row r="2651" spans="1:4">
      <c r="A2651" s="122">
        <v>39125</v>
      </c>
      <c r="B2651" s="24">
        <v>0.77170000000000005</v>
      </c>
      <c r="C2651" s="24">
        <v>3700.1</v>
      </c>
      <c r="D2651" s="47">
        <f t="shared" si="41"/>
        <v>2855.36717</v>
      </c>
    </row>
    <row r="2652" spans="1:4">
      <c r="A2652" s="122">
        <v>39122</v>
      </c>
      <c r="B2652" s="24">
        <v>0.77649999999999997</v>
      </c>
      <c r="C2652" s="24">
        <v>3715</v>
      </c>
      <c r="D2652" s="47">
        <f t="shared" si="41"/>
        <v>2884.6974999999998</v>
      </c>
    </row>
    <row r="2653" spans="1:4">
      <c r="A2653" s="122">
        <v>39121</v>
      </c>
      <c r="B2653" s="24">
        <v>0.78159999999999996</v>
      </c>
      <c r="C2653" s="24">
        <v>3709.9</v>
      </c>
      <c r="D2653" s="47">
        <f t="shared" si="41"/>
        <v>2899.6578399999999</v>
      </c>
    </row>
    <row r="2654" spans="1:4">
      <c r="A2654" s="122">
        <v>39120</v>
      </c>
      <c r="B2654" s="24">
        <v>0.77800000000000002</v>
      </c>
      <c r="C2654" s="24">
        <v>3720.5</v>
      </c>
      <c r="D2654" s="47">
        <f t="shared" si="41"/>
        <v>2894.549</v>
      </c>
    </row>
    <row r="2655" spans="1:4">
      <c r="A2655" s="122">
        <v>39119</v>
      </c>
      <c r="B2655" s="24">
        <v>0.77769999999999995</v>
      </c>
      <c r="C2655" s="24">
        <v>3708.9</v>
      </c>
      <c r="D2655" s="47">
        <f t="shared" si="41"/>
        <v>2884.4115299999999</v>
      </c>
    </row>
    <row r="2656" spans="1:4">
      <c r="A2656" s="122">
        <v>39118</v>
      </c>
      <c r="B2656" s="24">
        <v>0.7762</v>
      </c>
      <c r="C2656" s="24">
        <v>3725.2</v>
      </c>
      <c r="D2656" s="47">
        <f t="shared" si="41"/>
        <v>2891.5002399999998</v>
      </c>
    </row>
    <row r="2657" spans="1:4">
      <c r="A2657" s="122">
        <v>39115</v>
      </c>
      <c r="B2657" s="24">
        <v>0.77490000000000003</v>
      </c>
      <c r="C2657" s="24">
        <v>3717.4</v>
      </c>
      <c r="D2657" s="47">
        <f t="shared" si="41"/>
        <v>2880.6132600000001</v>
      </c>
    </row>
    <row r="2658" spans="1:4">
      <c r="A2658" s="122">
        <v>39114</v>
      </c>
      <c r="B2658" s="24">
        <v>0.77410000000000001</v>
      </c>
      <c r="C2658" s="24">
        <v>3705.8</v>
      </c>
      <c r="D2658" s="47">
        <f t="shared" si="41"/>
        <v>2868.65978</v>
      </c>
    </row>
    <row r="2659" spans="1:4">
      <c r="A2659" s="122">
        <v>39113</v>
      </c>
      <c r="B2659" s="24">
        <v>0.77590000000000003</v>
      </c>
      <c r="C2659" s="24">
        <v>3686.8</v>
      </c>
      <c r="D2659" s="47">
        <f t="shared" si="41"/>
        <v>2860.5881200000003</v>
      </c>
    </row>
    <row r="2660" spans="1:4">
      <c r="A2660" s="122">
        <v>39112</v>
      </c>
      <c r="B2660" s="24">
        <v>0.7722</v>
      </c>
      <c r="C2660" s="24">
        <v>3700.8</v>
      </c>
      <c r="D2660" s="47">
        <f t="shared" si="41"/>
        <v>2857.75776</v>
      </c>
    </row>
    <row r="2661" spans="1:4">
      <c r="A2661" s="122">
        <v>39111</v>
      </c>
      <c r="B2661" s="24">
        <v>0.77170000000000005</v>
      </c>
      <c r="C2661" s="24">
        <v>3699.8</v>
      </c>
      <c r="D2661" s="47">
        <f t="shared" si="41"/>
        <v>2855.1356600000004</v>
      </c>
    </row>
    <row r="2662" spans="1:4">
      <c r="A2662" s="122">
        <v>39108</v>
      </c>
      <c r="B2662" s="24">
        <v>0.77349999999999997</v>
      </c>
      <c r="C2662" s="24">
        <v>3697.6</v>
      </c>
      <c r="D2662" s="47">
        <f t="shared" si="41"/>
        <v>2860.0935999999997</v>
      </c>
    </row>
    <row r="2663" spans="1:4">
      <c r="A2663" s="122">
        <v>39107</v>
      </c>
      <c r="B2663" s="24">
        <v>0.77329999999999999</v>
      </c>
      <c r="C2663" s="24">
        <v>3693.6</v>
      </c>
      <c r="D2663" s="47">
        <f t="shared" si="41"/>
        <v>2856.2608799999998</v>
      </c>
    </row>
    <row r="2664" spans="1:4">
      <c r="A2664" s="122">
        <v>39106</v>
      </c>
      <c r="B2664" s="24">
        <v>0.78110000000000002</v>
      </c>
      <c r="C2664" s="24">
        <v>3659.6</v>
      </c>
      <c r="D2664" s="47">
        <f t="shared" si="41"/>
        <v>2858.5135599999999</v>
      </c>
    </row>
    <row r="2665" spans="1:4">
      <c r="A2665" s="122">
        <v>39105</v>
      </c>
      <c r="B2665" s="24">
        <v>0.79249999999999998</v>
      </c>
      <c r="C2665" s="24">
        <v>3665</v>
      </c>
      <c r="D2665" s="47">
        <f t="shared" si="41"/>
        <v>2904.5124999999998</v>
      </c>
    </row>
    <row r="2666" spans="1:4">
      <c r="A2666" s="122">
        <v>39104</v>
      </c>
      <c r="B2666" s="24">
        <v>0.78800000000000003</v>
      </c>
      <c r="C2666" s="24">
        <v>3656.6</v>
      </c>
      <c r="D2666" s="47">
        <f t="shared" si="41"/>
        <v>2881.4007999999999</v>
      </c>
    </row>
    <row r="2667" spans="1:4">
      <c r="A2667" s="122">
        <v>39101</v>
      </c>
      <c r="B2667" s="24">
        <v>0.78979999999999995</v>
      </c>
      <c r="C2667" s="24">
        <v>3627.1</v>
      </c>
      <c r="D2667" s="47">
        <f t="shared" si="41"/>
        <v>2864.6835799999999</v>
      </c>
    </row>
    <row r="2668" spans="1:4">
      <c r="A2668" s="122">
        <v>39100</v>
      </c>
      <c r="B2668" s="24">
        <v>0.78900000000000003</v>
      </c>
      <c r="C2668" s="24">
        <v>3620.6</v>
      </c>
      <c r="D2668" s="47">
        <f t="shared" si="41"/>
        <v>2856.6534000000001</v>
      </c>
    </row>
    <row r="2669" spans="1:4">
      <c r="A2669" s="122">
        <v>39099</v>
      </c>
      <c r="B2669" s="24">
        <v>0.78690000000000004</v>
      </c>
      <c r="C2669" s="24">
        <v>3623.9</v>
      </c>
      <c r="D2669" s="47">
        <f t="shared" si="41"/>
        <v>2851.6469100000004</v>
      </c>
    </row>
    <row r="2670" spans="1:4">
      <c r="A2670" s="122">
        <v>39098</v>
      </c>
      <c r="B2670" s="24">
        <v>0.78320000000000001</v>
      </c>
      <c r="C2670" s="24">
        <v>3635.2</v>
      </c>
      <c r="D2670" s="47">
        <f t="shared" si="41"/>
        <v>2847.0886399999999</v>
      </c>
    </row>
    <row r="2671" spans="1:4">
      <c r="A2671" s="122">
        <v>39097</v>
      </c>
      <c r="B2671" s="24">
        <v>0.7843</v>
      </c>
      <c r="C2671" s="24">
        <v>3640.8</v>
      </c>
      <c r="D2671" s="47">
        <f t="shared" si="41"/>
        <v>2855.4794400000001</v>
      </c>
    </row>
    <row r="2672" spans="1:4">
      <c r="A2672" s="122">
        <v>39094</v>
      </c>
      <c r="B2672" s="24">
        <v>0.78349999999999997</v>
      </c>
      <c r="C2672" s="24">
        <v>3629.9</v>
      </c>
      <c r="D2672" s="47">
        <f t="shared" si="41"/>
        <v>2844.0266499999998</v>
      </c>
    </row>
    <row r="2673" spans="1:4">
      <c r="A2673" s="122">
        <v>39093</v>
      </c>
      <c r="B2673" s="24">
        <v>0.78110000000000002</v>
      </c>
      <c r="C2673" s="24">
        <v>3628.7</v>
      </c>
      <c r="D2673" s="47">
        <f t="shared" si="41"/>
        <v>2834.3775700000001</v>
      </c>
    </row>
    <row r="2674" spans="1:4">
      <c r="A2674" s="122">
        <v>39092</v>
      </c>
      <c r="B2674" s="24">
        <v>0.77629999999999999</v>
      </c>
      <c r="C2674" s="24">
        <v>3631.6</v>
      </c>
      <c r="D2674" s="47">
        <f t="shared" si="41"/>
        <v>2819.21108</v>
      </c>
    </row>
    <row r="2675" spans="1:4">
      <c r="A2675" s="122">
        <v>39091</v>
      </c>
      <c r="B2675" s="24">
        <v>0.78110000000000002</v>
      </c>
      <c r="C2675" s="24">
        <v>3624.9</v>
      </c>
      <c r="D2675" s="47">
        <f t="shared" si="41"/>
        <v>2831.4093900000003</v>
      </c>
    </row>
    <row r="2676" spans="1:4">
      <c r="A2676" s="122">
        <v>39090</v>
      </c>
      <c r="B2676" s="24">
        <v>0.7802</v>
      </c>
      <c r="C2676" s="24">
        <v>3625.1</v>
      </c>
      <c r="D2676" s="47">
        <f t="shared" si="41"/>
        <v>2828.3030199999998</v>
      </c>
    </row>
    <row r="2677" spans="1:4">
      <c r="A2677" s="122">
        <v>39087</v>
      </c>
      <c r="B2677" s="24">
        <v>0.77929999999999999</v>
      </c>
      <c r="C2677" s="24">
        <v>3623.2</v>
      </c>
      <c r="D2677" s="47">
        <f t="shared" si="41"/>
        <v>2823.5597599999996</v>
      </c>
    </row>
    <row r="2678" spans="1:4">
      <c r="A2678" s="122">
        <v>39086</v>
      </c>
      <c r="B2678" s="24">
        <v>0.7843</v>
      </c>
      <c r="C2678" s="24">
        <v>3609.7</v>
      </c>
      <c r="D2678" s="47">
        <f t="shared" si="41"/>
        <v>2831.0877099999998</v>
      </c>
    </row>
    <row r="2679" spans="1:4">
      <c r="A2679" s="122">
        <v>39085</v>
      </c>
      <c r="B2679" s="24">
        <v>0.79149999999999998</v>
      </c>
      <c r="C2679" s="24">
        <v>3596</v>
      </c>
      <c r="D2679" s="47">
        <f t="shared" si="41"/>
        <v>2846.2339999999999</v>
      </c>
    </row>
    <row r="2680" spans="1:4">
      <c r="A2680" s="122">
        <v>39084</v>
      </c>
      <c r="B2680" s="24">
        <v>0.79590000000000005</v>
      </c>
      <c r="C2680" s="24">
        <v>3591.7</v>
      </c>
      <c r="D2680" s="47">
        <f t="shared" si="41"/>
        <v>2858.6340300000002</v>
      </c>
    </row>
    <row r="2681" spans="1:4">
      <c r="A2681" s="122">
        <v>39083</v>
      </c>
      <c r="B2681" s="24">
        <v>0.78939999999999999</v>
      </c>
      <c r="C2681" s="24">
        <v>3589</v>
      </c>
      <c r="D2681" s="47">
        <f t="shared" si="41"/>
        <v>2833.1565999999998</v>
      </c>
    </row>
    <row r="2682" spans="1:4">
      <c r="A2682" s="122">
        <v>39080</v>
      </c>
      <c r="B2682" s="24">
        <v>0.78939999999999999</v>
      </c>
      <c r="C2682" s="24">
        <v>3589.4</v>
      </c>
      <c r="D2682" s="47">
        <f t="shared" si="41"/>
        <v>2833.4723600000002</v>
      </c>
    </row>
    <row r="2683" spans="1:4">
      <c r="A2683" s="122">
        <v>39079</v>
      </c>
      <c r="B2683" s="24">
        <v>0.78969999999999996</v>
      </c>
      <c r="C2683" s="24">
        <v>3576.9</v>
      </c>
      <c r="D2683" s="47">
        <f t="shared" si="41"/>
        <v>2824.6779299999998</v>
      </c>
    </row>
    <row r="2684" spans="1:4">
      <c r="A2684" s="122">
        <v>39078</v>
      </c>
      <c r="B2684" s="24">
        <v>0.78410000000000002</v>
      </c>
      <c r="C2684" s="24">
        <v>3577.3</v>
      </c>
      <c r="D2684" s="47">
        <f t="shared" si="41"/>
        <v>2804.9609300000002</v>
      </c>
    </row>
    <row r="2685" spans="1:4">
      <c r="A2685" s="122">
        <v>39077</v>
      </c>
      <c r="B2685" s="24">
        <v>0.78169999999999995</v>
      </c>
      <c r="C2685" s="24">
        <v>3590.4</v>
      </c>
      <c r="D2685" s="47">
        <f t="shared" si="41"/>
        <v>2806.6156799999999</v>
      </c>
    </row>
    <row r="2686" spans="1:4">
      <c r="A2686" s="122">
        <v>39076</v>
      </c>
      <c r="B2686" s="24">
        <v>0.78490000000000004</v>
      </c>
      <c r="C2686" s="24">
        <v>3575.6</v>
      </c>
      <c r="D2686" s="47">
        <f t="shared" si="41"/>
        <v>2806.4884400000001</v>
      </c>
    </row>
    <row r="2687" spans="1:4">
      <c r="A2687" s="122">
        <v>39073</v>
      </c>
      <c r="B2687" s="24">
        <v>0.7843</v>
      </c>
      <c r="C2687" s="24">
        <v>3552.7</v>
      </c>
      <c r="D2687" s="47">
        <f t="shared" si="41"/>
        <v>2786.3826099999997</v>
      </c>
    </row>
    <row r="2688" spans="1:4">
      <c r="A2688" s="122">
        <v>39072</v>
      </c>
      <c r="B2688" s="24">
        <v>0.78439999999999999</v>
      </c>
      <c r="C2688" s="24">
        <v>3554.1</v>
      </c>
      <c r="D2688" s="47">
        <f t="shared" si="41"/>
        <v>2787.8360399999997</v>
      </c>
    </row>
    <row r="2689" spans="1:4">
      <c r="A2689" s="122">
        <v>39071</v>
      </c>
      <c r="B2689" s="24">
        <v>0.7853</v>
      </c>
      <c r="C2689" s="24">
        <v>3558.9</v>
      </c>
      <c r="D2689" s="47">
        <f t="shared" si="41"/>
        <v>2794.8041699999999</v>
      </c>
    </row>
    <row r="2690" spans="1:4">
      <c r="A2690" s="122">
        <v>39070</v>
      </c>
      <c r="B2690" s="24">
        <v>0.78380000000000005</v>
      </c>
      <c r="C2690" s="24">
        <v>3526</v>
      </c>
      <c r="D2690" s="47">
        <f t="shared" si="41"/>
        <v>2763.6788000000001</v>
      </c>
    </row>
    <row r="2691" spans="1:4">
      <c r="A2691" s="122">
        <v>39069</v>
      </c>
      <c r="B2691" s="24">
        <v>0.78</v>
      </c>
      <c r="C2691" s="24">
        <v>3517.4</v>
      </c>
      <c r="D2691" s="47">
        <f t="shared" ref="D2691:D2754" si="42">C2691*B2691</f>
        <v>2743.5720000000001</v>
      </c>
    </row>
    <row r="2692" spans="1:4">
      <c r="A2692" s="122">
        <v>39066</v>
      </c>
      <c r="B2692" s="24">
        <v>0.78139999999999998</v>
      </c>
      <c r="C2692" s="24">
        <v>3526.3</v>
      </c>
      <c r="D2692" s="47">
        <f t="shared" si="42"/>
        <v>2755.45082</v>
      </c>
    </row>
    <row r="2693" spans="1:4">
      <c r="A2693" s="122">
        <v>39065</v>
      </c>
      <c r="B2693" s="24">
        <v>0.78290000000000004</v>
      </c>
      <c r="C2693" s="24">
        <v>3524</v>
      </c>
      <c r="D2693" s="47">
        <f t="shared" si="42"/>
        <v>2758.9396000000002</v>
      </c>
    </row>
    <row r="2694" spans="1:4">
      <c r="A2694" s="122">
        <v>39064</v>
      </c>
      <c r="B2694" s="24">
        <v>0.78539999999999999</v>
      </c>
      <c r="C2694" s="24">
        <v>3497.7</v>
      </c>
      <c r="D2694" s="47">
        <f t="shared" si="42"/>
        <v>2747.0935799999997</v>
      </c>
    </row>
    <row r="2695" spans="1:4">
      <c r="A2695" s="122">
        <v>39063</v>
      </c>
      <c r="B2695" s="24">
        <v>0.78639999999999999</v>
      </c>
      <c r="C2695" s="24">
        <v>3486.3</v>
      </c>
      <c r="D2695" s="47">
        <f t="shared" si="42"/>
        <v>2741.6263200000003</v>
      </c>
    </row>
    <row r="2696" spans="1:4">
      <c r="A2696" s="122">
        <v>39062</v>
      </c>
      <c r="B2696" s="24">
        <v>0.7843</v>
      </c>
      <c r="C2696" s="24">
        <v>3476.1</v>
      </c>
      <c r="D2696" s="47">
        <f t="shared" si="42"/>
        <v>2726.3052299999999</v>
      </c>
    </row>
    <row r="2697" spans="1:4">
      <c r="A2697" s="122">
        <v>39059</v>
      </c>
      <c r="B2697" s="24">
        <v>0.78539999999999999</v>
      </c>
      <c r="C2697" s="24">
        <v>3483.2</v>
      </c>
      <c r="D2697" s="47">
        <f t="shared" si="42"/>
        <v>2735.7052799999997</v>
      </c>
    </row>
    <row r="2698" spans="1:4">
      <c r="A2698" s="122">
        <v>39058</v>
      </c>
      <c r="B2698" s="24">
        <v>0.7893</v>
      </c>
      <c r="C2698" s="24">
        <v>3468.3</v>
      </c>
      <c r="D2698" s="47">
        <f t="shared" si="42"/>
        <v>2737.5291900000002</v>
      </c>
    </row>
    <row r="2699" spans="1:4">
      <c r="A2699" s="122">
        <v>39057</v>
      </c>
      <c r="B2699" s="24">
        <v>0.78510000000000002</v>
      </c>
      <c r="C2699" s="24">
        <v>3477.8</v>
      </c>
      <c r="D2699" s="47">
        <f t="shared" si="42"/>
        <v>2730.4207800000004</v>
      </c>
    </row>
    <row r="2700" spans="1:4">
      <c r="A2700" s="122">
        <v>39056</v>
      </c>
      <c r="B2700" s="24">
        <v>0.78610000000000002</v>
      </c>
      <c r="C2700" s="24">
        <v>3487.8</v>
      </c>
      <c r="D2700" s="47">
        <f t="shared" si="42"/>
        <v>2741.7595800000004</v>
      </c>
    </row>
    <row r="2701" spans="1:4">
      <c r="A2701" s="122">
        <v>39055</v>
      </c>
      <c r="B2701" s="24">
        <v>0.78979999999999995</v>
      </c>
      <c r="C2701" s="24">
        <v>3511.1</v>
      </c>
      <c r="D2701" s="47">
        <f t="shared" si="42"/>
        <v>2773.0667799999997</v>
      </c>
    </row>
    <row r="2702" spans="1:4">
      <c r="A2702" s="122">
        <v>39052</v>
      </c>
      <c r="B2702" s="24">
        <v>0.78900000000000003</v>
      </c>
      <c r="C2702" s="24">
        <v>3499.6</v>
      </c>
      <c r="D2702" s="47">
        <f t="shared" si="42"/>
        <v>2761.1844000000001</v>
      </c>
    </row>
    <row r="2703" spans="1:4">
      <c r="A2703" s="122">
        <v>39051</v>
      </c>
      <c r="B2703" s="24">
        <v>0.78879999999999995</v>
      </c>
      <c r="C2703" s="24">
        <v>3509.2</v>
      </c>
      <c r="D2703" s="47">
        <f t="shared" si="42"/>
        <v>2768.0569599999999</v>
      </c>
    </row>
    <row r="2704" spans="1:4">
      <c r="A2704" s="122">
        <v>39050</v>
      </c>
      <c r="B2704" s="24">
        <v>0.78349999999999997</v>
      </c>
      <c r="C2704" s="24">
        <v>3530.6</v>
      </c>
      <c r="D2704" s="47">
        <f t="shared" si="42"/>
        <v>2766.2250999999997</v>
      </c>
    </row>
    <row r="2705" spans="1:4">
      <c r="A2705" s="122">
        <v>39049</v>
      </c>
      <c r="B2705" s="24">
        <v>0.78359999999999996</v>
      </c>
      <c r="C2705" s="24">
        <v>3538.9</v>
      </c>
      <c r="D2705" s="47">
        <f t="shared" si="42"/>
        <v>2773.0820399999998</v>
      </c>
    </row>
    <row r="2706" spans="1:4">
      <c r="A2706" s="122">
        <v>39048</v>
      </c>
      <c r="B2706" s="24">
        <v>0.77910000000000001</v>
      </c>
      <c r="C2706" s="24">
        <v>3546</v>
      </c>
      <c r="D2706" s="47">
        <f t="shared" si="42"/>
        <v>2762.6886</v>
      </c>
    </row>
    <row r="2707" spans="1:4">
      <c r="A2707" s="122">
        <v>39045</v>
      </c>
      <c r="B2707" s="24">
        <v>0.77880000000000005</v>
      </c>
      <c r="C2707" s="24">
        <v>3554.4</v>
      </c>
      <c r="D2707" s="47">
        <f t="shared" si="42"/>
        <v>2768.1667200000002</v>
      </c>
    </row>
    <row r="2708" spans="1:4">
      <c r="A2708" s="122">
        <v>39044</v>
      </c>
      <c r="B2708" s="24">
        <v>0.77410000000000001</v>
      </c>
      <c r="C2708" s="24">
        <v>3544.9</v>
      </c>
      <c r="D2708" s="47">
        <f t="shared" si="42"/>
        <v>2744.10709</v>
      </c>
    </row>
    <row r="2709" spans="1:4">
      <c r="A2709" s="122">
        <v>39043</v>
      </c>
      <c r="B2709" s="24">
        <v>0.77590000000000003</v>
      </c>
      <c r="C2709" s="24">
        <v>3536.1</v>
      </c>
      <c r="D2709" s="47">
        <f t="shared" si="42"/>
        <v>2743.6599900000001</v>
      </c>
    </row>
    <row r="2710" spans="1:4">
      <c r="A2710" s="122">
        <v>39042</v>
      </c>
      <c r="B2710" s="24">
        <v>0.77110000000000001</v>
      </c>
      <c r="C2710" s="24">
        <v>3501.3</v>
      </c>
      <c r="D2710" s="47">
        <f t="shared" si="42"/>
        <v>2699.8524300000004</v>
      </c>
    </row>
    <row r="2711" spans="1:4">
      <c r="A2711" s="122">
        <v>39041</v>
      </c>
      <c r="B2711" s="24">
        <v>0.77039999999999997</v>
      </c>
      <c r="C2711" s="24">
        <v>3499.1</v>
      </c>
      <c r="D2711" s="47">
        <f t="shared" si="42"/>
        <v>2695.7066399999999</v>
      </c>
    </row>
    <row r="2712" spans="1:4">
      <c r="A2712" s="122">
        <v>39038</v>
      </c>
      <c r="B2712" s="24">
        <v>0.76880000000000004</v>
      </c>
      <c r="C2712" s="24">
        <v>3489.7</v>
      </c>
      <c r="D2712" s="47">
        <f t="shared" si="42"/>
        <v>2682.8813599999999</v>
      </c>
    </row>
    <row r="2713" spans="1:4">
      <c r="A2713" s="122">
        <v>39037</v>
      </c>
      <c r="B2713" s="24">
        <v>0.76639999999999997</v>
      </c>
      <c r="C2713" s="24">
        <v>3485.7</v>
      </c>
      <c r="D2713" s="47">
        <f t="shared" si="42"/>
        <v>2671.4404799999998</v>
      </c>
    </row>
    <row r="2714" spans="1:4">
      <c r="A2714" s="122">
        <v>39036</v>
      </c>
      <c r="B2714" s="24">
        <v>0.76439999999999997</v>
      </c>
      <c r="C2714" s="24">
        <v>3485.2</v>
      </c>
      <c r="D2714" s="47">
        <f t="shared" si="42"/>
        <v>2664.0868799999998</v>
      </c>
    </row>
    <row r="2715" spans="1:4">
      <c r="A2715" s="122">
        <v>39035</v>
      </c>
      <c r="B2715" s="24">
        <v>0.76559999999999995</v>
      </c>
      <c r="C2715" s="24">
        <v>3498.3</v>
      </c>
      <c r="D2715" s="47">
        <f t="shared" si="42"/>
        <v>2678.2984799999999</v>
      </c>
    </row>
    <row r="2716" spans="1:4">
      <c r="A2716" s="122">
        <v>39034</v>
      </c>
      <c r="B2716" s="24">
        <v>0.76200000000000001</v>
      </c>
      <c r="C2716" s="24">
        <v>3524</v>
      </c>
      <c r="D2716" s="47">
        <f t="shared" si="42"/>
        <v>2685.288</v>
      </c>
    </row>
    <row r="2717" spans="1:4">
      <c r="A2717" s="122">
        <v>39031</v>
      </c>
      <c r="B2717" s="24">
        <v>0.76749999999999996</v>
      </c>
      <c r="C2717" s="24">
        <v>3503.3</v>
      </c>
      <c r="D2717" s="47">
        <f t="shared" si="42"/>
        <v>2688.7827499999999</v>
      </c>
    </row>
    <row r="2718" spans="1:4">
      <c r="A2718" s="122">
        <v>39030</v>
      </c>
      <c r="B2718" s="24">
        <v>0.76790000000000003</v>
      </c>
      <c r="C2718" s="24">
        <v>3533.1</v>
      </c>
      <c r="D2718" s="47">
        <f t="shared" si="42"/>
        <v>2713.0674899999999</v>
      </c>
    </row>
    <row r="2719" spans="1:4">
      <c r="A2719" s="122">
        <v>39029</v>
      </c>
      <c r="B2719" s="24">
        <v>0.77100000000000002</v>
      </c>
      <c r="C2719" s="24">
        <v>3531</v>
      </c>
      <c r="D2719" s="47">
        <f t="shared" si="42"/>
        <v>2722.4009999999998</v>
      </c>
    </row>
    <row r="2720" spans="1:4">
      <c r="A2720" s="122">
        <v>39028</v>
      </c>
      <c r="B2720" s="24">
        <v>0.77339999999999998</v>
      </c>
      <c r="C2720" s="24">
        <v>3526.1</v>
      </c>
      <c r="D2720" s="47">
        <f t="shared" si="42"/>
        <v>2727.08574</v>
      </c>
    </row>
    <row r="2721" spans="1:4">
      <c r="A2721" s="122">
        <v>39027</v>
      </c>
      <c r="B2721" s="24">
        <v>0.77149999999999996</v>
      </c>
      <c r="C2721" s="24">
        <v>3522.8</v>
      </c>
      <c r="D2721" s="47">
        <f t="shared" si="42"/>
        <v>2717.8402000000001</v>
      </c>
    </row>
    <row r="2722" spans="1:4">
      <c r="A2722" s="122">
        <v>39024</v>
      </c>
      <c r="B2722" s="24">
        <v>0.76959999999999995</v>
      </c>
      <c r="C2722" s="24">
        <v>3558.6</v>
      </c>
      <c r="D2722" s="47">
        <f t="shared" si="42"/>
        <v>2738.6985599999998</v>
      </c>
    </row>
    <row r="2723" spans="1:4">
      <c r="A2723" s="122">
        <v>39023</v>
      </c>
      <c r="B2723" s="24">
        <v>0.77439999999999998</v>
      </c>
      <c r="C2723" s="24">
        <v>3558</v>
      </c>
      <c r="D2723" s="47">
        <f t="shared" si="42"/>
        <v>2755.3152</v>
      </c>
    </row>
    <row r="2724" spans="1:4">
      <c r="A2724" s="122">
        <v>39022</v>
      </c>
      <c r="B2724" s="24">
        <v>0.77529999999999999</v>
      </c>
      <c r="C2724" s="24">
        <v>3564</v>
      </c>
      <c r="D2724" s="47">
        <f t="shared" si="42"/>
        <v>2763.1691999999998</v>
      </c>
    </row>
    <row r="2725" spans="1:4">
      <c r="A2725" s="122">
        <v>39021</v>
      </c>
      <c r="B2725" s="24">
        <v>0.77449999999999997</v>
      </c>
      <c r="C2725" s="24">
        <v>3568.7</v>
      </c>
      <c r="D2725" s="47">
        <f t="shared" si="42"/>
        <v>2763.9581499999999</v>
      </c>
    </row>
    <row r="2726" spans="1:4">
      <c r="A2726" s="122">
        <v>39020</v>
      </c>
      <c r="B2726" s="24">
        <v>0.77</v>
      </c>
      <c r="C2726" s="24">
        <v>3565</v>
      </c>
      <c r="D2726" s="47">
        <f t="shared" si="42"/>
        <v>2745.05</v>
      </c>
    </row>
    <row r="2727" spans="1:4">
      <c r="A2727" s="122">
        <v>39017</v>
      </c>
      <c r="B2727" s="24">
        <v>0.76890000000000003</v>
      </c>
      <c r="C2727" s="24">
        <v>3555.8</v>
      </c>
      <c r="D2727" s="47">
        <f t="shared" si="42"/>
        <v>2734.0546200000003</v>
      </c>
    </row>
    <row r="2728" spans="1:4">
      <c r="A2728" s="122">
        <v>39016</v>
      </c>
      <c r="B2728" s="24">
        <v>0.76419999999999999</v>
      </c>
      <c r="C2728" s="24">
        <v>3537</v>
      </c>
      <c r="D2728" s="47">
        <f t="shared" si="42"/>
        <v>2702.9753999999998</v>
      </c>
    </row>
    <row r="2729" spans="1:4">
      <c r="A2729" s="122">
        <v>39015</v>
      </c>
      <c r="B2729" s="24">
        <v>0.76180000000000003</v>
      </c>
      <c r="C2729" s="24">
        <v>3534.4</v>
      </c>
      <c r="D2729" s="47">
        <f t="shared" si="42"/>
        <v>2692.5059200000001</v>
      </c>
    </row>
    <row r="2730" spans="1:4">
      <c r="A2730" s="122">
        <v>39014</v>
      </c>
      <c r="B2730" s="24">
        <v>0.75770000000000004</v>
      </c>
      <c r="C2730" s="24">
        <v>3536.9</v>
      </c>
      <c r="D2730" s="47">
        <f t="shared" si="42"/>
        <v>2679.90913</v>
      </c>
    </row>
    <row r="2731" spans="1:4">
      <c r="A2731" s="122">
        <v>39013</v>
      </c>
      <c r="B2731" s="24">
        <v>0.75700000000000001</v>
      </c>
      <c r="C2731" s="24">
        <v>3532.9</v>
      </c>
      <c r="D2731" s="47">
        <f t="shared" si="42"/>
        <v>2674.4052999999999</v>
      </c>
    </row>
    <row r="2732" spans="1:4">
      <c r="A2732" s="122">
        <v>39010</v>
      </c>
      <c r="B2732" s="24">
        <v>0.75860000000000005</v>
      </c>
      <c r="C2732" s="24">
        <v>3521.5</v>
      </c>
      <c r="D2732" s="47">
        <f t="shared" si="42"/>
        <v>2671.4099000000001</v>
      </c>
    </row>
    <row r="2733" spans="1:4">
      <c r="A2733" s="122">
        <v>39009</v>
      </c>
      <c r="B2733" s="24">
        <v>0.75949999999999995</v>
      </c>
      <c r="C2733" s="24">
        <v>3522.4</v>
      </c>
      <c r="D2733" s="47">
        <f t="shared" si="42"/>
        <v>2675.2628</v>
      </c>
    </row>
    <row r="2734" spans="1:4">
      <c r="A2734" s="122">
        <v>39008</v>
      </c>
      <c r="B2734" s="24">
        <v>0.75460000000000005</v>
      </c>
      <c r="C2734" s="24">
        <v>3529.2</v>
      </c>
      <c r="D2734" s="47">
        <f t="shared" si="42"/>
        <v>2663.1343200000001</v>
      </c>
    </row>
    <row r="2735" spans="1:4">
      <c r="A2735" s="122">
        <v>39007</v>
      </c>
      <c r="B2735" s="24">
        <v>0.75429999999999997</v>
      </c>
      <c r="C2735" s="24">
        <v>3533.5</v>
      </c>
      <c r="D2735" s="47">
        <f t="shared" si="42"/>
        <v>2665.3190500000001</v>
      </c>
    </row>
    <row r="2736" spans="1:4">
      <c r="A2736" s="122">
        <v>39006</v>
      </c>
      <c r="B2736" s="24">
        <v>0.75380000000000003</v>
      </c>
      <c r="C2736" s="24">
        <v>3552.7</v>
      </c>
      <c r="D2736" s="47">
        <f t="shared" si="42"/>
        <v>2678.0252599999999</v>
      </c>
    </row>
    <row r="2737" spans="1:4">
      <c r="A2737" s="122">
        <v>39003</v>
      </c>
      <c r="B2737" s="24">
        <v>0.75090000000000001</v>
      </c>
      <c r="C2737" s="24">
        <v>3540.7</v>
      </c>
      <c r="D2737" s="47">
        <f t="shared" si="42"/>
        <v>2658.7116299999998</v>
      </c>
    </row>
    <row r="2738" spans="1:4">
      <c r="A2738" s="122">
        <v>39002</v>
      </c>
      <c r="B2738" s="24">
        <v>0.751</v>
      </c>
      <c r="C2738" s="24">
        <v>3554.5</v>
      </c>
      <c r="D2738" s="47">
        <f t="shared" si="42"/>
        <v>2669.4295000000002</v>
      </c>
    </row>
    <row r="2739" spans="1:4">
      <c r="A2739" s="122">
        <v>39001</v>
      </c>
      <c r="B2739" s="24">
        <v>0.7429</v>
      </c>
      <c r="C2739" s="24">
        <v>3527.7</v>
      </c>
      <c r="D2739" s="47">
        <f t="shared" si="42"/>
        <v>2620.7283299999999</v>
      </c>
    </row>
    <row r="2740" spans="1:4">
      <c r="A2740" s="122">
        <v>39000</v>
      </c>
      <c r="B2740" s="24">
        <v>0.74429999999999996</v>
      </c>
      <c r="C2740" s="24">
        <v>3510.2</v>
      </c>
      <c r="D2740" s="47">
        <f t="shared" si="42"/>
        <v>2612.6418599999997</v>
      </c>
    </row>
    <row r="2741" spans="1:4">
      <c r="A2741" s="122">
        <v>38999</v>
      </c>
      <c r="B2741" s="24">
        <v>0.74439999999999995</v>
      </c>
      <c r="C2741" s="24">
        <v>3486.8</v>
      </c>
      <c r="D2741" s="47">
        <f t="shared" si="42"/>
        <v>2595.5739199999998</v>
      </c>
    </row>
    <row r="2742" spans="1:4">
      <c r="A2742" s="122">
        <v>38996</v>
      </c>
      <c r="B2742" s="24">
        <v>0.74260000000000004</v>
      </c>
      <c r="C2742" s="24">
        <v>3468.4</v>
      </c>
      <c r="D2742" s="47">
        <f t="shared" si="42"/>
        <v>2575.6338400000004</v>
      </c>
    </row>
    <row r="2743" spans="1:4">
      <c r="A2743" s="122">
        <v>38995</v>
      </c>
      <c r="B2743" s="24">
        <v>0.74580000000000002</v>
      </c>
      <c r="C2743" s="24">
        <v>3478.2</v>
      </c>
      <c r="D2743" s="47">
        <f t="shared" si="42"/>
        <v>2594.0415600000001</v>
      </c>
    </row>
    <row r="2744" spans="1:4">
      <c r="A2744" s="122">
        <v>38994</v>
      </c>
      <c r="B2744" s="24">
        <v>0.74590000000000001</v>
      </c>
      <c r="C2744" s="24">
        <v>3478.2</v>
      </c>
      <c r="D2744" s="47">
        <f t="shared" si="42"/>
        <v>2594.3893800000001</v>
      </c>
    </row>
    <row r="2745" spans="1:4">
      <c r="A2745" s="122">
        <v>38993</v>
      </c>
      <c r="B2745" s="24">
        <v>0.74270000000000003</v>
      </c>
      <c r="C2745" s="24">
        <v>3468</v>
      </c>
      <c r="D2745" s="47">
        <f t="shared" si="42"/>
        <v>2575.6836000000003</v>
      </c>
    </row>
    <row r="2746" spans="1:4">
      <c r="A2746" s="122">
        <v>38992</v>
      </c>
      <c r="B2746" s="24">
        <v>0.74819999999999998</v>
      </c>
      <c r="C2746" s="24">
        <v>3466.2</v>
      </c>
      <c r="D2746" s="47">
        <f t="shared" si="42"/>
        <v>2593.41084</v>
      </c>
    </row>
    <row r="2747" spans="1:4">
      <c r="A2747" s="122">
        <v>38989</v>
      </c>
      <c r="B2747" s="24">
        <v>0.74550000000000005</v>
      </c>
      <c r="C2747" s="24">
        <v>3483.6</v>
      </c>
      <c r="D2747" s="47">
        <f t="shared" si="42"/>
        <v>2597.0237999999999</v>
      </c>
    </row>
    <row r="2748" spans="1:4">
      <c r="A2748" s="122">
        <v>38988</v>
      </c>
      <c r="B2748" s="24">
        <v>0.74850000000000005</v>
      </c>
      <c r="C2748" s="24">
        <v>3484</v>
      </c>
      <c r="D2748" s="47">
        <f t="shared" si="42"/>
        <v>2607.7740000000003</v>
      </c>
    </row>
    <row r="2749" spans="1:4">
      <c r="A2749" s="122">
        <v>38987</v>
      </c>
      <c r="B2749" s="24">
        <v>0.75029999999999997</v>
      </c>
      <c r="C2749" s="24">
        <v>3467.7</v>
      </c>
      <c r="D2749" s="47">
        <f t="shared" si="42"/>
        <v>2601.81531</v>
      </c>
    </row>
    <row r="2750" spans="1:4">
      <c r="A2750" s="122">
        <v>38986</v>
      </c>
      <c r="B2750" s="24">
        <v>0.75109999999999999</v>
      </c>
      <c r="C2750" s="24">
        <v>3467.3</v>
      </c>
      <c r="D2750" s="47">
        <f t="shared" si="42"/>
        <v>2604.2890299999999</v>
      </c>
    </row>
    <row r="2751" spans="1:4">
      <c r="A2751" s="122">
        <v>38985</v>
      </c>
      <c r="B2751" s="24">
        <v>0.75349999999999995</v>
      </c>
      <c r="C2751" s="24">
        <v>3476.8</v>
      </c>
      <c r="D2751" s="47">
        <f t="shared" si="42"/>
        <v>2619.7687999999998</v>
      </c>
    </row>
    <row r="2752" spans="1:4">
      <c r="A2752" s="122">
        <v>38982</v>
      </c>
      <c r="B2752" s="24">
        <v>0.75060000000000004</v>
      </c>
      <c r="C2752" s="24">
        <v>3457</v>
      </c>
      <c r="D2752" s="47">
        <f t="shared" si="42"/>
        <v>2594.8242</v>
      </c>
    </row>
    <row r="2753" spans="1:4">
      <c r="A2753" s="122">
        <v>38981</v>
      </c>
      <c r="B2753" s="24">
        <v>0.75729999999999997</v>
      </c>
      <c r="C2753" s="24">
        <v>3460.2</v>
      </c>
      <c r="D2753" s="47">
        <f t="shared" si="42"/>
        <v>2620.4094599999999</v>
      </c>
    </row>
    <row r="2754" spans="1:4">
      <c r="A2754" s="122">
        <v>38980</v>
      </c>
      <c r="B2754" s="24">
        <v>0.75219999999999998</v>
      </c>
      <c r="C2754" s="24">
        <v>3450.4</v>
      </c>
      <c r="D2754" s="47">
        <f t="shared" si="42"/>
        <v>2595.3908799999999</v>
      </c>
    </row>
    <row r="2755" spans="1:4">
      <c r="A2755" s="122">
        <v>38979</v>
      </c>
      <c r="B2755" s="24">
        <v>0.75260000000000005</v>
      </c>
      <c r="C2755" s="24">
        <v>3444.5</v>
      </c>
      <c r="D2755" s="47">
        <f t="shared" ref="D2755:D2818" si="43">C2755*B2755</f>
        <v>2592.3307</v>
      </c>
    </row>
    <row r="2756" spans="1:4">
      <c r="A2756" s="122">
        <v>38978</v>
      </c>
      <c r="B2756" s="24">
        <v>0.75539999999999996</v>
      </c>
      <c r="C2756" s="24">
        <v>3425.2</v>
      </c>
      <c r="D2756" s="47">
        <f t="shared" si="43"/>
        <v>2587.3960799999995</v>
      </c>
    </row>
    <row r="2757" spans="1:4">
      <c r="A2757" s="122">
        <v>38975</v>
      </c>
      <c r="B2757" s="24">
        <v>0.75260000000000005</v>
      </c>
      <c r="C2757" s="24">
        <v>3395.5</v>
      </c>
      <c r="D2757" s="47">
        <f t="shared" si="43"/>
        <v>2555.4533000000001</v>
      </c>
    </row>
    <row r="2758" spans="1:4">
      <c r="A2758" s="122">
        <v>38974</v>
      </c>
      <c r="B2758" s="24">
        <v>0.75460000000000005</v>
      </c>
      <c r="C2758" s="24">
        <v>3401.5</v>
      </c>
      <c r="D2758" s="47">
        <f t="shared" si="43"/>
        <v>2566.7719000000002</v>
      </c>
    </row>
    <row r="2759" spans="1:4">
      <c r="A2759" s="122">
        <v>38973</v>
      </c>
      <c r="B2759" s="24">
        <v>0.753</v>
      </c>
      <c r="C2759" s="24">
        <v>3395.4</v>
      </c>
      <c r="D2759" s="47">
        <f t="shared" si="43"/>
        <v>2556.7362000000003</v>
      </c>
    </row>
    <row r="2760" spans="1:4">
      <c r="A2760" s="122">
        <v>38972</v>
      </c>
      <c r="B2760" s="24">
        <v>0.75060000000000004</v>
      </c>
      <c r="C2760" s="24">
        <v>3378.8</v>
      </c>
      <c r="D2760" s="47">
        <f t="shared" si="43"/>
        <v>2536.1272800000002</v>
      </c>
    </row>
    <row r="2761" spans="1:4">
      <c r="A2761" s="122">
        <v>38971</v>
      </c>
      <c r="B2761" s="24">
        <v>0.75119999999999998</v>
      </c>
      <c r="C2761" s="24">
        <v>3390.8</v>
      </c>
      <c r="D2761" s="47">
        <f t="shared" si="43"/>
        <v>2547.16896</v>
      </c>
    </row>
    <row r="2762" spans="1:4">
      <c r="A2762" s="122">
        <v>38968</v>
      </c>
      <c r="B2762" s="24">
        <v>0.75419999999999998</v>
      </c>
      <c r="C2762" s="24">
        <v>3371.9</v>
      </c>
      <c r="D2762" s="47">
        <f t="shared" si="43"/>
        <v>2543.08698</v>
      </c>
    </row>
    <row r="2763" spans="1:4">
      <c r="A2763" s="122">
        <v>38967</v>
      </c>
      <c r="B2763" s="24">
        <v>0.75860000000000005</v>
      </c>
      <c r="C2763" s="24">
        <v>3345.5</v>
      </c>
      <c r="D2763" s="47">
        <f t="shared" si="43"/>
        <v>2537.8963000000003</v>
      </c>
    </row>
    <row r="2764" spans="1:4">
      <c r="A2764" s="122">
        <v>38966</v>
      </c>
      <c r="B2764" s="24">
        <v>0.76629999999999998</v>
      </c>
      <c r="C2764" s="24">
        <v>3359.5</v>
      </c>
      <c r="D2764" s="47">
        <f t="shared" si="43"/>
        <v>2574.3848499999999</v>
      </c>
    </row>
    <row r="2765" spans="1:4">
      <c r="A2765" s="122">
        <v>38965</v>
      </c>
      <c r="B2765" s="24">
        <v>0.77129999999999999</v>
      </c>
      <c r="C2765" s="24">
        <v>3370.8</v>
      </c>
      <c r="D2765" s="47">
        <f t="shared" si="43"/>
        <v>2599.89804</v>
      </c>
    </row>
    <row r="2766" spans="1:4">
      <c r="A2766" s="122">
        <v>38964</v>
      </c>
      <c r="B2766" s="24">
        <v>0.77070000000000005</v>
      </c>
      <c r="C2766" s="24">
        <v>3378.8</v>
      </c>
      <c r="D2766" s="47">
        <f t="shared" si="43"/>
        <v>2604.0411600000002</v>
      </c>
    </row>
    <row r="2767" spans="1:4">
      <c r="A2767" s="122">
        <v>38961</v>
      </c>
      <c r="B2767" s="24">
        <v>0.76680000000000004</v>
      </c>
      <c r="C2767" s="24">
        <v>3356.6</v>
      </c>
      <c r="D2767" s="47">
        <f t="shared" si="43"/>
        <v>2573.8408800000002</v>
      </c>
    </row>
    <row r="2768" spans="1:4">
      <c r="A2768" s="122">
        <v>38960</v>
      </c>
      <c r="B2768" s="24">
        <v>0.76380000000000003</v>
      </c>
      <c r="C2768" s="24">
        <v>3353.3</v>
      </c>
      <c r="D2768" s="47">
        <f t="shared" si="43"/>
        <v>2561.2505400000005</v>
      </c>
    </row>
    <row r="2769" spans="1:4">
      <c r="A2769" s="122">
        <v>38959</v>
      </c>
      <c r="B2769" s="24">
        <v>0.7631</v>
      </c>
      <c r="C2769" s="24">
        <v>3393.2</v>
      </c>
      <c r="D2769" s="47">
        <f t="shared" si="43"/>
        <v>2589.3509199999999</v>
      </c>
    </row>
    <row r="2770" spans="1:4">
      <c r="A2770" s="122">
        <v>38958</v>
      </c>
      <c r="B2770" s="24">
        <v>0.76380000000000003</v>
      </c>
      <c r="C2770" s="24">
        <v>3399.4</v>
      </c>
      <c r="D2770" s="47">
        <f t="shared" si="43"/>
        <v>2596.4617200000002</v>
      </c>
    </row>
    <row r="2771" spans="1:4">
      <c r="A2771" s="122">
        <v>38957</v>
      </c>
      <c r="B2771" s="24">
        <v>0.7591</v>
      </c>
      <c r="C2771" s="24">
        <v>3407.6</v>
      </c>
      <c r="D2771" s="47">
        <f t="shared" si="43"/>
        <v>2586.7091599999999</v>
      </c>
    </row>
    <row r="2772" spans="1:4">
      <c r="A2772" s="122">
        <v>38954</v>
      </c>
      <c r="B2772" s="24">
        <v>0.75600000000000001</v>
      </c>
      <c r="C2772" s="24">
        <v>3391.2</v>
      </c>
      <c r="D2772" s="47">
        <f t="shared" si="43"/>
        <v>2563.7471999999998</v>
      </c>
    </row>
    <row r="2773" spans="1:4">
      <c r="A2773" s="122">
        <v>38953</v>
      </c>
      <c r="B2773" s="24">
        <v>0.76129999999999998</v>
      </c>
      <c r="C2773" s="24">
        <v>3382.3</v>
      </c>
      <c r="D2773" s="47">
        <f t="shared" si="43"/>
        <v>2574.94499</v>
      </c>
    </row>
    <row r="2774" spans="1:4">
      <c r="A2774" s="122">
        <v>38952</v>
      </c>
      <c r="B2774" s="24">
        <v>0.76280000000000003</v>
      </c>
      <c r="C2774" s="24">
        <v>3400.8</v>
      </c>
      <c r="D2774" s="47">
        <f t="shared" si="43"/>
        <v>2594.1302400000004</v>
      </c>
    </row>
    <row r="2775" spans="1:4">
      <c r="A2775" s="122">
        <v>38951</v>
      </c>
      <c r="B2775" s="24">
        <v>0.76200000000000001</v>
      </c>
      <c r="C2775" s="24">
        <v>3401.3</v>
      </c>
      <c r="D2775" s="47">
        <f t="shared" si="43"/>
        <v>2591.7906000000003</v>
      </c>
    </row>
    <row r="2776" spans="1:4">
      <c r="A2776" s="122">
        <v>38950</v>
      </c>
      <c r="B2776" s="24">
        <v>0.7631</v>
      </c>
      <c r="C2776" s="24">
        <v>3444.8</v>
      </c>
      <c r="D2776" s="47">
        <f t="shared" si="43"/>
        <v>2628.7268800000002</v>
      </c>
    </row>
    <row r="2777" spans="1:4">
      <c r="A2777" s="122">
        <v>38947</v>
      </c>
      <c r="B2777" s="24">
        <v>0.75870000000000004</v>
      </c>
      <c r="C2777" s="24">
        <v>3446.6</v>
      </c>
      <c r="D2777" s="47">
        <f t="shared" si="43"/>
        <v>2614.9354200000002</v>
      </c>
    </row>
    <row r="2778" spans="1:4">
      <c r="A2778" s="122">
        <v>38946</v>
      </c>
      <c r="B2778" s="24">
        <v>0.76100000000000001</v>
      </c>
      <c r="C2778" s="24">
        <v>3450.5</v>
      </c>
      <c r="D2778" s="47">
        <f t="shared" si="43"/>
        <v>2625.8305</v>
      </c>
    </row>
    <row r="2779" spans="1:4">
      <c r="A2779" s="122">
        <v>38945</v>
      </c>
      <c r="B2779" s="24">
        <v>0.76770000000000005</v>
      </c>
      <c r="C2779" s="24">
        <v>3457</v>
      </c>
      <c r="D2779" s="47">
        <f t="shared" si="43"/>
        <v>2653.9389000000001</v>
      </c>
    </row>
    <row r="2780" spans="1:4">
      <c r="A2780" s="122">
        <v>38944</v>
      </c>
      <c r="B2780" s="24">
        <v>0.7651</v>
      </c>
      <c r="C2780" s="24">
        <v>3435.9</v>
      </c>
      <c r="D2780" s="47">
        <f t="shared" si="43"/>
        <v>2628.8070900000002</v>
      </c>
    </row>
    <row r="2781" spans="1:4">
      <c r="A2781" s="122">
        <v>38943</v>
      </c>
      <c r="B2781" s="24">
        <v>0.7591</v>
      </c>
      <c r="C2781" s="24">
        <v>3438.8</v>
      </c>
      <c r="D2781" s="47">
        <f t="shared" si="43"/>
        <v>2610.3930800000003</v>
      </c>
    </row>
    <row r="2782" spans="1:4">
      <c r="A2782" s="122">
        <v>38940</v>
      </c>
      <c r="B2782" s="24">
        <v>0.76570000000000005</v>
      </c>
      <c r="C2782" s="24">
        <v>3452.2</v>
      </c>
      <c r="D2782" s="47">
        <f t="shared" si="43"/>
        <v>2643.3495400000002</v>
      </c>
    </row>
    <row r="2783" spans="1:4">
      <c r="A2783" s="122">
        <v>38939</v>
      </c>
      <c r="B2783" s="24">
        <v>0.76739999999999997</v>
      </c>
      <c r="C2783" s="24">
        <v>3433.1</v>
      </c>
      <c r="D2783" s="47">
        <f t="shared" si="43"/>
        <v>2634.5609399999998</v>
      </c>
    </row>
    <row r="2784" spans="1:4">
      <c r="A2784" s="122">
        <v>38938</v>
      </c>
      <c r="B2784" s="24">
        <v>0.76629999999999998</v>
      </c>
      <c r="C2784" s="24">
        <v>3417.3</v>
      </c>
      <c r="D2784" s="47">
        <f t="shared" si="43"/>
        <v>2618.6769899999999</v>
      </c>
    </row>
    <row r="2785" spans="1:4">
      <c r="A2785" s="122">
        <v>38937</v>
      </c>
      <c r="B2785" s="24">
        <v>0.76100000000000001</v>
      </c>
      <c r="C2785" s="24">
        <v>3419.3</v>
      </c>
      <c r="D2785" s="47">
        <f t="shared" si="43"/>
        <v>2602.0873000000001</v>
      </c>
    </row>
    <row r="2786" spans="1:4">
      <c r="A2786" s="122">
        <v>38936</v>
      </c>
      <c r="B2786" s="24">
        <v>0.76359999999999995</v>
      </c>
      <c r="C2786" s="24">
        <v>3434.4</v>
      </c>
      <c r="D2786" s="47">
        <f t="shared" si="43"/>
        <v>2622.5078399999998</v>
      </c>
    </row>
    <row r="2787" spans="1:4">
      <c r="A2787" s="122">
        <v>38933</v>
      </c>
      <c r="B2787" s="24">
        <v>0.76480000000000004</v>
      </c>
      <c r="C2787" s="24">
        <v>3437.9</v>
      </c>
      <c r="D2787" s="47">
        <f t="shared" si="43"/>
        <v>2629.3059200000002</v>
      </c>
    </row>
    <row r="2788" spans="1:4">
      <c r="A2788" s="122">
        <v>38932</v>
      </c>
      <c r="B2788" s="24">
        <v>0.76100000000000001</v>
      </c>
      <c r="C2788" s="24">
        <v>3450.6</v>
      </c>
      <c r="D2788" s="47">
        <f t="shared" si="43"/>
        <v>2625.9065999999998</v>
      </c>
    </row>
    <row r="2789" spans="1:4">
      <c r="A2789" s="122">
        <v>38931</v>
      </c>
      <c r="B2789" s="24">
        <v>0.76400000000000001</v>
      </c>
      <c r="C2789" s="24">
        <v>3450.6</v>
      </c>
      <c r="D2789" s="47">
        <f t="shared" si="43"/>
        <v>2636.2584000000002</v>
      </c>
    </row>
    <row r="2790" spans="1:4">
      <c r="A2790" s="122">
        <v>38930</v>
      </c>
      <c r="B2790" s="24">
        <v>0.76590000000000003</v>
      </c>
      <c r="C2790" s="24">
        <v>3458.5</v>
      </c>
      <c r="D2790" s="47">
        <f t="shared" si="43"/>
        <v>2648.8651500000001</v>
      </c>
    </row>
    <row r="2791" spans="1:4">
      <c r="A2791" s="122">
        <v>38929</v>
      </c>
      <c r="B2791" s="24">
        <v>0.7661</v>
      </c>
      <c r="C2791" s="24">
        <v>3455.9</v>
      </c>
      <c r="D2791" s="47">
        <f t="shared" si="43"/>
        <v>2647.5649900000003</v>
      </c>
    </row>
    <row r="2792" spans="1:4">
      <c r="A2792" s="122">
        <v>38926</v>
      </c>
      <c r="B2792" s="24">
        <v>0.76729999999999998</v>
      </c>
      <c r="C2792" s="24">
        <v>3452.2</v>
      </c>
      <c r="D2792" s="47">
        <f t="shared" si="43"/>
        <v>2648.8730599999999</v>
      </c>
    </row>
    <row r="2793" spans="1:4">
      <c r="A2793" s="122">
        <v>38925</v>
      </c>
      <c r="B2793" s="24">
        <v>0.76219999999999999</v>
      </c>
      <c r="C2793" s="24">
        <v>3438.6</v>
      </c>
      <c r="D2793" s="47">
        <f t="shared" si="43"/>
        <v>2620.90092</v>
      </c>
    </row>
    <row r="2794" spans="1:4">
      <c r="A2794" s="122">
        <v>38924</v>
      </c>
      <c r="B2794" s="24">
        <v>0.76149999999999995</v>
      </c>
      <c r="C2794" s="24">
        <v>3446.2</v>
      </c>
      <c r="D2794" s="47">
        <f t="shared" si="43"/>
        <v>2624.2812999999996</v>
      </c>
    </row>
    <row r="2795" spans="1:4">
      <c r="A2795" s="122">
        <v>38923</v>
      </c>
      <c r="B2795" s="24">
        <v>0.75270000000000004</v>
      </c>
      <c r="C2795" s="24">
        <v>3415.3</v>
      </c>
      <c r="D2795" s="47">
        <f t="shared" si="43"/>
        <v>2570.6963100000003</v>
      </c>
    </row>
    <row r="2796" spans="1:4">
      <c r="A2796" s="122">
        <v>38922</v>
      </c>
      <c r="B2796" s="24">
        <v>0.75449999999999995</v>
      </c>
      <c r="C2796" s="24">
        <v>3418</v>
      </c>
      <c r="D2796" s="47">
        <f t="shared" si="43"/>
        <v>2578.8809999999999</v>
      </c>
    </row>
    <row r="2797" spans="1:4">
      <c r="A2797" s="122">
        <v>38919</v>
      </c>
      <c r="B2797" s="24">
        <v>0.75260000000000005</v>
      </c>
      <c r="C2797" s="24">
        <v>3411</v>
      </c>
      <c r="D2797" s="47">
        <f t="shared" si="43"/>
        <v>2567.1186000000002</v>
      </c>
    </row>
    <row r="2798" spans="1:4">
      <c r="A2798" s="122">
        <v>38918</v>
      </c>
      <c r="B2798" s="24">
        <v>0.75170000000000003</v>
      </c>
      <c r="C2798" s="24">
        <v>3428.5</v>
      </c>
      <c r="D2798" s="47">
        <f t="shared" si="43"/>
        <v>2577.20345</v>
      </c>
    </row>
    <row r="2799" spans="1:4">
      <c r="A2799" s="122">
        <v>38917</v>
      </c>
      <c r="B2799" s="24">
        <v>0.74980000000000002</v>
      </c>
      <c r="C2799" s="24">
        <v>3399.8</v>
      </c>
      <c r="D2799" s="47">
        <f t="shared" si="43"/>
        <v>2549.1700400000004</v>
      </c>
    </row>
    <row r="2800" spans="1:4">
      <c r="A2800" s="122">
        <v>38916</v>
      </c>
      <c r="B2800" s="24">
        <v>0.74609999999999999</v>
      </c>
      <c r="C2800" s="24">
        <v>3386.8</v>
      </c>
      <c r="D2800" s="47">
        <f t="shared" si="43"/>
        <v>2526.8914800000002</v>
      </c>
    </row>
    <row r="2801" spans="1:4">
      <c r="A2801" s="122">
        <v>38915</v>
      </c>
      <c r="B2801" s="24">
        <v>0.74770000000000003</v>
      </c>
      <c r="C2801" s="24">
        <v>3390.1</v>
      </c>
      <c r="D2801" s="47">
        <f t="shared" si="43"/>
        <v>2534.7777700000001</v>
      </c>
    </row>
    <row r="2802" spans="1:4">
      <c r="A2802" s="122">
        <v>38912</v>
      </c>
      <c r="B2802" s="24">
        <v>0.75309999999999999</v>
      </c>
      <c r="C2802" s="24">
        <v>3402.2</v>
      </c>
      <c r="D2802" s="47">
        <f t="shared" si="43"/>
        <v>2562.1968199999997</v>
      </c>
    </row>
    <row r="2803" spans="1:4">
      <c r="A2803" s="122">
        <v>38911</v>
      </c>
      <c r="B2803" s="24">
        <v>0.75429999999999997</v>
      </c>
      <c r="C2803" s="24">
        <v>3435.3</v>
      </c>
      <c r="D2803" s="47">
        <f t="shared" si="43"/>
        <v>2591.2467900000001</v>
      </c>
    </row>
    <row r="2804" spans="1:4">
      <c r="A2804" s="122">
        <v>38910</v>
      </c>
      <c r="B2804" s="24">
        <v>0.75219999999999998</v>
      </c>
      <c r="C2804" s="24">
        <v>3429.4</v>
      </c>
      <c r="D2804" s="47">
        <f t="shared" si="43"/>
        <v>2579.5946800000002</v>
      </c>
    </row>
    <row r="2805" spans="1:4">
      <c r="A2805" s="122">
        <v>38909</v>
      </c>
      <c r="B2805" s="24">
        <v>0.75280000000000002</v>
      </c>
      <c r="C2805" s="24">
        <v>3438.4</v>
      </c>
      <c r="D2805" s="47">
        <f t="shared" si="43"/>
        <v>2588.4275200000002</v>
      </c>
    </row>
    <row r="2806" spans="1:4">
      <c r="A2806" s="122">
        <v>38908</v>
      </c>
      <c r="B2806" s="24">
        <v>0.74690000000000001</v>
      </c>
      <c r="C2806" s="24">
        <v>3414.6</v>
      </c>
      <c r="D2806" s="47">
        <f t="shared" si="43"/>
        <v>2550.36474</v>
      </c>
    </row>
    <row r="2807" spans="1:4">
      <c r="A2807" s="122">
        <v>38905</v>
      </c>
      <c r="B2807" s="24">
        <v>0.75249999999999995</v>
      </c>
      <c r="C2807" s="24">
        <v>3411.5</v>
      </c>
      <c r="D2807" s="47">
        <f t="shared" si="43"/>
        <v>2567.1537499999999</v>
      </c>
    </row>
    <row r="2808" spans="1:4">
      <c r="A2808" s="122">
        <v>38904</v>
      </c>
      <c r="B2808" s="24">
        <v>0.74590000000000001</v>
      </c>
      <c r="C2808" s="24">
        <v>3402.3</v>
      </c>
      <c r="D2808" s="47">
        <f t="shared" si="43"/>
        <v>2537.7755700000002</v>
      </c>
    </row>
    <row r="2809" spans="1:4">
      <c r="A2809" s="122">
        <v>38903</v>
      </c>
      <c r="B2809" s="24">
        <v>0.7419</v>
      </c>
      <c r="C2809" s="24">
        <v>3413.6</v>
      </c>
      <c r="D2809" s="47">
        <f t="shared" si="43"/>
        <v>2532.5498400000001</v>
      </c>
    </row>
    <row r="2810" spans="1:4">
      <c r="A2810" s="122">
        <v>38902</v>
      </c>
      <c r="B2810" s="24">
        <v>0.74480000000000002</v>
      </c>
      <c r="C2810" s="24">
        <v>3414</v>
      </c>
      <c r="D2810" s="47">
        <f t="shared" si="43"/>
        <v>2542.7472000000002</v>
      </c>
    </row>
    <row r="2811" spans="1:4">
      <c r="A2811" s="122">
        <v>38901</v>
      </c>
      <c r="B2811" s="24">
        <v>0.74270000000000003</v>
      </c>
      <c r="C2811" s="24">
        <v>3424.9</v>
      </c>
      <c r="D2811" s="47">
        <f t="shared" si="43"/>
        <v>2543.6732300000003</v>
      </c>
    </row>
    <row r="2812" spans="1:4">
      <c r="A2812" s="122">
        <v>38898</v>
      </c>
      <c r="B2812" s="24">
        <v>0.74280000000000002</v>
      </c>
      <c r="C2812" s="24">
        <v>3420</v>
      </c>
      <c r="D2812" s="47">
        <f t="shared" si="43"/>
        <v>2540.3760000000002</v>
      </c>
    </row>
    <row r="2813" spans="1:4">
      <c r="A2813" s="122">
        <v>38897</v>
      </c>
      <c r="B2813" s="24">
        <v>0.73860000000000003</v>
      </c>
      <c r="C2813" s="24">
        <v>3407.5</v>
      </c>
      <c r="D2813" s="47">
        <f t="shared" si="43"/>
        <v>2516.7795000000001</v>
      </c>
    </row>
    <row r="2814" spans="1:4">
      <c r="A2814" s="122">
        <v>38896</v>
      </c>
      <c r="B2814" s="24">
        <v>0.72850000000000004</v>
      </c>
      <c r="C2814" s="24">
        <v>3389</v>
      </c>
      <c r="D2814" s="47">
        <f t="shared" si="43"/>
        <v>2468.8865000000001</v>
      </c>
    </row>
    <row r="2815" spans="1:4">
      <c r="A2815" s="122">
        <v>38895</v>
      </c>
      <c r="B2815" s="24">
        <v>0.73360000000000003</v>
      </c>
      <c r="C2815" s="24">
        <v>3388.5</v>
      </c>
      <c r="D2815" s="47">
        <f t="shared" si="43"/>
        <v>2485.8036000000002</v>
      </c>
    </row>
    <row r="2816" spans="1:4">
      <c r="A2816" s="122">
        <v>38894</v>
      </c>
      <c r="B2816" s="24">
        <v>0.73219999999999996</v>
      </c>
      <c r="C2816" s="24">
        <v>3390.4</v>
      </c>
      <c r="D2816" s="47">
        <f t="shared" si="43"/>
        <v>2482.4508799999999</v>
      </c>
    </row>
    <row r="2817" spans="1:4">
      <c r="A2817" s="122">
        <v>38891</v>
      </c>
      <c r="B2817" s="24">
        <v>0.73199999999999998</v>
      </c>
      <c r="C2817" s="24">
        <v>3381.4</v>
      </c>
      <c r="D2817" s="47">
        <f t="shared" si="43"/>
        <v>2475.1848</v>
      </c>
    </row>
    <row r="2818" spans="1:4">
      <c r="A2818" s="122">
        <v>38890</v>
      </c>
      <c r="B2818" s="24">
        <v>0.73370000000000002</v>
      </c>
      <c r="C2818" s="24">
        <v>3360.6</v>
      </c>
      <c r="D2818" s="47">
        <f t="shared" si="43"/>
        <v>2465.6722199999999</v>
      </c>
    </row>
    <row r="2819" spans="1:4">
      <c r="A2819" s="122">
        <v>38889</v>
      </c>
      <c r="B2819" s="24">
        <v>0.73909999999999998</v>
      </c>
      <c r="C2819" s="24">
        <v>3346.8</v>
      </c>
      <c r="D2819" s="47">
        <f t="shared" ref="D2819:D2882" si="44">C2819*B2819</f>
        <v>2473.6198800000002</v>
      </c>
    </row>
    <row r="2820" spans="1:4">
      <c r="A2820" s="122">
        <v>38888</v>
      </c>
      <c r="B2820" s="24">
        <v>0.73819999999999997</v>
      </c>
      <c r="C2820" s="24">
        <v>3332.7</v>
      </c>
      <c r="D2820" s="47">
        <f t="shared" si="44"/>
        <v>2460.1991399999997</v>
      </c>
    </row>
    <row r="2821" spans="1:4">
      <c r="A2821" s="122">
        <v>38887</v>
      </c>
      <c r="B2821" s="24">
        <v>0.7369</v>
      </c>
      <c r="C2821" s="24">
        <v>3328.9</v>
      </c>
      <c r="D2821" s="47">
        <f t="shared" si="44"/>
        <v>2453.0664099999999</v>
      </c>
    </row>
    <row r="2822" spans="1:4">
      <c r="A2822" s="122">
        <v>38884</v>
      </c>
      <c r="B2822" s="24">
        <v>0.73860000000000003</v>
      </c>
      <c r="C2822" s="24">
        <v>3339.2</v>
      </c>
      <c r="D2822" s="47">
        <f t="shared" si="44"/>
        <v>2466.3331199999998</v>
      </c>
    </row>
    <row r="2823" spans="1:4">
      <c r="A2823" s="122">
        <v>38883</v>
      </c>
      <c r="B2823" s="24">
        <v>0.74080000000000001</v>
      </c>
      <c r="C2823" s="24">
        <v>3344.1</v>
      </c>
      <c r="D2823" s="47">
        <f t="shared" si="44"/>
        <v>2477.3092799999999</v>
      </c>
    </row>
    <row r="2824" spans="1:4">
      <c r="A2824" s="122">
        <v>38882</v>
      </c>
      <c r="B2824" s="24">
        <v>0.73619999999999997</v>
      </c>
      <c r="C2824" s="24">
        <v>3351.1</v>
      </c>
      <c r="D2824" s="47">
        <f t="shared" si="44"/>
        <v>2467.0798199999999</v>
      </c>
    </row>
    <row r="2825" spans="1:4">
      <c r="A2825" s="122">
        <v>38881</v>
      </c>
      <c r="B2825" s="24">
        <v>0.7369</v>
      </c>
      <c r="C2825" s="24">
        <v>3348.1</v>
      </c>
      <c r="D2825" s="47">
        <f t="shared" si="44"/>
        <v>2467.2148899999997</v>
      </c>
    </row>
    <row r="2826" spans="1:4">
      <c r="A2826" s="122">
        <v>38880</v>
      </c>
      <c r="B2826" s="24">
        <v>0.74680000000000002</v>
      </c>
      <c r="C2826" s="24">
        <v>3328.8</v>
      </c>
      <c r="D2826" s="47">
        <f t="shared" si="44"/>
        <v>2485.9478400000003</v>
      </c>
    </row>
    <row r="2827" spans="1:4">
      <c r="A2827" s="122">
        <v>38877</v>
      </c>
      <c r="B2827" s="24">
        <v>0.74809999999999999</v>
      </c>
      <c r="C2827" s="24">
        <v>3320.2</v>
      </c>
      <c r="D2827" s="47">
        <f t="shared" si="44"/>
        <v>2483.8416199999997</v>
      </c>
    </row>
    <row r="2828" spans="1:4">
      <c r="A2828" s="122">
        <v>38876</v>
      </c>
      <c r="B2828" s="24">
        <v>0.74099999999999999</v>
      </c>
      <c r="C2828" s="24">
        <v>3333.7</v>
      </c>
      <c r="D2828" s="47">
        <f t="shared" si="44"/>
        <v>2470.2716999999998</v>
      </c>
    </row>
    <row r="2829" spans="1:4">
      <c r="A2829" s="122">
        <v>38875</v>
      </c>
      <c r="B2829" s="24">
        <v>0.7409</v>
      </c>
      <c r="C2829" s="24">
        <v>3326</v>
      </c>
      <c r="D2829" s="47">
        <f t="shared" si="44"/>
        <v>2464.2334000000001</v>
      </c>
    </row>
    <row r="2830" spans="1:4">
      <c r="A2830" s="122">
        <v>38874</v>
      </c>
      <c r="B2830" s="24">
        <v>0.74009999999999998</v>
      </c>
      <c r="C2830" s="24">
        <v>3300.7</v>
      </c>
      <c r="D2830" s="47">
        <f t="shared" si="44"/>
        <v>2442.84807</v>
      </c>
    </row>
    <row r="2831" spans="1:4">
      <c r="A2831" s="122">
        <v>38873</v>
      </c>
      <c r="B2831" s="24">
        <v>0.74970000000000003</v>
      </c>
      <c r="C2831" s="24">
        <v>3286.3</v>
      </c>
      <c r="D2831" s="47">
        <f t="shared" si="44"/>
        <v>2463.7391100000004</v>
      </c>
    </row>
    <row r="2832" spans="1:4">
      <c r="A2832" s="122">
        <v>38870</v>
      </c>
      <c r="B2832" s="24">
        <v>0.75170000000000003</v>
      </c>
      <c r="C2832" s="24">
        <v>3287.1</v>
      </c>
      <c r="D2832" s="47">
        <f t="shared" si="44"/>
        <v>2470.9130700000001</v>
      </c>
    </row>
    <row r="2833" spans="1:4">
      <c r="A2833" s="122">
        <v>38869</v>
      </c>
      <c r="B2833" s="24">
        <v>0.74739999999999995</v>
      </c>
      <c r="C2833" s="24">
        <v>3272.2</v>
      </c>
      <c r="D2833" s="47">
        <f t="shared" si="44"/>
        <v>2445.6422799999996</v>
      </c>
    </row>
    <row r="2834" spans="1:4">
      <c r="A2834" s="122">
        <v>38868</v>
      </c>
      <c r="B2834" s="24">
        <v>0.75219999999999998</v>
      </c>
      <c r="C2834" s="24">
        <v>3262</v>
      </c>
      <c r="D2834" s="47">
        <f t="shared" si="44"/>
        <v>2453.6763999999998</v>
      </c>
    </row>
    <row r="2835" spans="1:4">
      <c r="A2835" s="122">
        <v>38867</v>
      </c>
      <c r="B2835" s="24">
        <v>0.76229999999999998</v>
      </c>
      <c r="C2835" s="24">
        <v>3265.6</v>
      </c>
      <c r="D2835" s="47">
        <f t="shared" si="44"/>
        <v>2489.36688</v>
      </c>
    </row>
    <row r="2836" spans="1:4">
      <c r="A2836" s="122">
        <v>38866</v>
      </c>
      <c r="B2836" s="24">
        <v>0.75839999999999996</v>
      </c>
      <c r="C2836" s="24">
        <v>3264.3</v>
      </c>
      <c r="D2836" s="47">
        <f t="shared" si="44"/>
        <v>2475.6451200000001</v>
      </c>
    </row>
    <row r="2837" spans="1:4">
      <c r="A2837" s="122">
        <v>38863</v>
      </c>
      <c r="B2837" s="24">
        <v>0.75739999999999996</v>
      </c>
      <c r="C2837" s="24">
        <v>3274.9</v>
      </c>
      <c r="D2837" s="47">
        <f t="shared" si="44"/>
        <v>2480.4092599999999</v>
      </c>
    </row>
    <row r="2838" spans="1:4">
      <c r="A2838" s="122">
        <v>38862</v>
      </c>
      <c r="B2838" s="24">
        <v>0.76060000000000005</v>
      </c>
      <c r="C2838" s="24">
        <v>3272</v>
      </c>
      <c r="D2838" s="47">
        <f t="shared" si="44"/>
        <v>2488.6832000000004</v>
      </c>
    </row>
    <row r="2839" spans="1:4">
      <c r="A2839" s="122">
        <v>38861</v>
      </c>
      <c r="B2839" s="24">
        <v>0.75290000000000001</v>
      </c>
      <c r="C2839" s="24">
        <v>3264.5</v>
      </c>
      <c r="D2839" s="47">
        <f t="shared" si="44"/>
        <v>2457.8420500000002</v>
      </c>
    </row>
    <row r="2840" spans="1:4">
      <c r="A2840" s="122">
        <v>38860</v>
      </c>
      <c r="B2840" s="24">
        <v>0.7581</v>
      </c>
      <c r="C2840" s="24">
        <v>3279.6</v>
      </c>
      <c r="D2840" s="47">
        <f t="shared" si="44"/>
        <v>2486.26476</v>
      </c>
    </row>
    <row r="2841" spans="1:4">
      <c r="A2841" s="122">
        <v>38859</v>
      </c>
      <c r="B2841" s="24">
        <v>0.753</v>
      </c>
      <c r="C2841" s="24">
        <v>3312.1</v>
      </c>
      <c r="D2841" s="47">
        <f t="shared" si="44"/>
        <v>2494.0113000000001</v>
      </c>
    </row>
    <row r="2842" spans="1:4">
      <c r="A2842" s="122">
        <v>38856</v>
      </c>
      <c r="B2842" s="24">
        <v>0.75729999999999997</v>
      </c>
      <c r="C2842" s="24">
        <v>3334.7</v>
      </c>
      <c r="D2842" s="47">
        <f t="shared" si="44"/>
        <v>2525.3683099999998</v>
      </c>
    </row>
    <row r="2843" spans="1:4">
      <c r="A2843" s="122">
        <v>38855</v>
      </c>
      <c r="B2843" s="24">
        <v>0.7641</v>
      </c>
      <c r="C2843" s="24">
        <v>3326.6</v>
      </c>
      <c r="D2843" s="47">
        <f t="shared" si="44"/>
        <v>2541.8550599999999</v>
      </c>
    </row>
    <row r="2844" spans="1:4">
      <c r="A2844" s="122">
        <v>38854</v>
      </c>
      <c r="B2844" s="24">
        <v>0.75849999999999995</v>
      </c>
      <c r="C2844" s="24">
        <v>3306.5</v>
      </c>
      <c r="D2844" s="47">
        <f t="shared" si="44"/>
        <v>2507.9802499999996</v>
      </c>
    </row>
    <row r="2845" spans="1:4">
      <c r="A2845" s="122">
        <v>38853</v>
      </c>
      <c r="B2845" s="24">
        <v>0.76829999999999998</v>
      </c>
      <c r="C2845" s="24">
        <v>3308.5</v>
      </c>
      <c r="D2845" s="47">
        <f t="shared" si="44"/>
        <v>2541.9205499999998</v>
      </c>
    </row>
    <row r="2846" spans="1:4">
      <c r="A2846" s="122">
        <v>38852</v>
      </c>
      <c r="B2846" s="24">
        <v>0.76049999999999995</v>
      </c>
      <c r="C2846" s="24">
        <v>3302.4</v>
      </c>
      <c r="D2846" s="47">
        <f t="shared" si="44"/>
        <v>2511.4751999999999</v>
      </c>
    </row>
    <row r="2847" spans="1:4">
      <c r="A2847" s="122">
        <v>38849</v>
      </c>
      <c r="B2847" s="24">
        <v>0.77370000000000005</v>
      </c>
      <c r="C2847" s="24">
        <v>3288.8</v>
      </c>
      <c r="D2847" s="47">
        <f t="shared" si="44"/>
        <v>2544.5445600000003</v>
      </c>
    </row>
    <row r="2848" spans="1:4">
      <c r="A2848" s="122">
        <v>38848</v>
      </c>
      <c r="B2848" s="24">
        <v>0.77710000000000001</v>
      </c>
      <c r="C2848" s="24">
        <v>3306.5</v>
      </c>
      <c r="D2848" s="47">
        <f t="shared" si="44"/>
        <v>2569.4811500000001</v>
      </c>
    </row>
    <row r="2849" spans="1:4">
      <c r="A2849" s="122">
        <v>38847</v>
      </c>
      <c r="B2849" s="24">
        <v>0.77590000000000003</v>
      </c>
      <c r="C2849" s="24">
        <v>3310.9</v>
      </c>
      <c r="D2849" s="47">
        <f t="shared" si="44"/>
        <v>2568.92731</v>
      </c>
    </row>
    <row r="2850" spans="1:4">
      <c r="A2850" s="122">
        <v>38846</v>
      </c>
      <c r="B2850" s="24">
        <v>0.77349999999999997</v>
      </c>
      <c r="C2850" s="24">
        <v>3295.3</v>
      </c>
      <c r="D2850" s="47">
        <f t="shared" si="44"/>
        <v>2548.91455</v>
      </c>
    </row>
    <row r="2851" spans="1:4">
      <c r="A2851" s="122">
        <v>38845</v>
      </c>
      <c r="B2851" s="24">
        <v>0.76890000000000003</v>
      </c>
      <c r="C2851" s="24">
        <v>3302.7</v>
      </c>
      <c r="D2851" s="47">
        <f t="shared" si="44"/>
        <v>2539.4460300000001</v>
      </c>
    </row>
    <row r="2852" spans="1:4">
      <c r="A2852" s="122">
        <v>38842</v>
      </c>
      <c r="B2852" s="24">
        <v>0.77180000000000004</v>
      </c>
      <c r="C2852" s="24">
        <v>3301.6</v>
      </c>
      <c r="D2852" s="47">
        <f t="shared" si="44"/>
        <v>2548.17488</v>
      </c>
    </row>
    <row r="2853" spans="1:4">
      <c r="A2853" s="122">
        <v>38841</v>
      </c>
      <c r="B2853" s="24">
        <v>0.77200000000000002</v>
      </c>
      <c r="C2853" s="24">
        <v>3297.9</v>
      </c>
      <c r="D2853" s="47">
        <f t="shared" si="44"/>
        <v>2545.9788000000003</v>
      </c>
    </row>
    <row r="2854" spans="1:4">
      <c r="A2854" s="122">
        <v>38840</v>
      </c>
      <c r="B2854" s="24">
        <v>0.77059999999999995</v>
      </c>
      <c r="C2854" s="24">
        <v>3303.6</v>
      </c>
      <c r="D2854" s="47">
        <f t="shared" si="44"/>
        <v>2545.75416</v>
      </c>
    </row>
    <row r="2855" spans="1:4">
      <c r="A2855" s="122">
        <v>38839</v>
      </c>
      <c r="B2855" s="24">
        <v>0.7621</v>
      </c>
      <c r="C2855" s="24">
        <v>3317.5</v>
      </c>
      <c r="D2855" s="47">
        <f t="shared" si="44"/>
        <v>2528.2667499999998</v>
      </c>
    </row>
    <row r="2856" spans="1:4">
      <c r="A2856" s="122">
        <v>38838</v>
      </c>
      <c r="B2856" s="24">
        <v>0.75919999999999999</v>
      </c>
      <c r="C2856" s="24">
        <v>3286</v>
      </c>
      <c r="D2856" s="47">
        <f t="shared" si="44"/>
        <v>2494.7312000000002</v>
      </c>
    </row>
    <row r="2857" spans="1:4">
      <c r="A2857" s="122">
        <v>38835</v>
      </c>
      <c r="B2857" s="24">
        <v>0.75949999999999995</v>
      </c>
      <c r="C2857" s="24">
        <v>3300.7</v>
      </c>
      <c r="D2857" s="47">
        <f t="shared" si="44"/>
        <v>2506.8816499999998</v>
      </c>
    </row>
    <row r="2858" spans="1:4">
      <c r="A2858" s="122">
        <v>38834</v>
      </c>
      <c r="B2858" s="24">
        <v>0.75670000000000004</v>
      </c>
      <c r="C2858" s="24">
        <v>3299.8</v>
      </c>
      <c r="D2858" s="47">
        <f t="shared" si="44"/>
        <v>2496.9586600000002</v>
      </c>
    </row>
    <row r="2859" spans="1:4">
      <c r="A2859" s="122">
        <v>38833</v>
      </c>
      <c r="B2859" s="24">
        <v>0.75239999999999996</v>
      </c>
      <c r="C2859" s="24">
        <v>3295.1</v>
      </c>
      <c r="D2859" s="47">
        <f t="shared" si="44"/>
        <v>2479.2332399999996</v>
      </c>
    </row>
    <row r="2860" spans="1:4">
      <c r="A2860" s="122">
        <v>38832</v>
      </c>
      <c r="B2860" s="24">
        <v>0.74480000000000002</v>
      </c>
      <c r="C2860" s="24">
        <v>3281.8</v>
      </c>
      <c r="D2860" s="47">
        <f t="shared" si="44"/>
        <v>2444.2846400000003</v>
      </c>
    </row>
    <row r="2861" spans="1:4">
      <c r="A2861" s="122">
        <v>38831</v>
      </c>
      <c r="B2861" s="24">
        <v>0.74450000000000005</v>
      </c>
      <c r="C2861" s="24">
        <v>3265.6</v>
      </c>
      <c r="D2861" s="47">
        <f t="shared" si="44"/>
        <v>2431.2392</v>
      </c>
    </row>
    <row r="2862" spans="1:4">
      <c r="A2862" s="122">
        <v>38828</v>
      </c>
      <c r="B2862" s="24">
        <v>0.74519999999999997</v>
      </c>
      <c r="C2862" s="24">
        <v>3254.8</v>
      </c>
      <c r="D2862" s="47">
        <f t="shared" si="44"/>
        <v>2425.47696</v>
      </c>
    </row>
    <row r="2863" spans="1:4">
      <c r="A2863" s="122">
        <v>38827</v>
      </c>
      <c r="B2863" s="24">
        <v>0.7369</v>
      </c>
      <c r="C2863" s="24">
        <v>3255.4</v>
      </c>
      <c r="D2863" s="47">
        <f t="shared" si="44"/>
        <v>2398.9042600000002</v>
      </c>
    </row>
    <row r="2864" spans="1:4">
      <c r="A2864" s="122">
        <v>38826</v>
      </c>
      <c r="B2864" s="24">
        <v>0.74760000000000004</v>
      </c>
      <c r="C2864" s="24">
        <v>3232.8</v>
      </c>
      <c r="D2864" s="47">
        <f t="shared" si="44"/>
        <v>2416.8412800000001</v>
      </c>
    </row>
    <row r="2865" spans="1:4">
      <c r="A2865" s="122">
        <v>38825</v>
      </c>
      <c r="B2865" s="24">
        <v>0.74139999999999995</v>
      </c>
      <c r="C2865" s="24">
        <v>3224.1</v>
      </c>
      <c r="D2865" s="47">
        <f t="shared" si="44"/>
        <v>2390.3477399999997</v>
      </c>
    </row>
    <row r="2866" spans="1:4">
      <c r="A2866" s="122">
        <v>38824</v>
      </c>
      <c r="B2866" s="24">
        <v>0.73729999999999996</v>
      </c>
      <c r="C2866" s="24">
        <v>3231.4</v>
      </c>
      <c r="D2866" s="47">
        <f t="shared" si="44"/>
        <v>2382.5112199999999</v>
      </c>
    </row>
    <row r="2867" spans="1:4">
      <c r="A2867" s="122">
        <v>38821</v>
      </c>
      <c r="B2867" s="24">
        <v>0.72799999999999998</v>
      </c>
      <c r="C2867" s="24">
        <v>3215.2</v>
      </c>
      <c r="D2867" s="47">
        <f t="shared" si="44"/>
        <v>2340.6655999999998</v>
      </c>
    </row>
    <row r="2868" spans="1:4">
      <c r="A2868" s="122">
        <v>38820</v>
      </c>
      <c r="B2868" s="24">
        <v>0.7278</v>
      </c>
      <c r="C2868" s="24">
        <v>3247.6</v>
      </c>
      <c r="D2868" s="47">
        <f t="shared" si="44"/>
        <v>2363.6032799999998</v>
      </c>
    </row>
    <row r="2869" spans="1:4">
      <c r="A2869" s="122">
        <v>38819</v>
      </c>
      <c r="B2869" s="24">
        <v>0.73280000000000001</v>
      </c>
      <c r="C2869" s="24">
        <v>3212.7</v>
      </c>
      <c r="D2869" s="47">
        <f t="shared" si="44"/>
        <v>2354.26656</v>
      </c>
    </row>
    <row r="2870" spans="1:4">
      <c r="A2870" s="122">
        <v>38818</v>
      </c>
      <c r="B2870" s="24">
        <v>0.73329999999999995</v>
      </c>
      <c r="C2870" s="24">
        <v>3189.4</v>
      </c>
      <c r="D2870" s="47">
        <f t="shared" si="44"/>
        <v>2338.7870199999998</v>
      </c>
    </row>
    <row r="2871" spans="1:4">
      <c r="A2871" s="122">
        <v>38817</v>
      </c>
      <c r="B2871" s="24">
        <v>0.7288</v>
      </c>
      <c r="C2871" s="24">
        <v>3211.2</v>
      </c>
      <c r="D2871" s="47">
        <f t="shared" si="44"/>
        <v>2340.3225600000001</v>
      </c>
    </row>
    <row r="2872" spans="1:4">
      <c r="A2872" s="122">
        <v>38814</v>
      </c>
      <c r="B2872" s="24">
        <v>0.72619999999999996</v>
      </c>
      <c r="C2872" s="24">
        <v>3218.8</v>
      </c>
      <c r="D2872" s="47">
        <f t="shared" si="44"/>
        <v>2337.4925600000001</v>
      </c>
    </row>
    <row r="2873" spans="1:4">
      <c r="A2873" s="122">
        <v>38813</v>
      </c>
      <c r="B2873" s="24">
        <v>0.73050000000000004</v>
      </c>
      <c r="C2873" s="24">
        <v>3225.1</v>
      </c>
      <c r="D2873" s="47">
        <f t="shared" si="44"/>
        <v>2355.9355500000001</v>
      </c>
    </row>
    <row r="2874" spans="1:4">
      <c r="A2874" s="122">
        <v>38812</v>
      </c>
      <c r="B2874" s="24">
        <v>0.72750000000000004</v>
      </c>
      <c r="C2874" s="24">
        <v>3229.8</v>
      </c>
      <c r="D2874" s="47">
        <f t="shared" si="44"/>
        <v>2349.6795000000002</v>
      </c>
    </row>
    <row r="2875" spans="1:4">
      <c r="A2875" s="122">
        <v>38811</v>
      </c>
      <c r="B2875" s="24">
        <v>0.72070000000000001</v>
      </c>
      <c r="C2875" s="24">
        <v>3229.8</v>
      </c>
      <c r="D2875" s="47">
        <f t="shared" si="44"/>
        <v>2327.71686</v>
      </c>
    </row>
    <row r="2876" spans="1:4">
      <c r="A2876" s="122">
        <v>38810</v>
      </c>
      <c r="B2876" s="24">
        <v>0.71479999999999999</v>
      </c>
      <c r="C2876" s="24">
        <v>3215.3</v>
      </c>
      <c r="D2876" s="47">
        <f t="shared" si="44"/>
        <v>2298.2964400000001</v>
      </c>
    </row>
    <row r="2877" spans="1:4">
      <c r="A2877" s="122">
        <v>38807</v>
      </c>
      <c r="B2877" s="24">
        <v>0.7157</v>
      </c>
      <c r="C2877" s="24">
        <v>3187.7</v>
      </c>
      <c r="D2877" s="47">
        <f t="shared" si="44"/>
        <v>2281.4368899999999</v>
      </c>
    </row>
    <row r="2878" spans="1:4">
      <c r="A2878" s="122">
        <v>38806</v>
      </c>
      <c r="B2878" s="24">
        <v>0.71419999999999995</v>
      </c>
      <c r="C2878" s="24">
        <v>3170.1</v>
      </c>
      <c r="D2878" s="47">
        <f t="shared" si="44"/>
        <v>2264.0854199999999</v>
      </c>
    </row>
    <row r="2879" spans="1:4">
      <c r="A2879" s="122">
        <v>38805</v>
      </c>
      <c r="B2879" s="24">
        <v>0.70750000000000002</v>
      </c>
      <c r="C2879" s="24">
        <v>3186.4</v>
      </c>
      <c r="D2879" s="47">
        <f t="shared" si="44"/>
        <v>2254.3780000000002</v>
      </c>
    </row>
    <row r="2880" spans="1:4">
      <c r="A2880" s="122">
        <v>38804</v>
      </c>
      <c r="B2880" s="24">
        <v>0.70479999999999998</v>
      </c>
      <c r="C2880" s="24">
        <v>3185.8</v>
      </c>
      <c r="D2880" s="47">
        <f t="shared" si="44"/>
        <v>2245.3518400000003</v>
      </c>
    </row>
    <row r="2881" spans="1:4">
      <c r="A2881" s="122">
        <v>38803</v>
      </c>
      <c r="B2881" s="24">
        <v>0.70530000000000004</v>
      </c>
      <c r="C2881" s="24">
        <v>3191.4</v>
      </c>
      <c r="D2881" s="47">
        <f t="shared" si="44"/>
        <v>2250.8944200000001</v>
      </c>
    </row>
    <row r="2882" spans="1:4">
      <c r="A2882" s="122">
        <v>38800</v>
      </c>
      <c r="B2882" s="24">
        <v>0.70899999999999996</v>
      </c>
      <c r="C2882" s="24">
        <v>3192</v>
      </c>
      <c r="D2882" s="47">
        <f t="shared" si="44"/>
        <v>2263.1279999999997</v>
      </c>
    </row>
    <row r="2883" spans="1:4">
      <c r="A2883" s="122">
        <v>38799</v>
      </c>
      <c r="B2883" s="24">
        <v>0.71440000000000003</v>
      </c>
      <c r="C2883" s="24">
        <v>3171.5</v>
      </c>
      <c r="D2883" s="47">
        <f t="shared" ref="D2883:D2946" si="45">C2883*B2883</f>
        <v>2265.7195999999999</v>
      </c>
    </row>
    <row r="2884" spans="1:4">
      <c r="A2884" s="122">
        <v>38798</v>
      </c>
      <c r="B2884" s="24">
        <v>0.71930000000000005</v>
      </c>
      <c r="C2884" s="24">
        <v>3169.1</v>
      </c>
      <c r="D2884" s="47">
        <f t="shared" si="45"/>
        <v>2279.5336299999999</v>
      </c>
    </row>
    <row r="2885" spans="1:4">
      <c r="A2885" s="122">
        <v>38797</v>
      </c>
      <c r="B2885" s="24">
        <v>0.71589999999999998</v>
      </c>
      <c r="C2885" s="24">
        <v>3184.1</v>
      </c>
      <c r="D2885" s="47">
        <f t="shared" si="45"/>
        <v>2279.49719</v>
      </c>
    </row>
    <row r="2886" spans="1:4">
      <c r="A2886" s="122">
        <v>38796</v>
      </c>
      <c r="B2886" s="24">
        <v>0.72</v>
      </c>
      <c r="C2886" s="24">
        <v>3181.4</v>
      </c>
      <c r="D2886" s="47">
        <f t="shared" si="45"/>
        <v>2290.6080000000002</v>
      </c>
    </row>
    <row r="2887" spans="1:4">
      <c r="A2887" s="122">
        <v>38793</v>
      </c>
      <c r="B2887" s="24">
        <v>0.72719999999999996</v>
      </c>
      <c r="C2887" s="24">
        <v>3175.4</v>
      </c>
      <c r="D2887" s="47">
        <f t="shared" si="45"/>
        <v>2309.1508800000001</v>
      </c>
    </row>
    <row r="2888" spans="1:4">
      <c r="A2888" s="122">
        <v>38792</v>
      </c>
      <c r="B2888" s="24">
        <v>0.73750000000000004</v>
      </c>
      <c r="C2888" s="24">
        <v>3174.4</v>
      </c>
      <c r="D2888" s="47">
        <f t="shared" si="45"/>
        <v>2341.1200000000003</v>
      </c>
    </row>
    <row r="2889" spans="1:4">
      <c r="A2889" s="122">
        <v>38791</v>
      </c>
      <c r="B2889" s="24">
        <v>0.73909999999999998</v>
      </c>
      <c r="C2889" s="24">
        <v>3201.8</v>
      </c>
      <c r="D2889" s="47">
        <f t="shared" si="45"/>
        <v>2366.4503800000002</v>
      </c>
    </row>
    <row r="2890" spans="1:4">
      <c r="A2890" s="122">
        <v>38790</v>
      </c>
      <c r="B2890" s="24">
        <v>0.73670000000000002</v>
      </c>
      <c r="C2890" s="24">
        <v>3217.7</v>
      </c>
      <c r="D2890" s="47">
        <f t="shared" si="45"/>
        <v>2370.4795899999999</v>
      </c>
    </row>
    <row r="2891" spans="1:4">
      <c r="A2891" s="122">
        <v>38789</v>
      </c>
      <c r="B2891" s="24">
        <v>0.73509999999999998</v>
      </c>
      <c r="C2891" s="24">
        <v>3203</v>
      </c>
      <c r="D2891" s="47">
        <f t="shared" si="45"/>
        <v>2354.5252999999998</v>
      </c>
    </row>
    <row r="2892" spans="1:4">
      <c r="A2892" s="122">
        <v>38786</v>
      </c>
      <c r="B2892" s="24">
        <v>0.73129999999999995</v>
      </c>
      <c r="C2892" s="24">
        <v>3200.6</v>
      </c>
      <c r="D2892" s="47">
        <f t="shared" si="45"/>
        <v>2340.5987799999998</v>
      </c>
    </row>
    <row r="2893" spans="1:4">
      <c r="A2893" s="122">
        <v>38785</v>
      </c>
      <c r="B2893" s="24">
        <v>0.73399999999999999</v>
      </c>
      <c r="C2893" s="24">
        <v>3230.1</v>
      </c>
      <c r="D2893" s="47">
        <f t="shared" si="45"/>
        <v>2370.8933999999999</v>
      </c>
    </row>
    <row r="2894" spans="1:4">
      <c r="A2894" s="122">
        <v>38784</v>
      </c>
      <c r="B2894" s="24">
        <v>0.73360000000000003</v>
      </c>
      <c r="C2894" s="24">
        <v>3248.5</v>
      </c>
      <c r="D2894" s="47">
        <f t="shared" si="45"/>
        <v>2383.0996</v>
      </c>
    </row>
    <row r="2895" spans="1:4">
      <c r="A2895" s="122">
        <v>38783</v>
      </c>
      <c r="B2895" s="24">
        <v>0.73319999999999996</v>
      </c>
      <c r="C2895" s="24">
        <v>3241.1</v>
      </c>
      <c r="D2895" s="47">
        <f t="shared" si="45"/>
        <v>2376.3745199999998</v>
      </c>
    </row>
    <row r="2896" spans="1:4">
      <c r="A2896" s="122">
        <v>38782</v>
      </c>
      <c r="B2896" s="24">
        <v>0.74019999999999997</v>
      </c>
      <c r="C2896" s="24">
        <v>3240.7</v>
      </c>
      <c r="D2896" s="47">
        <f t="shared" si="45"/>
        <v>2398.7661399999997</v>
      </c>
    </row>
    <row r="2897" spans="1:4">
      <c r="A2897" s="122">
        <v>38779</v>
      </c>
      <c r="B2897" s="24">
        <v>0.74429999999999996</v>
      </c>
      <c r="C2897" s="24">
        <v>3264.7</v>
      </c>
      <c r="D2897" s="47">
        <f t="shared" si="45"/>
        <v>2429.9162099999999</v>
      </c>
    </row>
    <row r="2898" spans="1:4">
      <c r="A2898" s="122">
        <v>38778</v>
      </c>
      <c r="B2898" s="24">
        <v>0.74819999999999998</v>
      </c>
      <c r="C2898" s="24">
        <v>3256.5</v>
      </c>
      <c r="D2898" s="47">
        <f t="shared" si="45"/>
        <v>2436.5133000000001</v>
      </c>
    </row>
    <row r="2899" spans="1:4">
      <c r="A2899" s="122">
        <v>38777</v>
      </c>
      <c r="B2899" s="24">
        <v>0.74429999999999996</v>
      </c>
      <c r="C2899" s="24">
        <v>3272</v>
      </c>
      <c r="D2899" s="47">
        <f t="shared" si="45"/>
        <v>2435.3496</v>
      </c>
    </row>
    <row r="2900" spans="1:4">
      <c r="A2900" s="122">
        <v>38776</v>
      </c>
      <c r="B2900" s="24">
        <v>0.74260000000000004</v>
      </c>
      <c r="C2900" s="24">
        <v>3273.8</v>
      </c>
      <c r="D2900" s="47">
        <f t="shared" si="45"/>
        <v>2431.1238800000001</v>
      </c>
    </row>
    <row r="2901" spans="1:4">
      <c r="A2901" s="122">
        <v>38775</v>
      </c>
      <c r="B2901" s="24">
        <v>0.73719999999999997</v>
      </c>
      <c r="C2901" s="24">
        <v>3263.4</v>
      </c>
      <c r="D2901" s="47">
        <f t="shared" si="45"/>
        <v>2405.7784799999999</v>
      </c>
    </row>
    <row r="2902" spans="1:4">
      <c r="A2902" s="122">
        <v>38772</v>
      </c>
      <c r="B2902" s="24">
        <v>0.73929999999999996</v>
      </c>
      <c r="C2902" s="24">
        <v>3243.5</v>
      </c>
      <c r="D2902" s="47">
        <f t="shared" si="45"/>
        <v>2397.9195500000001</v>
      </c>
    </row>
    <row r="2903" spans="1:4">
      <c r="A2903" s="122">
        <v>38771</v>
      </c>
      <c r="B2903" s="24">
        <v>0.73870000000000002</v>
      </c>
      <c r="C2903" s="24">
        <v>3244.4</v>
      </c>
      <c r="D2903" s="47">
        <f t="shared" si="45"/>
        <v>2396.6382800000001</v>
      </c>
    </row>
    <row r="2904" spans="1:4">
      <c r="A2904" s="122">
        <v>38770</v>
      </c>
      <c r="B2904" s="24">
        <v>0.73660000000000003</v>
      </c>
      <c r="C2904" s="24">
        <v>3256.3</v>
      </c>
      <c r="D2904" s="47">
        <f t="shared" si="45"/>
        <v>2398.59058</v>
      </c>
    </row>
    <row r="2905" spans="1:4">
      <c r="A2905" s="122">
        <v>38769</v>
      </c>
      <c r="B2905" s="24">
        <v>0.73939999999999995</v>
      </c>
      <c r="C2905" s="24">
        <v>3266.3</v>
      </c>
      <c r="D2905" s="47">
        <f t="shared" si="45"/>
        <v>2415.1022199999998</v>
      </c>
    </row>
    <row r="2906" spans="1:4">
      <c r="A2906" s="122">
        <v>38768</v>
      </c>
      <c r="B2906" s="24">
        <v>0.74170000000000003</v>
      </c>
      <c r="C2906" s="24">
        <v>3299.5</v>
      </c>
      <c r="D2906" s="47">
        <f t="shared" si="45"/>
        <v>2447.2391499999999</v>
      </c>
    </row>
    <row r="2907" spans="1:4">
      <c r="A2907" s="122">
        <v>38765</v>
      </c>
      <c r="B2907" s="24">
        <v>0.73929999999999996</v>
      </c>
      <c r="C2907" s="24">
        <v>3303.7</v>
      </c>
      <c r="D2907" s="47">
        <f t="shared" si="45"/>
        <v>2442.4254099999998</v>
      </c>
    </row>
    <row r="2908" spans="1:4">
      <c r="A2908" s="122">
        <v>38764</v>
      </c>
      <c r="B2908" s="24">
        <v>0.73880000000000001</v>
      </c>
      <c r="C2908" s="24">
        <v>3287.7</v>
      </c>
      <c r="D2908" s="47">
        <f t="shared" si="45"/>
        <v>2428.9527600000001</v>
      </c>
    </row>
    <row r="2909" spans="1:4">
      <c r="A2909" s="122">
        <v>38763</v>
      </c>
      <c r="B2909" s="24">
        <v>0.73760000000000003</v>
      </c>
      <c r="C2909" s="24">
        <v>3294.3</v>
      </c>
      <c r="D2909" s="47">
        <f t="shared" si="45"/>
        <v>2429.8756800000001</v>
      </c>
    </row>
    <row r="2910" spans="1:4">
      <c r="A2910" s="122">
        <v>38762</v>
      </c>
      <c r="B2910" s="24">
        <v>0.74170000000000003</v>
      </c>
      <c r="C2910" s="24">
        <v>3295.1</v>
      </c>
      <c r="D2910" s="47">
        <f t="shared" si="45"/>
        <v>2443.9756699999998</v>
      </c>
    </row>
    <row r="2911" spans="1:4">
      <c r="A2911" s="122">
        <v>38761</v>
      </c>
      <c r="B2911" s="24">
        <v>0.73839999999999995</v>
      </c>
      <c r="C2911" s="24">
        <v>3283.7</v>
      </c>
      <c r="D2911" s="47">
        <f t="shared" si="45"/>
        <v>2424.6840799999995</v>
      </c>
    </row>
    <row r="2912" spans="1:4">
      <c r="A2912" s="122">
        <v>38758</v>
      </c>
      <c r="B2912" s="24">
        <v>0.73750000000000004</v>
      </c>
      <c r="C2912" s="24">
        <v>3282.9</v>
      </c>
      <c r="D2912" s="47">
        <f t="shared" si="45"/>
        <v>2421.1387500000001</v>
      </c>
    </row>
    <row r="2913" spans="1:4">
      <c r="A2913" s="122">
        <v>38757</v>
      </c>
      <c r="B2913" s="24">
        <v>0.73980000000000001</v>
      </c>
      <c r="C2913" s="24">
        <v>3276.4</v>
      </c>
      <c r="D2913" s="47">
        <f t="shared" si="45"/>
        <v>2423.8807200000001</v>
      </c>
    </row>
    <row r="2914" spans="1:4">
      <c r="A2914" s="122">
        <v>38756</v>
      </c>
      <c r="B2914" s="24">
        <v>0.7389</v>
      </c>
      <c r="C2914" s="24">
        <v>3260.2</v>
      </c>
      <c r="D2914" s="47">
        <f t="shared" si="45"/>
        <v>2408.9617800000001</v>
      </c>
    </row>
    <row r="2915" spans="1:4">
      <c r="A2915" s="122">
        <v>38755</v>
      </c>
      <c r="B2915" s="24">
        <v>0.74019999999999997</v>
      </c>
      <c r="C2915" s="24">
        <v>3251.3</v>
      </c>
      <c r="D2915" s="47">
        <f t="shared" si="45"/>
        <v>2406.6122599999999</v>
      </c>
    </row>
    <row r="2916" spans="1:4">
      <c r="A2916" s="122">
        <v>38754</v>
      </c>
      <c r="B2916" s="24">
        <v>0.74170000000000003</v>
      </c>
      <c r="C2916" s="24">
        <v>3243.1</v>
      </c>
      <c r="D2916" s="47">
        <f t="shared" si="45"/>
        <v>2405.4072700000002</v>
      </c>
    </row>
    <row r="2917" spans="1:4">
      <c r="A2917" s="122">
        <v>38751</v>
      </c>
      <c r="B2917" s="24">
        <v>0.74850000000000005</v>
      </c>
      <c r="C2917" s="24">
        <v>3218.7</v>
      </c>
      <c r="D2917" s="47">
        <f t="shared" si="45"/>
        <v>2409.19695</v>
      </c>
    </row>
    <row r="2918" spans="1:4">
      <c r="A2918" s="122">
        <v>38750</v>
      </c>
      <c r="B2918" s="24">
        <v>0.75319999999999998</v>
      </c>
      <c r="C2918" s="24">
        <v>3217.2</v>
      </c>
      <c r="D2918" s="47">
        <f t="shared" si="45"/>
        <v>2423.1950399999996</v>
      </c>
    </row>
    <row r="2919" spans="1:4">
      <c r="A2919" s="122">
        <v>38749</v>
      </c>
      <c r="B2919" s="24">
        <v>0.75309999999999999</v>
      </c>
      <c r="C2919" s="24">
        <v>3203.3</v>
      </c>
      <c r="D2919" s="47">
        <f t="shared" si="45"/>
        <v>2412.4052300000003</v>
      </c>
    </row>
    <row r="2920" spans="1:4">
      <c r="A2920" s="122">
        <v>38748</v>
      </c>
      <c r="B2920" s="24">
        <v>0.75749999999999995</v>
      </c>
      <c r="C2920" s="24">
        <v>3199.4</v>
      </c>
      <c r="D2920" s="47">
        <f t="shared" si="45"/>
        <v>2423.5454999999997</v>
      </c>
    </row>
    <row r="2921" spans="1:4">
      <c r="A2921" s="122">
        <v>38747</v>
      </c>
      <c r="B2921" s="24">
        <v>0.74839999999999995</v>
      </c>
      <c r="C2921" s="24">
        <v>3159.2</v>
      </c>
      <c r="D2921" s="47">
        <f t="shared" si="45"/>
        <v>2364.3452799999995</v>
      </c>
    </row>
    <row r="2922" spans="1:4">
      <c r="A2922" s="122">
        <v>38744</v>
      </c>
      <c r="B2922" s="24">
        <v>0.75119999999999998</v>
      </c>
      <c r="C2922" s="24">
        <v>3169.5</v>
      </c>
      <c r="D2922" s="47">
        <f t="shared" si="45"/>
        <v>2380.9283999999998</v>
      </c>
    </row>
    <row r="2923" spans="1:4">
      <c r="A2923" s="122">
        <v>38743</v>
      </c>
      <c r="B2923" s="24">
        <v>0.75160000000000005</v>
      </c>
      <c r="C2923" s="24">
        <v>3164.3</v>
      </c>
      <c r="D2923" s="47">
        <f t="shared" si="45"/>
        <v>2378.2878800000003</v>
      </c>
    </row>
    <row r="2924" spans="1:4">
      <c r="A2924" s="122">
        <v>38742</v>
      </c>
      <c r="B2924" s="24">
        <v>0.75290000000000001</v>
      </c>
      <c r="C2924" s="24">
        <v>3171.5</v>
      </c>
      <c r="D2924" s="47">
        <f t="shared" si="45"/>
        <v>2387.8223499999999</v>
      </c>
    </row>
    <row r="2925" spans="1:4">
      <c r="A2925" s="122">
        <v>38741</v>
      </c>
      <c r="B2925" s="24">
        <v>0.75180000000000002</v>
      </c>
      <c r="C2925" s="24">
        <v>3172.8</v>
      </c>
      <c r="D2925" s="47">
        <f t="shared" si="45"/>
        <v>2385.31104</v>
      </c>
    </row>
    <row r="2926" spans="1:4">
      <c r="A2926" s="122">
        <v>38740</v>
      </c>
      <c r="B2926" s="24">
        <v>0.75319999999999998</v>
      </c>
      <c r="C2926" s="24">
        <v>3208.5</v>
      </c>
      <c r="D2926" s="47">
        <f t="shared" si="45"/>
        <v>2416.6421999999998</v>
      </c>
    </row>
    <row r="2927" spans="1:4">
      <c r="A2927" s="122">
        <v>38737</v>
      </c>
      <c r="B2927" s="24">
        <v>0.74829999999999997</v>
      </c>
      <c r="C2927" s="24">
        <v>3180.6</v>
      </c>
      <c r="D2927" s="47">
        <f t="shared" si="45"/>
        <v>2380.0429799999997</v>
      </c>
    </row>
    <row r="2928" spans="1:4">
      <c r="A2928" s="122">
        <v>38736</v>
      </c>
      <c r="B2928" s="24">
        <v>0.74770000000000003</v>
      </c>
      <c r="C2928" s="24">
        <v>3193</v>
      </c>
      <c r="D2928" s="47">
        <f t="shared" si="45"/>
        <v>2387.4061000000002</v>
      </c>
    </row>
    <row r="2929" spans="1:4">
      <c r="A2929" s="122">
        <v>38735</v>
      </c>
      <c r="B2929" s="24">
        <v>0.74809999999999999</v>
      </c>
      <c r="C2929" s="24">
        <v>3218.1</v>
      </c>
      <c r="D2929" s="47">
        <f t="shared" si="45"/>
        <v>2407.4606100000001</v>
      </c>
    </row>
    <row r="2930" spans="1:4">
      <c r="A2930" s="122">
        <v>38734</v>
      </c>
      <c r="B2930" s="24">
        <v>0.75260000000000005</v>
      </c>
      <c r="C2930" s="24">
        <v>3221.3</v>
      </c>
      <c r="D2930" s="47">
        <f t="shared" si="45"/>
        <v>2424.3503800000003</v>
      </c>
    </row>
    <row r="2931" spans="1:4">
      <c r="A2931" s="122">
        <v>38733</v>
      </c>
      <c r="B2931" s="24">
        <v>0.75470000000000004</v>
      </c>
      <c r="C2931" s="24">
        <v>3217</v>
      </c>
      <c r="D2931" s="47">
        <f t="shared" si="45"/>
        <v>2427.8699000000001</v>
      </c>
    </row>
    <row r="2932" spans="1:4">
      <c r="A2932" s="122">
        <v>38730</v>
      </c>
      <c r="B2932" s="24">
        <v>0.75449999999999995</v>
      </c>
      <c r="C2932" s="24">
        <v>3194.3</v>
      </c>
      <c r="D2932" s="47">
        <f t="shared" si="45"/>
        <v>2410.09935</v>
      </c>
    </row>
    <row r="2933" spans="1:4">
      <c r="A2933" s="122">
        <v>38729</v>
      </c>
      <c r="B2933" s="24">
        <v>0.75039999999999996</v>
      </c>
      <c r="C2933" s="24">
        <v>3189.8</v>
      </c>
      <c r="D2933" s="47">
        <f t="shared" si="45"/>
        <v>2393.62592</v>
      </c>
    </row>
    <row r="2934" spans="1:4">
      <c r="A2934" s="122">
        <v>38728</v>
      </c>
      <c r="B2934" s="24">
        <v>0.75490000000000002</v>
      </c>
      <c r="C2934" s="24">
        <v>3192.5</v>
      </c>
      <c r="D2934" s="47">
        <f t="shared" si="45"/>
        <v>2410.0182500000001</v>
      </c>
    </row>
    <row r="2935" spans="1:4">
      <c r="A2935" s="122">
        <v>38727</v>
      </c>
      <c r="B2935" s="24">
        <v>0.74950000000000006</v>
      </c>
      <c r="C2935" s="24">
        <v>3193.9</v>
      </c>
      <c r="D2935" s="47">
        <f t="shared" si="45"/>
        <v>2393.8280500000001</v>
      </c>
    </row>
    <row r="2936" spans="1:4">
      <c r="A2936" s="122">
        <v>38726</v>
      </c>
      <c r="B2936" s="24">
        <v>0.75390000000000001</v>
      </c>
      <c r="C2936" s="24">
        <v>3216</v>
      </c>
      <c r="D2936" s="47">
        <f t="shared" si="45"/>
        <v>2424.5424000000003</v>
      </c>
    </row>
    <row r="2937" spans="1:4">
      <c r="A2937" s="122">
        <v>38723</v>
      </c>
      <c r="B2937" s="24">
        <v>0.75480000000000003</v>
      </c>
      <c r="C2937" s="24">
        <v>3235.3</v>
      </c>
      <c r="D2937" s="47">
        <f t="shared" si="45"/>
        <v>2442.0044400000002</v>
      </c>
    </row>
    <row r="2938" spans="1:4">
      <c r="A2938" s="122">
        <v>38722</v>
      </c>
      <c r="B2938" s="24">
        <v>0.74780000000000002</v>
      </c>
      <c r="C2938" s="24">
        <v>3230.3</v>
      </c>
      <c r="D2938" s="47">
        <f t="shared" si="45"/>
        <v>2415.61834</v>
      </c>
    </row>
    <row r="2939" spans="1:4">
      <c r="A2939" s="122">
        <v>38721</v>
      </c>
      <c r="B2939" s="24">
        <v>0.748</v>
      </c>
      <c r="C2939" s="24">
        <v>3213.8</v>
      </c>
      <c r="D2939" s="47">
        <f t="shared" si="45"/>
        <v>2403.9223999999999</v>
      </c>
    </row>
    <row r="2940" spans="1:4">
      <c r="A2940" s="122">
        <v>38720</v>
      </c>
      <c r="B2940" s="24">
        <v>0.74139999999999995</v>
      </c>
      <c r="C2940" s="24">
        <v>3226.5</v>
      </c>
      <c r="D2940" s="47">
        <f t="shared" si="45"/>
        <v>2392.1270999999997</v>
      </c>
    </row>
    <row r="2941" spans="1:4">
      <c r="A2941" s="122">
        <v>38719</v>
      </c>
      <c r="B2941" s="24">
        <v>0.73299999999999998</v>
      </c>
      <c r="C2941" s="24">
        <v>3210.9</v>
      </c>
      <c r="D2941" s="47">
        <f t="shared" si="45"/>
        <v>2353.5897</v>
      </c>
    </row>
    <row r="2942" spans="1:4">
      <c r="A2942" s="122">
        <v>38716</v>
      </c>
      <c r="B2942" s="24">
        <v>0.73350000000000004</v>
      </c>
      <c r="C2942" s="24">
        <v>3218</v>
      </c>
      <c r="D2942" s="47">
        <f t="shared" si="45"/>
        <v>2360.4030000000002</v>
      </c>
    </row>
    <row r="2943" spans="1:4">
      <c r="A2943" s="122">
        <v>38715</v>
      </c>
      <c r="B2943" s="24">
        <v>0.73260000000000003</v>
      </c>
      <c r="C2943" s="24">
        <v>3205.1</v>
      </c>
      <c r="D2943" s="47">
        <f t="shared" si="45"/>
        <v>2348.0562599999998</v>
      </c>
    </row>
    <row r="2944" spans="1:4">
      <c r="A2944" s="122">
        <v>38714</v>
      </c>
      <c r="B2944" s="24">
        <v>0.7288</v>
      </c>
      <c r="C2944" s="24">
        <v>3199.7</v>
      </c>
      <c r="D2944" s="47">
        <f t="shared" si="45"/>
        <v>2331.9413599999998</v>
      </c>
    </row>
    <row r="2945" spans="1:4">
      <c r="A2945" s="122">
        <v>38713</v>
      </c>
      <c r="B2945" s="24">
        <v>0.72399999999999998</v>
      </c>
      <c r="C2945" s="24">
        <v>3197</v>
      </c>
      <c r="D2945" s="47">
        <f t="shared" si="45"/>
        <v>2314.6279999999997</v>
      </c>
    </row>
    <row r="2946" spans="1:4">
      <c r="A2946" s="122">
        <v>38712</v>
      </c>
      <c r="B2946" s="24">
        <v>0.73080000000000001</v>
      </c>
      <c r="C2946" s="24">
        <v>3179.9</v>
      </c>
      <c r="D2946" s="47">
        <f t="shared" si="45"/>
        <v>2323.8709200000003</v>
      </c>
    </row>
    <row r="2947" spans="1:4">
      <c r="A2947" s="122">
        <v>38709</v>
      </c>
      <c r="B2947" s="24">
        <v>0.72809999999999997</v>
      </c>
      <c r="C2947" s="24">
        <v>3167.2</v>
      </c>
      <c r="D2947" s="47">
        <f t="shared" ref="D2947:D3010" si="46">C2947*B2947</f>
        <v>2306.0383199999997</v>
      </c>
    </row>
    <row r="2948" spans="1:4">
      <c r="A2948" s="122">
        <v>38708</v>
      </c>
      <c r="B2948" s="24">
        <v>0.73109999999999997</v>
      </c>
      <c r="C2948" s="24">
        <v>3176.4</v>
      </c>
      <c r="D2948" s="47">
        <f t="shared" si="46"/>
        <v>2322.26604</v>
      </c>
    </row>
    <row r="2949" spans="1:4">
      <c r="A2949" s="122">
        <v>38707</v>
      </c>
      <c r="B2949" s="24">
        <v>0.73350000000000004</v>
      </c>
      <c r="C2949" s="24">
        <v>3184.4</v>
      </c>
      <c r="D2949" s="47">
        <f t="shared" si="46"/>
        <v>2335.7574000000004</v>
      </c>
    </row>
    <row r="2950" spans="1:4">
      <c r="A2950" s="122">
        <v>38706</v>
      </c>
      <c r="B2950" s="24">
        <v>0.7339</v>
      </c>
      <c r="C2950" s="24">
        <v>3174.9</v>
      </c>
      <c r="D2950" s="47">
        <f t="shared" si="46"/>
        <v>2330.0591100000001</v>
      </c>
    </row>
    <row r="2951" spans="1:4">
      <c r="A2951" s="122">
        <v>38705</v>
      </c>
      <c r="B2951" s="24">
        <v>0.74039999999999995</v>
      </c>
      <c r="C2951" s="24">
        <v>3171.5</v>
      </c>
      <c r="D2951" s="47">
        <f t="shared" si="46"/>
        <v>2348.1785999999997</v>
      </c>
    </row>
    <row r="2952" spans="1:4">
      <c r="A2952" s="122">
        <v>38702</v>
      </c>
      <c r="B2952" s="24">
        <v>0.74380000000000002</v>
      </c>
      <c r="C2952" s="24">
        <v>3169.3</v>
      </c>
      <c r="D2952" s="47">
        <f t="shared" si="46"/>
        <v>2357.3253400000003</v>
      </c>
    </row>
    <row r="2953" spans="1:4">
      <c r="A2953" s="122">
        <v>38701</v>
      </c>
      <c r="B2953" s="24">
        <v>0.74709999999999999</v>
      </c>
      <c r="C2953" s="24">
        <v>3164.5</v>
      </c>
      <c r="D2953" s="47">
        <f t="shared" si="46"/>
        <v>2364.1979499999998</v>
      </c>
    </row>
    <row r="2954" spans="1:4">
      <c r="A2954" s="122">
        <v>38700</v>
      </c>
      <c r="B2954" s="24">
        <v>0.75509999999999999</v>
      </c>
      <c r="C2954" s="24">
        <v>3148</v>
      </c>
      <c r="D2954" s="47">
        <f t="shared" si="46"/>
        <v>2377.0547999999999</v>
      </c>
    </row>
    <row r="2955" spans="1:4">
      <c r="A2955" s="122">
        <v>38699</v>
      </c>
      <c r="B2955" s="24">
        <v>0.75339999999999996</v>
      </c>
      <c r="C2955" s="24">
        <v>3150.4</v>
      </c>
      <c r="D2955" s="47">
        <f t="shared" si="46"/>
        <v>2373.51136</v>
      </c>
    </row>
    <row r="2956" spans="1:4">
      <c r="A2956" s="122">
        <v>38698</v>
      </c>
      <c r="B2956" s="24">
        <v>0.75480000000000003</v>
      </c>
      <c r="C2956" s="24">
        <v>3158.1</v>
      </c>
      <c r="D2956" s="47">
        <f t="shared" si="46"/>
        <v>2383.7338800000002</v>
      </c>
    </row>
    <row r="2957" spans="1:4">
      <c r="A2957" s="122">
        <v>38695</v>
      </c>
      <c r="B2957" s="24">
        <v>0.75109999999999999</v>
      </c>
      <c r="C2957" s="24">
        <v>3142.7</v>
      </c>
      <c r="D2957" s="47">
        <f t="shared" si="46"/>
        <v>2360.4819699999998</v>
      </c>
    </row>
    <row r="2958" spans="1:4">
      <c r="A2958" s="122">
        <v>38694</v>
      </c>
      <c r="B2958" s="24">
        <v>0.74970000000000003</v>
      </c>
      <c r="C2958" s="24">
        <v>3145.8</v>
      </c>
      <c r="D2958" s="47">
        <f t="shared" si="46"/>
        <v>2358.4062600000002</v>
      </c>
    </row>
    <row r="2959" spans="1:4">
      <c r="A2959" s="122">
        <v>38693</v>
      </c>
      <c r="B2959" s="24">
        <v>0.74809999999999999</v>
      </c>
      <c r="C2959" s="24">
        <v>3149.4</v>
      </c>
      <c r="D2959" s="47">
        <f t="shared" si="46"/>
        <v>2356.0661399999999</v>
      </c>
    </row>
    <row r="2960" spans="1:4">
      <c r="A2960" s="122">
        <v>38692</v>
      </c>
      <c r="B2960" s="24">
        <v>0.75360000000000005</v>
      </c>
      <c r="C2960" s="24">
        <v>3138.6</v>
      </c>
      <c r="D2960" s="47">
        <f t="shared" si="46"/>
        <v>2365.2489599999999</v>
      </c>
    </row>
    <row r="2961" spans="1:4">
      <c r="A2961" s="122">
        <v>38691</v>
      </c>
      <c r="B2961" s="24">
        <v>0.75109999999999999</v>
      </c>
      <c r="C2961" s="24">
        <v>3133.5</v>
      </c>
      <c r="D2961" s="47">
        <f t="shared" si="46"/>
        <v>2353.5718499999998</v>
      </c>
    </row>
    <row r="2962" spans="1:4">
      <c r="A2962" s="122">
        <v>38688</v>
      </c>
      <c r="B2962" s="24">
        <v>0.74880000000000002</v>
      </c>
      <c r="C2962" s="24">
        <v>3137.4</v>
      </c>
      <c r="D2962" s="47">
        <f t="shared" si="46"/>
        <v>2349.28512</v>
      </c>
    </row>
    <row r="2963" spans="1:4">
      <c r="A2963" s="122">
        <v>38687</v>
      </c>
      <c r="B2963" s="24">
        <v>0.74239999999999995</v>
      </c>
      <c r="C2963" s="24">
        <v>3128.9</v>
      </c>
      <c r="D2963" s="47">
        <f t="shared" si="46"/>
        <v>2322.89536</v>
      </c>
    </row>
    <row r="2964" spans="1:4">
      <c r="A2964" s="122">
        <v>38686</v>
      </c>
      <c r="B2964" s="24">
        <v>0.73929999999999996</v>
      </c>
      <c r="C2964" s="24">
        <v>3140.3</v>
      </c>
      <c r="D2964" s="47">
        <f t="shared" si="46"/>
        <v>2321.6237900000001</v>
      </c>
    </row>
    <row r="2965" spans="1:4">
      <c r="A2965" s="122">
        <v>38685</v>
      </c>
      <c r="B2965" s="24">
        <v>0.73819999999999997</v>
      </c>
      <c r="C2965" s="24">
        <v>3122.3</v>
      </c>
      <c r="D2965" s="47">
        <f t="shared" si="46"/>
        <v>2304.88186</v>
      </c>
    </row>
    <row r="2966" spans="1:4">
      <c r="A2966" s="122">
        <v>38684</v>
      </c>
      <c r="B2966" s="24">
        <v>0.74309999999999998</v>
      </c>
      <c r="C2966" s="24">
        <v>3091.2</v>
      </c>
      <c r="D2966" s="47">
        <f t="shared" si="46"/>
        <v>2297.0707199999997</v>
      </c>
    </row>
    <row r="2967" spans="1:4">
      <c r="A2967" s="122">
        <v>38681</v>
      </c>
      <c r="B2967" s="24">
        <v>0.73560000000000003</v>
      </c>
      <c r="C2967" s="24">
        <v>3107.8</v>
      </c>
      <c r="D2967" s="47">
        <f t="shared" si="46"/>
        <v>2286.0976800000003</v>
      </c>
    </row>
    <row r="2968" spans="1:4">
      <c r="A2968" s="122">
        <v>38680</v>
      </c>
      <c r="B2968" s="24">
        <v>0.73919999999999997</v>
      </c>
      <c r="C2968" s="24">
        <v>3119.4</v>
      </c>
      <c r="D2968" s="47">
        <f t="shared" si="46"/>
        <v>2305.8604799999998</v>
      </c>
    </row>
    <row r="2969" spans="1:4">
      <c r="A2969" s="122">
        <v>38679</v>
      </c>
      <c r="B2969" s="24">
        <v>0.73770000000000002</v>
      </c>
      <c r="C2969" s="24">
        <v>3098.6</v>
      </c>
      <c r="D2969" s="47">
        <f t="shared" si="46"/>
        <v>2285.8372199999999</v>
      </c>
    </row>
    <row r="2970" spans="1:4">
      <c r="A2970" s="122">
        <v>38678</v>
      </c>
      <c r="B2970" s="24">
        <v>0.73760000000000003</v>
      </c>
      <c r="C2970" s="24">
        <v>3090.7</v>
      </c>
      <c r="D2970" s="47">
        <f t="shared" si="46"/>
        <v>2279.7003199999999</v>
      </c>
    </row>
    <row r="2971" spans="1:4">
      <c r="A2971" s="122">
        <v>38677</v>
      </c>
      <c r="B2971" s="24">
        <v>0.73609999999999998</v>
      </c>
      <c r="C2971" s="24">
        <v>3085.5</v>
      </c>
      <c r="D2971" s="47">
        <f t="shared" si="46"/>
        <v>2271.2365500000001</v>
      </c>
    </row>
    <row r="2972" spans="1:4">
      <c r="A2972" s="122">
        <v>38674</v>
      </c>
      <c r="B2972" s="24">
        <v>0.73329999999999995</v>
      </c>
      <c r="C2972" s="24">
        <v>3066.5</v>
      </c>
      <c r="D2972" s="47">
        <f t="shared" si="46"/>
        <v>2248.6644499999998</v>
      </c>
    </row>
    <row r="2973" spans="1:4">
      <c r="A2973" s="122">
        <v>38673</v>
      </c>
      <c r="B2973" s="24">
        <v>0.73419999999999996</v>
      </c>
      <c r="C2973" s="24">
        <v>3089</v>
      </c>
      <c r="D2973" s="47">
        <f t="shared" si="46"/>
        <v>2267.9438</v>
      </c>
    </row>
    <row r="2974" spans="1:4">
      <c r="A2974" s="122">
        <v>38672</v>
      </c>
      <c r="B2974" s="24">
        <v>0.73199999999999998</v>
      </c>
      <c r="C2974" s="24">
        <v>3083.6</v>
      </c>
      <c r="D2974" s="47">
        <f t="shared" si="46"/>
        <v>2257.1951999999997</v>
      </c>
    </row>
    <row r="2975" spans="1:4">
      <c r="A2975" s="122">
        <v>38671</v>
      </c>
      <c r="B2975" s="24">
        <v>0.73309999999999997</v>
      </c>
      <c r="C2975" s="24">
        <v>3088</v>
      </c>
      <c r="D2975" s="47">
        <f t="shared" si="46"/>
        <v>2263.8127999999997</v>
      </c>
    </row>
    <row r="2976" spans="1:4">
      <c r="A2976" s="122">
        <v>38670</v>
      </c>
      <c r="B2976" s="24">
        <v>0.72789999999999999</v>
      </c>
      <c r="C2976" s="24">
        <v>3095.3</v>
      </c>
      <c r="D2976" s="47">
        <f t="shared" si="46"/>
        <v>2253.0688700000001</v>
      </c>
    </row>
    <row r="2977" spans="1:4">
      <c r="A2977" s="122">
        <v>38667</v>
      </c>
      <c r="B2977" s="24">
        <v>0.73250000000000004</v>
      </c>
      <c r="C2977" s="24">
        <v>3081.9</v>
      </c>
      <c r="D2977" s="47">
        <f t="shared" si="46"/>
        <v>2257.4917500000001</v>
      </c>
    </row>
    <row r="2978" spans="1:4">
      <c r="A2978" s="122">
        <v>38666</v>
      </c>
      <c r="B2978" s="24">
        <v>0.72989999999999999</v>
      </c>
      <c r="C2978" s="24">
        <v>3074</v>
      </c>
      <c r="D2978" s="47">
        <f t="shared" si="46"/>
        <v>2243.7125999999998</v>
      </c>
    </row>
    <row r="2979" spans="1:4">
      <c r="A2979" s="122">
        <v>38665</v>
      </c>
      <c r="B2979" s="24">
        <v>0.73619999999999997</v>
      </c>
      <c r="C2979" s="24">
        <v>3043.8</v>
      </c>
      <c r="D2979" s="47">
        <f t="shared" si="46"/>
        <v>2240.8455600000002</v>
      </c>
    </row>
    <row r="2980" spans="1:4">
      <c r="A2980" s="122">
        <v>38664</v>
      </c>
      <c r="B2980" s="24">
        <v>0.7349</v>
      </c>
      <c r="C2980" s="24">
        <v>3042.8</v>
      </c>
      <c r="D2980" s="47">
        <f t="shared" si="46"/>
        <v>2236.1537200000002</v>
      </c>
    </row>
    <row r="2981" spans="1:4">
      <c r="A2981" s="122">
        <v>38663</v>
      </c>
      <c r="B2981" s="24">
        <v>0.73360000000000003</v>
      </c>
      <c r="C2981" s="24">
        <v>3029.1</v>
      </c>
      <c r="D2981" s="47">
        <f t="shared" si="46"/>
        <v>2222.1477599999998</v>
      </c>
    </row>
    <row r="2982" spans="1:4">
      <c r="A2982" s="122">
        <v>38660</v>
      </c>
      <c r="B2982" s="24">
        <v>0.73299999999999998</v>
      </c>
      <c r="C2982" s="24">
        <v>3035.8</v>
      </c>
      <c r="D2982" s="47">
        <f t="shared" si="46"/>
        <v>2225.2413999999999</v>
      </c>
    </row>
    <row r="2983" spans="1:4">
      <c r="A2983" s="122">
        <v>38659</v>
      </c>
      <c r="B2983" s="24">
        <v>0.73939999999999995</v>
      </c>
      <c r="C2983" s="24">
        <v>3032.1</v>
      </c>
      <c r="D2983" s="47">
        <f t="shared" si="46"/>
        <v>2241.9347399999997</v>
      </c>
    </row>
    <row r="2984" spans="1:4">
      <c r="A2984" s="122">
        <v>38658</v>
      </c>
      <c r="B2984" s="24">
        <v>0.74260000000000004</v>
      </c>
      <c r="C2984" s="24">
        <v>3028.4</v>
      </c>
      <c r="D2984" s="47">
        <f t="shared" si="46"/>
        <v>2248.8898400000003</v>
      </c>
    </row>
    <row r="2985" spans="1:4">
      <c r="A2985" s="122">
        <v>38657</v>
      </c>
      <c r="B2985" s="24">
        <v>0.74439999999999995</v>
      </c>
      <c r="C2985" s="24">
        <v>3044.8</v>
      </c>
      <c r="D2985" s="47">
        <f t="shared" si="46"/>
        <v>2266.5491200000001</v>
      </c>
    </row>
    <row r="2986" spans="1:4">
      <c r="A2986" s="122">
        <v>38656</v>
      </c>
      <c r="B2986" s="24">
        <v>0.748</v>
      </c>
      <c r="C2986" s="24">
        <v>3031.9</v>
      </c>
      <c r="D2986" s="47">
        <f t="shared" si="46"/>
        <v>2267.8612000000003</v>
      </c>
    </row>
    <row r="2987" spans="1:4">
      <c r="A2987" s="122">
        <v>38653</v>
      </c>
      <c r="B2987" s="24">
        <v>0.74980000000000002</v>
      </c>
      <c r="C2987" s="24">
        <v>3038.6</v>
      </c>
      <c r="D2987" s="47">
        <f t="shared" si="46"/>
        <v>2278.3422799999998</v>
      </c>
    </row>
    <row r="2988" spans="1:4">
      <c r="A2988" s="122">
        <v>38652</v>
      </c>
      <c r="B2988" s="24">
        <v>0.75739999999999996</v>
      </c>
      <c r="C2988" s="24">
        <v>3026.9</v>
      </c>
      <c r="D2988" s="47">
        <f t="shared" si="46"/>
        <v>2292.5740599999999</v>
      </c>
    </row>
    <row r="2989" spans="1:4">
      <c r="A2989" s="122">
        <v>38651</v>
      </c>
      <c r="B2989" s="24">
        <v>0.75460000000000005</v>
      </c>
      <c r="C2989" s="24">
        <v>3048.8</v>
      </c>
      <c r="D2989" s="47">
        <f t="shared" si="46"/>
        <v>2300.6244800000004</v>
      </c>
    </row>
    <row r="2990" spans="1:4">
      <c r="A2990" s="122">
        <v>38650</v>
      </c>
      <c r="B2990" s="24">
        <v>0.75649999999999995</v>
      </c>
      <c r="C2990" s="24">
        <v>3028.3</v>
      </c>
      <c r="D2990" s="47">
        <f t="shared" si="46"/>
        <v>2290.90895</v>
      </c>
    </row>
    <row r="2991" spans="1:4">
      <c r="A2991" s="122">
        <v>38649</v>
      </c>
      <c r="B2991" s="24">
        <v>0.74990000000000001</v>
      </c>
      <c r="C2991" s="24">
        <v>3065.7</v>
      </c>
      <c r="D2991" s="47">
        <f t="shared" si="46"/>
        <v>2298.9684299999999</v>
      </c>
    </row>
    <row r="2992" spans="1:4">
      <c r="A2992" s="122">
        <v>38646</v>
      </c>
      <c r="B2992" s="24">
        <v>0.74839999999999995</v>
      </c>
      <c r="C2992" s="24">
        <v>3068.8</v>
      </c>
      <c r="D2992" s="47">
        <f t="shared" si="46"/>
        <v>2296.6899199999998</v>
      </c>
    </row>
    <row r="2993" spans="1:4">
      <c r="A2993" s="122">
        <v>38645</v>
      </c>
      <c r="B2993" s="24">
        <v>0.75219999999999998</v>
      </c>
      <c r="C2993" s="24">
        <v>3092.1</v>
      </c>
      <c r="D2993" s="47">
        <f t="shared" si="46"/>
        <v>2325.8776199999998</v>
      </c>
    </row>
    <row r="2994" spans="1:4">
      <c r="A2994" s="122">
        <v>38644</v>
      </c>
      <c r="B2994" s="24">
        <v>0.74950000000000006</v>
      </c>
      <c r="C2994" s="24">
        <v>3089.5</v>
      </c>
      <c r="D2994" s="47">
        <f t="shared" si="46"/>
        <v>2315.58025</v>
      </c>
    </row>
    <row r="2995" spans="1:4">
      <c r="A2995" s="122">
        <v>38643</v>
      </c>
      <c r="B2995" s="24">
        <v>0.74850000000000005</v>
      </c>
      <c r="C2995" s="24">
        <v>3104</v>
      </c>
      <c r="D2995" s="47">
        <f t="shared" si="46"/>
        <v>2323.3440000000001</v>
      </c>
    </row>
    <row r="2996" spans="1:4">
      <c r="A2996" s="122">
        <v>38642</v>
      </c>
      <c r="B2996" s="24">
        <v>0.74909999999999999</v>
      </c>
      <c r="C2996" s="24">
        <v>3090.2</v>
      </c>
      <c r="D2996" s="47">
        <f t="shared" si="46"/>
        <v>2314.8688199999997</v>
      </c>
    </row>
    <row r="2997" spans="1:4">
      <c r="A2997" s="122">
        <v>38639</v>
      </c>
      <c r="B2997" s="24">
        <v>0.75190000000000001</v>
      </c>
      <c r="C2997" s="24">
        <v>3112.3</v>
      </c>
      <c r="D2997" s="47">
        <f t="shared" si="46"/>
        <v>2340.1383700000001</v>
      </c>
    </row>
    <row r="2998" spans="1:4">
      <c r="A2998" s="122">
        <v>38638</v>
      </c>
      <c r="B2998" s="24">
        <v>0.75080000000000002</v>
      </c>
      <c r="C2998" s="24">
        <v>3090.1</v>
      </c>
      <c r="D2998" s="47">
        <f t="shared" si="46"/>
        <v>2320.0470799999998</v>
      </c>
    </row>
    <row r="2999" spans="1:4">
      <c r="A2999" s="122">
        <v>38637</v>
      </c>
      <c r="B2999" s="24">
        <v>0.75509999999999999</v>
      </c>
      <c r="C2999" s="24">
        <v>3087.6</v>
      </c>
      <c r="D2999" s="47">
        <f t="shared" si="46"/>
        <v>2331.4467599999998</v>
      </c>
    </row>
    <row r="3000" spans="1:4">
      <c r="A3000" s="122">
        <v>38636</v>
      </c>
      <c r="B3000" s="24">
        <v>0.75229999999999997</v>
      </c>
      <c r="C3000" s="24">
        <v>3084.8</v>
      </c>
      <c r="D3000" s="47">
        <f t="shared" si="46"/>
        <v>2320.6950400000001</v>
      </c>
    </row>
    <row r="3001" spans="1:4">
      <c r="A3001" s="122">
        <v>38635</v>
      </c>
      <c r="B3001" s="24">
        <v>0.7591</v>
      </c>
      <c r="C3001" s="24">
        <v>3070.3</v>
      </c>
      <c r="D3001" s="47">
        <f t="shared" si="46"/>
        <v>2330.66473</v>
      </c>
    </row>
    <row r="3002" spans="1:4">
      <c r="A3002" s="122">
        <v>38632</v>
      </c>
      <c r="B3002" s="24">
        <v>0.75600000000000001</v>
      </c>
      <c r="C3002" s="24">
        <v>3055.2</v>
      </c>
      <c r="D3002" s="47">
        <f t="shared" si="46"/>
        <v>2309.7311999999997</v>
      </c>
    </row>
    <row r="3003" spans="1:4">
      <c r="A3003" s="122">
        <v>38631</v>
      </c>
      <c r="B3003" s="24">
        <v>0.75839999999999996</v>
      </c>
      <c r="C3003" s="24">
        <v>3048.9</v>
      </c>
      <c r="D3003" s="47">
        <f t="shared" si="46"/>
        <v>2312.2857599999998</v>
      </c>
    </row>
    <row r="3004" spans="1:4">
      <c r="A3004" s="122">
        <v>38630</v>
      </c>
      <c r="B3004" s="24">
        <v>0.75649999999999995</v>
      </c>
      <c r="C3004" s="24">
        <v>3040.3</v>
      </c>
      <c r="D3004" s="47">
        <f t="shared" si="46"/>
        <v>2299.98695</v>
      </c>
    </row>
    <row r="3005" spans="1:4">
      <c r="A3005" s="122">
        <v>38629</v>
      </c>
      <c r="B3005" s="24">
        <v>0.76359999999999995</v>
      </c>
      <c r="C3005" s="24">
        <v>3032.7</v>
      </c>
      <c r="D3005" s="47">
        <f t="shared" si="46"/>
        <v>2315.7697199999998</v>
      </c>
    </row>
    <row r="3006" spans="1:4">
      <c r="A3006" s="122">
        <v>38628</v>
      </c>
      <c r="B3006" s="24">
        <v>0.7631</v>
      </c>
      <c r="C3006" s="24">
        <v>3026.8</v>
      </c>
      <c r="D3006" s="47">
        <f t="shared" si="46"/>
        <v>2309.75108</v>
      </c>
    </row>
    <row r="3007" spans="1:4">
      <c r="A3007" s="122">
        <v>38625</v>
      </c>
      <c r="B3007" s="24">
        <v>0.76290000000000002</v>
      </c>
      <c r="C3007" s="24">
        <v>3038.4</v>
      </c>
      <c r="D3007" s="47">
        <f t="shared" si="46"/>
        <v>2317.9953600000003</v>
      </c>
    </row>
    <row r="3008" spans="1:4">
      <c r="A3008" s="122">
        <v>38624</v>
      </c>
      <c r="B3008" s="24">
        <v>0.76</v>
      </c>
      <c r="C3008" s="24">
        <v>3011</v>
      </c>
      <c r="D3008" s="47">
        <f t="shared" si="46"/>
        <v>2288.36</v>
      </c>
    </row>
    <row r="3009" spans="1:4">
      <c r="A3009" s="122">
        <v>38623</v>
      </c>
      <c r="B3009" s="24">
        <v>0.75860000000000005</v>
      </c>
      <c r="C3009" s="24">
        <v>3016</v>
      </c>
      <c r="D3009" s="47">
        <f t="shared" si="46"/>
        <v>2287.9376000000002</v>
      </c>
    </row>
    <row r="3010" spans="1:4">
      <c r="A3010" s="122">
        <v>38622</v>
      </c>
      <c r="B3010" s="24">
        <v>0.75539999999999996</v>
      </c>
      <c r="C3010" s="24">
        <v>3008.7</v>
      </c>
      <c r="D3010" s="47">
        <f t="shared" si="46"/>
        <v>2272.7719799999995</v>
      </c>
    </row>
    <row r="3011" spans="1:4">
      <c r="A3011" s="122">
        <v>38621</v>
      </c>
      <c r="B3011" s="24">
        <v>0.75600000000000001</v>
      </c>
      <c r="C3011" s="24">
        <v>2982.9</v>
      </c>
      <c r="D3011" s="47">
        <f t="shared" ref="D3011:D3074" si="47">C3011*B3011</f>
        <v>2255.0724</v>
      </c>
    </row>
    <row r="3012" spans="1:4">
      <c r="A3012" s="122">
        <v>38618</v>
      </c>
      <c r="B3012" s="24">
        <v>0.75739999999999996</v>
      </c>
      <c r="C3012" s="24">
        <v>2997.6</v>
      </c>
      <c r="D3012" s="47">
        <f t="shared" si="47"/>
        <v>2270.3822399999999</v>
      </c>
    </row>
    <row r="3013" spans="1:4">
      <c r="A3013" s="122">
        <v>38617</v>
      </c>
      <c r="B3013" s="24">
        <v>0.76290000000000002</v>
      </c>
      <c r="C3013" s="24">
        <v>2997.7</v>
      </c>
      <c r="D3013" s="47">
        <f t="shared" si="47"/>
        <v>2286.94533</v>
      </c>
    </row>
    <row r="3014" spans="1:4">
      <c r="A3014" s="122">
        <v>38616</v>
      </c>
      <c r="B3014" s="24">
        <v>0.76990000000000003</v>
      </c>
      <c r="C3014" s="24">
        <v>2965.6</v>
      </c>
      <c r="D3014" s="47">
        <f t="shared" si="47"/>
        <v>2283.2154399999999</v>
      </c>
    </row>
    <row r="3015" spans="1:4">
      <c r="A3015" s="122">
        <v>38615</v>
      </c>
      <c r="B3015" s="24">
        <v>0.76639999999999997</v>
      </c>
      <c r="C3015" s="24">
        <v>2942.8</v>
      </c>
      <c r="D3015" s="47">
        <f t="shared" si="47"/>
        <v>2255.3619199999998</v>
      </c>
    </row>
    <row r="3016" spans="1:4">
      <c r="A3016" s="122">
        <v>38614</v>
      </c>
      <c r="B3016" s="24">
        <v>0.76670000000000005</v>
      </c>
      <c r="C3016" s="24">
        <v>2935.7</v>
      </c>
      <c r="D3016" s="47">
        <f t="shared" si="47"/>
        <v>2250.8011900000001</v>
      </c>
    </row>
    <row r="3017" spans="1:4">
      <c r="A3017" s="122">
        <v>38611</v>
      </c>
      <c r="B3017" s="24">
        <v>0.76739999999999997</v>
      </c>
      <c r="C3017" s="24">
        <v>2948.6</v>
      </c>
      <c r="D3017" s="47">
        <f t="shared" si="47"/>
        <v>2262.7556399999999</v>
      </c>
    </row>
    <row r="3018" spans="1:4">
      <c r="A3018" s="122">
        <v>38610</v>
      </c>
      <c r="B3018" s="24">
        <v>0.76619999999999999</v>
      </c>
      <c r="C3018" s="24">
        <v>2951.3</v>
      </c>
      <c r="D3018" s="47">
        <f t="shared" si="47"/>
        <v>2261.2860599999999</v>
      </c>
    </row>
    <row r="3019" spans="1:4">
      <c r="A3019" s="122">
        <v>38609</v>
      </c>
      <c r="B3019" s="24">
        <v>0.77100000000000002</v>
      </c>
      <c r="C3019" s="24">
        <v>2958.4</v>
      </c>
      <c r="D3019" s="47">
        <f t="shared" si="47"/>
        <v>2280.9264000000003</v>
      </c>
    </row>
    <row r="3020" spans="1:4">
      <c r="A3020" s="122">
        <v>38608</v>
      </c>
      <c r="B3020" s="24">
        <v>0.76880000000000004</v>
      </c>
      <c r="C3020" s="24">
        <v>2970.8</v>
      </c>
      <c r="D3020" s="47">
        <f t="shared" si="47"/>
        <v>2283.9510400000004</v>
      </c>
    </row>
    <row r="3021" spans="1:4">
      <c r="A3021" s="122">
        <v>38607</v>
      </c>
      <c r="B3021" s="24">
        <v>0.77</v>
      </c>
      <c r="C3021" s="24">
        <v>2981.4</v>
      </c>
      <c r="D3021" s="47">
        <f t="shared" si="47"/>
        <v>2295.6780000000003</v>
      </c>
    </row>
    <row r="3022" spans="1:4">
      <c r="A3022" s="122">
        <v>38604</v>
      </c>
      <c r="B3022" s="24">
        <v>0.77400000000000002</v>
      </c>
      <c r="C3022" s="24">
        <v>2976.1</v>
      </c>
      <c r="D3022" s="47">
        <f t="shared" si="47"/>
        <v>2303.5014000000001</v>
      </c>
    </row>
    <row r="3023" spans="1:4">
      <c r="A3023" s="122">
        <v>38603</v>
      </c>
      <c r="B3023" s="24">
        <v>0.77259999999999995</v>
      </c>
      <c r="C3023" s="24">
        <v>2956</v>
      </c>
      <c r="D3023" s="47">
        <f t="shared" si="47"/>
        <v>2283.8055999999997</v>
      </c>
    </row>
    <row r="3024" spans="1:4">
      <c r="A3024" s="122">
        <v>38602</v>
      </c>
      <c r="B3024" s="24">
        <v>0.7671</v>
      </c>
      <c r="C3024" s="24">
        <v>2956.2</v>
      </c>
      <c r="D3024" s="47">
        <f t="shared" si="47"/>
        <v>2267.70102</v>
      </c>
    </row>
    <row r="3025" spans="1:4">
      <c r="A3025" s="122">
        <v>38601</v>
      </c>
      <c r="B3025" s="24">
        <v>0.76800000000000002</v>
      </c>
      <c r="C3025" s="24">
        <v>2975.7</v>
      </c>
      <c r="D3025" s="47">
        <f t="shared" si="47"/>
        <v>2285.3375999999998</v>
      </c>
    </row>
    <row r="3026" spans="1:4">
      <c r="A3026" s="122">
        <v>38600</v>
      </c>
      <c r="B3026" s="24">
        <v>0.76729999999999998</v>
      </c>
      <c r="C3026" s="24">
        <v>2968</v>
      </c>
      <c r="D3026" s="47">
        <f t="shared" si="47"/>
        <v>2277.3463999999999</v>
      </c>
    </row>
    <row r="3027" spans="1:4">
      <c r="A3027" s="122">
        <v>38597</v>
      </c>
      <c r="B3027" s="24">
        <v>0.76529999999999998</v>
      </c>
      <c r="C3027" s="24">
        <v>2977.4</v>
      </c>
      <c r="D3027" s="47">
        <f t="shared" si="47"/>
        <v>2278.6042200000002</v>
      </c>
    </row>
    <row r="3028" spans="1:4">
      <c r="A3028" s="122">
        <v>38596</v>
      </c>
      <c r="B3028" s="24">
        <v>0.76190000000000002</v>
      </c>
      <c r="C3028" s="24">
        <v>2975.4</v>
      </c>
      <c r="D3028" s="47">
        <f t="shared" si="47"/>
        <v>2266.9572600000001</v>
      </c>
    </row>
    <row r="3029" spans="1:4">
      <c r="A3029" s="122">
        <v>38595</v>
      </c>
      <c r="B3029" s="24">
        <v>0.75409999999999999</v>
      </c>
      <c r="C3029" s="24">
        <v>3003.6</v>
      </c>
      <c r="D3029" s="47">
        <f t="shared" si="47"/>
        <v>2265.01476</v>
      </c>
    </row>
    <row r="3030" spans="1:4">
      <c r="A3030" s="122">
        <v>38594</v>
      </c>
      <c r="B3030" s="24">
        <v>0.748</v>
      </c>
      <c r="C3030" s="24">
        <v>3007.5</v>
      </c>
      <c r="D3030" s="47">
        <f t="shared" si="47"/>
        <v>2249.61</v>
      </c>
    </row>
    <row r="3031" spans="1:4">
      <c r="A3031" s="122">
        <v>38593</v>
      </c>
      <c r="B3031" s="24">
        <v>0.75260000000000005</v>
      </c>
      <c r="C3031" s="24">
        <v>3011.2</v>
      </c>
      <c r="D3031" s="47">
        <f t="shared" si="47"/>
        <v>2266.22912</v>
      </c>
    </row>
    <row r="3032" spans="1:4">
      <c r="A3032" s="122">
        <v>38590</v>
      </c>
      <c r="B3032" s="24">
        <v>0.75519999999999998</v>
      </c>
      <c r="C3032" s="24">
        <v>2974.5</v>
      </c>
      <c r="D3032" s="47">
        <f t="shared" si="47"/>
        <v>2246.3424</v>
      </c>
    </row>
    <row r="3033" spans="1:4">
      <c r="A3033" s="122">
        <v>38589</v>
      </c>
      <c r="B3033" s="24">
        <v>0.75919999999999999</v>
      </c>
      <c r="C3033" s="24">
        <v>3001.9</v>
      </c>
      <c r="D3033" s="47">
        <f t="shared" si="47"/>
        <v>2279.0424800000001</v>
      </c>
    </row>
    <row r="3034" spans="1:4">
      <c r="A3034" s="122">
        <v>38588</v>
      </c>
      <c r="B3034" s="24">
        <v>0.75639999999999996</v>
      </c>
      <c r="C3034" s="24">
        <v>3005</v>
      </c>
      <c r="D3034" s="47">
        <f t="shared" si="47"/>
        <v>2272.982</v>
      </c>
    </row>
    <row r="3035" spans="1:4">
      <c r="A3035" s="122">
        <v>38587</v>
      </c>
      <c r="B3035" s="24">
        <v>0.75509999999999999</v>
      </c>
      <c r="C3035" s="24">
        <v>2980.4</v>
      </c>
      <c r="D3035" s="47">
        <f t="shared" si="47"/>
        <v>2250.5000399999999</v>
      </c>
    </row>
    <row r="3036" spans="1:4">
      <c r="A3036" s="122">
        <v>38586</v>
      </c>
      <c r="B3036" s="24">
        <v>0.75470000000000004</v>
      </c>
      <c r="C3036" s="24">
        <v>2953.2</v>
      </c>
      <c r="D3036" s="47">
        <f t="shared" si="47"/>
        <v>2228.7800400000001</v>
      </c>
    </row>
    <row r="3037" spans="1:4">
      <c r="A3037" s="122">
        <v>38583</v>
      </c>
      <c r="B3037" s="24">
        <v>0.75080000000000002</v>
      </c>
      <c r="C3037" s="24">
        <v>2979.8</v>
      </c>
      <c r="D3037" s="47">
        <f t="shared" si="47"/>
        <v>2237.2338400000003</v>
      </c>
    </row>
    <row r="3038" spans="1:4">
      <c r="A3038" s="122">
        <v>38582</v>
      </c>
      <c r="B3038" s="24">
        <v>0.75280000000000002</v>
      </c>
      <c r="C3038" s="24">
        <v>2968.8</v>
      </c>
      <c r="D3038" s="47">
        <f t="shared" si="47"/>
        <v>2234.91264</v>
      </c>
    </row>
    <row r="3039" spans="1:4">
      <c r="A3039" s="122">
        <v>38581</v>
      </c>
      <c r="B3039" s="24">
        <v>0.75990000000000002</v>
      </c>
      <c r="C3039" s="24">
        <v>2940.9</v>
      </c>
      <c r="D3039" s="47">
        <f t="shared" si="47"/>
        <v>2234.78991</v>
      </c>
    </row>
    <row r="3040" spans="1:4">
      <c r="A3040" s="122">
        <v>38580</v>
      </c>
      <c r="B3040" s="24">
        <v>0.76939999999999997</v>
      </c>
      <c r="C3040" s="24">
        <v>2949</v>
      </c>
      <c r="D3040" s="47">
        <f t="shared" si="47"/>
        <v>2268.9605999999999</v>
      </c>
    </row>
    <row r="3041" spans="1:4">
      <c r="A3041" s="122">
        <v>38579</v>
      </c>
      <c r="B3041" s="24">
        <v>0.76839999999999997</v>
      </c>
      <c r="C3041" s="24">
        <v>2945.1</v>
      </c>
      <c r="D3041" s="47">
        <f t="shared" si="47"/>
        <v>2263.0148399999998</v>
      </c>
    </row>
    <row r="3042" spans="1:4">
      <c r="A3042" s="122">
        <v>38576</v>
      </c>
      <c r="B3042" s="24">
        <v>0.77290000000000003</v>
      </c>
      <c r="C3042" s="24">
        <v>2950.5</v>
      </c>
      <c r="D3042" s="47">
        <f t="shared" si="47"/>
        <v>2280.4414500000003</v>
      </c>
    </row>
    <row r="3043" spans="1:4">
      <c r="A3043" s="122">
        <v>38575</v>
      </c>
      <c r="B3043" s="24">
        <v>0.77400000000000002</v>
      </c>
      <c r="C3043" s="24">
        <v>2978.8</v>
      </c>
      <c r="D3043" s="47">
        <f t="shared" si="47"/>
        <v>2305.5912000000003</v>
      </c>
    </row>
    <row r="3044" spans="1:4">
      <c r="A3044" s="122">
        <v>38574</v>
      </c>
      <c r="B3044" s="24">
        <v>0.76559999999999995</v>
      </c>
      <c r="C3044" s="24">
        <v>2979.4</v>
      </c>
      <c r="D3044" s="47">
        <f t="shared" si="47"/>
        <v>2281.02864</v>
      </c>
    </row>
    <row r="3045" spans="1:4">
      <c r="A3045" s="122">
        <v>38573</v>
      </c>
      <c r="B3045" s="24">
        <v>0.7611</v>
      </c>
      <c r="C3045" s="24">
        <v>2933.5</v>
      </c>
      <c r="D3045" s="47">
        <f t="shared" si="47"/>
        <v>2232.68685</v>
      </c>
    </row>
    <row r="3046" spans="1:4">
      <c r="A3046" s="122">
        <v>38572</v>
      </c>
      <c r="B3046" s="24">
        <v>0.76449999999999996</v>
      </c>
      <c r="C3046" s="24">
        <v>2908.6</v>
      </c>
      <c r="D3046" s="47">
        <f t="shared" si="47"/>
        <v>2223.6246999999998</v>
      </c>
    </row>
    <row r="3047" spans="1:4">
      <c r="A3047" s="122">
        <v>38569</v>
      </c>
      <c r="B3047" s="24">
        <v>0.76759999999999995</v>
      </c>
      <c r="C3047" s="24">
        <v>2882.3</v>
      </c>
      <c r="D3047" s="47">
        <f t="shared" si="47"/>
        <v>2212.4534800000001</v>
      </c>
    </row>
    <row r="3048" spans="1:4">
      <c r="A3048" s="122">
        <v>38568</v>
      </c>
      <c r="B3048" s="24">
        <v>0.77239999999999998</v>
      </c>
      <c r="C3048" s="24">
        <v>2882.2</v>
      </c>
      <c r="D3048" s="47">
        <f t="shared" si="47"/>
        <v>2226.21128</v>
      </c>
    </row>
    <row r="3049" spans="1:4">
      <c r="A3049" s="122">
        <v>38567</v>
      </c>
      <c r="B3049" s="24">
        <v>0.77190000000000003</v>
      </c>
      <c r="C3049" s="24">
        <v>2885.2</v>
      </c>
      <c r="D3049" s="47">
        <f t="shared" si="47"/>
        <v>2227.0858800000001</v>
      </c>
    </row>
    <row r="3050" spans="1:4">
      <c r="A3050" s="122">
        <v>38566</v>
      </c>
      <c r="B3050" s="24">
        <v>0.76580000000000004</v>
      </c>
      <c r="C3050" s="24">
        <v>2897.7</v>
      </c>
      <c r="D3050" s="47">
        <f t="shared" si="47"/>
        <v>2219.0586600000001</v>
      </c>
    </row>
    <row r="3051" spans="1:4">
      <c r="A3051" s="122">
        <v>38565</v>
      </c>
      <c r="B3051" s="24">
        <v>0.76180000000000003</v>
      </c>
      <c r="C3051" s="24">
        <v>2892.5</v>
      </c>
      <c r="D3051" s="47">
        <f t="shared" si="47"/>
        <v>2203.5065</v>
      </c>
    </row>
    <row r="3052" spans="1:4">
      <c r="A3052" s="122">
        <v>38562</v>
      </c>
      <c r="B3052" s="24">
        <v>0.75690000000000002</v>
      </c>
      <c r="C3052" s="24">
        <v>2892.1</v>
      </c>
      <c r="D3052" s="47">
        <f t="shared" si="47"/>
        <v>2189.0304900000001</v>
      </c>
    </row>
    <row r="3053" spans="1:4">
      <c r="A3053" s="122">
        <v>38561</v>
      </c>
      <c r="B3053" s="24">
        <v>0.75949999999999995</v>
      </c>
      <c r="C3053" s="24">
        <v>2854.4</v>
      </c>
      <c r="D3053" s="47">
        <f t="shared" si="47"/>
        <v>2167.9168</v>
      </c>
    </row>
    <row r="3054" spans="1:4">
      <c r="A3054" s="122">
        <v>38560</v>
      </c>
      <c r="B3054" s="24">
        <v>0.75560000000000005</v>
      </c>
      <c r="C3054" s="24">
        <v>2858.5</v>
      </c>
      <c r="D3054" s="47">
        <f t="shared" si="47"/>
        <v>2159.8826000000004</v>
      </c>
    </row>
    <row r="3055" spans="1:4">
      <c r="A3055" s="122">
        <v>38559</v>
      </c>
      <c r="B3055" s="24">
        <v>0.75819999999999999</v>
      </c>
      <c r="C3055" s="24">
        <v>2866.7</v>
      </c>
      <c r="D3055" s="47">
        <f t="shared" si="47"/>
        <v>2173.5319399999998</v>
      </c>
    </row>
    <row r="3056" spans="1:4">
      <c r="A3056" s="122">
        <v>38558</v>
      </c>
      <c r="B3056" s="24">
        <v>0.76329999999999998</v>
      </c>
      <c r="C3056" s="24">
        <v>2866.1</v>
      </c>
      <c r="D3056" s="47">
        <f t="shared" si="47"/>
        <v>2187.6941299999999</v>
      </c>
    </row>
    <row r="3057" spans="1:4">
      <c r="A3057" s="122">
        <v>38555</v>
      </c>
      <c r="B3057" s="24">
        <v>0.76419999999999999</v>
      </c>
      <c r="C3057" s="24">
        <v>2846.7</v>
      </c>
      <c r="D3057" s="47">
        <f t="shared" si="47"/>
        <v>2175.44814</v>
      </c>
    </row>
    <row r="3058" spans="1:4">
      <c r="A3058" s="122">
        <v>38554</v>
      </c>
      <c r="B3058" s="24">
        <v>0.76529999999999998</v>
      </c>
      <c r="C3058" s="24">
        <v>2835.1</v>
      </c>
      <c r="D3058" s="47">
        <f t="shared" si="47"/>
        <v>2169.7020299999999</v>
      </c>
    </row>
    <row r="3059" spans="1:4">
      <c r="A3059" s="122">
        <v>38553</v>
      </c>
      <c r="B3059" s="24">
        <v>0.75629999999999997</v>
      </c>
      <c r="C3059" s="24">
        <v>2739.1</v>
      </c>
      <c r="D3059" s="47">
        <f t="shared" si="47"/>
        <v>2071.58133</v>
      </c>
    </row>
    <row r="3060" spans="1:4">
      <c r="A3060" s="122">
        <v>38552</v>
      </c>
      <c r="B3060" s="24">
        <v>0.75119999999999998</v>
      </c>
      <c r="C3060" s="24">
        <v>2753.1</v>
      </c>
      <c r="D3060" s="47">
        <f t="shared" si="47"/>
        <v>2068.1287199999997</v>
      </c>
    </row>
    <row r="3061" spans="1:4">
      <c r="A3061" s="122">
        <v>38551</v>
      </c>
      <c r="B3061" s="24">
        <v>0.75380000000000003</v>
      </c>
      <c r="C3061" s="24">
        <v>2700.4</v>
      </c>
      <c r="D3061" s="47">
        <f t="shared" si="47"/>
        <v>2035.5615200000002</v>
      </c>
    </row>
    <row r="3062" spans="1:4">
      <c r="A3062" s="122">
        <v>38548</v>
      </c>
      <c r="B3062" s="24">
        <v>0.74890000000000001</v>
      </c>
      <c r="C3062" s="24">
        <v>2718.4</v>
      </c>
      <c r="D3062" s="47">
        <f t="shared" si="47"/>
        <v>2035.8097600000001</v>
      </c>
    </row>
    <row r="3063" spans="1:4">
      <c r="A3063" s="122">
        <v>38547</v>
      </c>
      <c r="B3063" s="24">
        <v>0.75160000000000005</v>
      </c>
      <c r="C3063" s="24">
        <v>2723.2</v>
      </c>
      <c r="D3063" s="47">
        <f t="shared" si="47"/>
        <v>2046.75712</v>
      </c>
    </row>
    <row r="3064" spans="1:4">
      <c r="A3064" s="122">
        <v>38546</v>
      </c>
      <c r="B3064" s="24">
        <v>0.74939999999999996</v>
      </c>
      <c r="C3064" s="24">
        <v>2741.4</v>
      </c>
      <c r="D3064" s="47">
        <f t="shared" si="47"/>
        <v>2054.4051599999998</v>
      </c>
    </row>
    <row r="3065" spans="1:4">
      <c r="A3065" s="122">
        <v>38545</v>
      </c>
      <c r="B3065" s="24">
        <v>0.75719999999999998</v>
      </c>
      <c r="C3065" s="24">
        <v>2744</v>
      </c>
      <c r="D3065" s="47">
        <f t="shared" si="47"/>
        <v>2077.7568000000001</v>
      </c>
    </row>
    <row r="3066" spans="1:4">
      <c r="A3066" s="122">
        <v>38544</v>
      </c>
      <c r="B3066" s="24">
        <v>0.74719999999999998</v>
      </c>
      <c r="C3066" s="24">
        <v>2776</v>
      </c>
      <c r="D3066" s="47">
        <f t="shared" si="47"/>
        <v>2074.2271999999998</v>
      </c>
    </row>
    <row r="3067" spans="1:4">
      <c r="A3067" s="122">
        <v>38541</v>
      </c>
      <c r="B3067" s="24">
        <v>0.74170000000000003</v>
      </c>
      <c r="C3067" s="24">
        <v>2776</v>
      </c>
      <c r="D3067" s="47">
        <f t="shared" si="47"/>
        <v>2058.9592000000002</v>
      </c>
    </row>
    <row r="3068" spans="1:4">
      <c r="A3068" s="122">
        <v>38540</v>
      </c>
      <c r="B3068" s="24">
        <v>0.73980000000000001</v>
      </c>
      <c r="C3068" s="24">
        <v>2813.1</v>
      </c>
      <c r="D3068" s="47">
        <f t="shared" si="47"/>
        <v>2081.1313799999998</v>
      </c>
    </row>
    <row r="3069" spans="1:4">
      <c r="A3069" s="122">
        <v>38539</v>
      </c>
      <c r="B3069" s="24">
        <v>0.74050000000000005</v>
      </c>
      <c r="C3069" s="24">
        <v>2816.8</v>
      </c>
      <c r="D3069" s="47">
        <f t="shared" si="47"/>
        <v>2085.8404</v>
      </c>
    </row>
    <row r="3070" spans="1:4">
      <c r="A3070" s="122">
        <v>38538</v>
      </c>
      <c r="B3070" s="24">
        <v>0.74199999999999999</v>
      </c>
      <c r="C3070" s="24">
        <v>2800.9</v>
      </c>
      <c r="D3070" s="47">
        <f t="shared" si="47"/>
        <v>2078.2678000000001</v>
      </c>
    </row>
    <row r="3071" spans="1:4">
      <c r="A3071" s="122">
        <v>38537</v>
      </c>
      <c r="B3071" s="24">
        <v>0.75019999999999998</v>
      </c>
      <c r="C3071" s="24">
        <v>2796.2</v>
      </c>
      <c r="D3071" s="47">
        <f t="shared" si="47"/>
        <v>2097.7092399999997</v>
      </c>
    </row>
    <row r="3072" spans="1:4">
      <c r="A3072" s="122">
        <v>38534</v>
      </c>
      <c r="B3072" s="24">
        <v>0.75109999999999999</v>
      </c>
      <c r="C3072" s="24">
        <v>2826.9</v>
      </c>
      <c r="D3072" s="47">
        <f t="shared" si="47"/>
        <v>2123.2845900000002</v>
      </c>
    </row>
    <row r="3073" spans="1:4">
      <c r="A3073" s="122">
        <v>38533</v>
      </c>
      <c r="B3073" s="24">
        <v>0.76049999999999995</v>
      </c>
      <c r="C3073" s="24">
        <v>2799</v>
      </c>
      <c r="D3073" s="47">
        <f t="shared" si="47"/>
        <v>2128.6394999999998</v>
      </c>
    </row>
    <row r="3074" spans="1:4">
      <c r="A3074" s="122">
        <v>38532</v>
      </c>
      <c r="B3074" s="24">
        <v>0.76200000000000001</v>
      </c>
      <c r="C3074" s="24">
        <v>2855.9</v>
      </c>
      <c r="D3074" s="47">
        <f t="shared" si="47"/>
        <v>2176.1958</v>
      </c>
    </row>
    <row r="3075" spans="1:4">
      <c r="A3075" s="122">
        <v>38531</v>
      </c>
      <c r="B3075" s="24">
        <v>0.76270000000000004</v>
      </c>
      <c r="C3075" s="24">
        <v>2820.2</v>
      </c>
      <c r="D3075" s="47">
        <f t="shared" ref="D3075:D3138" si="48">C3075*B3075</f>
        <v>2150.9665399999999</v>
      </c>
    </row>
    <row r="3076" spans="1:4">
      <c r="A3076" s="122">
        <v>38530</v>
      </c>
      <c r="B3076" s="24">
        <v>0.76919999999999999</v>
      </c>
      <c r="C3076" s="24">
        <v>2819.1</v>
      </c>
      <c r="D3076" s="47">
        <f t="shared" si="48"/>
        <v>2168.45172</v>
      </c>
    </row>
    <row r="3077" spans="1:4">
      <c r="A3077" s="122">
        <v>38527</v>
      </c>
      <c r="B3077" s="24">
        <v>0.76880000000000004</v>
      </c>
      <c r="C3077" s="24">
        <v>2864.7</v>
      </c>
      <c r="D3077" s="47">
        <f t="shared" si="48"/>
        <v>2202.3813599999999</v>
      </c>
    </row>
    <row r="3078" spans="1:4">
      <c r="A3078" s="122">
        <v>38526</v>
      </c>
      <c r="B3078" s="24">
        <v>0.77210000000000001</v>
      </c>
      <c r="C3078" s="24">
        <v>2844.7</v>
      </c>
      <c r="D3078" s="47">
        <f t="shared" si="48"/>
        <v>2196.3928699999997</v>
      </c>
    </row>
    <row r="3079" spans="1:4">
      <c r="A3079" s="122">
        <v>38525</v>
      </c>
      <c r="B3079" s="24">
        <v>0.77890000000000004</v>
      </c>
      <c r="C3079" s="24">
        <v>2844.1</v>
      </c>
      <c r="D3079" s="47">
        <f t="shared" si="48"/>
        <v>2215.2694900000001</v>
      </c>
    </row>
    <row r="3080" spans="1:4">
      <c r="A3080" s="122">
        <v>38524</v>
      </c>
      <c r="B3080" s="24">
        <v>0.78029999999999999</v>
      </c>
      <c r="C3080" s="24">
        <v>2817.2</v>
      </c>
      <c r="D3080" s="47">
        <f t="shared" si="48"/>
        <v>2198.26116</v>
      </c>
    </row>
    <row r="3081" spans="1:4">
      <c r="A3081" s="122">
        <v>38523</v>
      </c>
      <c r="B3081" s="24">
        <v>0.77549999999999997</v>
      </c>
      <c r="C3081" s="24">
        <v>2835.4</v>
      </c>
      <c r="D3081" s="47">
        <f t="shared" si="48"/>
        <v>2198.8526999999999</v>
      </c>
    </row>
    <row r="3082" spans="1:4">
      <c r="A3082" s="122">
        <v>38520</v>
      </c>
      <c r="B3082" s="24">
        <v>0.77739999999999998</v>
      </c>
      <c r="C3082" s="24">
        <v>2884.5</v>
      </c>
      <c r="D3082" s="47">
        <f t="shared" si="48"/>
        <v>2242.4103</v>
      </c>
    </row>
    <row r="3083" spans="1:4">
      <c r="A3083" s="122">
        <v>38519</v>
      </c>
      <c r="B3083" s="24">
        <v>0.77310000000000001</v>
      </c>
      <c r="C3083" s="24">
        <v>2879</v>
      </c>
      <c r="D3083" s="47">
        <f t="shared" si="48"/>
        <v>2225.7548999999999</v>
      </c>
    </row>
    <row r="3084" spans="1:4">
      <c r="A3084" s="122">
        <v>38518</v>
      </c>
      <c r="B3084" s="24">
        <v>0.76980000000000004</v>
      </c>
      <c r="C3084" s="24">
        <v>2890.2</v>
      </c>
      <c r="D3084" s="47">
        <f t="shared" si="48"/>
        <v>2224.8759599999998</v>
      </c>
    </row>
    <row r="3085" spans="1:4">
      <c r="A3085" s="122">
        <v>38517</v>
      </c>
      <c r="B3085" s="24">
        <v>0.76439999999999997</v>
      </c>
      <c r="C3085" s="24">
        <v>2906</v>
      </c>
      <c r="D3085" s="47">
        <f t="shared" si="48"/>
        <v>2221.3463999999999</v>
      </c>
    </row>
    <row r="3086" spans="1:4">
      <c r="A3086" s="122">
        <v>38516</v>
      </c>
      <c r="B3086" s="24">
        <v>0.76080000000000003</v>
      </c>
      <c r="C3086" s="24">
        <v>2886.2</v>
      </c>
      <c r="D3086" s="47">
        <f t="shared" si="48"/>
        <v>2195.82096</v>
      </c>
    </row>
    <row r="3087" spans="1:4">
      <c r="A3087" s="122">
        <v>38513</v>
      </c>
      <c r="B3087" s="24">
        <v>0.76139999999999997</v>
      </c>
      <c r="C3087" s="24">
        <v>2918.7</v>
      </c>
      <c r="D3087" s="47">
        <f t="shared" si="48"/>
        <v>2222.2981799999998</v>
      </c>
    </row>
    <row r="3088" spans="1:4">
      <c r="A3088" s="122">
        <v>38512</v>
      </c>
      <c r="B3088" s="24">
        <v>0.76739999999999997</v>
      </c>
      <c r="C3088" s="24">
        <v>2946.6</v>
      </c>
      <c r="D3088" s="47">
        <f t="shared" si="48"/>
        <v>2261.22084</v>
      </c>
    </row>
    <row r="3089" spans="1:4">
      <c r="A3089" s="122">
        <v>38511</v>
      </c>
      <c r="B3089" s="24">
        <v>0.76500000000000001</v>
      </c>
      <c r="C3089" s="24">
        <v>2942.6</v>
      </c>
      <c r="D3089" s="47">
        <f t="shared" si="48"/>
        <v>2251.0889999999999</v>
      </c>
    </row>
    <row r="3090" spans="1:4">
      <c r="A3090" s="122">
        <v>38510</v>
      </c>
      <c r="B3090" s="24">
        <v>0.76910000000000001</v>
      </c>
      <c r="C3090" s="24">
        <v>2956.9</v>
      </c>
      <c r="D3090" s="47">
        <f t="shared" si="48"/>
        <v>2274.1517899999999</v>
      </c>
    </row>
    <row r="3091" spans="1:4">
      <c r="A3091" s="122">
        <v>38509</v>
      </c>
      <c r="B3091" s="24">
        <v>0.76539999999999997</v>
      </c>
      <c r="C3091" s="24">
        <v>2964.2</v>
      </c>
      <c r="D3091" s="47">
        <f t="shared" si="48"/>
        <v>2268.7986799999999</v>
      </c>
    </row>
    <row r="3092" spans="1:4">
      <c r="A3092" s="122">
        <v>38506</v>
      </c>
      <c r="B3092" s="24">
        <v>0.75609999999999999</v>
      </c>
      <c r="C3092" s="24">
        <v>2951.7</v>
      </c>
      <c r="D3092" s="47">
        <f t="shared" si="48"/>
        <v>2231.7803699999999</v>
      </c>
    </row>
    <row r="3093" spans="1:4">
      <c r="A3093" s="122">
        <v>38505</v>
      </c>
      <c r="B3093" s="24">
        <v>0.754</v>
      </c>
      <c r="C3093" s="24">
        <v>2964.4</v>
      </c>
      <c r="D3093" s="47">
        <f t="shared" si="48"/>
        <v>2235.1576</v>
      </c>
    </row>
    <row r="3094" spans="1:4">
      <c r="A3094" s="122">
        <v>38504</v>
      </c>
      <c r="B3094" s="24">
        <v>0.74950000000000006</v>
      </c>
      <c r="C3094" s="24">
        <v>3026.2</v>
      </c>
      <c r="D3094" s="47">
        <f t="shared" si="48"/>
        <v>2268.1369</v>
      </c>
    </row>
    <row r="3095" spans="1:4">
      <c r="A3095" s="122">
        <v>38503</v>
      </c>
      <c r="B3095" s="24">
        <v>0.75590000000000002</v>
      </c>
      <c r="C3095" s="24">
        <v>3024</v>
      </c>
      <c r="D3095" s="47">
        <f t="shared" si="48"/>
        <v>2285.8416000000002</v>
      </c>
    </row>
    <row r="3096" spans="1:4">
      <c r="A3096" s="122">
        <v>38502</v>
      </c>
      <c r="B3096" s="24">
        <v>0.76049999999999995</v>
      </c>
      <c r="C3096" s="24">
        <v>3025.9</v>
      </c>
      <c r="D3096" s="47">
        <f t="shared" si="48"/>
        <v>2301.19695</v>
      </c>
    </row>
    <row r="3097" spans="1:4">
      <c r="A3097" s="122">
        <v>38499</v>
      </c>
      <c r="B3097" s="24">
        <v>0.76249999999999996</v>
      </c>
      <c r="C3097" s="24">
        <v>3051.5</v>
      </c>
      <c r="D3097" s="47">
        <f t="shared" si="48"/>
        <v>2326.7687499999997</v>
      </c>
    </row>
    <row r="3098" spans="1:4">
      <c r="A3098" s="122">
        <v>38498</v>
      </c>
      <c r="B3098" s="24">
        <v>0.75819999999999999</v>
      </c>
      <c r="C3098" s="24">
        <v>3055.8</v>
      </c>
      <c r="D3098" s="47">
        <f t="shared" si="48"/>
        <v>2316.9075600000001</v>
      </c>
    </row>
    <row r="3099" spans="1:4">
      <c r="A3099" s="122">
        <v>38497</v>
      </c>
      <c r="B3099" s="24">
        <v>0.76219999999999999</v>
      </c>
      <c r="C3099" s="24">
        <v>3051.7</v>
      </c>
      <c r="D3099" s="47">
        <f t="shared" si="48"/>
        <v>2326.0057399999996</v>
      </c>
    </row>
    <row r="3100" spans="1:4">
      <c r="A3100" s="122">
        <v>38496</v>
      </c>
      <c r="B3100" s="24">
        <v>0.76329999999999998</v>
      </c>
      <c r="C3100" s="24">
        <v>3056.3</v>
      </c>
      <c r="D3100" s="47">
        <f t="shared" si="48"/>
        <v>2332.8737900000001</v>
      </c>
    </row>
    <row r="3101" spans="1:4">
      <c r="A3101" s="122">
        <v>38495</v>
      </c>
      <c r="B3101" s="24">
        <v>0.75949999999999995</v>
      </c>
      <c r="C3101" s="24">
        <v>3077</v>
      </c>
      <c r="D3101" s="47">
        <f t="shared" si="48"/>
        <v>2336.9814999999999</v>
      </c>
    </row>
    <row r="3102" spans="1:4">
      <c r="A3102" s="122">
        <v>38492</v>
      </c>
      <c r="B3102" s="24">
        <v>0.75570000000000004</v>
      </c>
      <c r="C3102" s="24">
        <v>3075.8</v>
      </c>
      <c r="D3102" s="47">
        <f t="shared" si="48"/>
        <v>2324.3820600000004</v>
      </c>
    </row>
    <row r="3103" spans="1:4">
      <c r="A3103" s="122">
        <v>38491</v>
      </c>
      <c r="B3103" s="24">
        <v>0.7581</v>
      </c>
      <c r="C3103" s="24">
        <v>3069.4</v>
      </c>
      <c r="D3103" s="47">
        <f t="shared" si="48"/>
        <v>2326.9121399999999</v>
      </c>
    </row>
    <row r="3104" spans="1:4">
      <c r="A3104" s="122">
        <v>38490</v>
      </c>
      <c r="B3104" s="24">
        <v>0.76119999999999999</v>
      </c>
      <c r="C3104" s="24">
        <v>3063.5</v>
      </c>
      <c r="D3104" s="47">
        <f t="shared" si="48"/>
        <v>2331.9362000000001</v>
      </c>
    </row>
    <row r="3105" spans="1:4">
      <c r="A3105" s="122">
        <v>38489</v>
      </c>
      <c r="B3105" s="24">
        <v>0.75619999999999998</v>
      </c>
      <c r="C3105" s="24">
        <v>3064.9</v>
      </c>
      <c r="D3105" s="47">
        <f t="shared" si="48"/>
        <v>2317.6773800000001</v>
      </c>
    </row>
    <row r="3106" spans="1:4">
      <c r="A3106" s="122">
        <v>38488</v>
      </c>
      <c r="B3106" s="24">
        <v>0.75570000000000004</v>
      </c>
      <c r="C3106" s="24">
        <v>3074.7</v>
      </c>
      <c r="D3106" s="47">
        <f t="shared" si="48"/>
        <v>2323.5507899999998</v>
      </c>
    </row>
    <row r="3107" spans="1:4">
      <c r="A3107" s="122">
        <v>38485</v>
      </c>
      <c r="B3107" s="24">
        <v>0.76070000000000004</v>
      </c>
      <c r="C3107" s="24">
        <v>3074.5</v>
      </c>
      <c r="D3107" s="47">
        <f t="shared" si="48"/>
        <v>2338.7721500000002</v>
      </c>
    </row>
    <row r="3108" spans="1:4">
      <c r="A3108" s="122">
        <v>38484</v>
      </c>
      <c r="B3108" s="24">
        <v>0.76559999999999995</v>
      </c>
      <c r="C3108" s="24">
        <v>3075.4</v>
      </c>
      <c r="D3108" s="47">
        <f t="shared" si="48"/>
        <v>2354.5262399999997</v>
      </c>
    </row>
    <row r="3109" spans="1:4">
      <c r="A3109" s="122">
        <v>38483</v>
      </c>
      <c r="B3109" s="24">
        <v>0.77429999999999999</v>
      </c>
      <c r="C3109" s="24">
        <v>3055.5</v>
      </c>
      <c r="D3109" s="47">
        <f t="shared" si="48"/>
        <v>2365.87365</v>
      </c>
    </row>
    <row r="3110" spans="1:4">
      <c r="A3110" s="122">
        <v>38482</v>
      </c>
      <c r="B3110" s="24">
        <v>0.77629999999999999</v>
      </c>
      <c r="C3110" s="24">
        <v>3027.6</v>
      </c>
      <c r="D3110" s="47">
        <f t="shared" si="48"/>
        <v>2350.3258799999999</v>
      </c>
    </row>
    <row r="3111" spans="1:4">
      <c r="A3111" s="122">
        <v>38481</v>
      </c>
      <c r="B3111" s="24">
        <v>0.77259999999999995</v>
      </c>
      <c r="C3111" s="24">
        <v>3007.1</v>
      </c>
      <c r="D3111" s="47">
        <f t="shared" si="48"/>
        <v>2323.2854599999996</v>
      </c>
    </row>
    <row r="3112" spans="1:4">
      <c r="A3112" s="122">
        <v>38478</v>
      </c>
      <c r="B3112" s="24">
        <v>0.7752</v>
      </c>
      <c r="C3112" s="24">
        <v>2992.7</v>
      </c>
      <c r="D3112" s="47">
        <f t="shared" si="48"/>
        <v>2319.9410399999997</v>
      </c>
    </row>
    <row r="3113" spans="1:4">
      <c r="A3113" s="122">
        <v>38477</v>
      </c>
      <c r="B3113" s="24">
        <v>0.78059999999999996</v>
      </c>
      <c r="C3113" s="24">
        <v>3027.2</v>
      </c>
      <c r="D3113" s="47">
        <f t="shared" si="48"/>
        <v>2363.0323199999998</v>
      </c>
    </row>
    <row r="3114" spans="1:4">
      <c r="A3114" s="122">
        <v>38476</v>
      </c>
      <c r="B3114" s="24">
        <v>0.78069999999999995</v>
      </c>
      <c r="C3114" s="24">
        <v>3032.8</v>
      </c>
      <c r="D3114" s="47">
        <f t="shared" si="48"/>
        <v>2367.70696</v>
      </c>
    </row>
    <row r="3115" spans="1:4">
      <c r="A3115" s="122">
        <v>38475</v>
      </c>
      <c r="B3115" s="24">
        <v>0.77390000000000003</v>
      </c>
      <c r="C3115" s="24">
        <v>3033.5</v>
      </c>
      <c r="D3115" s="47">
        <f t="shared" si="48"/>
        <v>2347.62565</v>
      </c>
    </row>
    <row r="3116" spans="1:4">
      <c r="A3116" s="122">
        <v>38474</v>
      </c>
      <c r="B3116" s="24">
        <v>0.77959999999999996</v>
      </c>
      <c r="C3116" s="24">
        <v>3011.4</v>
      </c>
      <c r="D3116" s="47">
        <f t="shared" si="48"/>
        <v>2347.6874400000002</v>
      </c>
    </row>
    <row r="3117" spans="1:4">
      <c r="A3117" s="122">
        <v>38471</v>
      </c>
      <c r="B3117" s="24">
        <v>0.78049999999999997</v>
      </c>
      <c r="C3117" s="24">
        <v>2989.1</v>
      </c>
      <c r="D3117" s="47">
        <f t="shared" si="48"/>
        <v>2332.9925499999999</v>
      </c>
    </row>
    <row r="3118" spans="1:4">
      <c r="A3118" s="122">
        <v>38470</v>
      </c>
      <c r="B3118" s="24">
        <v>0.77869999999999995</v>
      </c>
      <c r="C3118" s="24">
        <v>2986.5</v>
      </c>
      <c r="D3118" s="47">
        <f t="shared" si="48"/>
        <v>2325.5875499999997</v>
      </c>
    </row>
    <row r="3119" spans="1:4">
      <c r="A3119" s="122">
        <v>38469</v>
      </c>
      <c r="B3119" s="24">
        <v>0.77659999999999996</v>
      </c>
      <c r="C3119" s="24">
        <v>2986.7</v>
      </c>
      <c r="D3119" s="47">
        <f t="shared" si="48"/>
        <v>2319.4712199999999</v>
      </c>
    </row>
    <row r="3120" spans="1:4">
      <c r="A3120" s="122">
        <v>38468</v>
      </c>
      <c r="B3120" s="24">
        <v>0.77810000000000001</v>
      </c>
      <c r="C3120" s="24">
        <v>2949.9</v>
      </c>
      <c r="D3120" s="47">
        <f t="shared" si="48"/>
        <v>2295.3171900000002</v>
      </c>
    </row>
    <row r="3121" spans="1:4">
      <c r="A3121" s="122">
        <v>38467</v>
      </c>
      <c r="B3121" s="24">
        <v>0.77990000000000004</v>
      </c>
      <c r="C3121" s="24">
        <v>2971.3</v>
      </c>
      <c r="D3121" s="47">
        <f t="shared" si="48"/>
        <v>2317.3168700000001</v>
      </c>
    </row>
    <row r="3122" spans="1:4">
      <c r="A3122" s="122">
        <v>38464</v>
      </c>
      <c r="B3122" s="24">
        <v>0.78220000000000001</v>
      </c>
      <c r="C3122" s="24">
        <v>2987.8</v>
      </c>
      <c r="D3122" s="47">
        <f t="shared" si="48"/>
        <v>2337.0571600000003</v>
      </c>
    </row>
    <row r="3123" spans="1:4">
      <c r="A3123" s="122">
        <v>38463</v>
      </c>
      <c r="B3123" s="24">
        <v>0.77580000000000005</v>
      </c>
      <c r="C3123" s="24">
        <v>2969.7</v>
      </c>
      <c r="D3123" s="47">
        <f t="shared" si="48"/>
        <v>2303.8932599999998</v>
      </c>
    </row>
    <row r="3124" spans="1:4">
      <c r="A3124" s="122">
        <v>38462</v>
      </c>
      <c r="B3124" s="24">
        <v>0.77610000000000001</v>
      </c>
      <c r="C3124" s="24">
        <v>2990.8</v>
      </c>
      <c r="D3124" s="47">
        <f t="shared" si="48"/>
        <v>2321.1598800000002</v>
      </c>
    </row>
    <row r="3125" spans="1:4">
      <c r="A3125" s="122">
        <v>38461</v>
      </c>
      <c r="B3125" s="24">
        <v>0.77070000000000005</v>
      </c>
      <c r="C3125" s="24">
        <v>3023.5</v>
      </c>
      <c r="D3125" s="47">
        <f t="shared" si="48"/>
        <v>2330.2114500000002</v>
      </c>
    </row>
    <row r="3126" spans="1:4">
      <c r="A3126" s="122">
        <v>38460</v>
      </c>
      <c r="B3126" s="24">
        <v>0.7671</v>
      </c>
      <c r="C3126" s="24">
        <v>3027.3</v>
      </c>
      <c r="D3126" s="47">
        <f t="shared" si="48"/>
        <v>2322.2418299999999</v>
      </c>
    </row>
    <row r="3127" spans="1:4">
      <c r="A3127" s="122">
        <v>38457</v>
      </c>
      <c r="B3127" s="24">
        <v>0.76890000000000003</v>
      </c>
      <c r="C3127" s="24">
        <v>3040.5</v>
      </c>
      <c r="D3127" s="47">
        <f t="shared" si="48"/>
        <v>2337.8404500000001</v>
      </c>
    </row>
    <row r="3128" spans="1:4">
      <c r="A3128" s="122">
        <v>38456</v>
      </c>
      <c r="B3128" s="24">
        <v>0.77149999999999996</v>
      </c>
      <c r="C3128" s="24">
        <v>3027.2</v>
      </c>
      <c r="D3128" s="47">
        <f t="shared" si="48"/>
        <v>2335.4847999999997</v>
      </c>
    </row>
    <row r="3129" spans="1:4">
      <c r="A3129" s="122">
        <v>38455</v>
      </c>
      <c r="B3129" s="24">
        <v>0.77859999999999996</v>
      </c>
      <c r="C3129" s="24">
        <v>3072.6</v>
      </c>
      <c r="D3129" s="47">
        <f t="shared" si="48"/>
        <v>2392.32636</v>
      </c>
    </row>
    <row r="3130" spans="1:4">
      <c r="A3130" s="122">
        <v>38454</v>
      </c>
      <c r="B3130" s="24">
        <v>0.77539999999999998</v>
      </c>
      <c r="C3130" s="24">
        <v>3083.8</v>
      </c>
      <c r="D3130" s="47">
        <f t="shared" si="48"/>
        <v>2391.1785199999999</v>
      </c>
    </row>
    <row r="3131" spans="1:4">
      <c r="A3131" s="122">
        <v>38453</v>
      </c>
      <c r="B3131" s="24">
        <v>0.7752</v>
      </c>
      <c r="C3131" s="24">
        <v>3061.4</v>
      </c>
      <c r="D3131" s="47">
        <f t="shared" si="48"/>
        <v>2373.1972799999999</v>
      </c>
    </row>
    <row r="3132" spans="1:4">
      <c r="A3132" s="122">
        <v>38450</v>
      </c>
      <c r="B3132" s="24">
        <v>0.77239999999999998</v>
      </c>
      <c r="C3132" s="24">
        <v>3043.5</v>
      </c>
      <c r="D3132" s="47">
        <f t="shared" si="48"/>
        <v>2350.7993999999999</v>
      </c>
    </row>
    <row r="3133" spans="1:4">
      <c r="A3133" s="122">
        <v>38449</v>
      </c>
      <c r="B3133" s="24">
        <v>0.76649999999999996</v>
      </c>
      <c r="C3133" s="24">
        <v>3005.2</v>
      </c>
      <c r="D3133" s="47">
        <f t="shared" si="48"/>
        <v>2303.4857999999999</v>
      </c>
    </row>
    <row r="3134" spans="1:4">
      <c r="A3134" s="122">
        <v>38448</v>
      </c>
      <c r="B3134" s="24">
        <v>0.76590000000000003</v>
      </c>
      <c r="C3134" s="24">
        <v>3015.4</v>
      </c>
      <c r="D3134" s="47">
        <f t="shared" si="48"/>
        <v>2309.4948600000002</v>
      </c>
    </row>
    <row r="3135" spans="1:4">
      <c r="A3135" s="122">
        <v>38447</v>
      </c>
      <c r="B3135" s="24">
        <v>0.76880000000000004</v>
      </c>
      <c r="C3135" s="24">
        <v>3041.3</v>
      </c>
      <c r="D3135" s="47">
        <f t="shared" si="48"/>
        <v>2338.1514400000001</v>
      </c>
    </row>
    <row r="3136" spans="1:4">
      <c r="A3136" s="122">
        <v>38446</v>
      </c>
      <c r="B3136" s="24">
        <v>0.7681</v>
      </c>
      <c r="C3136" s="24">
        <v>3035.8</v>
      </c>
      <c r="D3136" s="47">
        <f t="shared" si="48"/>
        <v>2331.7979800000003</v>
      </c>
    </row>
    <row r="3137" spans="1:4">
      <c r="A3137" s="122">
        <v>38443</v>
      </c>
      <c r="B3137" s="24">
        <v>0.77080000000000004</v>
      </c>
      <c r="C3137" s="24">
        <v>3021.9</v>
      </c>
      <c r="D3137" s="47">
        <f t="shared" si="48"/>
        <v>2329.2805200000003</v>
      </c>
    </row>
    <row r="3138" spans="1:4">
      <c r="A3138" s="122">
        <v>38442</v>
      </c>
      <c r="B3138" s="24">
        <v>0.77310000000000001</v>
      </c>
      <c r="C3138" s="24">
        <v>3007.8</v>
      </c>
      <c r="D3138" s="47">
        <f t="shared" si="48"/>
        <v>2325.3301800000004</v>
      </c>
    </row>
    <row r="3139" spans="1:4">
      <c r="A3139" s="122">
        <v>38441</v>
      </c>
      <c r="B3139" s="24">
        <v>0.77029999999999998</v>
      </c>
      <c r="C3139" s="24">
        <v>2989.7</v>
      </c>
      <c r="D3139" s="47">
        <f t="shared" ref="D3139:D3202" si="49">C3139*B3139</f>
        <v>2302.9659099999999</v>
      </c>
    </row>
    <row r="3140" spans="1:4">
      <c r="A3140" s="122">
        <v>38440</v>
      </c>
      <c r="B3140" s="24">
        <v>0.77110000000000001</v>
      </c>
      <c r="C3140" s="24">
        <v>2999.7</v>
      </c>
      <c r="D3140" s="47">
        <f t="shared" si="49"/>
        <v>2313.0686699999997</v>
      </c>
    </row>
    <row r="3141" spans="1:4">
      <c r="A3141" s="122">
        <v>38439</v>
      </c>
      <c r="B3141" s="24">
        <v>0.76780000000000004</v>
      </c>
      <c r="C3141" s="24">
        <v>3004.9</v>
      </c>
      <c r="D3141" s="47">
        <f t="shared" si="49"/>
        <v>2307.1622200000002</v>
      </c>
    </row>
    <row r="3142" spans="1:4">
      <c r="A3142" s="122">
        <v>38436</v>
      </c>
      <c r="B3142" s="24">
        <v>0.77180000000000004</v>
      </c>
      <c r="C3142" s="24">
        <v>2962.2</v>
      </c>
      <c r="D3142" s="47">
        <f t="shared" si="49"/>
        <v>2286.2259599999998</v>
      </c>
    </row>
    <row r="3143" spans="1:4">
      <c r="A3143" s="122">
        <v>38435</v>
      </c>
      <c r="B3143" s="24">
        <v>0.77159999999999995</v>
      </c>
      <c r="C3143" s="24">
        <v>2971</v>
      </c>
      <c r="D3143" s="47">
        <f t="shared" si="49"/>
        <v>2292.4236000000001</v>
      </c>
    </row>
    <row r="3144" spans="1:4">
      <c r="A3144" s="122">
        <v>38434</v>
      </c>
      <c r="B3144" s="24">
        <v>0.7702</v>
      </c>
      <c r="C3144" s="24">
        <v>2982.5</v>
      </c>
      <c r="D3144" s="47">
        <f t="shared" si="49"/>
        <v>2297.1215000000002</v>
      </c>
    </row>
    <row r="3145" spans="1:4">
      <c r="A3145" s="122">
        <v>38433</v>
      </c>
      <c r="B3145" s="24">
        <v>0.78380000000000005</v>
      </c>
      <c r="C3145" s="24">
        <v>2972.9</v>
      </c>
      <c r="D3145" s="47">
        <f t="shared" si="49"/>
        <v>2330.1590200000001</v>
      </c>
    </row>
    <row r="3146" spans="1:4">
      <c r="A3146" s="122">
        <v>38432</v>
      </c>
      <c r="B3146" s="24">
        <v>0.78580000000000005</v>
      </c>
      <c r="C3146" s="24">
        <v>3008.8</v>
      </c>
      <c r="D3146" s="47">
        <f t="shared" si="49"/>
        <v>2364.3150400000004</v>
      </c>
    </row>
    <row r="3147" spans="1:4">
      <c r="A3147" s="122">
        <v>38429</v>
      </c>
      <c r="B3147" s="24">
        <v>0.79479999999999995</v>
      </c>
      <c r="C3147" s="24">
        <v>3038.9</v>
      </c>
      <c r="D3147" s="47">
        <f t="shared" si="49"/>
        <v>2415.31772</v>
      </c>
    </row>
    <row r="3148" spans="1:4">
      <c r="A3148" s="122">
        <v>38428</v>
      </c>
      <c r="B3148" s="24">
        <v>0.79259999999999997</v>
      </c>
      <c r="C3148" s="24">
        <v>3075.5</v>
      </c>
      <c r="D3148" s="47">
        <f t="shared" si="49"/>
        <v>2437.6412999999998</v>
      </c>
    </row>
    <row r="3149" spans="1:4">
      <c r="A3149" s="122">
        <v>38427</v>
      </c>
      <c r="B3149" s="24">
        <v>0.79420000000000002</v>
      </c>
      <c r="C3149" s="24">
        <v>3050.2</v>
      </c>
      <c r="D3149" s="47">
        <f t="shared" si="49"/>
        <v>2422.46884</v>
      </c>
    </row>
    <row r="3150" spans="1:4">
      <c r="A3150" s="122">
        <v>38426</v>
      </c>
      <c r="B3150" s="24">
        <v>0.79049999999999998</v>
      </c>
      <c r="C3150" s="24">
        <v>3054.8</v>
      </c>
      <c r="D3150" s="47">
        <f t="shared" si="49"/>
        <v>2414.8193999999999</v>
      </c>
    </row>
    <row r="3151" spans="1:4">
      <c r="A3151" s="122">
        <v>38425</v>
      </c>
      <c r="B3151" s="24">
        <v>0.78759999999999997</v>
      </c>
      <c r="C3151" s="24">
        <v>3010.3</v>
      </c>
      <c r="D3151" s="47">
        <f t="shared" si="49"/>
        <v>2370.91228</v>
      </c>
    </row>
    <row r="3152" spans="1:4">
      <c r="A3152" s="122">
        <v>38422</v>
      </c>
      <c r="B3152" s="24">
        <v>0.7923</v>
      </c>
      <c r="C3152" s="24">
        <v>3042.9</v>
      </c>
      <c r="D3152" s="47">
        <f t="shared" si="49"/>
        <v>2410.88967</v>
      </c>
    </row>
    <row r="3153" spans="1:4">
      <c r="A3153" s="122">
        <v>38421</v>
      </c>
      <c r="B3153" s="24">
        <v>0.78979999999999995</v>
      </c>
      <c r="C3153" s="24">
        <v>3006.2</v>
      </c>
      <c r="D3153" s="47">
        <f t="shared" si="49"/>
        <v>2374.2967599999997</v>
      </c>
    </row>
    <row r="3154" spans="1:4">
      <c r="A3154" s="122">
        <v>38420</v>
      </c>
      <c r="B3154" s="24">
        <v>0.79339999999999999</v>
      </c>
      <c r="C3154" s="24">
        <v>3011.3</v>
      </c>
      <c r="D3154" s="47">
        <f t="shared" si="49"/>
        <v>2389.1654200000003</v>
      </c>
    </row>
    <row r="3155" spans="1:4">
      <c r="A3155" s="122">
        <v>38419</v>
      </c>
      <c r="B3155" s="24">
        <v>0.79810000000000003</v>
      </c>
      <c r="C3155" s="24">
        <v>3035.6</v>
      </c>
      <c r="D3155" s="47">
        <f t="shared" si="49"/>
        <v>2422.71236</v>
      </c>
    </row>
    <row r="3156" spans="1:4">
      <c r="A3156" s="122">
        <v>38418</v>
      </c>
      <c r="B3156" s="24">
        <v>0.79210000000000003</v>
      </c>
      <c r="C3156" s="24">
        <v>3009.2</v>
      </c>
      <c r="D3156" s="47">
        <f t="shared" si="49"/>
        <v>2383.5873200000001</v>
      </c>
    </row>
    <row r="3157" spans="1:4">
      <c r="A3157" s="122">
        <v>38415</v>
      </c>
      <c r="B3157" s="24">
        <v>0.79079999999999995</v>
      </c>
      <c r="C3157" s="24">
        <v>3023.6</v>
      </c>
      <c r="D3157" s="47">
        <f t="shared" si="49"/>
        <v>2391.06288</v>
      </c>
    </row>
    <row r="3158" spans="1:4">
      <c r="A3158" s="122">
        <v>38414</v>
      </c>
      <c r="B3158" s="24">
        <v>0.78239999999999998</v>
      </c>
      <c r="C3158" s="24">
        <v>3031.9</v>
      </c>
      <c r="D3158" s="47">
        <f t="shared" si="49"/>
        <v>2372.1585599999999</v>
      </c>
    </row>
    <row r="3159" spans="1:4">
      <c r="A3159" s="122">
        <v>38413</v>
      </c>
      <c r="B3159" s="24">
        <v>0.78320000000000001</v>
      </c>
      <c r="C3159" s="24">
        <v>3003</v>
      </c>
      <c r="D3159" s="47">
        <f t="shared" si="49"/>
        <v>2351.9495999999999</v>
      </c>
    </row>
    <row r="3160" spans="1:4">
      <c r="A3160" s="122">
        <v>38412</v>
      </c>
      <c r="B3160" s="24">
        <v>0.78620000000000001</v>
      </c>
      <c r="C3160" s="24">
        <v>2990.2</v>
      </c>
      <c r="D3160" s="47">
        <f t="shared" si="49"/>
        <v>2350.8952399999998</v>
      </c>
    </row>
    <row r="3161" spans="1:4">
      <c r="A3161" s="122">
        <v>38411</v>
      </c>
      <c r="B3161" s="24">
        <v>0.79200000000000004</v>
      </c>
      <c r="C3161" s="24">
        <v>3010.6</v>
      </c>
      <c r="D3161" s="47">
        <f t="shared" si="49"/>
        <v>2384.3951999999999</v>
      </c>
    </row>
    <row r="3162" spans="1:4">
      <c r="A3162" s="122">
        <v>38408</v>
      </c>
      <c r="B3162" s="24">
        <v>0.78690000000000004</v>
      </c>
      <c r="C3162" s="24">
        <v>2989.8</v>
      </c>
      <c r="D3162" s="47">
        <f t="shared" si="49"/>
        <v>2352.6736200000005</v>
      </c>
    </row>
    <row r="3163" spans="1:4">
      <c r="A3163" s="122">
        <v>38407</v>
      </c>
      <c r="B3163" s="24">
        <v>0.78690000000000004</v>
      </c>
      <c r="C3163" s="24">
        <v>2993.8</v>
      </c>
      <c r="D3163" s="47">
        <f t="shared" si="49"/>
        <v>2355.8212200000003</v>
      </c>
    </row>
    <row r="3164" spans="1:4">
      <c r="A3164" s="122">
        <v>38406</v>
      </c>
      <c r="B3164" s="24">
        <v>0.78710000000000002</v>
      </c>
      <c r="C3164" s="24">
        <v>2994.9</v>
      </c>
      <c r="D3164" s="47">
        <f t="shared" si="49"/>
        <v>2357.2857900000004</v>
      </c>
    </row>
    <row r="3165" spans="1:4">
      <c r="A3165" s="122">
        <v>38405</v>
      </c>
      <c r="B3165" s="24">
        <v>0.79430000000000001</v>
      </c>
      <c r="C3165" s="24">
        <v>2959.8</v>
      </c>
      <c r="D3165" s="47">
        <f t="shared" si="49"/>
        <v>2350.9691400000002</v>
      </c>
    </row>
    <row r="3166" spans="1:4">
      <c r="A3166" s="122">
        <v>38404</v>
      </c>
      <c r="B3166" s="24">
        <v>0.78939999999999999</v>
      </c>
      <c r="C3166" s="24">
        <v>2924.6</v>
      </c>
      <c r="D3166" s="47">
        <f t="shared" si="49"/>
        <v>2308.6792399999999</v>
      </c>
    </row>
    <row r="3167" spans="1:4">
      <c r="A3167" s="122">
        <v>38401</v>
      </c>
      <c r="B3167" s="24">
        <v>0.78859999999999997</v>
      </c>
      <c r="C3167" s="24">
        <v>2896.6</v>
      </c>
      <c r="D3167" s="47">
        <f t="shared" si="49"/>
        <v>2284.2587599999997</v>
      </c>
    </row>
    <row r="3168" spans="1:4">
      <c r="A3168" s="122">
        <v>38400</v>
      </c>
      <c r="B3168" s="24">
        <v>0.78790000000000004</v>
      </c>
      <c r="C3168" s="24">
        <v>2912.7</v>
      </c>
      <c r="D3168" s="47">
        <f t="shared" si="49"/>
        <v>2294.91633</v>
      </c>
    </row>
    <row r="3169" spans="1:4">
      <c r="A3169" s="122">
        <v>38399</v>
      </c>
      <c r="B3169" s="24">
        <v>0.78510000000000002</v>
      </c>
      <c r="C3169" s="24">
        <v>2946</v>
      </c>
      <c r="D3169" s="47">
        <f t="shared" si="49"/>
        <v>2312.9045999999998</v>
      </c>
    </row>
    <row r="3170" spans="1:4">
      <c r="A3170" s="122">
        <v>38398</v>
      </c>
      <c r="B3170" s="24">
        <v>0.78669999999999995</v>
      </c>
      <c r="C3170" s="24">
        <v>2940</v>
      </c>
      <c r="D3170" s="47">
        <f t="shared" si="49"/>
        <v>2312.8979999999997</v>
      </c>
    </row>
    <row r="3171" spans="1:4">
      <c r="A3171" s="122">
        <v>38397</v>
      </c>
      <c r="B3171" s="24">
        <v>0.78810000000000002</v>
      </c>
      <c r="C3171" s="24">
        <v>2991.6</v>
      </c>
      <c r="D3171" s="47">
        <f t="shared" si="49"/>
        <v>2357.6799599999999</v>
      </c>
    </row>
    <row r="3172" spans="1:4">
      <c r="A3172" s="122">
        <v>38394</v>
      </c>
      <c r="B3172" s="24">
        <v>0.78580000000000005</v>
      </c>
      <c r="C3172" s="24">
        <v>2999.3</v>
      </c>
      <c r="D3172" s="47">
        <f t="shared" si="49"/>
        <v>2356.8499400000005</v>
      </c>
    </row>
    <row r="3173" spans="1:4">
      <c r="A3173" s="122">
        <v>38393</v>
      </c>
      <c r="B3173" s="24">
        <v>0.78359999999999996</v>
      </c>
      <c r="C3173" s="24">
        <v>2998.2</v>
      </c>
      <c r="D3173" s="47">
        <f t="shared" si="49"/>
        <v>2349.3895199999997</v>
      </c>
    </row>
    <row r="3174" spans="1:4">
      <c r="A3174" s="122">
        <v>38392</v>
      </c>
      <c r="B3174" s="24">
        <v>0.77</v>
      </c>
      <c r="C3174" s="24">
        <v>2987.2</v>
      </c>
      <c r="D3174" s="47">
        <f t="shared" si="49"/>
        <v>2300.1439999999998</v>
      </c>
    </row>
    <row r="3175" spans="1:4">
      <c r="A3175" s="122">
        <v>38391</v>
      </c>
      <c r="B3175" s="24">
        <v>0.76619999999999999</v>
      </c>
      <c r="C3175" s="24">
        <v>2970.9</v>
      </c>
      <c r="D3175" s="47">
        <f t="shared" si="49"/>
        <v>2276.3035800000002</v>
      </c>
    </row>
    <row r="3176" spans="1:4">
      <c r="A3176" s="122">
        <v>38390</v>
      </c>
      <c r="B3176" s="24">
        <v>0.76880000000000004</v>
      </c>
      <c r="C3176" s="24">
        <v>3008.9</v>
      </c>
      <c r="D3176" s="47">
        <f t="shared" si="49"/>
        <v>2313.2423200000003</v>
      </c>
    </row>
    <row r="3177" spans="1:4">
      <c r="A3177" s="122">
        <v>38387</v>
      </c>
      <c r="B3177" s="24">
        <v>0.7702</v>
      </c>
      <c r="C3177" s="24">
        <v>2988.7</v>
      </c>
      <c r="D3177" s="47">
        <f t="shared" si="49"/>
        <v>2301.8967399999997</v>
      </c>
    </row>
    <row r="3178" spans="1:4">
      <c r="A3178" s="122">
        <v>38386</v>
      </c>
      <c r="B3178" s="24">
        <v>0.77029999999999998</v>
      </c>
      <c r="C3178" s="24">
        <v>2991.1</v>
      </c>
      <c r="D3178" s="47">
        <f t="shared" si="49"/>
        <v>2304.0443299999997</v>
      </c>
    </row>
    <row r="3179" spans="1:4">
      <c r="A3179" s="122">
        <v>38385</v>
      </c>
      <c r="B3179" s="24">
        <v>0.77780000000000005</v>
      </c>
      <c r="C3179" s="24">
        <v>3033.3</v>
      </c>
      <c r="D3179" s="47">
        <f t="shared" si="49"/>
        <v>2359.3007400000001</v>
      </c>
    </row>
    <row r="3180" spans="1:4">
      <c r="A3180" s="122">
        <v>38384</v>
      </c>
      <c r="B3180" s="24">
        <v>0.77490000000000003</v>
      </c>
      <c r="C3180" s="24">
        <v>3046.7</v>
      </c>
      <c r="D3180" s="47">
        <f t="shared" si="49"/>
        <v>2360.8878300000001</v>
      </c>
    </row>
    <row r="3181" spans="1:4">
      <c r="A3181" s="122">
        <v>38383</v>
      </c>
      <c r="B3181" s="24">
        <v>0.77480000000000004</v>
      </c>
      <c r="C3181" s="24">
        <v>3073.6</v>
      </c>
      <c r="D3181" s="47">
        <f t="shared" si="49"/>
        <v>2381.4252799999999</v>
      </c>
    </row>
    <row r="3182" spans="1:4">
      <c r="A3182" s="122">
        <v>38380</v>
      </c>
      <c r="B3182" s="24">
        <v>0.77439999999999998</v>
      </c>
      <c r="C3182" s="24">
        <v>3090.7</v>
      </c>
      <c r="D3182" s="47">
        <f t="shared" si="49"/>
        <v>2393.4380799999999</v>
      </c>
    </row>
    <row r="3183" spans="1:4">
      <c r="A3183" s="122">
        <v>38379</v>
      </c>
      <c r="B3183" s="24">
        <v>0.77610000000000001</v>
      </c>
      <c r="C3183" s="24">
        <v>3120.3</v>
      </c>
      <c r="D3183" s="47">
        <f t="shared" si="49"/>
        <v>2421.6648300000002</v>
      </c>
    </row>
    <row r="3184" spans="1:4">
      <c r="A3184" s="122">
        <v>38378</v>
      </c>
      <c r="B3184" s="24">
        <v>0.77400000000000002</v>
      </c>
      <c r="C3184" s="24">
        <v>3156.7</v>
      </c>
      <c r="D3184" s="47">
        <f t="shared" si="49"/>
        <v>2443.2858000000001</v>
      </c>
    </row>
    <row r="3185" spans="1:4">
      <c r="A3185" s="122">
        <v>38377</v>
      </c>
      <c r="B3185" s="24">
        <v>0.76429999999999998</v>
      </c>
      <c r="C3185" s="24">
        <v>3125.7</v>
      </c>
      <c r="D3185" s="47">
        <f t="shared" si="49"/>
        <v>2388.9725099999996</v>
      </c>
    </row>
    <row r="3186" spans="1:4">
      <c r="A3186" s="122">
        <v>38376</v>
      </c>
      <c r="B3186" s="24">
        <v>0.77010000000000001</v>
      </c>
      <c r="C3186" s="24">
        <v>3130.6</v>
      </c>
      <c r="D3186" s="47">
        <f t="shared" si="49"/>
        <v>2410.8750599999998</v>
      </c>
    </row>
    <row r="3187" spans="1:4">
      <c r="A3187" s="122">
        <v>38373</v>
      </c>
      <c r="B3187" s="24">
        <v>0.76970000000000005</v>
      </c>
      <c r="C3187" s="24">
        <v>3142.1</v>
      </c>
      <c r="D3187" s="47">
        <f t="shared" si="49"/>
        <v>2418.4743699999999</v>
      </c>
    </row>
    <row r="3188" spans="1:4">
      <c r="A3188" s="122">
        <v>38372</v>
      </c>
      <c r="B3188" s="24">
        <v>0.75890000000000002</v>
      </c>
      <c r="C3188" s="24">
        <v>3148</v>
      </c>
      <c r="D3188" s="47">
        <f t="shared" si="49"/>
        <v>2389.0172000000002</v>
      </c>
    </row>
    <row r="3189" spans="1:4">
      <c r="A3189" s="122">
        <v>38371</v>
      </c>
      <c r="B3189" s="24">
        <v>0.7591</v>
      </c>
      <c r="C3189" s="24">
        <v>3110.7</v>
      </c>
      <c r="D3189" s="47">
        <f t="shared" si="49"/>
        <v>2361.3323699999996</v>
      </c>
    </row>
    <row r="3190" spans="1:4">
      <c r="A3190" s="122">
        <v>38370</v>
      </c>
      <c r="B3190" s="24">
        <v>0.75609999999999999</v>
      </c>
      <c r="C3190" s="24">
        <v>3119.6</v>
      </c>
      <c r="D3190" s="47">
        <f t="shared" si="49"/>
        <v>2358.7295599999998</v>
      </c>
    </row>
    <row r="3191" spans="1:4">
      <c r="A3191" s="122">
        <v>38369</v>
      </c>
      <c r="B3191" s="24">
        <v>0.75749999999999995</v>
      </c>
      <c r="C3191" s="24">
        <v>3089.5</v>
      </c>
      <c r="D3191" s="47">
        <f t="shared" si="49"/>
        <v>2340.2962499999999</v>
      </c>
    </row>
    <row r="3192" spans="1:4">
      <c r="A3192" s="122">
        <v>38366</v>
      </c>
      <c r="B3192" s="24">
        <v>0.75900000000000001</v>
      </c>
      <c r="C3192" s="24">
        <v>3113.5</v>
      </c>
      <c r="D3192" s="47">
        <f t="shared" si="49"/>
        <v>2363.1464999999998</v>
      </c>
    </row>
    <row r="3193" spans="1:4">
      <c r="A3193" s="122">
        <v>38365</v>
      </c>
      <c r="B3193" s="24">
        <v>0.76649999999999996</v>
      </c>
      <c r="C3193" s="24">
        <v>3093.2</v>
      </c>
      <c r="D3193" s="47">
        <f t="shared" si="49"/>
        <v>2370.9377999999997</v>
      </c>
    </row>
    <row r="3194" spans="1:4">
      <c r="A3194" s="122">
        <v>38364</v>
      </c>
      <c r="B3194" s="24">
        <v>0.76749999999999996</v>
      </c>
      <c r="C3194" s="24">
        <v>3143.2</v>
      </c>
      <c r="D3194" s="47">
        <f t="shared" si="49"/>
        <v>2412.4059999999999</v>
      </c>
    </row>
    <row r="3195" spans="1:4">
      <c r="A3195" s="122">
        <v>38363</v>
      </c>
      <c r="B3195" s="24">
        <v>0.76170000000000004</v>
      </c>
      <c r="C3195" s="24">
        <v>3131</v>
      </c>
      <c r="D3195" s="47">
        <f t="shared" si="49"/>
        <v>2384.8827000000001</v>
      </c>
    </row>
    <row r="3196" spans="1:4">
      <c r="A3196" s="122">
        <v>38362</v>
      </c>
      <c r="B3196" s="24">
        <v>0.75849999999999995</v>
      </c>
      <c r="C3196" s="24">
        <v>3120.1</v>
      </c>
      <c r="D3196" s="47">
        <f t="shared" si="49"/>
        <v>2366.5958499999997</v>
      </c>
    </row>
    <row r="3197" spans="1:4">
      <c r="A3197" s="122">
        <v>38359</v>
      </c>
      <c r="B3197" s="24">
        <v>0.75660000000000005</v>
      </c>
      <c r="C3197" s="24">
        <v>3130.8</v>
      </c>
      <c r="D3197" s="47">
        <f t="shared" si="49"/>
        <v>2368.7632800000001</v>
      </c>
    </row>
    <row r="3198" spans="1:4">
      <c r="A3198" s="122">
        <v>38358</v>
      </c>
      <c r="B3198" s="24">
        <v>0.76029999999999998</v>
      </c>
      <c r="C3198" s="24">
        <v>3137.7</v>
      </c>
      <c r="D3198" s="47">
        <f t="shared" si="49"/>
        <v>2385.5933099999997</v>
      </c>
    </row>
    <row r="3199" spans="1:4">
      <c r="A3199" s="122">
        <v>38357</v>
      </c>
      <c r="B3199" s="24">
        <v>0.76470000000000005</v>
      </c>
      <c r="C3199" s="24">
        <v>3160.3</v>
      </c>
      <c r="D3199" s="47">
        <f t="shared" si="49"/>
        <v>2416.6814100000001</v>
      </c>
    </row>
    <row r="3200" spans="1:4">
      <c r="A3200" s="122">
        <v>38356</v>
      </c>
      <c r="B3200" s="24">
        <v>0.76490000000000002</v>
      </c>
      <c r="C3200" s="24">
        <v>3176.9</v>
      </c>
      <c r="D3200" s="47">
        <f t="shared" si="49"/>
        <v>2430.0108100000002</v>
      </c>
    </row>
    <row r="3201" spans="1:4">
      <c r="A3201" s="122">
        <v>38355</v>
      </c>
      <c r="B3201" s="24">
        <v>0.77929999999999999</v>
      </c>
      <c r="C3201" s="24">
        <v>3184.5</v>
      </c>
      <c r="D3201" s="47">
        <f t="shared" si="49"/>
        <v>2481.6808500000002</v>
      </c>
    </row>
    <row r="3202" spans="1:4">
      <c r="A3202" s="122">
        <v>38352</v>
      </c>
      <c r="B3202" s="24">
        <v>0.78249999999999997</v>
      </c>
      <c r="C3202" s="24">
        <v>3195.7</v>
      </c>
      <c r="D3202" s="47">
        <f t="shared" si="49"/>
        <v>2500.6352499999998</v>
      </c>
    </row>
    <row r="3203" spans="1:4">
      <c r="A3203" s="122">
        <v>38351</v>
      </c>
      <c r="B3203" s="24">
        <v>0.77939999999999998</v>
      </c>
      <c r="C3203" s="24">
        <v>3164.3</v>
      </c>
      <c r="D3203" s="47">
        <f t="shared" ref="D3203:D3266" si="50">C3203*B3203</f>
        <v>2466.25542</v>
      </c>
    </row>
    <row r="3204" spans="1:4">
      <c r="A3204" s="122">
        <v>38350</v>
      </c>
      <c r="B3204" s="24">
        <v>0.77300000000000002</v>
      </c>
      <c r="C3204" s="24">
        <v>3176.7</v>
      </c>
      <c r="D3204" s="47">
        <f t="shared" si="50"/>
        <v>2455.5891000000001</v>
      </c>
    </row>
    <row r="3205" spans="1:4">
      <c r="A3205" s="122">
        <v>38349</v>
      </c>
      <c r="B3205" s="24">
        <v>0.77959999999999996</v>
      </c>
      <c r="C3205" s="24">
        <v>3148.2</v>
      </c>
      <c r="D3205" s="47">
        <f t="shared" si="50"/>
        <v>2454.3367199999998</v>
      </c>
    </row>
    <row r="3206" spans="1:4">
      <c r="A3206" s="122">
        <v>38348</v>
      </c>
      <c r="B3206" s="24">
        <v>0.7772</v>
      </c>
      <c r="C3206" s="24">
        <v>3133.3</v>
      </c>
      <c r="D3206" s="47">
        <f t="shared" si="50"/>
        <v>2435.2007600000002</v>
      </c>
    </row>
    <row r="3207" spans="1:4">
      <c r="A3207" s="122">
        <v>38345</v>
      </c>
      <c r="B3207" s="24">
        <v>0.76890000000000003</v>
      </c>
      <c r="C3207" s="24">
        <v>3128</v>
      </c>
      <c r="D3207" s="47">
        <f t="shared" si="50"/>
        <v>2405.1192000000001</v>
      </c>
    </row>
    <row r="3208" spans="1:4">
      <c r="A3208" s="122">
        <v>38344</v>
      </c>
      <c r="B3208" s="24">
        <v>0.76670000000000005</v>
      </c>
      <c r="C3208" s="24">
        <v>3096.2</v>
      </c>
      <c r="D3208" s="47">
        <f t="shared" si="50"/>
        <v>2373.8565400000002</v>
      </c>
    </row>
    <row r="3209" spans="1:4">
      <c r="A3209" s="122">
        <v>38343</v>
      </c>
      <c r="B3209" s="24">
        <v>0.76449999999999996</v>
      </c>
      <c r="C3209" s="24">
        <v>3110.3</v>
      </c>
      <c r="D3209" s="47">
        <f t="shared" si="50"/>
        <v>2377.8243499999999</v>
      </c>
    </row>
    <row r="3210" spans="1:4">
      <c r="A3210" s="122">
        <v>38342</v>
      </c>
      <c r="B3210" s="24">
        <v>0.76539999999999997</v>
      </c>
      <c r="C3210" s="24">
        <v>3103.8</v>
      </c>
      <c r="D3210" s="47">
        <f t="shared" si="50"/>
        <v>2375.6485200000002</v>
      </c>
    </row>
    <row r="3211" spans="1:4">
      <c r="A3211" s="122">
        <v>38341</v>
      </c>
      <c r="B3211" s="24">
        <v>0.76380000000000003</v>
      </c>
      <c r="C3211" s="24">
        <v>3106.8</v>
      </c>
      <c r="D3211" s="47">
        <f t="shared" si="50"/>
        <v>2372.9738400000001</v>
      </c>
    </row>
    <row r="3212" spans="1:4">
      <c r="A3212" s="122">
        <v>38338</v>
      </c>
      <c r="B3212" s="24">
        <v>0.76400000000000001</v>
      </c>
      <c r="C3212" s="24">
        <v>3077.1</v>
      </c>
      <c r="D3212" s="47">
        <f t="shared" si="50"/>
        <v>2350.9043999999999</v>
      </c>
    </row>
    <row r="3213" spans="1:4">
      <c r="A3213" s="122">
        <v>38337</v>
      </c>
      <c r="B3213" s="24">
        <v>0.75649999999999995</v>
      </c>
      <c r="C3213" s="24">
        <v>3051</v>
      </c>
      <c r="D3213" s="47">
        <f t="shared" si="50"/>
        <v>2308.0814999999998</v>
      </c>
    </row>
    <row r="3214" spans="1:4">
      <c r="A3214" s="122">
        <v>38336</v>
      </c>
      <c r="B3214" s="24">
        <v>0.76329999999999998</v>
      </c>
      <c r="C3214" s="24">
        <v>2985.6</v>
      </c>
      <c r="D3214" s="47">
        <f t="shared" si="50"/>
        <v>2278.9084800000001</v>
      </c>
    </row>
    <row r="3215" spans="1:4">
      <c r="A3215" s="122">
        <v>38335</v>
      </c>
      <c r="B3215" s="24">
        <v>0.75660000000000005</v>
      </c>
      <c r="C3215" s="24">
        <v>3009.2</v>
      </c>
      <c r="D3215" s="47">
        <f t="shared" si="50"/>
        <v>2276.7607200000002</v>
      </c>
    </row>
    <row r="3216" spans="1:4">
      <c r="A3216" s="122">
        <v>38334</v>
      </c>
      <c r="B3216" s="24">
        <v>0.75870000000000004</v>
      </c>
      <c r="C3216" s="24">
        <v>3053.9</v>
      </c>
      <c r="D3216" s="47">
        <f t="shared" si="50"/>
        <v>2316.9939300000001</v>
      </c>
    </row>
    <row r="3217" spans="1:4">
      <c r="A3217" s="122">
        <v>38331</v>
      </c>
      <c r="B3217" s="24">
        <v>0.75109999999999999</v>
      </c>
      <c r="C3217" s="24">
        <v>3077.3</v>
      </c>
      <c r="D3217" s="47">
        <f t="shared" si="50"/>
        <v>2311.3600300000003</v>
      </c>
    </row>
    <row r="3218" spans="1:4">
      <c r="A3218" s="122">
        <v>38330</v>
      </c>
      <c r="B3218" s="24">
        <v>0.75629999999999997</v>
      </c>
      <c r="C3218" s="24">
        <v>3086.2</v>
      </c>
      <c r="D3218" s="47">
        <f t="shared" si="50"/>
        <v>2334.0930599999997</v>
      </c>
    </row>
    <row r="3219" spans="1:4">
      <c r="A3219" s="122">
        <v>38329</v>
      </c>
      <c r="B3219" s="24">
        <v>0.75639999999999996</v>
      </c>
      <c r="C3219" s="24">
        <v>3083.8</v>
      </c>
      <c r="D3219" s="47">
        <f t="shared" si="50"/>
        <v>2332.5863199999999</v>
      </c>
    </row>
    <row r="3220" spans="1:4">
      <c r="A3220" s="122">
        <v>38328</v>
      </c>
      <c r="B3220" s="24">
        <v>0.77410000000000001</v>
      </c>
      <c r="C3220" s="24">
        <v>3035.2</v>
      </c>
      <c r="D3220" s="47">
        <f t="shared" si="50"/>
        <v>2349.5483199999999</v>
      </c>
    </row>
    <row r="3221" spans="1:4">
      <c r="A3221" s="122">
        <v>38327</v>
      </c>
      <c r="B3221" s="24">
        <v>0.7742</v>
      </c>
      <c r="C3221" s="24">
        <v>2989.5</v>
      </c>
      <c r="D3221" s="47">
        <f t="shared" si="50"/>
        <v>2314.4708999999998</v>
      </c>
    </row>
    <row r="3222" spans="1:4">
      <c r="A3222" s="122">
        <v>38324</v>
      </c>
      <c r="B3222" s="24">
        <v>0.78129999999999999</v>
      </c>
      <c r="C3222" s="24">
        <v>3042.4</v>
      </c>
      <c r="D3222" s="47">
        <f t="shared" si="50"/>
        <v>2377.0271200000002</v>
      </c>
    </row>
    <row r="3223" spans="1:4">
      <c r="A3223" s="122">
        <v>38323</v>
      </c>
      <c r="B3223" s="24">
        <v>0.77510000000000001</v>
      </c>
      <c r="C3223" s="24">
        <v>3017.2</v>
      </c>
      <c r="D3223" s="47">
        <f t="shared" si="50"/>
        <v>2338.6317199999999</v>
      </c>
    </row>
    <row r="3224" spans="1:4">
      <c r="A3224" s="122">
        <v>38322</v>
      </c>
      <c r="B3224" s="24">
        <v>0.77590000000000003</v>
      </c>
      <c r="C3224" s="24">
        <v>3088.6</v>
      </c>
      <c r="D3224" s="47">
        <f t="shared" si="50"/>
        <v>2396.4447399999999</v>
      </c>
    </row>
    <row r="3225" spans="1:4">
      <c r="A3225" s="122">
        <v>38321</v>
      </c>
      <c r="B3225" s="24">
        <v>0.77100000000000002</v>
      </c>
      <c r="C3225" s="24">
        <v>3089.4</v>
      </c>
      <c r="D3225" s="47">
        <f t="shared" si="50"/>
        <v>2381.9274</v>
      </c>
    </row>
    <row r="3226" spans="1:4">
      <c r="A3226" s="122">
        <v>38320</v>
      </c>
      <c r="B3226" s="24">
        <v>0.78490000000000004</v>
      </c>
      <c r="C3226" s="24">
        <v>3109.2</v>
      </c>
      <c r="D3226" s="47">
        <f t="shared" si="50"/>
        <v>2440.4110799999999</v>
      </c>
    </row>
    <row r="3227" spans="1:4">
      <c r="A3227" s="122">
        <v>38317</v>
      </c>
      <c r="B3227" s="24">
        <v>0.79049999999999998</v>
      </c>
      <c r="C3227" s="24">
        <v>3152.3</v>
      </c>
      <c r="D3227" s="47">
        <f t="shared" si="50"/>
        <v>2491.8931499999999</v>
      </c>
    </row>
    <row r="3228" spans="1:4">
      <c r="A3228" s="122">
        <v>38316</v>
      </c>
      <c r="B3228" s="24">
        <v>0.7913</v>
      </c>
      <c r="C3228" s="24">
        <v>3122.2</v>
      </c>
      <c r="D3228" s="47">
        <f t="shared" si="50"/>
        <v>2470.5968599999997</v>
      </c>
    </row>
    <row r="3229" spans="1:4">
      <c r="A3229" s="122">
        <v>38315</v>
      </c>
      <c r="B3229" s="24">
        <v>0.78810000000000002</v>
      </c>
      <c r="C3229" s="24">
        <v>3157.7</v>
      </c>
      <c r="D3229" s="47">
        <f t="shared" si="50"/>
        <v>2488.5833699999998</v>
      </c>
    </row>
    <row r="3230" spans="1:4">
      <c r="A3230" s="122">
        <v>38314</v>
      </c>
      <c r="B3230" s="24">
        <v>0.78580000000000005</v>
      </c>
      <c r="C3230" s="24">
        <v>3187.3</v>
      </c>
      <c r="D3230" s="47">
        <f t="shared" si="50"/>
        <v>2504.5803400000004</v>
      </c>
    </row>
    <row r="3231" spans="1:4">
      <c r="A3231" s="122">
        <v>38313</v>
      </c>
      <c r="B3231" s="24">
        <v>0.78249999999999997</v>
      </c>
      <c r="C3231" s="24">
        <v>3197.4</v>
      </c>
      <c r="D3231" s="47">
        <f t="shared" si="50"/>
        <v>2501.9654999999998</v>
      </c>
    </row>
    <row r="3232" spans="1:4">
      <c r="A3232" s="122">
        <v>38310</v>
      </c>
      <c r="B3232" s="24">
        <v>0.78369999999999995</v>
      </c>
      <c r="C3232" s="24">
        <v>3192.4</v>
      </c>
      <c r="D3232" s="47">
        <f t="shared" si="50"/>
        <v>2501.8838799999999</v>
      </c>
    </row>
    <row r="3233" spans="1:4">
      <c r="A3233" s="122">
        <v>38309</v>
      </c>
      <c r="B3233" s="24">
        <v>0.77849999999999997</v>
      </c>
      <c r="C3233" s="24">
        <v>3226.2</v>
      </c>
      <c r="D3233" s="47">
        <f t="shared" si="50"/>
        <v>2511.5966999999996</v>
      </c>
    </row>
    <row r="3234" spans="1:4">
      <c r="A3234" s="122">
        <v>38308</v>
      </c>
      <c r="B3234" s="24">
        <v>0.78190000000000004</v>
      </c>
      <c r="C3234" s="24">
        <v>3258.4</v>
      </c>
      <c r="D3234" s="47">
        <f t="shared" si="50"/>
        <v>2547.74296</v>
      </c>
    </row>
    <row r="3235" spans="1:4">
      <c r="A3235" s="122">
        <v>38307</v>
      </c>
      <c r="B3235" s="24">
        <v>0.77270000000000005</v>
      </c>
      <c r="C3235" s="24">
        <v>3233.7</v>
      </c>
      <c r="D3235" s="47">
        <f t="shared" si="50"/>
        <v>2498.6799900000001</v>
      </c>
    </row>
    <row r="3236" spans="1:4">
      <c r="A3236" s="122">
        <v>38306</v>
      </c>
      <c r="B3236" s="24">
        <v>0.77339999999999998</v>
      </c>
      <c r="C3236" s="24">
        <v>3214.8</v>
      </c>
      <c r="D3236" s="47">
        <f t="shared" si="50"/>
        <v>2486.3263200000001</v>
      </c>
    </row>
    <row r="3237" spans="1:4">
      <c r="A3237" s="122">
        <v>38303</v>
      </c>
      <c r="B3237" s="24">
        <v>0.76939999999999997</v>
      </c>
      <c r="C3237" s="24">
        <v>3208.7</v>
      </c>
      <c r="D3237" s="47">
        <f t="shared" si="50"/>
        <v>2468.77378</v>
      </c>
    </row>
    <row r="3238" spans="1:4">
      <c r="A3238" s="122">
        <v>38302</v>
      </c>
      <c r="B3238" s="24">
        <v>0.76490000000000002</v>
      </c>
      <c r="C3238" s="24">
        <v>3185.9</v>
      </c>
      <c r="D3238" s="47">
        <f t="shared" si="50"/>
        <v>2436.89491</v>
      </c>
    </row>
    <row r="3239" spans="1:4">
      <c r="A3239" s="122">
        <v>38301</v>
      </c>
      <c r="B3239" s="24">
        <v>0.75970000000000004</v>
      </c>
      <c r="C3239" s="24">
        <v>3212.1</v>
      </c>
      <c r="D3239" s="47">
        <f t="shared" si="50"/>
        <v>2440.2323700000002</v>
      </c>
    </row>
    <row r="3240" spans="1:4">
      <c r="A3240" s="122">
        <v>38300</v>
      </c>
      <c r="B3240" s="24">
        <v>0.76049999999999995</v>
      </c>
      <c r="C3240" s="24">
        <v>3227.9</v>
      </c>
      <c r="D3240" s="47">
        <f t="shared" si="50"/>
        <v>2454.8179500000001</v>
      </c>
    </row>
    <row r="3241" spans="1:4">
      <c r="A3241" s="122">
        <v>38299</v>
      </c>
      <c r="B3241" s="24">
        <v>0.75700000000000001</v>
      </c>
      <c r="C3241" s="24">
        <v>3216</v>
      </c>
      <c r="D3241" s="47">
        <f t="shared" si="50"/>
        <v>2434.5120000000002</v>
      </c>
    </row>
    <row r="3242" spans="1:4">
      <c r="A3242" s="122">
        <v>38296</v>
      </c>
      <c r="B3242" s="24">
        <v>0.7621</v>
      </c>
      <c r="C3242" s="24">
        <v>3212.9</v>
      </c>
      <c r="D3242" s="47">
        <f t="shared" si="50"/>
        <v>2448.5510899999999</v>
      </c>
    </row>
    <row r="3243" spans="1:4">
      <c r="A3243" s="122">
        <v>38295</v>
      </c>
      <c r="B3243" s="24">
        <v>0.75729999999999997</v>
      </c>
      <c r="C3243" s="24">
        <v>3179.4</v>
      </c>
      <c r="D3243" s="47">
        <f t="shared" si="50"/>
        <v>2407.7596199999998</v>
      </c>
    </row>
    <row r="3244" spans="1:4">
      <c r="A3244" s="122">
        <v>38294</v>
      </c>
      <c r="B3244" s="24">
        <v>0.75600000000000001</v>
      </c>
      <c r="C3244" s="24">
        <v>3227.6</v>
      </c>
      <c r="D3244" s="47">
        <f t="shared" si="50"/>
        <v>2440.0655999999999</v>
      </c>
    </row>
    <row r="3245" spans="1:4">
      <c r="A3245" s="122">
        <v>38293</v>
      </c>
      <c r="B3245" s="24">
        <v>0.74660000000000004</v>
      </c>
      <c r="C3245" s="24">
        <v>3235.3</v>
      </c>
      <c r="D3245" s="47">
        <f t="shared" si="50"/>
        <v>2415.4749800000004</v>
      </c>
    </row>
    <row r="3246" spans="1:4">
      <c r="A3246" s="122">
        <v>38292</v>
      </c>
      <c r="B3246" s="24">
        <v>0.74639999999999995</v>
      </c>
      <c r="C3246" s="24">
        <v>3252.2</v>
      </c>
      <c r="D3246" s="47">
        <f t="shared" si="50"/>
        <v>2427.4420799999998</v>
      </c>
    </row>
    <row r="3247" spans="1:4">
      <c r="A3247" s="122">
        <v>38289</v>
      </c>
      <c r="B3247" s="24">
        <v>0.748</v>
      </c>
      <c r="C3247" s="24">
        <v>3279.6</v>
      </c>
      <c r="D3247" s="47">
        <f t="shared" si="50"/>
        <v>2453.1408000000001</v>
      </c>
    </row>
    <row r="3248" spans="1:4">
      <c r="A3248" s="122">
        <v>38288</v>
      </c>
      <c r="B3248" s="24">
        <v>0.74580000000000002</v>
      </c>
      <c r="C3248" s="24">
        <v>3279.9</v>
      </c>
      <c r="D3248" s="47">
        <f t="shared" si="50"/>
        <v>2446.1494200000002</v>
      </c>
    </row>
    <row r="3249" spans="1:4">
      <c r="A3249" s="122">
        <v>38287</v>
      </c>
      <c r="B3249" s="24">
        <v>0.74470000000000003</v>
      </c>
      <c r="C3249" s="24">
        <v>3311.9</v>
      </c>
      <c r="D3249" s="47">
        <f t="shared" si="50"/>
        <v>2466.3719300000002</v>
      </c>
    </row>
    <row r="3250" spans="1:4">
      <c r="A3250" s="122">
        <v>38286</v>
      </c>
      <c r="B3250" s="24">
        <v>0.746</v>
      </c>
      <c r="C3250" s="24">
        <v>3299.7</v>
      </c>
      <c r="D3250" s="47">
        <f t="shared" si="50"/>
        <v>2461.5762</v>
      </c>
    </row>
    <row r="3251" spans="1:4">
      <c r="A3251" s="122">
        <v>38285</v>
      </c>
      <c r="B3251" s="24">
        <v>0.74660000000000004</v>
      </c>
      <c r="C3251" s="24">
        <v>3294.1</v>
      </c>
      <c r="D3251" s="47">
        <f t="shared" si="50"/>
        <v>2459.3750599999998</v>
      </c>
    </row>
    <row r="3252" spans="1:4">
      <c r="A3252" s="122">
        <v>38282</v>
      </c>
      <c r="B3252" s="24">
        <v>0.73960000000000004</v>
      </c>
      <c r="C3252" s="24">
        <v>3313.6</v>
      </c>
      <c r="D3252" s="47">
        <f t="shared" si="50"/>
        <v>2450.7385600000002</v>
      </c>
    </row>
    <row r="3253" spans="1:4">
      <c r="A3253" s="122">
        <v>38281</v>
      </c>
      <c r="B3253" s="24">
        <v>0.73809999999999998</v>
      </c>
      <c r="C3253" s="24">
        <v>3327.9</v>
      </c>
      <c r="D3253" s="47">
        <f t="shared" si="50"/>
        <v>2456.3229900000001</v>
      </c>
    </row>
    <row r="3254" spans="1:4">
      <c r="A3254" s="122">
        <v>38280</v>
      </c>
      <c r="B3254" s="24">
        <v>0.7339</v>
      </c>
      <c r="C3254" s="24">
        <v>3328.5</v>
      </c>
      <c r="D3254" s="47">
        <f t="shared" si="50"/>
        <v>2442.7861499999999</v>
      </c>
    </row>
    <row r="3255" spans="1:4">
      <c r="A3255" s="122">
        <v>38279</v>
      </c>
      <c r="B3255" s="24">
        <v>0.72719999999999996</v>
      </c>
      <c r="C3255" s="24">
        <v>3342.8</v>
      </c>
      <c r="D3255" s="47">
        <f t="shared" si="50"/>
        <v>2430.8841600000001</v>
      </c>
    </row>
    <row r="3256" spans="1:4">
      <c r="A3256" s="122">
        <v>38278</v>
      </c>
      <c r="B3256" s="24">
        <v>0.7258</v>
      </c>
      <c r="C3256" s="24">
        <v>3344.3</v>
      </c>
      <c r="D3256" s="47">
        <f t="shared" si="50"/>
        <v>2427.2929400000003</v>
      </c>
    </row>
    <row r="3257" spans="1:4">
      <c r="A3257" s="122">
        <v>38275</v>
      </c>
      <c r="B3257" s="24">
        <v>0.73060000000000003</v>
      </c>
      <c r="C3257" s="24">
        <v>3350.2</v>
      </c>
      <c r="D3257" s="47">
        <f t="shared" si="50"/>
        <v>2447.6561200000001</v>
      </c>
    </row>
    <row r="3258" spans="1:4">
      <c r="A3258" s="122">
        <v>38274</v>
      </c>
      <c r="B3258" s="24">
        <v>0.7298</v>
      </c>
      <c r="C3258" s="24">
        <v>3347.1</v>
      </c>
      <c r="D3258" s="47">
        <f t="shared" si="50"/>
        <v>2442.7135800000001</v>
      </c>
    </row>
    <row r="3259" spans="1:4">
      <c r="A3259" s="122">
        <v>38273</v>
      </c>
      <c r="B3259" s="24">
        <v>0.72560000000000002</v>
      </c>
      <c r="C3259" s="24">
        <v>3375.6</v>
      </c>
      <c r="D3259" s="47">
        <f t="shared" si="50"/>
        <v>2449.33536</v>
      </c>
    </row>
    <row r="3260" spans="1:4">
      <c r="A3260" s="122">
        <v>38272</v>
      </c>
      <c r="B3260" s="24">
        <v>0.73080000000000001</v>
      </c>
      <c r="C3260" s="24">
        <v>3373.6</v>
      </c>
      <c r="D3260" s="47">
        <f t="shared" si="50"/>
        <v>2465.42688</v>
      </c>
    </row>
    <row r="3261" spans="1:4">
      <c r="A3261" s="122">
        <v>38271</v>
      </c>
      <c r="B3261" s="24">
        <v>0.73270000000000002</v>
      </c>
      <c r="C3261" s="24">
        <v>3387.1</v>
      </c>
      <c r="D3261" s="47">
        <f t="shared" si="50"/>
        <v>2481.7281699999999</v>
      </c>
    </row>
    <row r="3262" spans="1:4">
      <c r="A3262" s="122">
        <v>38268</v>
      </c>
      <c r="B3262" s="24">
        <v>0.73480000000000001</v>
      </c>
      <c r="C3262" s="24">
        <v>3381.2</v>
      </c>
      <c r="D3262" s="47">
        <f t="shared" si="50"/>
        <v>2484.50576</v>
      </c>
    </row>
    <row r="3263" spans="1:4">
      <c r="A3263" s="122">
        <v>38267</v>
      </c>
      <c r="B3263" s="24">
        <v>0.7278</v>
      </c>
      <c r="C3263" s="24">
        <v>3385.9</v>
      </c>
      <c r="D3263" s="47">
        <f t="shared" si="50"/>
        <v>2464.2580200000002</v>
      </c>
    </row>
    <row r="3264" spans="1:4">
      <c r="A3264" s="122">
        <v>38266</v>
      </c>
      <c r="B3264" s="24">
        <v>0.72389999999999999</v>
      </c>
      <c r="C3264" s="24">
        <v>3381.6</v>
      </c>
      <c r="D3264" s="47">
        <f t="shared" si="50"/>
        <v>2447.9402399999999</v>
      </c>
    </row>
    <row r="3265" spans="1:4">
      <c r="A3265" s="122">
        <v>38265</v>
      </c>
      <c r="B3265" s="24">
        <v>0.72450000000000003</v>
      </c>
      <c r="C3265" s="24">
        <v>3387.1</v>
      </c>
      <c r="D3265" s="47">
        <f t="shared" si="50"/>
        <v>2453.9539500000001</v>
      </c>
    </row>
    <row r="3266" spans="1:4">
      <c r="A3266" s="122">
        <v>38264</v>
      </c>
      <c r="B3266" s="24">
        <v>0.72260000000000002</v>
      </c>
      <c r="C3266" s="24">
        <v>3373.5</v>
      </c>
      <c r="D3266" s="47">
        <f t="shared" si="50"/>
        <v>2437.6911</v>
      </c>
    </row>
    <row r="3267" spans="1:4">
      <c r="A3267" s="122">
        <v>38261</v>
      </c>
      <c r="B3267" s="24">
        <v>0.72560000000000002</v>
      </c>
      <c r="C3267" s="24">
        <v>3389.8</v>
      </c>
      <c r="D3267" s="47">
        <f t="shared" ref="D3267:D3330" si="51">C3267*B3267</f>
        <v>2459.6388800000004</v>
      </c>
    </row>
    <row r="3268" spans="1:4">
      <c r="A3268" s="122">
        <v>38260</v>
      </c>
      <c r="B3268" s="24">
        <v>0.7278</v>
      </c>
      <c r="C3268" s="24">
        <v>3376.9</v>
      </c>
      <c r="D3268" s="47">
        <f t="shared" si="51"/>
        <v>2457.7078200000001</v>
      </c>
    </row>
    <row r="3269" spans="1:4">
      <c r="A3269" s="122">
        <v>38259</v>
      </c>
      <c r="B3269" s="24">
        <v>0.71660000000000001</v>
      </c>
      <c r="C3269" s="24">
        <v>3393.3</v>
      </c>
      <c r="D3269" s="47">
        <f t="shared" si="51"/>
        <v>2431.6387800000002</v>
      </c>
    </row>
    <row r="3270" spans="1:4">
      <c r="A3270" s="122">
        <v>38258</v>
      </c>
      <c r="B3270" s="24">
        <v>0.71709999999999996</v>
      </c>
      <c r="C3270" s="24">
        <v>3412.6</v>
      </c>
      <c r="D3270" s="47">
        <f t="shared" si="51"/>
        <v>2447.1754599999999</v>
      </c>
    </row>
    <row r="3271" spans="1:4">
      <c r="A3271" s="122">
        <v>38257</v>
      </c>
      <c r="B3271" s="24">
        <v>0.71199999999999997</v>
      </c>
      <c r="C3271" s="24">
        <v>3395.3</v>
      </c>
      <c r="D3271" s="47">
        <f t="shared" si="51"/>
        <v>2417.4535999999998</v>
      </c>
    </row>
    <row r="3272" spans="1:4">
      <c r="A3272" s="122">
        <v>38254</v>
      </c>
      <c r="B3272" s="24">
        <v>0.71360000000000001</v>
      </c>
      <c r="C3272" s="24">
        <v>3376.1</v>
      </c>
      <c r="D3272" s="47">
        <f t="shared" si="51"/>
        <v>2409.18496</v>
      </c>
    </row>
    <row r="3273" spans="1:4">
      <c r="A3273" s="122">
        <v>38253</v>
      </c>
      <c r="B3273" s="24">
        <v>0.71360000000000001</v>
      </c>
      <c r="C3273" s="24">
        <v>3314.3</v>
      </c>
      <c r="D3273" s="47">
        <f t="shared" si="51"/>
        <v>2365.08448</v>
      </c>
    </row>
    <row r="3274" spans="1:4">
      <c r="A3274" s="122">
        <v>38252</v>
      </c>
      <c r="B3274" s="24">
        <v>0.70650000000000002</v>
      </c>
      <c r="C3274" s="24">
        <v>3302.5</v>
      </c>
      <c r="D3274" s="47">
        <f t="shared" si="51"/>
        <v>2333.2162499999999</v>
      </c>
    </row>
    <row r="3275" spans="1:4">
      <c r="A3275" s="122">
        <v>38251</v>
      </c>
      <c r="B3275" s="24">
        <v>0.70320000000000005</v>
      </c>
      <c r="C3275" s="24">
        <v>3330.9</v>
      </c>
      <c r="D3275" s="47">
        <f t="shared" si="51"/>
        <v>2342.2888800000001</v>
      </c>
    </row>
    <row r="3276" spans="1:4">
      <c r="A3276" s="122">
        <v>38250</v>
      </c>
      <c r="B3276" s="24">
        <v>0.70030000000000003</v>
      </c>
      <c r="C3276" s="24">
        <v>3338.5</v>
      </c>
      <c r="D3276" s="47">
        <f t="shared" si="51"/>
        <v>2337.9515500000002</v>
      </c>
    </row>
    <row r="3277" spans="1:4">
      <c r="A3277" s="122">
        <v>38247</v>
      </c>
      <c r="B3277" s="24">
        <v>0.69810000000000005</v>
      </c>
      <c r="C3277" s="24">
        <v>3339.9</v>
      </c>
      <c r="D3277" s="47">
        <f t="shared" si="51"/>
        <v>2331.58419</v>
      </c>
    </row>
    <row r="3278" spans="1:4">
      <c r="A3278" s="122">
        <v>38246</v>
      </c>
      <c r="B3278" s="24">
        <v>0.69910000000000005</v>
      </c>
      <c r="C3278" s="24">
        <v>3325</v>
      </c>
      <c r="D3278" s="47">
        <f t="shared" si="51"/>
        <v>2324.5075000000002</v>
      </c>
    </row>
    <row r="3279" spans="1:4">
      <c r="A3279" s="122">
        <v>38245</v>
      </c>
      <c r="B3279" s="24">
        <v>0.69499999999999995</v>
      </c>
      <c r="C3279" s="24">
        <v>3345.4</v>
      </c>
      <c r="D3279" s="47">
        <f t="shared" si="51"/>
        <v>2325.0529999999999</v>
      </c>
    </row>
    <row r="3280" spans="1:4">
      <c r="A3280" s="122">
        <v>38244</v>
      </c>
      <c r="B3280" s="24">
        <v>0.70169999999999999</v>
      </c>
      <c r="C3280" s="24">
        <v>3366</v>
      </c>
      <c r="D3280" s="47">
        <f t="shared" si="51"/>
        <v>2361.9222</v>
      </c>
    </row>
    <row r="3281" spans="1:4">
      <c r="A3281" s="122">
        <v>38243</v>
      </c>
      <c r="B3281" s="24">
        <v>0.69520000000000004</v>
      </c>
      <c r="C3281" s="24">
        <v>3362.3</v>
      </c>
      <c r="D3281" s="47">
        <f t="shared" si="51"/>
        <v>2337.4709600000001</v>
      </c>
    </row>
    <row r="3282" spans="1:4">
      <c r="A3282" s="122">
        <v>38240</v>
      </c>
      <c r="B3282" s="24">
        <v>0.69530000000000003</v>
      </c>
      <c r="C3282" s="24">
        <v>3360.4</v>
      </c>
      <c r="D3282" s="47">
        <f t="shared" si="51"/>
        <v>2336.48612</v>
      </c>
    </row>
    <row r="3283" spans="1:4">
      <c r="A3283" s="122">
        <v>38239</v>
      </c>
      <c r="B3283" s="24">
        <v>0.68789999999999996</v>
      </c>
      <c r="C3283" s="24">
        <v>3350</v>
      </c>
      <c r="D3283" s="47">
        <f t="shared" si="51"/>
        <v>2304.4649999999997</v>
      </c>
    </row>
    <row r="3284" spans="1:4">
      <c r="A3284" s="122">
        <v>38238</v>
      </c>
      <c r="B3284" s="24">
        <v>0.69630000000000003</v>
      </c>
      <c r="C3284" s="24">
        <v>3352.8</v>
      </c>
      <c r="D3284" s="47">
        <f t="shared" si="51"/>
        <v>2334.5546400000003</v>
      </c>
    </row>
    <row r="3285" spans="1:4">
      <c r="A3285" s="122">
        <v>38237</v>
      </c>
      <c r="B3285" s="24">
        <v>0.69369999999999998</v>
      </c>
      <c r="C3285" s="24">
        <v>3379.1</v>
      </c>
      <c r="D3285" s="47">
        <f t="shared" si="51"/>
        <v>2344.08167</v>
      </c>
    </row>
    <row r="3286" spans="1:4">
      <c r="A3286" s="122">
        <v>38236</v>
      </c>
      <c r="B3286" s="24">
        <v>0.6925</v>
      </c>
      <c r="C3286" s="24">
        <v>3373.6</v>
      </c>
      <c r="D3286" s="47">
        <f t="shared" si="51"/>
        <v>2336.2179999999998</v>
      </c>
    </row>
    <row r="3287" spans="1:4">
      <c r="A3287" s="122">
        <v>38233</v>
      </c>
      <c r="B3287" s="24">
        <v>0.69120000000000004</v>
      </c>
      <c r="C3287" s="24">
        <v>3403.9</v>
      </c>
      <c r="D3287" s="47">
        <f t="shared" si="51"/>
        <v>2352.7756800000002</v>
      </c>
    </row>
    <row r="3288" spans="1:4">
      <c r="A3288" s="122">
        <v>38232</v>
      </c>
      <c r="B3288" s="24">
        <v>0.69550000000000001</v>
      </c>
      <c r="C3288" s="24">
        <v>3414.1</v>
      </c>
      <c r="D3288" s="47">
        <f t="shared" si="51"/>
        <v>2374.5065500000001</v>
      </c>
    </row>
    <row r="3289" spans="1:4">
      <c r="A3289" s="122">
        <v>38231</v>
      </c>
      <c r="B3289" s="24">
        <v>0.70369999999999999</v>
      </c>
      <c r="C3289" s="24">
        <v>3407.3</v>
      </c>
      <c r="D3289" s="47">
        <f t="shared" si="51"/>
        <v>2397.7170100000003</v>
      </c>
    </row>
    <row r="3290" spans="1:4">
      <c r="A3290" s="122">
        <v>38230</v>
      </c>
      <c r="B3290" s="24">
        <v>0.70440000000000003</v>
      </c>
      <c r="C3290" s="24">
        <v>3406.7</v>
      </c>
      <c r="D3290" s="47">
        <f t="shared" si="51"/>
        <v>2399.6794799999998</v>
      </c>
    </row>
    <row r="3291" spans="1:4">
      <c r="A3291" s="122">
        <v>38229</v>
      </c>
      <c r="B3291" s="24">
        <v>0.69869999999999999</v>
      </c>
      <c r="C3291" s="24">
        <v>3401.3</v>
      </c>
      <c r="D3291" s="47">
        <f t="shared" si="51"/>
        <v>2376.4883100000002</v>
      </c>
    </row>
    <row r="3292" spans="1:4">
      <c r="A3292" s="122">
        <v>38226</v>
      </c>
      <c r="B3292" s="24">
        <v>0.70309999999999995</v>
      </c>
      <c r="C3292" s="24">
        <v>3386.6</v>
      </c>
      <c r="D3292" s="47">
        <f t="shared" si="51"/>
        <v>2381.1184599999997</v>
      </c>
    </row>
    <row r="3293" spans="1:4">
      <c r="A3293" s="122">
        <v>38225</v>
      </c>
      <c r="B3293" s="24">
        <v>0.70379999999999998</v>
      </c>
      <c r="C3293" s="24">
        <v>3368.1</v>
      </c>
      <c r="D3293" s="47">
        <f t="shared" si="51"/>
        <v>2370.4687799999997</v>
      </c>
    </row>
    <row r="3294" spans="1:4">
      <c r="A3294" s="122">
        <v>38224</v>
      </c>
      <c r="B3294" s="24">
        <v>0.70660000000000001</v>
      </c>
      <c r="C3294" s="24">
        <v>3354.5</v>
      </c>
      <c r="D3294" s="47">
        <f t="shared" si="51"/>
        <v>2370.2896999999998</v>
      </c>
    </row>
    <row r="3295" spans="1:4">
      <c r="A3295" s="122">
        <v>38223</v>
      </c>
      <c r="B3295" s="24">
        <v>0.70399999999999996</v>
      </c>
      <c r="C3295" s="24">
        <v>3367.4</v>
      </c>
      <c r="D3295" s="47">
        <f t="shared" si="51"/>
        <v>2370.6495999999997</v>
      </c>
    </row>
    <row r="3296" spans="1:4">
      <c r="A3296" s="122">
        <v>38222</v>
      </c>
      <c r="B3296" s="24">
        <v>0.71160000000000001</v>
      </c>
      <c r="C3296" s="24">
        <v>3377.4</v>
      </c>
      <c r="D3296" s="47">
        <f t="shared" si="51"/>
        <v>2403.3578400000001</v>
      </c>
    </row>
    <row r="3297" spans="1:4">
      <c r="A3297" s="122">
        <v>38219</v>
      </c>
      <c r="B3297" s="24">
        <v>0.72270000000000001</v>
      </c>
      <c r="C3297" s="24">
        <v>3363.4</v>
      </c>
      <c r="D3297" s="47">
        <f t="shared" si="51"/>
        <v>2430.7291800000003</v>
      </c>
    </row>
    <row r="3298" spans="1:4">
      <c r="A3298" s="122">
        <v>38218</v>
      </c>
      <c r="B3298" s="24">
        <v>0.7258</v>
      </c>
      <c r="C3298" s="24">
        <v>3389</v>
      </c>
      <c r="D3298" s="47">
        <f t="shared" si="51"/>
        <v>2459.7361999999998</v>
      </c>
    </row>
    <row r="3299" spans="1:4">
      <c r="A3299" s="122">
        <v>38217</v>
      </c>
      <c r="B3299" s="24">
        <v>0.71589999999999998</v>
      </c>
      <c r="C3299" s="24">
        <v>3390</v>
      </c>
      <c r="D3299" s="47">
        <f t="shared" si="51"/>
        <v>2426.9009999999998</v>
      </c>
    </row>
    <row r="3300" spans="1:4">
      <c r="A3300" s="122">
        <v>38216</v>
      </c>
      <c r="B3300" s="24">
        <v>0.71550000000000002</v>
      </c>
      <c r="C3300" s="24">
        <v>3372.6</v>
      </c>
      <c r="D3300" s="47">
        <f t="shared" si="51"/>
        <v>2413.0953</v>
      </c>
    </row>
    <row r="3301" spans="1:4">
      <c r="A3301" s="122">
        <v>38215</v>
      </c>
      <c r="B3301" s="24">
        <v>0.71879999999999999</v>
      </c>
      <c r="C3301" s="24">
        <v>3377.8</v>
      </c>
      <c r="D3301" s="47">
        <f t="shared" si="51"/>
        <v>2427.9626400000002</v>
      </c>
    </row>
    <row r="3302" spans="1:4">
      <c r="A3302" s="122">
        <v>38212</v>
      </c>
      <c r="B3302" s="24">
        <v>0.71689999999999998</v>
      </c>
      <c r="C3302" s="24">
        <v>3387.3</v>
      </c>
      <c r="D3302" s="47">
        <f t="shared" si="51"/>
        <v>2428.3553700000002</v>
      </c>
    </row>
    <row r="3303" spans="1:4">
      <c r="A3303" s="122">
        <v>38211</v>
      </c>
      <c r="B3303" s="24">
        <v>0.71519999999999995</v>
      </c>
      <c r="C3303" s="24">
        <v>3414.8</v>
      </c>
      <c r="D3303" s="47">
        <f t="shared" si="51"/>
        <v>2442.26496</v>
      </c>
    </row>
    <row r="3304" spans="1:4">
      <c r="A3304" s="122">
        <v>38210</v>
      </c>
      <c r="B3304" s="24">
        <v>0.71389999999999998</v>
      </c>
      <c r="C3304" s="24">
        <v>3411.5</v>
      </c>
      <c r="D3304" s="47">
        <f t="shared" si="51"/>
        <v>2435.46985</v>
      </c>
    </row>
    <row r="3305" spans="1:4">
      <c r="A3305" s="122">
        <v>38209</v>
      </c>
      <c r="B3305" s="24">
        <v>0.71140000000000003</v>
      </c>
      <c r="C3305" s="24">
        <v>3384.4</v>
      </c>
      <c r="D3305" s="47">
        <f t="shared" si="51"/>
        <v>2407.6621600000003</v>
      </c>
    </row>
    <row r="3306" spans="1:4">
      <c r="A3306" s="122">
        <v>38208</v>
      </c>
      <c r="B3306" s="24">
        <v>0.71689999999999998</v>
      </c>
      <c r="C3306" s="24">
        <v>3424.7</v>
      </c>
      <c r="D3306" s="47">
        <f t="shared" si="51"/>
        <v>2455.16743</v>
      </c>
    </row>
    <row r="3307" spans="1:4">
      <c r="A3307" s="122">
        <v>38205</v>
      </c>
      <c r="B3307" s="24">
        <v>0.71319999999999995</v>
      </c>
      <c r="C3307" s="24">
        <v>3433.8</v>
      </c>
      <c r="D3307" s="47">
        <f t="shared" si="51"/>
        <v>2448.9861599999999</v>
      </c>
    </row>
    <row r="3308" spans="1:4">
      <c r="A3308" s="122">
        <v>38204</v>
      </c>
      <c r="B3308" s="24">
        <v>0.70430000000000004</v>
      </c>
      <c r="C3308" s="24">
        <v>3436.1</v>
      </c>
      <c r="D3308" s="47">
        <f t="shared" si="51"/>
        <v>2420.0452300000002</v>
      </c>
    </row>
    <row r="3309" spans="1:4">
      <c r="A3309" s="122">
        <v>38203</v>
      </c>
      <c r="B3309" s="24">
        <v>0.70289999999999997</v>
      </c>
      <c r="C3309" s="24">
        <v>3467.3</v>
      </c>
      <c r="D3309" s="47">
        <f t="shared" si="51"/>
        <v>2437.1651700000002</v>
      </c>
    </row>
    <row r="3310" spans="1:4">
      <c r="A3310" s="122">
        <v>38202</v>
      </c>
      <c r="B3310" s="24">
        <v>0.70640000000000003</v>
      </c>
      <c r="C3310" s="24">
        <v>3460.3</v>
      </c>
      <c r="D3310" s="47">
        <f t="shared" si="51"/>
        <v>2444.3559200000004</v>
      </c>
    </row>
    <row r="3311" spans="1:4">
      <c r="A3311" s="122">
        <v>38201</v>
      </c>
      <c r="B3311" s="24">
        <v>0.70409999999999995</v>
      </c>
      <c r="C3311" s="24">
        <v>3453.1</v>
      </c>
      <c r="D3311" s="47">
        <f t="shared" si="51"/>
        <v>2431.3277099999996</v>
      </c>
    </row>
    <row r="3312" spans="1:4">
      <c r="A3312" s="122">
        <v>38198</v>
      </c>
      <c r="B3312" s="24">
        <v>0.70179999999999998</v>
      </c>
      <c r="C3312" s="24">
        <v>3407.7</v>
      </c>
      <c r="D3312" s="47">
        <f t="shared" si="51"/>
        <v>2391.5238599999998</v>
      </c>
    </row>
    <row r="3313" spans="1:4">
      <c r="A3313" s="122">
        <v>38197</v>
      </c>
      <c r="B3313" s="24">
        <v>0.69710000000000005</v>
      </c>
      <c r="C3313" s="24">
        <v>3451.9</v>
      </c>
      <c r="D3313" s="47">
        <f t="shared" si="51"/>
        <v>2406.3194900000003</v>
      </c>
    </row>
    <row r="3314" spans="1:4">
      <c r="A3314" s="122">
        <v>38196</v>
      </c>
      <c r="B3314" s="24">
        <v>0.69830000000000003</v>
      </c>
      <c r="C3314" s="24">
        <v>3450</v>
      </c>
      <c r="D3314" s="47">
        <f t="shared" si="51"/>
        <v>2409.1350000000002</v>
      </c>
    </row>
    <row r="3315" spans="1:4">
      <c r="A3315" s="122">
        <v>38195</v>
      </c>
      <c r="B3315" s="24">
        <v>0.69950000000000001</v>
      </c>
      <c r="C3315" s="24">
        <v>3462.3</v>
      </c>
      <c r="D3315" s="47">
        <f t="shared" si="51"/>
        <v>2421.8788500000001</v>
      </c>
    </row>
    <row r="3316" spans="1:4">
      <c r="A3316" s="122">
        <v>38194</v>
      </c>
      <c r="B3316" s="24">
        <v>0.70960000000000001</v>
      </c>
      <c r="C3316" s="24">
        <v>3476.9</v>
      </c>
      <c r="D3316" s="47">
        <f t="shared" si="51"/>
        <v>2467.2082399999999</v>
      </c>
    </row>
    <row r="3317" spans="1:4">
      <c r="A3317" s="122">
        <v>38191</v>
      </c>
      <c r="B3317" s="24">
        <v>0.7097</v>
      </c>
      <c r="C3317" s="24">
        <v>3485.3</v>
      </c>
      <c r="D3317" s="47">
        <f t="shared" si="51"/>
        <v>2473.5174099999999</v>
      </c>
    </row>
    <row r="3318" spans="1:4">
      <c r="A3318" s="122">
        <v>38190</v>
      </c>
      <c r="B3318" s="24">
        <v>0.71519999999999995</v>
      </c>
      <c r="C3318" s="24">
        <v>3497.6</v>
      </c>
      <c r="D3318" s="47">
        <f t="shared" si="51"/>
        <v>2501.4835199999998</v>
      </c>
    </row>
    <row r="3319" spans="1:4">
      <c r="A3319" s="122">
        <v>38189</v>
      </c>
      <c r="B3319" s="24">
        <v>0.71430000000000005</v>
      </c>
      <c r="C3319" s="24">
        <v>3451.2</v>
      </c>
      <c r="D3319" s="47">
        <f t="shared" si="51"/>
        <v>2465.1921600000001</v>
      </c>
    </row>
    <row r="3320" spans="1:4">
      <c r="A3320" s="122">
        <v>38188</v>
      </c>
      <c r="B3320" s="24">
        <v>0.72709999999999997</v>
      </c>
      <c r="C3320" s="24">
        <v>3435.6</v>
      </c>
      <c r="D3320" s="47">
        <f t="shared" si="51"/>
        <v>2498.0247599999998</v>
      </c>
    </row>
    <row r="3321" spans="1:4">
      <c r="A3321" s="122">
        <v>38187</v>
      </c>
      <c r="B3321" s="24">
        <v>0.7319</v>
      </c>
      <c r="C3321" s="24">
        <v>3424.3</v>
      </c>
      <c r="D3321" s="47">
        <f t="shared" si="51"/>
        <v>2506.2451700000001</v>
      </c>
    </row>
    <row r="3322" spans="1:4">
      <c r="A3322" s="122">
        <v>38184</v>
      </c>
      <c r="B3322" s="24">
        <v>0.7319</v>
      </c>
      <c r="C3322" s="24">
        <v>3417.3</v>
      </c>
      <c r="D3322" s="47">
        <f t="shared" si="51"/>
        <v>2501.1218699999999</v>
      </c>
    </row>
    <row r="3323" spans="1:4">
      <c r="A3323" s="122">
        <v>38183</v>
      </c>
      <c r="B3323" s="24">
        <v>0.72299999999999998</v>
      </c>
      <c r="C3323" s="24">
        <v>3414.3</v>
      </c>
      <c r="D3323" s="47">
        <f t="shared" si="51"/>
        <v>2468.5389</v>
      </c>
    </row>
    <row r="3324" spans="1:4">
      <c r="A3324" s="122">
        <v>38182</v>
      </c>
      <c r="B3324" s="24">
        <v>0.72430000000000005</v>
      </c>
      <c r="C3324" s="24">
        <v>3413.1</v>
      </c>
      <c r="D3324" s="47">
        <f t="shared" si="51"/>
        <v>2472.10833</v>
      </c>
    </row>
    <row r="3325" spans="1:4">
      <c r="A3325" s="122">
        <v>38181</v>
      </c>
      <c r="B3325" s="24">
        <v>0.72529999999999994</v>
      </c>
      <c r="C3325" s="24">
        <v>3434.8</v>
      </c>
      <c r="D3325" s="47">
        <f t="shared" si="51"/>
        <v>2491.26044</v>
      </c>
    </row>
    <row r="3326" spans="1:4">
      <c r="A3326" s="122">
        <v>38180</v>
      </c>
      <c r="B3326" s="24">
        <v>0.7278</v>
      </c>
      <c r="C3326" s="24">
        <v>3422.5</v>
      </c>
      <c r="D3326" s="47">
        <f t="shared" si="51"/>
        <v>2490.8955000000001</v>
      </c>
    </row>
    <row r="3327" spans="1:4">
      <c r="A3327" s="122">
        <v>38177</v>
      </c>
      <c r="B3327" s="24">
        <v>0.72270000000000001</v>
      </c>
      <c r="C3327" s="24">
        <v>3422.1</v>
      </c>
      <c r="D3327" s="47">
        <f t="shared" si="51"/>
        <v>2473.1516699999997</v>
      </c>
    </row>
    <row r="3328" spans="1:4">
      <c r="A3328" s="122">
        <v>38176</v>
      </c>
      <c r="B3328" s="24">
        <v>0.72019999999999995</v>
      </c>
      <c r="C3328" s="24">
        <v>3434.3</v>
      </c>
      <c r="D3328" s="47">
        <f t="shared" si="51"/>
        <v>2473.3828600000002</v>
      </c>
    </row>
    <row r="3329" spans="1:4">
      <c r="A3329" s="122">
        <v>38175</v>
      </c>
      <c r="B3329" s="24">
        <v>0.72370000000000001</v>
      </c>
      <c r="C3329" s="24">
        <v>3437.7</v>
      </c>
      <c r="D3329" s="47">
        <f t="shared" si="51"/>
        <v>2487.8634899999997</v>
      </c>
    </row>
    <row r="3330" spans="1:4">
      <c r="A3330" s="122">
        <v>38174</v>
      </c>
      <c r="B3330" s="24">
        <v>0.71379999999999999</v>
      </c>
      <c r="C3330" s="24">
        <v>3470.4</v>
      </c>
      <c r="D3330" s="47">
        <f t="shared" si="51"/>
        <v>2477.1715199999999</v>
      </c>
    </row>
    <row r="3331" spans="1:4">
      <c r="A3331" s="122">
        <v>38173</v>
      </c>
      <c r="B3331" s="24">
        <v>0.71209999999999996</v>
      </c>
      <c r="C3331" s="24">
        <v>3469.3</v>
      </c>
      <c r="D3331" s="47">
        <f t="shared" ref="D3331:D3394" si="52">C3331*B3331</f>
        <v>2470.4885300000001</v>
      </c>
    </row>
    <row r="3332" spans="1:4">
      <c r="A3332" s="122">
        <v>38170</v>
      </c>
      <c r="B3332" s="24">
        <v>0.71360000000000001</v>
      </c>
      <c r="C3332" s="24">
        <v>3480.4</v>
      </c>
      <c r="D3332" s="47">
        <f t="shared" si="52"/>
        <v>2483.6134400000001</v>
      </c>
    </row>
    <row r="3333" spans="1:4">
      <c r="A3333" s="122">
        <v>38169</v>
      </c>
      <c r="B3333" s="24">
        <v>0.70609999999999995</v>
      </c>
      <c r="C3333" s="24">
        <v>3487</v>
      </c>
      <c r="D3333" s="47">
        <f t="shared" si="52"/>
        <v>2462.1706999999997</v>
      </c>
    </row>
    <row r="3334" spans="1:4">
      <c r="A3334" s="122">
        <v>38168</v>
      </c>
      <c r="B3334" s="24">
        <v>0.69720000000000004</v>
      </c>
      <c r="C3334" s="24">
        <v>3474.6</v>
      </c>
      <c r="D3334" s="47">
        <f t="shared" si="52"/>
        <v>2422.4911200000001</v>
      </c>
    </row>
    <row r="3335" spans="1:4">
      <c r="A3335" s="122">
        <v>38167</v>
      </c>
      <c r="B3335" s="24">
        <v>0.69020000000000004</v>
      </c>
      <c r="C3335" s="24">
        <v>3481.1</v>
      </c>
      <c r="D3335" s="47">
        <f t="shared" si="52"/>
        <v>2402.6552200000001</v>
      </c>
    </row>
    <row r="3336" spans="1:4">
      <c r="A3336" s="122">
        <v>38166</v>
      </c>
      <c r="B3336" s="24">
        <v>0.70050000000000001</v>
      </c>
      <c r="C3336" s="24">
        <v>3476.5</v>
      </c>
      <c r="D3336" s="47">
        <f t="shared" si="52"/>
        <v>2435.2882500000001</v>
      </c>
    </row>
    <row r="3337" spans="1:4">
      <c r="A3337" s="122">
        <v>38163</v>
      </c>
      <c r="B3337" s="24">
        <v>0.70009999999999994</v>
      </c>
      <c r="C3337" s="24">
        <v>3450.4</v>
      </c>
      <c r="D3337" s="47">
        <f t="shared" si="52"/>
        <v>2415.6250399999999</v>
      </c>
    </row>
    <row r="3338" spans="1:4">
      <c r="A3338" s="122">
        <v>38162</v>
      </c>
      <c r="B3338" s="24">
        <v>0.70089999999999997</v>
      </c>
      <c r="C3338" s="24">
        <v>3414.5</v>
      </c>
      <c r="D3338" s="47">
        <f t="shared" si="52"/>
        <v>2393.2230500000001</v>
      </c>
    </row>
    <row r="3339" spans="1:4">
      <c r="A3339" s="122">
        <v>38161</v>
      </c>
      <c r="B3339" s="24">
        <v>0.68810000000000004</v>
      </c>
      <c r="C3339" s="24">
        <v>3424.5</v>
      </c>
      <c r="D3339" s="47">
        <f t="shared" si="52"/>
        <v>2356.3984500000001</v>
      </c>
    </row>
    <row r="3340" spans="1:4">
      <c r="A3340" s="122">
        <v>38160</v>
      </c>
      <c r="B3340" s="24">
        <v>0.68669999999999998</v>
      </c>
      <c r="C3340" s="24">
        <v>3451.5</v>
      </c>
      <c r="D3340" s="47">
        <f t="shared" si="52"/>
        <v>2370.1450500000001</v>
      </c>
    </row>
    <row r="3341" spans="1:4">
      <c r="A3341" s="122">
        <v>38159</v>
      </c>
      <c r="B3341" s="24">
        <v>0.69069999999999998</v>
      </c>
      <c r="C3341" s="24">
        <v>3466.1</v>
      </c>
      <c r="D3341" s="47">
        <f t="shared" si="52"/>
        <v>2394.0352699999999</v>
      </c>
    </row>
    <row r="3342" spans="1:4">
      <c r="A3342" s="122">
        <v>38156</v>
      </c>
      <c r="B3342" s="24">
        <v>0.68920000000000003</v>
      </c>
      <c r="C3342" s="24">
        <v>3445.5</v>
      </c>
      <c r="D3342" s="47">
        <f t="shared" si="52"/>
        <v>2374.6386000000002</v>
      </c>
    </row>
    <row r="3343" spans="1:4">
      <c r="A3343" s="122">
        <v>38155</v>
      </c>
      <c r="B3343" s="24">
        <v>0.68279999999999996</v>
      </c>
      <c r="C3343" s="24">
        <v>3464.2</v>
      </c>
      <c r="D3343" s="47">
        <f t="shared" si="52"/>
        <v>2365.3557599999999</v>
      </c>
    </row>
    <row r="3344" spans="1:4">
      <c r="A3344" s="122">
        <v>38154</v>
      </c>
      <c r="B3344" s="24">
        <v>0.68730000000000002</v>
      </c>
      <c r="C3344" s="24">
        <v>3433.5</v>
      </c>
      <c r="D3344" s="47">
        <f t="shared" si="52"/>
        <v>2359.8445500000003</v>
      </c>
    </row>
    <row r="3345" spans="1:4">
      <c r="A3345" s="122">
        <v>38153</v>
      </c>
      <c r="B3345" s="24">
        <v>0.69869999999999999</v>
      </c>
      <c r="C3345" s="24">
        <v>3452.9</v>
      </c>
      <c r="D3345" s="47">
        <f t="shared" si="52"/>
        <v>2412.5412299999998</v>
      </c>
    </row>
    <row r="3346" spans="1:4">
      <c r="A3346" s="122">
        <v>38152</v>
      </c>
      <c r="B3346" s="24">
        <v>0.68720000000000003</v>
      </c>
      <c r="C3346" s="24">
        <v>3442.3</v>
      </c>
      <c r="D3346" s="47">
        <f t="shared" si="52"/>
        <v>2365.5485600000002</v>
      </c>
    </row>
    <row r="3347" spans="1:4">
      <c r="A3347" s="122">
        <v>38149</v>
      </c>
      <c r="B3347" s="24">
        <v>0.69230000000000003</v>
      </c>
      <c r="C3347" s="24">
        <v>3430.8</v>
      </c>
      <c r="D3347" s="47">
        <f t="shared" si="52"/>
        <v>2375.1428400000004</v>
      </c>
    </row>
    <row r="3348" spans="1:4">
      <c r="A3348" s="122">
        <v>38148</v>
      </c>
      <c r="B3348" s="24">
        <v>0.69810000000000005</v>
      </c>
      <c r="C3348" s="24">
        <v>3422</v>
      </c>
      <c r="D3348" s="47">
        <f t="shared" si="52"/>
        <v>2388.8982000000001</v>
      </c>
    </row>
    <row r="3349" spans="1:4">
      <c r="A3349" s="122">
        <v>38147</v>
      </c>
      <c r="B3349" s="24">
        <v>0.69069999999999998</v>
      </c>
      <c r="C3349" s="24">
        <v>3421.5</v>
      </c>
      <c r="D3349" s="47">
        <f t="shared" si="52"/>
        <v>2363.2300500000001</v>
      </c>
    </row>
    <row r="3350" spans="1:4">
      <c r="A3350" s="122">
        <v>38146</v>
      </c>
      <c r="B3350" s="24">
        <v>0.69979999999999998</v>
      </c>
      <c r="C3350" s="24">
        <v>3400.3</v>
      </c>
      <c r="D3350" s="47">
        <f t="shared" si="52"/>
        <v>2379.5299399999999</v>
      </c>
    </row>
    <row r="3351" spans="1:4">
      <c r="A3351" s="122">
        <v>38145</v>
      </c>
      <c r="B3351" s="24">
        <v>0.70650000000000002</v>
      </c>
      <c r="C3351" s="24">
        <v>3387</v>
      </c>
      <c r="D3351" s="47">
        <f t="shared" si="52"/>
        <v>2392.9155000000001</v>
      </c>
    </row>
    <row r="3352" spans="1:4">
      <c r="A3352" s="122">
        <v>38142</v>
      </c>
      <c r="B3352" s="24">
        <v>0.69569999999999999</v>
      </c>
      <c r="C3352" s="24">
        <v>3393.1</v>
      </c>
      <c r="D3352" s="47">
        <f t="shared" si="52"/>
        <v>2360.5796700000001</v>
      </c>
    </row>
    <row r="3353" spans="1:4">
      <c r="A3353" s="122">
        <v>38141</v>
      </c>
      <c r="B3353" s="24">
        <v>0.68910000000000005</v>
      </c>
      <c r="C3353" s="24">
        <v>3425.8</v>
      </c>
      <c r="D3353" s="47">
        <f t="shared" si="52"/>
        <v>2360.7187800000002</v>
      </c>
    </row>
    <row r="3354" spans="1:4">
      <c r="A3354" s="122">
        <v>38140</v>
      </c>
      <c r="B3354" s="24">
        <v>0.69450000000000001</v>
      </c>
      <c r="C3354" s="24">
        <v>3406.2</v>
      </c>
      <c r="D3354" s="47">
        <f t="shared" si="52"/>
        <v>2365.6059</v>
      </c>
    </row>
    <row r="3355" spans="1:4">
      <c r="A3355" s="122">
        <v>38139</v>
      </c>
      <c r="B3355" s="24">
        <v>0.70809999999999995</v>
      </c>
      <c r="C3355" s="24">
        <v>3407.3</v>
      </c>
      <c r="D3355" s="47">
        <f t="shared" si="52"/>
        <v>2412.7091300000002</v>
      </c>
    </row>
    <row r="3356" spans="1:4">
      <c r="A3356" s="122">
        <v>38138</v>
      </c>
      <c r="B3356" s="24">
        <v>0.71509999999999996</v>
      </c>
      <c r="C3356" s="24">
        <v>3417.6</v>
      </c>
      <c r="D3356" s="47">
        <f t="shared" si="52"/>
        <v>2443.9257599999996</v>
      </c>
    </row>
    <row r="3357" spans="1:4">
      <c r="A3357" s="122">
        <v>38135</v>
      </c>
      <c r="B3357" s="24">
        <v>0.71430000000000005</v>
      </c>
      <c r="C3357" s="24">
        <v>3409.1</v>
      </c>
      <c r="D3357" s="47">
        <f t="shared" si="52"/>
        <v>2435.1201300000002</v>
      </c>
    </row>
    <row r="3358" spans="1:4">
      <c r="A3358" s="122">
        <v>38134</v>
      </c>
      <c r="B3358" s="24">
        <v>0.71679999999999999</v>
      </c>
      <c r="C3358" s="24">
        <v>3412.5</v>
      </c>
      <c r="D3358" s="47">
        <f t="shared" si="52"/>
        <v>2446.08</v>
      </c>
    </row>
    <row r="3359" spans="1:4">
      <c r="A3359" s="122">
        <v>38133</v>
      </c>
      <c r="B3359" s="24">
        <v>0.70720000000000005</v>
      </c>
      <c r="C3359" s="24">
        <v>3423</v>
      </c>
      <c r="D3359" s="47">
        <f t="shared" si="52"/>
        <v>2420.7456000000002</v>
      </c>
    </row>
    <row r="3360" spans="1:4">
      <c r="A3360" s="122">
        <v>38132</v>
      </c>
      <c r="B3360" s="24">
        <v>0.70809999999999995</v>
      </c>
      <c r="C3360" s="24">
        <v>3446.9</v>
      </c>
      <c r="D3360" s="47">
        <f t="shared" si="52"/>
        <v>2440.7498900000001</v>
      </c>
    </row>
    <row r="3361" spans="1:4">
      <c r="A3361" s="122">
        <v>38131</v>
      </c>
      <c r="B3361" s="24">
        <v>0.69869999999999999</v>
      </c>
      <c r="C3361" s="24">
        <v>3435.7</v>
      </c>
      <c r="D3361" s="47">
        <f t="shared" si="52"/>
        <v>2400.5235899999998</v>
      </c>
    </row>
    <row r="3362" spans="1:4">
      <c r="A3362" s="122">
        <v>38128</v>
      </c>
      <c r="B3362" s="24">
        <v>0.69799999999999995</v>
      </c>
      <c r="C3362" s="24">
        <v>3419.6</v>
      </c>
      <c r="D3362" s="47">
        <f t="shared" si="52"/>
        <v>2386.8807999999999</v>
      </c>
    </row>
    <row r="3363" spans="1:4">
      <c r="A3363" s="122">
        <v>38127</v>
      </c>
      <c r="B3363" s="24">
        <v>0.69499999999999995</v>
      </c>
      <c r="C3363" s="24">
        <v>3443.8</v>
      </c>
      <c r="D3363" s="47">
        <f t="shared" si="52"/>
        <v>2393.4409999999998</v>
      </c>
    </row>
    <row r="3364" spans="1:4">
      <c r="A3364" s="122">
        <v>38126</v>
      </c>
      <c r="B3364" s="24">
        <v>0.69820000000000004</v>
      </c>
      <c r="C3364" s="24">
        <v>3422.3</v>
      </c>
      <c r="D3364" s="47">
        <f t="shared" si="52"/>
        <v>2389.4498600000002</v>
      </c>
    </row>
    <row r="3365" spans="1:4">
      <c r="A3365" s="122">
        <v>38125</v>
      </c>
      <c r="B3365" s="24">
        <v>0.68720000000000003</v>
      </c>
      <c r="C3365" s="24">
        <v>3427.1</v>
      </c>
      <c r="D3365" s="47">
        <f t="shared" si="52"/>
        <v>2355.1031200000002</v>
      </c>
    </row>
    <row r="3366" spans="1:4">
      <c r="A3366" s="122">
        <v>38124</v>
      </c>
      <c r="B3366" s="24">
        <v>0.68510000000000004</v>
      </c>
      <c r="C3366" s="24">
        <v>3417.6</v>
      </c>
      <c r="D3366" s="47">
        <f t="shared" si="52"/>
        <v>2341.3977600000003</v>
      </c>
    </row>
    <row r="3367" spans="1:4">
      <c r="A3367" s="122">
        <v>38121</v>
      </c>
      <c r="B3367" s="24">
        <v>0.69159999999999999</v>
      </c>
      <c r="C3367" s="24">
        <v>3390.1</v>
      </c>
      <c r="D3367" s="47">
        <f t="shared" si="52"/>
        <v>2344.5931599999999</v>
      </c>
    </row>
    <row r="3368" spans="1:4">
      <c r="A3368" s="122">
        <v>38120</v>
      </c>
      <c r="B3368" s="24">
        <v>0.68910000000000005</v>
      </c>
      <c r="C3368" s="24">
        <v>3374.5</v>
      </c>
      <c r="D3368" s="47">
        <f t="shared" si="52"/>
        <v>2325.3679500000003</v>
      </c>
    </row>
    <row r="3369" spans="1:4">
      <c r="A3369" s="122">
        <v>38119</v>
      </c>
      <c r="B3369" s="24">
        <v>0.69720000000000004</v>
      </c>
      <c r="C3369" s="24">
        <v>3343.9</v>
      </c>
      <c r="D3369" s="47">
        <f t="shared" si="52"/>
        <v>2331.36708</v>
      </c>
    </row>
    <row r="3370" spans="1:4">
      <c r="A3370" s="122">
        <v>38118</v>
      </c>
      <c r="B3370" s="24">
        <v>0.69550000000000001</v>
      </c>
      <c r="C3370" s="24">
        <v>3324.1</v>
      </c>
      <c r="D3370" s="47">
        <f t="shared" si="52"/>
        <v>2311.9115499999998</v>
      </c>
    </row>
    <row r="3371" spans="1:4">
      <c r="A3371" s="122">
        <v>38117</v>
      </c>
      <c r="B3371" s="24">
        <v>0.6956</v>
      </c>
      <c r="C3371" s="24">
        <v>3320.5</v>
      </c>
      <c r="D3371" s="47">
        <f t="shared" si="52"/>
        <v>2309.7397999999998</v>
      </c>
    </row>
    <row r="3372" spans="1:4">
      <c r="A3372" s="122">
        <v>38114</v>
      </c>
      <c r="B3372" s="24">
        <v>0.70489999999999997</v>
      </c>
      <c r="C3372" s="24">
        <v>3289.6</v>
      </c>
      <c r="D3372" s="47">
        <f t="shared" si="52"/>
        <v>2318.8390399999998</v>
      </c>
    </row>
    <row r="3373" spans="1:4">
      <c r="A3373" s="122">
        <v>38113</v>
      </c>
      <c r="B3373" s="24">
        <v>0.7228</v>
      </c>
      <c r="C3373" s="24">
        <v>3290.8</v>
      </c>
      <c r="D3373" s="47">
        <f t="shared" si="52"/>
        <v>2378.59024</v>
      </c>
    </row>
    <row r="3374" spans="1:4">
      <c r="A3374" s="122">
        <v>38112</v>
      </c>
      <c r="B3374" s="24">
        <v>0.73260000000000003</v>
      </c>
      <c r="C3374" s="24">
        <v>3312.5</v>
      </c>
      <c r="D3374" s="47">
        <f t="shared" si="52"/>
        <v>2426.7375000000002</v>
      </c>
    </row>
    <row r="3375" spans="1:4">
      <c r="A3375" s="122">
        <v>38111</v>
      </c>
      <c r="B3375" s="24">
        <v>0.73029999999999995</v>
      </c>
      <c r="C3375" s="24">
        <v>3322.1</v>
      </c>
      <c r="D3375" s="47">
        <f t="shared" si="52"/>
        <v>2426.1296299999999</v>
      </c>
    </row>
    <row r="3376" spans="1:4">
      <c r="A3376" s="122">
        <v>38110</v>
      </c>
      <c r="B3376" s="24">
        <v>0.72150000000000003</v>
      </c>
      <c r="C3376" s="24">
        <v>3359.6</v>
      </c>
      <c r="D3376" s="47">
        <f t="shared" si="52"/>
        <v>2423.9513999999999</v>
      </c>
    </row>
    <row r="3377" spans="1:4">
      <c r="A3377" s="122">
        <v>38107</v>
      </c>
      <c r="B3377" s="24">
        <v>0.72170000000000001</v>
      </c>
      <c r="C3377" s="24">
        <v>3360.7</v>
      </c>
      <c r="D3377" s="47">
        <f t="shared" si="52"/>
        <v>2425.4171900000001</v>
      </c>
    </row>
    <row r="3378" spans="1:4">
      <c r="A3378" s="122">
        <v>38106</v>
      </c>
      <c r="B3378" s="24">
        <v>0.72189999999999999</v>
      </c>
      <c r="C3378" s="24">
        <v>3371.8</v>
      </c>
      <c r="D3378" s="47">
        <f t="shared" si="52"/>
        <v>2434.1024200000002</v>
      </c>
    </row>
    <row r="3379" spans="1:4">
      <c r="A3379" s="122">
        <v>38105</v>
      </c>
      <c r="B3379" s="24">
        <v>0.72209999999999996</v>
      </c>
      <c r="C3379" s="24">
        <v>3352.8</v>
      </c>
      <c r="D3379" s="47">
        <f t="shared" si="52"/>
        <v>2421.0568800000001</v>
      </c>
    </row>
    <row r="3380" spans="1:4">
      <c r="A3380" s="122">
        <v>38104</v>
      </c>
      <c r="B3380" s="24">
        <v>0.73450000000000004</v>
      </c>
      <c r="C3380" s="24">
        <v>3347.8</v>
      </c>
      <c r="D3380" s="47">
        <f t="shared" si="52"/>
        <v>2458.9591000000005</v>
      </c>
    </row>
    <row r="3381" spans="1:4">
      <c r="A3381" s="122">
        <v>38103</v>
      </c>
      <c r="B3381" s="24">
        <v>0.73480000000000001</v>
      </c>
      <c r="C3381" s="24">
        <v>3324.4</v>
      </c>
      <c r="D3381" s="47">
        <f t="shared" si="52"/>
        <v>2442.7691199999999</v>
      </c>
    </row>
    <row r="3382" spans="1:4">
      <c r="A3382" s="122">
        <v>38100</v>
      </c>
      <c r="B3382" s="24">
        <v>0.73219999999999996</v>
      </c>
      <c r="C3382" s="24">
        <v>3328.8</v>
      </c>
      <c r="D3382" s="47">
        <f t="shared" si="52"/>
        <v>2437.3473600000002</v>
      </c>
    </row>
    <row r="3383" spans="1:4">
      <c r="A3383" s="122">
        <v>38099</v>
      </c>
      <c r="B3383" s="24">
        <v>0.73419999999999996</v>
      </c>
      <c r="C3383" s="24">
        <v>3337.5</v>
      </c>
      <c r="D3383" s="47">
        <f t="shared" si="52"/>
        <v>2450.3924999999999</v>
      </c>
    </row>
    <row r="3384" spans="1:4">
      <c r="A3384" s="122">
        <v>38098</v>
      </c>
      <c r="B3384" s="24">
        <v>0.72909999999999997</v>
      </c>
      <c r="C3384" s="24">
        <v>3329.5</v>
      </c>
      <c r="D3384" s="47">
        <f t="shared" si="52"/>
        <v>2427.53845</v>
      </c>
    </row>
    <row r="3385" spans="1:4">
      <c r="A3385" s="122">
        <v>38097</v>
      </c>
      <c r="B3385" s="24">
        <v>0.73640000000000005</v>
      </c>
      <c r="C3385" s="24">
        <v>3353.2</v>
      </c>
      <c r="D3385" s="47">
        <f t="shared" si="52"/>
        <v>2469.29648</v>
      </c>
    </row>
    <row r="3386" spans="1:4">
      <c r="A3386" s="122">
        <v>38096</v>
      </c>
      <c r="B3386" s="24">
        <v>0.74550000000000005</v>
      </c>
      <c r="C3386" s="24">
        <v>3355.8</v>
      </c>
      <c r="D3386" s="47">
        <f t="shared" si="52"/>
        <v>2501.7489000000005</v>
      </c>
    </row>
    <row r="3387" spans="1:4">
      <c r="A3387" s="122">
        <v>38093</v>
      </c>
      <c r="B3387" s="24">
        <v>0.74339999999999995</v>
      </c>
      <c r="C3387" s="24">
        <v>3348.5</v>
      </c>
      <c r="D3387" s="47">
        <f t="shared" si="52"/>
        <v>2489.2748999999999</v>
      </c>
    </row>
    <row r="3388" spans="1:4">
      <c r="A3388" s="122">
        <v>38092</v>
      </c>
      <c r="B3388" s="24">
        <v>0.74180000000000001</v>
      </c>
      <c r="C3388" s="24">
        <v>3332.9</v>
      </c>
      <c r="D3388" s="47">
        <f t="shared" si="52"/>
        <v>2472.3452200000002</v>
      </c>
    </row>
    <row r="3389" spans="1:4">
      <c r="A3389" s="122">
        <v>38091</v>
      </c>
      <c r="B3389" s="24">
        <v>0.73309999999999997</v>
      </c>
      <c r="C3389" s="24">
        <v>3324.2</v>
      </c>
      <c r="D3389" s="47">
        <f t="shared" si="52"/>
        <v>2436.97102</v>
      </c>
    </row>
    <row r="3390" spans="1:4">
      <c r="A3390" s="122">
        <v>38090</v>
      </c>
      <c r="B3390" s="24">
        <v>0.75519999999999998</v>
      </c>
      <c r="C3390" s="24">
        <v>3336.3</v>
      </c>
      <c r="D3390" s="47">
        <f t="shared" si="52"/>
        <v>2519.5737600000002</v>
      </c>
    </row>
    <row r="3391" spans="1:4">
      <c r="A3391" s="122">
        <v>38089</v>
      </c>
      <c r="B3391" s="24">
        <v>0.76670000000000005</v>
      </c>
      <c r="C3391" s="24">
        <v>3353</v>
      </c>
      <c r="D3391" s="47">
        <f t="shared" si="52"/>
        <v>2570.7451000000001</v>
      </c>
    </row>
    <row r="3392" spans="1:4">
      <c r="A3392" s="122">
        <v>38086</v>
      </c>
      <c r="B3392" s="24">
        <v>0.76300000000000001</v>
      </c>
      <c r="C3392" s="24">
        <v>3331.9</v>
      </c>
      <c r="D3392" s="47">
        <f t="shared" si="52"/>
        <v>2542.2397000000001</v>
      </c>
    </row>
    <row r="3393" spans="1:4">
      <c r="A3393" s="122">
        <v>38085</v>
      </c>
      <c r="B3393" s="24">
        <v>0.76229999999999998</v>
      </c>
      <c r="C3393" s="24">
        <v>3322.5</v>
      </c>
      <c r="D3393" s="47">
        <f t="shared" si="52"/>
        <v>2532.7417500000001</v>
      </c>
    </row>
    <row r="3394" spans="1:4">
      <c r="A3394" s="122">
        <v>38084</v>
      </c>
      <c r="B3394" s="24">
        <v>0.76570000000000005</v>
      </c>
      <c r="C3394" s="24">
        <v>3344.7</v>
      </c>
      <c r="D3394" s="47">
        <f t="shared" si="52"/>
        <v>2561.0367900000001</v>
      </c>
    </row>
    <row r="3395" spans="1:4">
      <c r="A3395" s="122">
        <v>38083</v>
      </c>
      <c r="B3395" s="24">
        <v>0.76149999999999995</v>
      </c>
      <c r="C3395" s="24">
        <v>3336.8</v>
      </c>
      <c r="D3395" s="47">
        <f t="shared" ref="D3395:D3458" si="53">C3395*B3395</f>
        <v>2540.9731999999999</v>
      </c>
    </row>
    <row r="3396" spans="1:4">
      <c r="A3396" s="122">
        <v>38082</v>
      </c>
      <c r="B3396" s="24">
        <v>0.75260000000000005</v>
      </c>
      <c r="C3396" s="24">
        <v>3291.7</v>
      </c>
      <c r="D3396" s="47">
        <f t="shared" si="53"/>
        <v>2477.3334199999999</v>
      </c>
    </row>
    <row r="3397" spans="1:4">
      <c r="A3397" s="122">
        <v>38079</v>
      </c>
      <c r="B3397" s="24">
        <v>0.75800000000000001</v>
      </c>
      <c r="C3397" s="24">
        <v>3305.4</v>
      </c>
      <c r="D3397" s="47">
        <f t="shared" si="53"/>
        <v>2505.4931999999999</v>
      </c>
    </row>
    <row r="3398" spans="1:4">
      <c r="A3398" s="122">
        <v>38078</v>
      </c>
      <c r="B3398" s="24">
        <v>0.76880000000000004</v>
      </c>
      <c r="C3398" s="24">
        <v>3286</v>
      </c>
      <c r="D3398" s="47">
        <f t="shared" si="53"/>
        <v>2526.2768000000001</v>
      </c>
    </row>
    <row r="3399" spans="1:4">
      <c r="A3399" s="122">
        <v>38077</v>
      </c>
      <c r="B3399" s="24">
        <v>0.76549999999999996</v>
      </c>
      <c r="C3399" s="24">
        <v>3269.4</v>
      </c>
      <c r="D3399" s="47">
        <f t="shared" si="53"/>
        <v>2502.7257</v>
      </c>
    </row>
    <row r="3400" spans="1:4">
      <c r="A3400" s="122">
        <v>38076</v>
      </c>
      <c r="B3400" s="24">
        <v>0.75319999999999998</v>
      </c>
      <c r="C3400" s="24">
        <v>3252.6</v>
      </c>
      <c r="D3400" s="47">
        <f t="shared" si="53"/>
        <v>2449.8583199999998</v>
      </c>
    </row>
    <row r="3401" spans="1:4">
      <c r="A3401" s="122">
        <v>38075</v>
      </c>
      <c r="B3401" s="24">
        <v>0.74780000000000002</v>
      </c>
      <c r="C3401" s="24">
        <v>3285.1</v>
      </c>
      <c r="D3401" s="47">
        <f t="shared" si="53"/>
        <v>2456.5977800000001</v>
      </c>
    </row>
    <row r="3402" spans="1:4">
      <c r="A3402" s="122">
        <v>38072</v>
      </c>
      <c r="B3402" s="24">
        <v>0.74619999999999997</v>
      </c>
      <c r="C3402" s="24">
        <v>3225.8</v>
      </c>
      <c r="D3402" s="47">
        <f t="shared" si="53"/>
        <v>2407.0919600000002</v>
      </c>
    </row>
    <row r="3403" spans="1:4">
      <c r="A3403" s="122">
        <v>38071</v>
      </c>
      <c r="B3403" s="24">
        <v>0.73929999999999996</v>
      </c>
      <c r="C3403" s="24">
        <v>3239.9</v>
      </c>
      <c r="D3403" s="47">
        <f t="shared" si="53"/>
        <v>2395.2580699999999</v>
      </c>
    </row>
    <row r="3404" spans="1:4">
      <c r="A3404" s="122">
        <v>38070</v>
      </c>
      <c r="B3404" s="24">
        <v>0.74460000000000004</v>
      </c>
      <c r="C3404" s="24">
        <v>3248.8</v>
      </c>
      <c r="D3404" s="47">
        <f t="shared" si="53"/>
        <v>2419.0564800000002</v>
      </c>
    </row>
    <row r="3405" spans="1:4">
      <c r="A3405" s="122">
        <v>38069</v>
      </c>
      <c r="B3405" s="24">
        <v>0.75249999999999995</v>
      </c>
      <c r="C3405" s="24">
        <v>3249.6</v>
      </c>
      <c r="D3405" s="47">
        <f t="shared" si="53"/>
        <v>2445.3239999999996</v>
      </c>
    </row>
    <row r="3406" spans="1:4">
      <c r="A3406" s="122">
        <v>38068</v>
      </c>
      <c r="B3406" s="24">
        <v>0.75319999999999998</v>
      </c>
      <c r="C3406" s="24">
        <v>3252.8</v>
      </c>
      <c r="D3406" s="47">
        <f t="shared" si="53"/>
        <v>2450.0089600000001</v>
      </c>
    </row>
    <row r="3407" spans="1:4">
      <c r="A3407" s="122">
        <v>38065</v>
      </c>
      <c r="B3407" s="24">
        <v>0.74819999999999998</v>
      </c>
      <c r="C3407" s="24">
        <v>3256.2</v>
      </c>
      <c r="D3407" s="47">
        <f t="shared" si="53"/>
        <v>2436.2888399999997</v>
      </c>
    </row>
    <row r="3408" spans="1:4">
      <c r="A3408" s="122">
        <v>38064</v>
      </c>
      <c r="B3408" s="24">
        <v>0.75229999999999997</v>
      </c>
      <c r="C3408" s="24">
        <v>3276.2</v>
      </c>
      <c r="D3408" s="47">
        <f t="shared" si="53"/>
        <v>2464.6852599999997</v>
      </c>
    </row>
    <row r="3409" spans="1:4">
      <c r="A3409" s="122">
        <v>38063</v>
      </c>
      <c r="B3409" s="24">
        <v>0.74019999999999997</v>
      </c>
      <c r="C3409" s="24">
        <v>3254.7</v>
      </c>
      <c r="D3409" s="47">
        <f t="shared" si="53"/>
        <v>2409.1289399999996</v>
      </c>
    </row>
    <row r="3410" spans="1:4">
      <c r="A3410" s="122">
        <v>38062</v>
      </c>
      <c r="B3410" s="24">
        <v>0.74180000000000001</v>
      </c>
      <c r="C3410" s="24">
        <v>3246</v>
      </c>
      <c r="D3410" s="47">
        <f t="shared" si="53"/>
        <v>2407.8827999999999</v>
      </c>
    </row>
    <row r="3411" spans="1:4">
      <c r="A3411" s="122">
        <v>38061</v>
      </c>
      <c r="B3411" s="24">
        <v>0.73680000000000001</v>
      </c>
      <c r="C3411" s="24">
        <v>3213.3</v>
      </c>
      <c r="D3411" s="47">
        <f t="shared" si="53"/>
        <v>2367.55944</v>
      </c>
    </row>
    <row r="3412" spans="1:4">
      <c r="A3412" s="122">
        <v>38058</v>
      </c>
      <c r="B3412" s="24">
        <v>0.73209999999999997</v>
      </c>
      <c r="C3412" s="24">
        <v>3175.4</v>
      </c>
      <c r="D3412" s="47">
        <f t="shared" si="53"/>
        <v>2324.7103400000001</v>
      </c>
    </row>
    <row r="3413" spans="1:4">
      <c r="A3413" s="122">
        <v>38057</v>
      </c>
      <c r="B3413" s="24">
        <v>0.73850000000000005</v>
      </c>
      <c r="C3413" s="24">
        <v>3199.6</v>
      </c>
      <c r="D3413" s="47">
        <f t="shared" si="53"/>
        <v>2362.9046000000003</v>
      </c>
    </row>
    <row r="3414" spans="1:4">
      <c r="A3414" s="122">
        <v>38056</v>
      </c>
      <c r="B3414" s="24">
        <v>0.74670000000000003</v>
      </c>
      <c r="C3414" s="24">
        <v>3237.9</v>
      </c>
      <c r="D3414" s="47">
        <f t="shared" si="53"/>
        <v>2417.7399300000002</v>
      </c>
    </row>
    <row r="3415" spans="1:4">
      <c r="A3415" s="122">
        <v>38055</v>
      </c>
      <c r="B3415" s="24">
        <v>0.75819999999999999</v>
      </c>
      <c r="C3415" s="24">
        <v>3210.7</v>
      </c>
      <c r="D3415" s="47">
        <f t="shared" si="53"/>
        <v>2434.3527399999998</v>
      </c>
    </row>
    <row r="3416" spans="1:4">
      <c r="A3416" s="122">
        <v>38054</v>
      </c>
      <c r="B3416" s="24">
        <v>0.7581</v>
      </c>
      <c r="C3416" s="24">
        <v>3199</v>
      </c>
      <c r="D3416" s="47">
        <f t="shared" si="53"/>
        <v>2425.1619000000001</v>
      </c>
    </row>
    <row r="3417" spans="1:4">
      <c r="A3417" s="122">
        <v>38051</v>
      </c>
      <c r="B3417" s="24">
        <v>0.75980000000000003</v>
      </c>
      <c r="C3417" s="24">
        <v>3225.1</v>
      </c>
      <c r="D3417" s="47">
        <f t="shared" si="53"/>
        <v>2450.4309800000001</v>
      </c>
    </row>
    <row r="3418" spans="1:4">
      <c r="A3418" s="122">
        <v>38050</v>
      </c>
      <c r="B3418" s="24">
        <v>0.74990000000000001</v>
      </c>
      <c r="C3418" s="24">
        <v>3199.2</v>
      </c>
      <c r="D3418" s="47">
        <f t="shared" si="53"/>
        <v>2399.0800799999997</v>
      </c>
    </row>
    <row r="3419" spans="1:4">
      <c r="A3419" s="122">
        <v>38049</v>
      </c>
      <c r="B3419" s="24">
        <v>0.75080000000000002</v>
      </c>
      <c r="C3419" s="24">
        <v>3137</v>
      </c>
      <c r="D3419" s="47">
        <f t="shared" si="53"/>
        <v>2355.2595999999999</v>
      </c>
    </row>
    <row r="3420" spans="1:4">
      <c r="A3420" s="122">
        <v>38048</v>
      </c>
      <c r="B3420" s="24">
        <v>0.76359999999999995</v>
      </c>
      <c r="C3420" s="24">
        <v>3153</v>
      </c>
      <c r="D3420" s="47">
        <f t="shared" si="53"/>
        <v>2407.6307999999999</v>
      </c>
    </row>
    <row r="3421" spans="1:4">
      <c r="A3421" s="122">
        <v>38047</v>
      </c>
      <c r="B3421" s="24">
        <v>0.77190000000000003</v>
      </c>
      <c r="C3421" s="24">
        <v>3139.9</v>
      </c>
      <c r="D3421" s="47">
        <f t="shared" si="53"/>
        <v>2423.6888100000001</v>
      </c>
    </row>
    <row r="3422" spans="1:4">
      <c r="A3422" s="122">
        <v>38044</v>
      </c>
      <c r="B3422" s="24">
        <v>0.77339999999999998</v>
      </c>
      <c r="C3422" s="24">
        <v>3179.1</v>
      </c>
      <c r="D3422" s="47">
        <f t="shared" si="53"/>
        <v>2458.71594</v>
      </c>
    </row>
    <row r="3423" spans="1:4">
      <c r="A3423" s="122">
        <v>38043</v>
      </c>
      <c r="B3423" s="24">
        <v>0.77100000000000002</v>
      </c>
      <c r="C3423" s="24">
        <v>3130.9</v>
      </c>
      <c r="D3423" s="47">
        <f t="shared" si="53"/>
        <v>2413.9239000000002</v>
      </c>
    </row>
    <row r="3424" spans="1:4">
      <c r="A3424" s="122">
        <v>38042</v>
      </c>
      <c r="B3424" s="24">
        <v>0.77180000000000004</v>
      </c>
      <c r="C3424" s="24">
        <v>3126.2</v>
      </c>
      <c r="D3424" s="47">
        <f t="shared" si="53"/>
        <v>2412.80116</v>
      </c>
    </row>
    <row r="3425" spans="1:4">
      <c r="A3425" s="122">
        <v>38041</v>
      </c>
      <c r="B3425" s="24">
        <v>0.77959999999999996</v>
      </c>
      <c r="C3425" s="24">
        <v>3140.8</v>
      </c>
      <c r="D3425" s="47">
        <f t="shared" si="53"/>
        <v>2448.5676800000001</v>
      </c>
    </row>
    <row r="3426" spans="1:4">
      <c r="A3426" s="122">
        <v>38040</v>
      </c>
      <c r="B3426" s="24">
        <v>0.77039999999999997</v>
      </c>
      <c r="C3426" s="24">
        <v>3098.9</v>
      </c>
      <c r="D3426" s="47">
        <f t="shared" si="53"/>
        <v>2387.3925599999998</v>
      </c>
    </row>
    <row r="3427" spans="1:4">
      <c r="A3427" s="122">
        <v>38037</v>
      </c>
      <c r="B3427" s="24">
        <v>0.76839999999999997</v>
      </c>
      <c r="C3427" s="24">
        <v>3049.5</v>
      </c>
      <c r="D3427" s="47">
        <f t="shared" si="53"/>
        <v>2343.2357999999999</v>
      </c>
    </row>
    <row r="3428" spans="1:4">
      <c r="A3428" s="122">
        <v>38036</v>
      </c>
      <c r="B3428" s="24">
        <v>0.79110000000000003</v>
      </c>
      <c r="C3428" s="24">
        <v>3000.7</v>
      </c>
      <c r="D3428" s="47">
        <f t="shared" si="53"/>
        <v>2373.8537699999997</v>
      </c>
    </row>
    <row r="3429" spans="1:4">
      <c r="A3429" s="122">
        <v>38035</v>
      </c>
      <c r="B3429" s="24">
        <v>0.78839999999999999</v>
      </c>
      <c r="C3429" s="24">
        <v>2991</v>
      </c>
      <c r="D3429" s="47">
        <f t="shared" si="53"/>
        <v>2358.1044000000002</v>
      </c>
    </row>
    <row r="3430" spans="1:4">
      <c r="A3430" s="122">
        <v>38034</v>
      </c>
      <c r="B3430" s="24">
        <v>0.79810000000000003</v>
      </c>
      <c r="C3430" s="24">
        <v>2962.7</v>
      </c>
      <c r="D3430" s="47">
        <f t="shared" si="53"/>
        <v>2364.53087</v>
      </c>
    </row>
    <row r="3431" spans="1:4">
      <c r="A3431" s="122">
        <v>38033</v>
      </c>
      <c r="B3431" s="24">
        <v>0.79249999999999998</v>
      </c>
      <c r="C3431" s="24">
        <v>2924.6</v>
      </c>
      <c r="D3431" s="47">
        <f t="shared" si="53"/>
        <v>2317.7455</v>
      </c>
    </row>
    <row r="3432" spans="1:4">
      <c r="A3432" s="122">
        <v>38030</v>
      </c>
      <c r="B3432" s="24">
        <v>0.78920000000000001</v>
      </c>
      <c r="C3432" s="24">
        <v>2941.9</v>
      </c>
      <c r="D3432" s="47">
        <f t="shared" si="53"/>
        <v>2321.74748</v>
      </c>
    </row>
    <row r="3433" spans="1:4">
      <c r="A3433" s="122">
        <v>38029</v>
      </c>
      <c r="B3433" s="24">
        <v>0.78849999999999998</v>
      </c>
      <c r="C3433" s="24">
        <v>2983</v>
      </c>
      <c r="D3433" s="47">
        <f t="shared" si="53"/>
        <v>2352.0954999999999</v>
      </c>
    </row>
    <row r="3434" spans="1:4">
      <c r="A3434" s="122">
        <v>38028</v>
      </c>
      <c r="B3434" s="24">
        <v>0.78849999999999998</v>
      </c>
      <c r="C3434" s="24">
        <v>3034.9</v>
      </c>
      <c r="D3434" s="47">
        <f t="shared" si="53"/>
        <v>2393.01865</v>
      </c>
    </row>
    <row r="3435" spans="1:4">
      <c r="A3435" s="122">
        <v>38027</v>
      </c>
      <c r="B3435" s="24">
        <v>0.78010000000000002</v>
      </c>
      <c r="C3435" s="24">
        <v>3010.1</v>
      </c>
      <c r="D3435" s="47">
        <f t="shared" si="53"/>
        <v>2348.1790099999998</v>
      </c>
    </row>
    <row r="3436" spans="1:4">
      <c r="A3436" s="122">
        <v>38026</v>
      </c>
      <c r="B3436" s="24">
        <v>0.7752</v>
      </c>
      <c r="C3436" s="24">
        <v>2955.3</v>
      </c>
      <c r="D3436" s="47">
        <f t="shared" si="53"/>
        <v>2290.9485600000003</v>
      </c>
    </row>
    <row r="3437" spans="1:4">
      <c r="A3437" s="122">
        <v>38023</v>
      </c>
      <c r="B3437" s="24">
        <v>0.76970000000000005</v>
      </c>
      <c r="C3437" s="24">
        <v>3100.8</v>
      </c>
      <c r="D3437" s="47">
        <f t="shared" si="53"/>
        <v>2386.6857600000003</v>
      </c>
    </row>
    <row r="3438" spans="1:4">
      <c r="A3438" s="122">
        <v>38022</v>
      </c>
      <c r="B3438" s="24">
        <v>0.76139999999999997</v>
      </c>
      <c r="C3438" s="24">
        <v>3126.4</v>
      </c>
      <c r="D3438" s="47">
        <f t="shared" si="53"/>
        <v>2380.4409599999999</v>
      </c>
    </row>
    <row r="3439" spans="1:4">
      <c r="A3439" s="122">
        <v>38021</v>
      </c>
      <c r="B3439" s="24">
        <v>0.76170000000000004</v>
      </c>
      <c r="C3439" s="24">
        <v>3108.5</v>
      </c>
      <c r="D3439" s="47">
        <f t="shared" si="53"/>
        <v>2367.7444500000001</v>
      </c>
    </row>
    <row r="3440" spans="1:4">
      <c r="A3440" s="122">
        <v>38020</v>
      </c>
      <c r="B3440" s="24">
        <v>0.76480000000000004</v>
      </c>
      <c r="C3440" s="24">
        <v>3242</v>
      </c>
      <c r="D3440" s="47">
        <f t="shared" si="53"/>
        <v>2479.4816000000001</v>
      </c>
    </row>
    <row r="3441" spans="1:4">
      <c r="A3441" s="122">
        <v>38019</v>
      </c>
      <c r="B3441" s="24">
        <v>0.75790000000000002</v>
      </c>
      <c r="C3441" s="24">
        <v>3242.6</v>
      </c>
      <c r="D3441" s="47">
        <f t="shared" si="53"/>
        <v>2457.5665399999998</v>
      </c>
    </row>
    <row r="3442" spans="1:4">
      <c r="A3442" s="122">
        <v>38016</v>
      </c>
      <c r="B3442" s="24">
        <v>0.76380000000000003</v>
      </c>
      <c r="C3442" s="24">
        <v>3234.3</v>
      </c>
      <c r="D3442" s="47">
        <f t="shared" si="53"/>
        <v>2470.3583400000002</v>
      </c>
    </row>
    <row r="3443" spans="1:4">
      <c r="A3443" s="122">
        <v>38015</v>
      </c>
      <c r="B3443" s="24">
        <v>0.76149999999999995</v>
      </c>
      <c r="C3443" s="24">
        <v>3264.3</v>
      </c>
      <c r="D3443" s="47">
        <f t="shared" si="53"/>
        <v>2485.7644500000001</v>
      </c>
    </row>
    <row r="3444" spans="1:4">
      <c r="A3444" s="122">
        <v>38014</v>
      </c>
      <c r="B3444" s="24">
        <v>0.77390000000000003</v>
      </c>
      <c r="C3444" s="24">
        <v>3288.3</v>
      </c>
      <c r="D3444" s="47">
        <f t="shared" si="53"/>
        <v>2544.8153700000003</v>
      </c>
    </row>
    <row r="3445" spans="1:4">
      <c r="A3445" s="122">
        <v>38013</v>
      </c>
      <c r="B3445" s="24">
        <v>0.77880000000000005</v>
      </c>
      <c r="C3445" s="24">
        <v>3286.4</v>
      </c>
      <c r="D3445" s="47">
        <f t="shared" si="53"/>
        <v>2559.4483200000004</v>
      </c>
    </row>
    <row r="3446" spans="1:4">
      <c r="A3446" s="122">
        <v>38012</v>
      </c>
      <c r="B3446" s="24">
        <v>0.76910000000000001</v>
      </c>
      <c r="C3446" s="24">
        <v>3272.3</v>
      </c>
      <c r="D3446" s="47">
        <f t="shared" si="53"/>
        <v>2516.7259300000001</v>
      </c>
    </row>
    <row r="3447" spans="1:4">
      <c r="A3447" s="122">
        <v>38009</v>
      </c>
      <c r="B3447" s="24">
        <v>0.77270000000000005</v>
      </c>
      <c r="C3447" s="24">
        <v>3275.6</v>
      </c>
      <c r="D3447" s="47">
        <f t="shared" si="53"/>
        <v>2531.0561200000002</v>
      </c>
    </row>
    <row r="3448" spans="1:4">
      <c r="A3448" s="122">
        <v>38008</v>
      </c>
      <c r="B3448" s="24">
        <v>0.77859999999999996</v>
      </c>
      <c r="C3448" s="24">
        <v>3323.9</v>
      </c>
      <c r="D3448" s="47">
        <f t="shared" si="53"/>
        <v>2587.9885399999998</v>
      </c>
    </row>
    <row r="3449" spans="1:4">
      <c r="A3449" s="122">
        <v>38007</v>
      </c>
      <c r="B3449" s="24">
        <v>0.77280000000000004</v>
      </c>
      <c r="C3449" s="24">
        <v>3349.2</v>
      </c>
      <c r="D3449" s="47">
        <f t="shared" si="53"/>
        <v>2588.2617599999999</v>
      </c>
    </row>
    <row r="3450" spans="1:4">
      <c r="A3450" s="122">
        <v>38006</v>
      </c>
      <c r="B3450" s="24">
        <v>0.76819999999999999</v>
      </c>
      <c r="C3450" s="24">
        <v>3372.1</v>
      </c>
      <c r="D3450" s="47">
        <f t="shared" si="53"/>
        <v>2590.44722</v>
      </c>
    </row>
    <row r="3451" spans="1:4">
      <c r="A3451" s="122">
        <v>38005</v>
      </c>
      <c r="B3451" s="24">
        <v>0.75529999999999997</v>
      </c>
      <c r="C3451" s="24">
        <v>3369.3</v>
      </c>
      <c r="D3451" s="47">
        <f t="shared" si="53"/>
        <v>2544.8322899999998</v>
      </c>
    </row>
    <row r="3452" spans="1:4">
      <c r="A3452" s="122">
        <v>38002</v>
      </c>
      <c r="B3452" s="24">
        <v>0.76370000000000005</v>
      </c>
      <c r="C3452" s="24">
        <v>3348</v>
      </c>
      <c r="D3452" s="47">
        <f t="shared" si="53"/>
        <v>2556.8676</v>
      </c>
    </row>
    <row r="3453" spans="1:4">
      <c r="A3453" s="122">
        <v>38001</v>
      </c>
      <c r="B3453" s="24">
        <v>0.77049999999999996</v>
      </c>
      <c r="C3453" s="24">
        <v>3320.7</v>
      </c>
      <c r="D3453" s="47">
        <f t="shared" si="53"/>
        <v>2558.59935</v>
      </c>
    </row>
    <row r="3454" spans="1:4">
      <c r="A3454" s="122">
        <v>38000</v>
      </c>
      <c r="B3454" s="24">
        <v>0.77759999999999996</v>
      </c>
      <c r="C3454" s="24">
        <v>3311</v>
      </c>
      <c r="D3454" s="47">
        <f t="shared" si="53"/>
        <v>2574.6335999999997</v>
      </c>
    </row>
    <row r="3455" spans="1:4">
      <c r="A3455" s="122">
        <v>37999</v>
      </c>
      <c r="B3455" s="24">
        <v>0.77729999999999999</v>
      </c>
      <c r="C3455" s="24">
        <v>3319</v>
      </c>
      <c r="D3455" s="47">
        <f t="shared" si="53"/>
        <v>2579.8586999999998</v>
      </c>
    </row>
    <row r="3456" spans="1:4">
      <c r="A3456" s="122">
        <v>37998</v>
      </c>
      <c r="B3456" s="24">
        <v>0.77780000000000005</v>
      </c>
      <c r="C3456" s="24">
        <v>3290.5</v>
      </c>
      <c r="D3456" s="47">
        <f t="shared" si="53"/>
        <v>2559.3509000000004</v>
      </c>
    </row>
    <row r="3457" spans="1:4">
      <c r="A3457" s="122">
        <v>37995</v>
      </c>
      <c r="B3457" s="24">
        <v>0.77669999999999995</v>
      </c>
      <c r="C3457" s="24">
        <v>3330.4</v>
      </c>
      <c r="D3457" s="47">
        <f t="shared" si="53"/>
        <v>2586.7216800000001</v>
      </c>
    </row>
    <row r="3458" spans="1:4">
      <c r="A3458" s="122">
        <v>37994</v>
      </c>
      <c r="B3458" s="24">
        <v>0.77439999999999998</v>
      </c>
      <c r="C3458" s="24">
        <v>3328.6</v>
      </c>
      <c r="D3458" s="47">
        <f t="shared" si="53"/>
        <v>2577.6678400000001</v>
      </c>
    </row>
    <row r="3459" spans="1:4">
      <c r="A3459" s="122">
        <v>37993</v>
      </c>
      <c r="B3459" s="24">
        <v>0.76870000000000005</v>
      </c>
      <c r="C3459" s="24">
        <v>3364.3</v>
      </c>
      <c r="D3459" s="47">
        <f t="shared" ref="D3459:D3522" si="54">C3459*B3459</f>
        <v>2586.1374100000003</v>
      </c>
    </row>
    <row r="3460" spans="1:4">
      <c r="A3460" s="122">
        <v>37992</v>
      </c>
      <c r="B3460" s="24">
        <v>0.77029999999999998</v>
      </c>
      <c r="C3460" s="24">
        <v>3371.9</v>
      </c>
      <c r="D3460" s="47">
        <f t="shared" si="54"/>
        <v>2597.3745699999999</v>
      </c>
    </row>
    <row r="3461" spans="1:4">
      <c r="A3461" s="122">
        <v>37991</v>
      </c>
      <c r="B3461" s="24">
        <v>0.76780000000000004</v>
      </c>
      <c r="C3461" s="24">
        <v>3383.9</v>
      </c>
      <c r="D3461" s="47">
        <f t="shared" si="54"/>
        <v>2598.1584200000002</v>
      </c>
    </row>
    <row r="3462" spans="1:4">
      <c r="A3462" s="122">
        <v>37988</v>
      </c>
      <c r="B3462" s="24">
        <v>0.75870000000000004</v>
      </c>
      <c r="C3462" s="24">
        <v>3401.3</v>
      </c>
      <c r="D3462" s="47">
        <f t="shared" si="54"/>
        <v>2580.5663100000002</v>
      </c>
    </row>
    <row r="3463" spans="1:4">
      <c r="A3463" s="122">
        <v>37987</v>
      </c>
      <c r="B3463" s="24">
        <v>0.75090000000000001</v>
      </c>
      <c r="C3463" s="24">
        <v>3416.8</v>
      </c>
      <c r="D3463" s="47">
        <f t="shared" si="54"/>
        <v>2565.6751200000003</v>
      </c>
    </row>
    <row r="3464" spans="1:4">
      <c r="A3464" s="122">
        <v>37986</v>
      </c>
      <c r="B3464" s="24">
        <v>0.75209999999999999</v>
      </c>
      <c r="C3464" s="24">
        <v>3402.6</v>
      </c>
      <c r="D3464" s="47">
        <f t="shared" si="54"/>
        <v>2559.09546</v>
      </c>
    </row>
    <row r="3465" spans="1:4">
      <c r="A3465" s="122">
        <v>37985</v>
      </c>
      <c r="B3465" s="24">
        <v>0.74890000000000001</v>
      </c>
      <c r="C3465" s="24">
        <v>3407</v>
      </c>
      <c r="D3465" s="47">
        <f t="shared" si="54"/>
        <v>2551.5023000000001</v>
      </c>
    </row>
    <row r="3466" spans="1:4">
      <c r="A3466" s="122">
        <v>37984</v>
      </c>
      <c r="B3466" s="24">
        <v>0.74329999999999996</v>
      </c>
      <c r="C3466" s="24">
        <v>3406.7</v>
      </c>
      <c r="D3466" s="47">
        <f t="shared" si="54"/>
        <v>2532.2001099999998</v>
      </c>
    </row>
    <row r="3467" spans="1:4">
      <c r="A3467" s="122">
        <v>37981</v>
      </c>
      <c r="B3467" s="24">
        <v>0.7409</v>
      </c>
      <c r="C3467" s="24">
        <v>3405.4</v>
      </c>
      <c r="D3467" s="47">
        <f t="shared" si="54"/>
        <v>2523.06086</v>
      </c>
    </row>
    <row r="3468" spans="1:4">
      <c r="A3468" s="122">
        <v>37980</v>
      </c>
      <c r="B3468" s="24">
        <v>0.74229999999999996</v>
      </c>
      <c r="C3468" s="24">
        <v>3404.1</v>
      </c>
      <c r="D3468" s="47">
        <f t="shared" si="54"/>
        <v>2526.8634299999999</v>
      </c>
    </row>
    <row r="3469" spans="1:4">
      <c r="A3469" s="122">
        <v>37979</v>
      </c>
      <c r="B3469" s="24">
        <v>0.7419</v>
      </c>
      <c r="C3469" s="24">
        <v>3374.5</v>
      </c>
      <c r="D3469" s="47">
        <f t="shared" si="54"/>
        <v>2503.5415499999999</v>
      </c>
    </row>
    <row r="3470" spans="1:4">
      <c r="A3470" s="122">
        <v>37978</v>
      </c>
      <c r="B3470" s="24">
        <v>0.73609999999999998</v>
      </c>
      <c r="C3470" s="24">
        <v>3324.5</v>
      </c>
      <c r="D3470" s="47">
        <f t="shared" si="54"/>
        <v>2447.1644499999998</v>
      </c>
    </row>
    <row r="3471" spans="1:4">
      <c r="A3471" s="122">
        <v>37977</v>
      </c>
      <c r="B3471" s="24">
        <v>0.73299999999999998</v>
      </c>
      <c r="C3471" s="24">
        <v>3316.6</v>
      </c>
      <c r="D3471" s="47">
        <f t="shared" si="54"/>
        <v>2431.0677999999998</v>
      </c>
    </row>
    <row r="3472" spans="1:4">
      <c r="A3472" s="122">
        <v>37974</v>
      </c>
      <c r="B3472" s="24">
        <v>0.73680000000000001</v>
      </c>
      <c r="C3472" s="24">
        <v>3292</v>
      </c>
      <c r="D3472" s="47">
        <f t="shared" si="54"/>
        <v>2425.5455999999999</v>
      </c>
    </row>
    <row r="3473" spans="1:4">
      <c r="A3473" s="122">
        <v>37973</v>
      </c>
      <c r="B3473" s="24">
        <v>0.74160000000000004</v>
      </c>
      <c r="C3473" s="24">
        <v>3283.4</v>
      </c>
      <c r="D3473" s="47">
        <f t="shared" si="54"/>
        <v>2434.9694400000003</v>
      </c>
    </row>
    <row r="3474" spans="1:4">
      <c r="A3474" s="122">
        <v>37972</v>
      </c>
      <c r="B3474" s="24">
        <v>0.73860000000000003</v>
      </c>
      <c r="C3474" s="24">
        <v>3319.2</v>
      </c>
      <c r="D3474" s="47">
        <f t="shared" si="54"/>
        <v>2451.5611199999998</v>
      </c>
    </row>
    <row r="3475" spans="1:4">
      <c r="A3475" s="122">
        <v>37971</v>
      </c>
      <c r="B3475" s="24">
        <v>0.74319999999999997</v>
      </c>
      <c r="C3475" s="24">
        <v>3352.6</v>
      </c>
      <c r="D3475" s="47">
        <f t="shared" si="54"/>
        <v>2491.6523199999997</v>
      </c>
    </row>
    <row r="3476" spans="1:4">
      <c r="A3476" s="122">
        <v>37970</v>
      </c>
      <c r="B3476" s="24">
        <v>0.74339999999999995</v>
      </c>
      <c r="C3476" s="24">
        <v>3373</v>
      </c>
      <c r="D3476" s="47">
        <f t="shared" si="54"/>
        <v>2507.4881999999998</v>
      </c>
    </row>
    <row r="3477" spans="1:4">
      <c r="A3477" s="122">
        <v>37967</v>
      </c>
      <c r="B3477" s="24">
        <v>0.74239999999999995</v>
      </c>
      <c r="C3477" s="24">
        <v>3380.7</v>
      </c>
      <c r="D3477" s="47">
        <f t="shared" si="54"/>
        <v>2509.8316799999998</v>
      </c>
    </row>
    <row r="3478" spans="1:4">
      <c r="A3478" s="122">
        <v>37966</v>
      </c>
      <c r="B3478" s="24">
        <v>0.73909999999999998</v>
      </c>
      <c r="C3478" s="24">
        <v>3394.4</v>
      </c>
      <c r="D3478" s="47">
        <f t="shared" si="54"/>
        <v>2508.8010399999998</v>
      </c>
    </row>
    <row r="3479" spans="1:4">
      <c r="A3479" s="122">
        <v>37965</v>
      </c>
      <c r="B3479" s="24">
        <v>0.73880000000000001</v>
      </c>
      <c r="C3479" s="24">
        <v>3393.9</v>
      </c>
      <c r="D3479" s="47">
        <f t="shared" si="54"/>
        <v>2507.4133200000001</v>
      </c>
    </row>
    <row r="3480" spans="1:4">
      <c r="A3480" s="122">
        <v>37964</v>
      </c>
      <c r="B3480" s="24">
        <v>0.74170000000000003</v>
      </c>
      <c r="C3480" s="24">
        <v>3402.7</v>
      </c>
      <c r="D3480" s="47">
        <f t="shared" si="54"/>
        <v>2523.7825899999998</v>
      </c>
    </row>
    <row r="3481" spans="1:4">
      <c r="A3481" s="122">
        <v>37963</v>
      </c>
      <c r="B3481" s="24">
        <v>0.74</v>
      </c>
      <c r="C3481" s="24">
        <v>3421.2</v>
      </c>
      <c r="D3481" s="47">
        <f t="shared" si="54"/>
        <v>2531.6879999999996</v>
      </c>
    </row>
    <row r="3482" spans="1:4">
      <c r="A3482" s="122">
        <v>37960</v>
      </c>
      <c r="B3482" s="24">
        <v>0.73660000000000003</v>
      </c>
      <c r="C3482" s="24">
        <v>3396.5</v>
      </c>
      <c r="D3482" s="47">
        <f t="shared" si="54"/>
        <v>2501.8619000000003</v>
      </c>
    </row>
    <row r="3483" spans="1:4">
      <c r="A3483" s="122">
        <v>37959</v>
      </c>
      <c r="B3483" s="24">
        <v>0.7349</v>
      </c>
      <c r="C3483" s="24">
        <v>3392.6</v>
      </c>
      <c r="D3483" s="47">
        <f t="shared" si="54"/>
        <v>2493.22174</v>
      </c>
    </row>
    <row r="3484" spans="1:4">
      <c r="A3484" s="122">
        <v>37958</v>
      </c>
      <c r="B3484" s="24">
        <v>0.73640000000000005</v>
      </c>
      <c r="C3484" s="24">
        <v>3378</v>
      </c>
      <c r="D3484" s="47">
        <f t="shared" si="54"/>
        <v>2487.5592000000001</v>
      </c>
    </row>
    <row r="3485" spans="1:4">
      <c r="A3485" s="122">
        <v>37957</v>
      </c>
      <c r="B3485" s="24">
        <v>0.73080000000000001</v>
      </c>
      <c r="C3485" s="24">
        <v>3356.7</v>
      </c>
      <c r="D3485" s="47">
        <f t="shared" si="54"/>
        <v>2453.07636</v>
      </c>
    </row>
    <row r="3486" spans="1:4">
      <c r="A3486" s="122">
        <v>37956</v>
      </c>
      <c r="B3486" s="24">
        <v>0.72789999999999999</v>
      </c>
      <c r="C3486" s="24">
        <v>3342</v>
      </c>
      <c r="D3486" s="47">
        <f t="shared" si="54"/>
        <v>2432.6417999999999</v>
      </c>
    </row>
    <row r="3487" spans="1:4">
      <c r="A3487" s="122">
        <v>37953</v>
      </c>
      <c r="B3487" s="24">
        <v>0.72409999999999997</v>
      </c>
      <c r="C3487" s="24">
        <v>3353.9</v>
      </c>
      <c r="D3487" s="47">
        <f t="shared" si="54"/>
        <v>2428.55899</v>
      </c>
    </row>
    <row r="3488" spans="1:4">
      <c r="A3488" s="122">
        <v>37952</v>
      </c>
      <c r="B3488" s="24">
        <v>0.72240000000000004</v>
      </c>
      <c r="C3488" s="24">
        <v>3377.8</v>
      </c>
      <c r="D3488" s="47">
        <f t="shared" si="54"/>
        <v>2440.1227200000003</v>
      </c>
    </row>
    <row r="3489" spans="1:4">
      <c r="A3489" s="122">
        <v>37951</v>
      </c>
      <c r="B3489" s="24">
        <v>0.72360000000000002</v>
      </c>
      <c r="C3489" s="24">
        <v>3429.7</v>
      </c>
      <c r="D3489" s="47">
        <f t="shared" si="54"/>
        <v>2481.73092</v>
      </c>
    </row>
    <row r="3490" spans="1:4">
      <c r="A3490" s="122">
        <v>37950</v>
      </c>
      <c r="B3490" s="24">
        <v>0.71789999999999998</v>
      </c>
      <c r="C3490" s="24">
        <v>3450</v>
      </c>
      <c r="D3490" s="47">
        <f t="shared" si="54"/>
        <v>2476.7550000000001</v>
      </c>
    </row>
    <row r="3491" spans="1:4">
      <c r="A3491" s="122">
        <v>37949</v>
      </c>
      <c r="B3491" s="24">
        <v>0.71799999999999997</v>
      </c>
      <c r="C3491" s="24">
        <v>3438.4</v>
      </c>
      <c r="D3491" s="47">
        <f t="shared" si="54"/>
        <v>2468.7712000000001</v>
      </c>
    </row>
    <row r="3492" spans="1:4">
      <c r="A3492" s="122">
        <v>37946</v>
      </c>
      <c r="B3492" s="24">
        <v>0.7238</v>
      </c>
      <c r="C3492" s="24">
        <v>3490.3</v>
      </c>
      <c r="D3492" s="47">
        <f t="shared" si="54"/>
        <v>2526.2791400000001</v>
      </c>
    </row>
    <row r="3493" spans="1:4">
      <c r="A3493" s="122">
        <v>37945</v>
      </c>
      <c r="B3493" s="24">
        <v>0.72250000000000003</v>
      </c>
      <c r="C3493" s="24">
        <v>3420.5</v>
      </c>
      <c r="D3493" s="47">
        <f t="shared" si="54"/>
        <v>2471.3112500000002</v>
      </c>
    </row>
    <row r="3494" spans="1:4">
      <c r="A3494" s="122">
        <v>37944</v>
      </c>
      <c r="B3494" s="24">
        <v>0.72199999999999998</v>
      </c>
      <c r="C3494" s="24">
        <v>3409.8</v>
      </c>
      <c r="D3494" s="47">
        <f t="shared" si="54"/>
        <v>2461.8755999999998</v>
      </c>
    </row>
    <row r="3495" spans="1:4">
      <c r="A3495" s="122">
        <v>37943</v>
      </c>
      <c r="B3495" s="24">
        <v>0.72409999999999997</v>
      </c>
      <c r="C3495" s="24">
        <v>3434.2</v>
      </c>
      <c r="D3495" s="47">
        <f t="shared" si="54"/>
        <v>2486.7042199999996</v>
      </c>
    </row>
    <row r="3496" spans="1:4">
      <c r="A3496" s="122">
        <v>37942</v>
      </c>
      <c r="B3496" s="24">
        <v>0.71160000000000001</v>
      </c>
      <c r="C3496" s="24">
        <v>3418.7</v>
      </c>
      <c r="D3496" s="47">
        <f t="shared" si="54"/>
        <v>2432.74692</v>
      </c>
    </row>
    <row r="3497" spans="1:4">
      <c r="A3497" s="122">
        <v>37939</v>
      </c>
      <c r="B3497" s="24">
        <v>0.72030000000000005</v>
      </c>
      <c r="C3497" s="24">
        <v>3428.3</v>
      </c>
      <c r="D3497" s="47">
        <f t="shared" si="54"/>
        <v>2469.4044900000004</v>
      </c>
    </row>
    <row r="3498" spans="1:4">
      <c r="A3498" s="122">
        <v>37938</v>
      </c>
      <c r="B3498" s="24">
        <v>0.71970000000000001</v>
      </c>
      <c r="C3498" s="24">
        <v>3410.8</v>
      </c>
      <c r="D3498" s="47">
        <f t="shared" si="54"/>
        <v>2454.7527600000003</v>
      </c>
    </row>
    <row r="3499" spans="1:4">
      <c r="A3499" s="122">
        <v>37937</v>
      </c>
      <c r="B3499" s="24">
        <v>0.71870000000000001</v>
      </c>
      <c r="C3499" s="24">
        <v>3412.9</v>
      </c>
      <c r="D3499" s="47">
        <f t="shared" si="54"/>
        <v>2452.8512300000002</v>
      </c>
    </row>
    <row r="3500" spans="1:4">
      <c r="A3500" s="122">
        <v>37936</v>
      </c>
      <c r="B3500" s="24">
        <v>0.71550000000000002</v>
      </c>
      <c r="C3500" s="24">
        <v>3385.4</v>
      </c>
      <c r="D3500" s="47">
        <f t="shared" si="54"/>
        <v>2422.2537000000002</v>
      </c>
    </row>
    <row r="3501" spans="1:4">
      <c r="A3501" s="122">
        <v>37935</v>
      </c>
      <c r="B3501" s="24">
        <v>0.71599999999999997</v>
      </c>
      <c r="C3501" s="24">
        <v>3385</v>
      </c>
      <c r="D3501" s="47">
        <f t="shared" si="54"/>
        <v>2423.66</v>
      </c>
    </row>
    <row r="3502" spans="1:4">
      <c r="A3502" s="122">
        <v>37932</v>
      </c>
      <c r="B3502" s="24">
        <v>0.70950000000000002</v>
      </c>
      <c r="C3502" s="24">
        <v>3415.7</v>
      </c>
      <c r="D3502" s="47">
        <f t="shared" si="54"/>
        <v>2423.4391500000002</v>
      </c>
    </row>
    <row r="3503" spans="1:4">
      <c r="A3503" s="122">
        <v>37931</v>
      </c>
      <c r="B3503" s="24">
        <v>0.70569999999999999</v>
      </c>
      <c r="C3503" s="24">
        <v>3411.9</v>
      </c>
      <c r="D3503" s="47">
        <f t="shared" si="54"/>
        <v>2407.77783</v>
      </c>
    </row>
    <row r="3504" spans="1:4">
      <c r="A3504" s="122">
        <v>37930</v>
      </c>
      <c r="B3504" s="24">
        <v>0.70879999999999999</v>
      </c>
      <c r="C3504" s="24">
        <v>3389.6</v>
      </c>
      <c r="D3504" s="47">
        <f t="shared" si="54"/>
        <v>2402.5484799999999</v>
      </c>
    </row>
    <row r="3505" spans="1:4">
      <c r="A3505" s="122">
        <v>37929</v>
      </c>
      <c r="B3505" s="24">
        <v>0.70279999999999998</v>
      </c>
      <c r="C3505" s="24">
        <v>3401.8</v>
      </c>
      <c r="D3505" s="47">
        <f t="shared" si="54"/>
        <v>2390.7850400000002</v>
      </c>
    </row>
    <row r="3506" spans="1:4">
      <c r="A3506" s="122">
        <v>37928</v>
      </c>
      <c r="B3506" s="24">
        <v>0.69869999999999999</v>
      </c>
      <c r="C3506" s="24">
        <v>3434.4</v>
      </c>
      <c r="D3506" s="47">
        <f t="shared" si="54"/>
        <v>2399.61528</v>
      </c>
    </row>
    <row r="3507" spans="1:4">
      <c r="A3507" s="122">
        <v>37925</v>
      </c>
      <c r="B3507" s="24">
        <v>0.70689999999999997</v>
      </c>
      <c r="C3507" s="24">
        <v>3436.6</v>
      </c>
      <c r="D3507" s="47">
        <f t="shared" si="54"/>
        <v>2429.3325399999999</v>
      </c>
    </row>
    <row r="3508" spans="1:4">
      <c r="A3508" s="122">
        <v>37924</v>
      </c>
      <c r="B3508" s="24">
        <v>0.70389999999999997</v>
      </c>
      <c r="C3508" s="24">
        <v>3423.3</v>
      </c>
      <c r="D3508" s="47">
        <f t="shared" si="54"/>
        <v>2409.6608700000002</v>
      </c>
    </row>
    <row r="3509" spans="1:4">
      <c r="A3509" s="122">
        <v>37923</v>
      </c>
      <c r="B3509" s="24">
        <v>0.7036</v>
      </c>
      <c r="C3509" s="24">
        <v>3422.2</v>
      </c>
      <c r="D3509" s="47">
        <f t="shared" si="54"/>
        <v>2407.8599199999999</v>
      </c>
    </row>
    <row r="3510" spans="1:4">
      <c r="A3510" s="122">
        <v>37922</v>
      </c>
      <c r="B3510" s="24">
        <v>0.70599999999999996</v>
      </c>
      <c r="C3510" s="24">
        <v>3426.7</v>
      </c>
      <c r="D3510" s="47">
        <f t="shared" si="54"/>
        <v>2419.2501999999999</v>
      </c>
    </row>
    <row r="3511" spans="1:4">
      <c r="A3511" s="122">
        <v>37921</v>
      </c>
      <c r="B3511" s="24">
        <v>0.7046</v>
      </c>
      <c r="C3511" s="24">
        <v>3391.5</v>
      </c>
      <c r="D3511" s="47">
        <f t="shared" si="54"/>
        <v>2389.6509000000001</v>
      </c>
    </row>
    <row r="3512" spans="1:4">
      <c r="A3512" s="122">
        <v>37918</v>
      </c>
      <c r="B3512" s="24">
        <v>0.69989999999999997</v>
      </c>
      <c r="C3512" s="24">
        <v>3379.1</v>
      </c>
      <c r="D3512" s="47">
        <f t="shared" si="54"/>
        <v>2365.0320899999997</v>
      </c>
    </row>
    <row r="3513" spans="1:4">
      <c r="A3513" s="122">
        <v>37917</v>
      </c>
      <c r="B3513" s="24">
        <v>0.6996</v>
      </c>
      <c r="C3513" s="24">
        <v>3399.8</v>
      </c>
      <c r="D3513" s="47">
        <f t="shared" si="54"/>
        <v>2378.5000800000003</v>
      </c>
    </row>
    <row r="3514" spans="1:4">
      <c r="A3514" s="122">
        <v>37916</v>
      </c>
      <c r="B3514" s="24">
        <v>0.70509999999999995</v>
      </c>
      <c r="C3514" s="24">
        <v>3411.1</v>
      </c>
      <c r="D3514" s="47">
        <f t="shared" si="54"/>
        <v>2405.1666099999998</v>
      </c>
    </row>
    <row r="3515" spans="1:4">
      <c r="A3515" s="122">
        <v>37915</v>
      </c>
      <c r="B3515" s="24">
        <v>0.6996</v>
      </c>
      <c r="C3515" s="24">
        <v>3420.1</v>
      </c>
      <c r="D3515" s="47">
        <f t="shared" si="54"/>
        <v>2392.7019599999999</v>
      </c>
    </row>
    <row r="3516" spans="1:4">
      <c r="A3516" s="122">
        <v>37914</v>
      </c>
      <c r="B3516" s="24">
        <v>0.69169999999999998</v>
      </c>
      <c r="C3516" s="24">
        <v>3426.1</v>
      </c>
      <c r="D3516" s="47">
        <f t="shared" si="54"/>
        <v>2369.8333699999998</v>
      </c>
    </row>
    <row r="3517" spans="1:4">
      <c r="A3517" s="122">
        <v>37911</v>
      </c>
      <c r="B3517" s="24">
        <v>0.69240000000000002</v>
      </c>
      <c r="C3517" s="24">
        <v>3416</v>
      </c>
      <c r="D3517" s="47">
        <f t="shared" si="54"/>
        <v>2365.2384000000002</v>
      </c>
    </row>
    <row r="3518" spans="1:4">
      <c r="A3518" s="122">
        <v>37910</v>
      </c>
      <c r="B3518" s="24">
        <v>0.68859999999999999</v>
      </c>
      <c r="C3518" s="24">
        <v>3426.7</v>
      </c>
      <c r="D3518" s="47">
        <f t="shared" si="54"/>
        <v>2359.6256199999998</v>
      </c>
    </row>
    <row r="3519" spans="1:4">
      <c r="A3519" s="122">
        <v>37909</v>
      </c>
      <c r="B3519" s="24">
        <v>0.69</v>
      </c>
      <c r="C3519" s="24">
        <v>3436.5</v>
      </c>
      <c r="D3519" s="47">
        <f t="shared" si="54"/>
        <v>2371.1849999999999</v>
      </c>
    </row>
    <row r="3520" spans="1:4">
      <c r="A3520" s="122">
        <v>37908</v>
      </c>
      <c r="B3520" s="24">
        <v>0.68989999999999996</v>
      </c>
      <c r="C3520" s="24">
        <v>3435.3</v>
      </c>
      <c r="D3520" s="47">
        <f t="shared" si="54"/>
        <v>2370.0134699999999</v>
      </c>
    </row>
    <row r="3521" spans="1:4">
      <c r="A3521" s="122">
        <v>37907</v>
      </c>
      <c r="B3521" s="24">
        <v>0.69020000000000004</v>
      </c>
      <c r="C3521" s="24">
        <v>3404.1</v>
      </c>
      <c r="D3521" s="47">
        <f t="shared" si="54"/>
        <v>2349.5098200000002</v>
      </c>
    </row>
    <row r="3522" spans="1:4">
      <c r="A3522" s="122">
        <v>37904</v>
      </c>
      <c r="B3522" s="24">
        <v>0.69069999999999998</v>
      </c>
      <c r="C3522" s="24">
        <v>3410</v>
      </c>
      <c r="D3522" s="47">
        <f t="shared" si="54"/>
        <v>2355.2869999999998</v>
      </c>
    </row>
    <row r="3523" spans="1:4">
      <c r="A3523" s="122">
        <v>37903</v>
      </c>
      <c r="B3523" s="24">
        <v>0.68920000000000003</v>
      </c>
      <c r="C3523" s="24">
        <v>3380.1</v>
      </c>
      <c r="D3523" s="47">
        <f t="shared" ref="D3523:D3586" si="55">C3523*B3523</f>
        <v>2329.5649200000003</v>
      </c>
    </row>
    <row r="3524" spans="1:4">
      <c r="A3524" s="122">
        <v>37902</v>
      </c>
      <c r="B3524" s="24">
        <v>0.68969999999999998</v>
      </c>
      <c r="C3524" s="24">
        <v>3390.2</v>
      </c>
      <c r="D3524" s="47">
        <f t="shared" si="55"/>
        <v>2338.2209399999997</v>
      </c>
    </row>
    <row r="3525" spans="1:4">
      <c r="A3525" s="122">
        <v>37901</v>
      </c>
      <c r="B3525" s="24">
        <v>0.6905</v>
      </c>
      <c r="C3525" s="24">
        <v>3382.2</v>
      </c>
      <c r="D3525" s="47">
        <f t="shared" si="55"/>
        <v>2335.4090999999999</v>
      </c>
    </row>
    <row r="3526" spans="1:4">
      <c r="A3526" s="122">
        <v>37900</v>
      </c>
      <c r="B3526" s="24">
        <v>0.68489999999999995</v>
      </c>
      <c r="C3526" s="24">
        <v>3389</v>
      </c>
      <c r="D3526" s="47">
        <f t="shared" si="55"/>
        <v>2321.1261</v>
      </c>
    </row>
    <row r="3527" spans="1:4">
      <c r="A3527" s="122">
        <v>37897</v>
      </c>
      <c r="B3527" s="24">
        <v>0.67810000000000004</v>
      </c>
      <c r="C3527" s="24">
        <v>3386.5</v>
      </c>
      <c r="D3527" s="47">
        <f t="shared" si="55"/>
        <v>2296.3856500000002</v>
      </c>
    </row>
    <row r="3528" spans="1:4">
      <c r="A3528" s="122">
        <v>37896</v>
      </c>
      <c r="B3528" s="24">
        <v>0.68500000000000005</v>
      </c>
      <c r="C3528" s="24">
        <v>3346.1</v>
      </c>
      <c r="D3528" s="47">
        <f t="shared" si="55"/>
        <v>2292.0785000000001</v>
      </c>
    </row>
    <row r="3529" spans="1:4">
      <c r="A3529" s="122">
        <v>37895</v>
      </c>
      <c r="B3529" s="24">
        <v>0.68730000000000002</v>
      </c>
      <c r="C3529" s="24">
        <v>3338.9</v>
      </c>
      <c r="D3529" s="47">
        <f t="shared" si="55"/>
        <v>2294.8259700000003</v>
      </c>
    </row>
    <row r="3530" spans="1:4">
      <c r="A3530" s="122">
        <v>37894</v>
      </c>
      <c r="B3530" s="24">
        <v>0.68079999999999996</v>
      </c>
      <c r="C3530" s="24">
        <v>3354.8</v>
      </c>
      <c r="D3530" s="47">
        <f t="shared" si="55"/>
        <v>2283.9478399999998</v>
      </c>
    </row>
    <row r="3531" spans="1:4">
      <c r="A3531" s="122">
        <v>37893</v>
      </c>
      <c r="B3531" s="24">
        <v>0.6764</v>
      </c>
      <c r="C3531" s="24">
        <v>3340.5</v>
      </c>
      <c r="D3531" s="47">
        <f t="shared" si="55"/>
        <v>2259.5142000000001</v>
      </c>
    </row>
    <row r="3532" spans="1:4">
      <c r="A3532" s="122">
        <v>37890</v>
      </c>
      <c r="B3532" s="24">
        <v>0.67449999999999999</v>
      </c>
      <c r="C3532" s="24">
        <v>3350</v>
      </c>
      <c r="D3532" s="47">
        <f t="shared" si="55"/>
        <v>2259.5749999999998</v>
      </c>
    </row>
    <row r="3533" spans="1:4">
      <c r="A3533" s="122">
        <v>37889</v>
      </c>
      <c r="B3533" s="24">
        <v>0.67859999999999998</v>
      </c>
      <c r="C3533" s="24">
        <v>3330.6</v>
      </c>
      <c r="D3533" s="47">
        <f t="shared" si="55"/>
        <v>2260.14516</v>
      </c>
    </row>
    <row r="3534" spans="1:4">
      <c r="A3534" s="122">
        <v>37888</v>
      </c>
      <c r="B3534" s="24">
        <v>0.67859999999999998</v>
      </c>
      <c r="C3534" s="24">
        <v>3328.7</v>
      </c>
      <c r="D3534" s="47">
        <f t="shared" si="55"/>
        <v>2258.8558199999998</v>
      </c>
    </row>
    <row r="3535" spans="1:4">
      <c r="A3535" s="122">
        <v>37887</v>
      </c>
      <c r="B3535" s="24">
        <v>0.67579999999999996</v>
      </c>
      <c r="C3535" s="24">
        <v>3329.4</v>
      </c>
      <c r="D3535" s="47">
        <f t="shared" si="55"/>
        <v>2250.0085199999999</v>
      </c>
    </row>
    <row r="3536" spans="1:4">
      <c r="A3536" s="122">
        <v>37886</v>
      </c>
      <c r="B3536" s="24">
        <v>0.6784</v>
      </c>
      <c r="C3536" s="24">
        <v>3293.9</v>
      </c>
      <c r="D3536" s="47">
        <f t="shared" si="55"/>
        <v>2234.58176</v>
      </c>
    </row>
    <row r="3537" spans="1:4">
      <c r="A3537" s="122">
        <v>37883</v>
      </c>
      <c r="B3537" s="24">
        <v>0.6714</v>
      </c>
      <c r="C3537" s="24">
        <v>3312</v>
      </c>
      <c r="D3537" s="47">
        <f t="shared" si="55"/>
        <v>2223.6768000000002</v>
      </c>
    </row>
    <row r="3538" spans="1:4">
      <c r="A3538" s="122">
        <v>37882</v>
      </c>
      <c r="B3538" s="24">
        <v>0.66610000000000003</v>
      </c>
      <c r="C3538" s="24">
        <v>3301</v>
      </c>
      <c r="D3538" s="47">
        <f t="shared" si="55"/>
        <v>2198.7961</v>
      </c>
    </row>
    <row r="3539" spans="1:4">
      <c r="A3539" s="122">
        <v>37881</v>
      </c>
      <c r="B3539" s="24">
        <v>0.66510000000000002</v>
      </c>
      <c r="C3539" s="24">
        <v>3300.6</v>
      </c>
      <c r="D3539" s="47">
        <f t="shared" si="55"/>
        <v>2195.2290600000001</v>
      </c>
    </row>
    <row r="3540" spans="1:4">
      <c r="A3540" s="122">
        <v>37880</v>
      </c>
      <c r="B3540" s="24">
        <v>0.66359999999999997</v>
      </c>
      <c r="C3540" s="24">
        <v>3303.5</v>
      </c>
      <c r="D3540" s="47">
        <f t="shared" si="55"/>
        <v>2192.2026000000001</v>
      </c>
    </row>
    <row r="3541" spans="1:4">
      <c r="A3541" s="122">
        <v>37879</v>
      </c>
      <c r="B3541" s="24">
        <v>0.66559999999999997</v>
      </c>
      <c r="C3541" s="24">
        <v>3324.2</v>
      </c>
      <c r="D3541" s="47">
        <f t="shared" si="55"/>
        <v>2212.5875199999996</v>
      </c>
    </row>
    <row r="3542" spans="1:4">
      <c r="A3542" s="122">
        <v>37876</v>
      </c>
      <c r="B3542" s="24">
        <v>0.66239999999999999</v>
      </c>
      <c r="C3542" s="24">
        <v>3278.2</v>
      </c>
      <c r="D3542" s="47">
        <f t="shared" si="55"/>
        <v>2171.4796799999999</v>
      </c>
    </row>
    <row r="3543" spans="1:4">
      <c r="A3543" s="122">
        <v>37875</v>
      </c>
      <c r="B3543" s="24">
        <v>0.65990000000000004</v>
      </c>
      <c r="C3543" s="24">
        <v>3258.7</v>
      </c>
      <c r="D3543" s="47">
        <f t="shared" si="55"/>
        <v>2150.4161300000001</v>
      </c>
    </row>
    <row r="3544" spans="1:4">
      <c r="A3544" s="122">
        <v>37874</v>
      </c>
      <c r="B3544" s="24">
        <v>0.65759999999999996</v>
      </c>
      <c r="C3544" s="24">
        <v>3276.8</v>
      </c>
      <c r="D3544" s="47">
        <f t="shared" si="55"/>
        <v>2154.82368</v>
      </c>
    </row>
    <row r="3545" spans="1:4">
      <c r="A3545" s="122">
        <v>37873</v>
      </c>
      <c r="B3545" s="24">
        <v>0.65920000000000001</v>
      </c>
      <c r="C3545" s="24">
        <v>3259.6</v>
      </c>
      <c r="D3545" s="47">
        <f t="shared" si="55"/>
        <v>2148.7283200000002</v>
      </c>
    </row>
    <row r="3546" spans="1:4">
      <c r="A3546" s="122">
        <v>37872</v>
      </c>
      <c r="B3546" s="24">
        <v>0.65010000000000001</v>
      </c>
      <c r="C3546" s="24">
        <v>3228.5</v>
      </c>
      <c r="D3546" s="47">
        <f t="shared" si="55"/>
        <v>2098.8478500000001</v>
      </c>
    </row>
    <row r="3547" spans="1:4">
      <c r="A3547" s="122">
        <v>37869</v>
      </c>
      <c r="B3547" s="24">
        <v>0.64810000000000001</v>
      </c>
      <c r="C3547" s="24">
        <v>3215.7</v>
      </c>
      <c r="D3547" s="47">
        <f t="shared" si="55"/>
        <v>2084.0951700000001</v>
      </c>
    </row>
    <row r="3548" spans="1:4">
      <c r="A3548" s="122">
        <v>37868</v>
      </c>
      <c r="B3548" s="24">
        <v>0.64229999999999998</v>
      </c>
      <c r="C3548" s="24">
        <v>3233.2</v>
      </c>
      <c r="D3548" s="47">
        <f t="shared" si="55"/>
        <v>2076.6843599999997</v>
      </c>
    </row>
    <row r="3549" spans="1:4">
      <c r="A3549" s="122">
        <v>37867</v>
      </c>
      <c r="B3549" s="24">
        <v>0.64090000000000003</v>
      </c>
      <c r="C3549" s="24">
        <v>3220.5</v>
      </c>
      <c r="D3549" s="47">
        <f t="shared" si="55"/>
        <v>2064.01845</v>
      </c>
    </row>
    <row r="3550" spans="1:4">
      <c r="A3550" s="122">
        <v>37866</v>
      </c>
      <c r="B3550" s="24">
        <v>0.63639999999999997</v>
      </c>
      <c r="C3550" s="24">
        <v>3194.3</v>
      </c>
      <c r="D3550" s="47">
        <f t="shared" si="55"/>
        <v>2032.8525199999999</v>
      </c>
    </row>
    <row r="3551" spans="1:4">
      <c r="A3551" s="122">
        <v>37865</v>
      </c>
      <c r="B3551" s="24">
        <v>0.64510000000000001</v>
      </c>
      <c r="C3551" s="24">
        <v>3192.3</v>
      </c>
      <c r="D3551" s="47">
        <f t="shared" si="55"/>
        <v>2059.3527300000001</v>
      </c>
    </row>
    <row r="3552" spans="1:4">
      <c r="A3552" s="122">
        <v>37862</v>
      </c>
      <c r="B3552" s="24">
        <v>0.64729999999999999</v>
      </c>
      <c r="C3552" s="24">
        <v>3194.6</v>
      </c>
      <c r="D3552" s="47">
        <f t="shared" si="55"/>
        <v>2067.8645799999999</v>
      </c>
    </row>
    <row r="3553" spans="1:4">
      <c r="A3553" s="122">
        <v>37861</v>
      </c>
      <c r="B3553" s="24">
        <v>0.64059999999999995</v>
      </c>
      <c r="C3553" s="24">
        <v>3147.2</v>
      </c>
      <c r="D3553" s="47">
        <f t="shared" si="55"/>
        <v>2016.0963199999997</v>
      </c>
    </row>
    <row r="3554" spans="1:4">
      <c r="A3554" s="122">
        <v>37860</v>
      </c>
      <c r="B3554" s="24">
        <v>0.6401</v>
      </c>
      <c r="C3554" s="24">
        <v>3177.9</v>
      </c>
      <c r="D3554" s="47">
        <f t="shared" si="55"/>
        <v>2034.1737900000001</v>
      </c>
    </row>
    <row r="3555" spans="1:4">
      <c r="A3555" s="122">
        <v>37859</v>
      </c>
      <c r="B3555" s="24">
        <v>0.64419999999999999</v>
      </c>
      <c r="C3555" s="24">
        <v>3179.6</v>
      </c>
      <c r="D3555" s="47">
        <f t="shared" si="55"/>
        <v>2048.2983199999999</v>
      </c>
    </row>
    <row r="3556" spans="1:4">
      <c r="A3556" s="122">
        <v>37858</v>
      </c>
      <c r="B3556" s="24">
        <v>0.65059999999999996</v>
      </c>
      <c r="C3556" s="24">
        <v>3170.4</v>
      </c>
      <c r="D3556" s="47">
        <f t="shared" si="55"/>
        <v>2062.6622400000001</v>
      </c>
    </row>
    <row r="3557" spans="1:4">
      <c r="A3557" s="122">
        <v>37855</v>
      </c>
      <c r="B3557" s="24">
        <v>0.65159999999999996</v>
      </c>
      <c r="C3557" s="24">
        <v>3165.1</v>
      </c>
      <c r="D3557" s="47">
        <f t="shared" si="55"/>
        <v>2062.37916</v>
      </c>
    </row>
    <row r="3558" spans="1:4">
      <c r="A3558" s="122">
        <v>37854</v>
      </c>
      <c r="B3558" s="24">
        <v>0.65329999999999999</v>
      </c>
      <c r="C3558" s="24">
        <v>3145.3</v>
      </c>
      <c r="D3558" s="47">
        <f t="shared" si="55"/>
        <v>2054.82449</v>
      </c>
    </row>
    <row r="3559" spans="1:4">
      <c r="A3559" s="122">
        <v>37853</v>
      </c>
      <c r="B3559" s="24">
        <v>0.66090000000000004</v>
      </c>
      <c r="C3559" s="24">
        <v>3188.8</v>
      </c>
      <c r="D3559" s="47">
        <f t="shared" si="55"/>
        <v>2107.4779200000003</v>
      </c>
    </row>
    <row r="3560" spans="1:4">
      <c r="A3560" s="122">
        <v>37852</v>
      </c>
      <c r="B3560" s="24">
        <v>0.65580000000000005</v>
      </c>
      <c r="C3560" s="24">
        <v>3225.3</v>
      </c>
      <c r="D3560" s="47">
        <f t="shared" si="55"/>
        <v>2115.1517400000002</v>
      </c>
    </row>
    <row r="3561" spans="1:4">
      <c r="A3561" s="122">
        <v>37851</v>
      </c>
      <c r="B3561" s="24">
        <v>0.6583</v>
      </c>
      <c r="C3561" s="24">
        <v>3229.7</v>
      </c>
      <c r="D3561" s="47">
        <f t="shared" si="55"/>
        <v>2126.1115099999997</v>
      </c>
    </row>
    <row r="3562" spans="1:4">
      <c r="A3562" s="122">
        <v>37848</v>
      </c>
      <c r="B3562" s="24">
        <v>0.65980000000000005</v>
      </c>
      <c r="C3562" s="24">
        <v>3216</v>
      </c>
      <c r="D3562" s="47">
        <f t="shared" si="55"/>
        <v>2121.9168</v>
      </c>
    </row>
    <row r="3563" spans="1:4">
      <c r="A3563" s="122">
        <v>37847</v>
      </c>
      <c r="B3563" s="24">
        <v>0.65580000000000005</v>
      </c>
      <c r="C3563" s="24">
        <v>3252.4</v>
      </c>
      <c r="D3563" s="47">
        <f t="shared" si="55"/>
        <v>2132.9239200000002</v>
      </c>
    </row>
    <row r="3564" spans="1:4">
      <c r="A3564" s="122">
        <v>37846</v>
      </c>
      <c r="B3564" s="24">
        <v>0.65839999999999999</v>
      </c>
      <c r="C3564" s="24">
        <v>3242.9</v>
      </c>
      <c r="D3564" s="47">
        <f t="shared" si="55"/>
        <v>2135.12536</v>
      </c>
    </row>
    <row r="3565" spans="1:4">
      <c r="A3565" s="122">
        <v>37845</v>
      </c>
      <c r="B3565" s="24">
        <v>0.65820000000000001</v>
      </c>
      <c r="C3565" s="24">
        <v>3263.9</v>
      </c>
      <c r="D3565" s="47">
        <f t="shared" si="55"/>
        <v>2148.29898</v>
      </c>
    </row>
    <row r="3566" spans="1:4">
      <c r="A3566" s="122">
        <v>37844</v>
      </c>
      <c r="B3566" s="24">
        <v>0.65859999999999996</v>
      </c>
      <c r="C3566" s="24">
        <v>3264.7</v>
      </c>
      <c r="D3566" s="47">
        <f t="shared" si="55"/>
        <v>2150.1314199999997</v>
      </c>
    </row>
    <row r="3567" spans="1:4">
      <c r="A3567" s="122">
        <v>37841</v>
      </c>
      <c r="B3567" s="24">
        <v>0.65290000000000004</v>
      </c>
      <c r="C3567" s="24">
        <v>3320.7</v>
      </c>
      <c r="D3567" s="47">
        <f t="shared" si="55"/>
        <v>2168.0850300000002</v>
      </c>
    </row>
    <row r="3568" spans="1:4">
      <c r="A3568" s="122">
        <v>37840</v>
      </c>
      <c r="B3568" s="24">
        <v>0.65080000000000005</v>
      </c>
      <c r="C3568" s="24">
        <v>3331.3</v>
      </c>
      <c r="D3568" s="47">
        <f t="shared" si="55"/>
        <v>2168.0100400000001</v>
      </c>
    </row>
    <row r="3569" spans="1:4">
      <c r="A3569" s="122">
        <v>37839</v>
      </c>
      <c r="B3569" s="24">
        <v>0.64880000000000004</v>
      </c>
      <c r="C3569" s="24">
        <v>3343.5</v>
      </c>
      <c r="D3569" s="47">
        <f t="shared" si="55"/>
        <v>2169.2628</v>
      </c>
    </row>
    <row r="3570" spans="1:4">
      <c r="A3570" s="122">
        <v>37838</v>
      </c>
      <c r="B3570" s="24">
        <v>0.64510000000000001</v>
      </c>
      <c r="C3570" s="24">
        <v>3362</v>
      </c>
      <c r="D3570" s="47">
        <f t="shared" si="55"/>
        <v>2168.8262</v>
      </c>
    </row>
    <row r="3571" spans="1:4">
      <c r="A3571" s="122">
        <v>37837</v>
      </c>
      <c r="B3571" s="24">
        <v>0.64339999999999997</v>
      </c>
      <c r="C3571" s="24">
        <v>3333.4</v>
      </c>
      <c r="D3571" s="47">
        <f t="shared" si="55"/>
        <v>2144.7095599999998</v>
      </c>
    </row>
    <row r="3572" spans="1:4">
      <c r="A3572" s="122">
        <v>37834</v>
      </c>
      <c r="B3572" s="24">
        <v>0.65090000000000003</v>
      </c>
      <c r="C3572" s="24">
        <v>3342.9</v>
      </c>
      <c r="D3572" s="47">
        <f t="shared" si="55"/>
        <v>2175.8936100000001</v>
      </c>
    </row>
    <row r="3573" spans="1:4">
      <c r="A3573" s="122">
        <v>37833</v>
      </c>
      <c r="B3573" s="24">
        <v>0.64800000000000002</v>
      </c>
      <c r="C3573" s="24">
        <v>3333.4</v>
      </c>
      <c r="D3573" s="47">
        <f t="shared" si="55"/>
        <v>2160.0432000000001</v>
      </c>
    </row>
    <row r="3574" spans="1:4">
      <c r="A3574" s="122">
        <v>37832</v>
      </c>
      <c r="B3574" s="24">
        <v>0.65229999999999999</v>
      </c>
      <c r="C3574" s="24">
        <v>3350.1</v>
      </c>
      <c r="D3574" s="47">
        <f t="shared" si="55"/>
        <v>2185.2702300000001</v>
      </c>
    </row>
    <row r="3575" spans="1:4">
      <c r="A3575" s="122">
        <v>37831</v>
      </c>
      <c r="B3575" s="24">
        <v>0.66449999999999998</v>
      </c>
      <c r="C3575" s="24">
        <v>3326.5</v>
      </c>
      <c r="D3575" s="47">
        <f t="shared" si="55"/>
        <v>2210.4592499999999</v>
      </c>
    </row>
    <row r="3576" spans="1:4">
      <c r="A3576" s="122">
        <v>37830</v>
      </c>
      <c r="B3576" s="24">
        <v>0.66290000000000004</v>
      </c>
      <c r="C3576" s="24">
        <v>3302.4</v>
      </c>
      <c r="D3576" s="47">
        <f t="shared" si="55"/>
        <v>2189.1609600000002</v>
      </c>
    </row>
    <row r="3577" spans="1:4">
      <c r="A3577" s="122">
        <v>37827</v>
      </c>
      <c r="B3577" s="24">
        <v>0.66320000000000001</v>
      </c>
      <c r="C3577" s="24">
        <v>3301.6</v>
      </c>
      <c r="D3577" s="47">
        <f t="shared" si="55"/>
        <v>2189.6211199999998</v>
      </c>
    </row>
    <row r="3578" spans="1:4">
      <c r="A3578" s="122">
        <v>37826</v>
      </c>
      <c r="B3578" s="24">
        <v>0.66490000000000005</v>
      </c>
      <c r="C3578" s="24">
        <v>3292</v>
      </c>
      <c r="D3578" s="47">
        <f t="shared" si="55"/>
        <v>2188.8508000000002</v>
      </c>
    </row>
    <row r="3579" spans="1:4">
      <c r="A3579" s="122">
        <v>37825</v>
      </c>
      <c r="B3579" s="24">
        <v>0.65920000000000001</v>
      </c>
      <c r="C3579" s="24">
        <v>3292.6</v>
      </c>
      <c r="D3579" s="47">
        <f t="shared" si="55"/>
        <v>2170.4819200000002</v>
      </c>
    </row>
    <row r="3580" spans="1:4">
      <c r="A3580" s="122">
        <v>37824</v>
      </c>
      <c r="B3580" s="24">
        <v>0.65139999999999998</v>
      </c>
      <c r="C3580" s="24">
        <v>3314.7</v>
      </c>
      <c r="D3580" s="47">
        <f t="shared" si="55"/>
        <v>2159.1955799999996</v>
      </c>
    </row>
    <row r="3581" spans="1:4">
      <c r="A3581" s="122">
        <v>37823</v>
      </c>
      <c r="B3581" s="24">
        <v>0.65200000000000002</v>
      </c>
      <c r="C3581" s="24">
        <v>3302.6</v>
      </c>
      <c r="D3581" s="47">
        <f t="shared" si="55"/>
        <v>2153.2952</v>
      </c>
    </row>
    <row r="3582" spans="1:4">
      <c r="A3582" s="122">
        <v>37820</v>
      </c>
      <c r="B3582" s="24">
        <v>0.64770000000000005</v>
      </c>
      <c r="C3582" s="24">
        <v>3291.4</v>
      </c>
      <c r="D3582" s="47">
        <f t="shared" si="55"/>
        <v>2131.8397800000002</v>
      </c>
    </row>
    <row r="3583" spans="1:4">
      <c r="A3583" s="122">
        <v>37819</v>
      </c>
      <c r="B3583" s="24">
        <v>0.65339999999999998</v>
      </c>
      <c r="C3583" s="24">
        <v>3320.1</v>
      </c>
      <c r="D3583" s="47">
        <f t="shared" si="55"/>
        <v>2169.3533399999997</v>
      </c>
    </row>
    <row r="3584" spans="1:4">
      <c r="A3584" s="122">
        <v>37818</v>
      </c>
      <c r="B3584" s="24">
        <v>0.65580000000000005</v>
      </c>
      <c r="C3584" s="24">
        <v>3325.7</v>
      </c>
      <c r="D3584" s="47">
        <f t="shared" si="55"/>
        <v>2180.99406</v>
      </c>
    </row>
    <row r="3585" spans="1:4">
      <c r="A3585" s="122">
        <v>37817</v>
      </c>
      <c r="B3585" s="24">
        <v>0.65069999999999995</v>
      </c>
      <c r="C3585" s="24">
        <v>3350.1</v>
      </c>
      <c r="D3585" s="47">
        <f t="shared" si="55"/>
        <v>2179.9100699999999</v>
      </c>
    </row>
    <row r="3586" spans="1:4">
      <c r="A3586" s="122">
        <v>37816</v>
      </c>
      <c r="B3586" s="24">
        <v>0.65910000000000002</v>
      </c>
      <c r="C3586" s="24">
        <v>3341.1</v>
      </c>
      <c r="D3586" s="47">
        <f t="shared" si="55"/>
        <v>2202.1190099999999</v>
      </c>
    </row>
    <row r="3587" spans="1:4">
      <c r="A3587" s="122">
        <v>37813</v>
      </c>
      <c r="B3587" s="24">
        <v>0.65969999999999995</v>
      </c>
      <c r="C3587" s="24">
        <v>3330.3</v>
      </c>
      <c r="D3587" s="47">
        <f t="shared" ref="D3587:D3650" si="56">C3587*B3587</f>
        <v>2196.9989099999998</v>
      </c>
    </row>
    <row r="3588" spans="1:4">
      <c r="A3588" s="122">
        <v>37812</v>
      </c>
      <c r="B3588" s="24">
        <v>0.65810000000000002</v>
      </c>
      <c r="C3588" s="24">
        <v>3312.4</v>
      </c>
      <c r="D3588" s="47">
        <f t="shared" si="56"/>
        <v>2179.8904400000001</v>
      </c>
    </row>
    <row r="3589" spans="1:4">
      <c r="A3589" s="122">
        <v>37811</v>
      </c>
      <c r="B3589" s="24">
        <v>0.65739999999999998</v>
      </c>
      <c r="C3589" s="24">
        <v>3329.4</v>
      </c>
      <c r="D3589" s="47">
        <f t="shared" si="56"/>
        <v>2188.7475599999998</v>
      </c>
    </row>
    <row r="3590" spans="1:4">
      <c r="A3590" s="122">
        <v>37810</v>
      </c>
      <c r="B3590" s="24">
        <v>0.66049999999999998</v>
      </c>
      <c r="C3590" s="24">
        <v>3312.1</v>
      </c>
      <c r="D3590" s="47">
        <f t="shared" si="56"/>
        <v>2187.6420499999999</v>
      </c>
    </row>
    <row r="3591" spans="1:4">
      <c r="A3591" s="122">
        <v>37809</v>
      </c>
      <c r="B3591" s="24">
        <v>0.67869999999999997</v>
      </c>
      <c r="C3591" s="24">
        <v>3325.3</v>
      </c>
      <c r="D3591" s="47">
        <f t="shared" si="56"/>
        <v>2256.8811099999998</v>
      </c>
    </row>
    <row r="3592" spans="1:4">
      <c r="A3592" s="122">
        <v>37806</v>
      </c>
      <c r="B3592" s="24">
        <v>0.67900000000000005</v>
      </c>
      <c r="C3592" s="24">
        <v>3312.8</v>
      </c>
      <c r="D3592" s="47">
        <f t="shared" si="56"/>
        <v>2249.3912000000005</v>
      </c>
    </row>
    <row r="3593" spans="1:4">
      <c r="A3593" s="122">
        <v>37805</v>
      </c>
      <c r="B3593" s="24">
        <v>0.68140000000000001</v>
      </c>
      <c r="C3593" s="24">
        <v>3355.3</v>
      </c>
      <c r="D3593" s="47">
        <f t="shared" si="56"/>
        <v>2286.3014200000002</v>
      </c>
    </row>
    <row r="3594" spans="1:4">
      <c r="A3594" s="122">
        <v>37804</v>
      </c>
      <c r="B3594" s="24">
        <v>0.68149999999999999</v>
      </c>
      <c r="C3594" s="24">
        <v>3364.3</v>
      </c>
      <c r="D3594" s="47">
        <f t="shared" si="56"/>
        <v>2292.77045</v>
      </c>
    </row>
    <row r="3595" spans="1:4">
      <c r="A3595" s="122">
        <v>37803</v>
      </c>
      <c r="B3595" s="24">
        <v>0.67610000000000003</v>
      </c>
      <c r="C3595" s="24">
        <v>3341.7</v>
      </c>
      <c r="D3595" s="47">
        <f t="shared" si="56"/>
        <v>2259.3233700000001</v>
      </c>
    </row>
    <row r="3596" spans="1:4">
      <c r="A3596" s="122">
        <v>37802</v>
      </c>
      <c r="B3596" s="24">
        <v>0.67259999999999998</v>
      </c>
      <c r="C3596" s="24">
        <v>3334.9</v>
      </c>
      <c r="D3596" s="47">
        <f t="shared" si="56"/>
        <v>2243.0537399999998</v>
      </c>
    </row>
    <row r="3597" spans="1:4">
      <c r="A3597" s="122">
        <v>37799</v>
      </c>
      <c r="B3597" s="24">
        <v>0.66620000000000001</v>
      </c>
      <c r="C3597" s="24">
        <v>3317.2</v>
      </c>
      <c r="D3597" s="47">
        <f t="shared" si="56"/>
        <v>2209.9186399999999</v>
      </c>
    </row>
    <row r="3598" spans="1:4">
      <c r="A3598" s="122">
        <v>37798</v>
      </c>
      <c r="B3598" s="24">
        <v>0.66359999999999997</v>
      </c>
      <c r="C3598" s="24">
        <v>3321.4</v>
      </c>
      <c r="D3598" s="47">
        <f t="shared" si="56"/>
        <v>2204.08104</v>
      </c>
    </row>
    <row r="3599" spans="1:4">
      <c r="A3599" s="122">
        <v>37797</v>
      </c>
      <c r="B3599" s="24">
        <v>0.66830000000000001</v>
      </c>
      <c r="C3599" s="24">
        <v>3297.2</v>
      </c>
      <c r="D3599" s="47">
        <f t="shared" si="56"/>
        <v>2203.5187599999999</v>
      </c>
    </row>
    <row r="3600" spans="1:4">
      <c r="A3600" s="122">
        <v>37796</v>
      </c>
      <c r="B3600" s="24">
        <v>0.66349999999999998</v>
      </c>
      <c r="C3600" s="24">
        <v>3288.6</v>
      </c>
      <c r="D3600" s="47">
        <f t="shared" si="56"/>
        <v>2181.9861000000001</v>
      </c>
    </row>
    <row r="3601" spans="1:4">
      <c r="A3601" s="122">
        <v>37795</v>
      </c>
      <c r="B3601" s="24">
        <v>0.66349999999999998</v>
      </c>
      <c r="C3601" s="24">
        <v>3319.7</v>
      </c>
      <c r="D3601" s="47">
        <f t="shared" si="56"/>
        <v>2202.62095</v>
      </c>
    </row>
    <row r="3602" spans="1:4">
      <c r="A3602" s="122">
        <v>37792</v>
      </c>
      <c r="B3602" s="24">
        <v>0.66820000000000002</v>
      </c>
      <c r="C3602" s="24">
        <v>3311.6</v>
      </c>
      <c r="D3602" s="47">
        <f t="shared" si="56"/>
        <v>2212.8111199999998</v>
      </c>
    </row>
    <row r="3603" spans="1:4">
      <c r="A3603" s="122">
        <v>37791</v>
      </c>
      <c r="B3603" s="24">
        <v>0.67110000000000003</v>
      </c>
      <c r="C3603" s="24">
        <v>3289.9</v>
      </c>
      <c r="D3603" s="47">
        <f t="shared" si="56"/>
        <v>2207.8518900000004</v>
      </c>
    </row>
    <row r="3604" spans="1:4">
      <c r="A3604" s="122">
        <v>37790</v>
      </c>
      <c r="B3604" s="24">
        <v>0.67320000000000002</v>
      </c>
      <c r="C3604" s="24">
        <v>3253.7</v>
      </c>
      <c r="D3604" s="47">
        <f t="shared" si="56"/>
        <v>2190.39084</v>
      </c>
    </row>
    <row r="3605" spans="1:4">
      <c r="A3605" s="122">
        <v>37789</v>
      </c>
      <c r="B3605" s="24">
        <v>0.67</v>
      </c>
      <c r="C3605" s="24">
        <v>3239.4</v>
      </c>
      <c r="D3605" s="47">
        <f t="shared" si="56"/>
        <v>2170.3980000000001</v>
      </c>
    </row>
    <row r="3606" spans="1:4">
      <c r="A3606" s="122">
        <v>37788</v>
      </c>
      <c r="B3606" s="24">
        <v>0.66879999999999995</v>
      </c>
      <c r="C3606" s="24">
        <v>3250.9</v>
      </c>
      <c r="D3606" s="47">
        <f t="shared" si="56"/>
        <v>2174.20192</v>
      </c>
    </row>
    <row r="3607" spans="1:4">
      <c r="A3607" s="122">
        <v>37785</v>
      </c>
      <c r="B3607" s="24">
        <v>0.66830000000000001</v>
      </c>
      <c r="C3607" s="24">
        <v>3243.2</v>
      </c>
      <c r="D3607" s="47">
        <f t="shared" si="56"/>
        <v>2167.4305599999998</v>
      </c>
    </row>
    <row r="3608" spans="1:4">
      <c r="A3608" s="122">
        <v>37784</v>
      </c>
      <c r="B3608" s="24">
        <v>0.66459999999999997</v>
      </c>
      <c r="C3608" s="24">
        <v>3225.6</v>
      </c>
      <c r="D3608" s="47">
        <f t="shared" si="56"/>
        <v>2143.7337599999996</v>
      </c>
    </row>
    <row r="3609" spans="1:4">
      <c r="A3609" s="122">
        <v>37783</v>
      </c>
      <c r="B3609" s="24">
        <v>0.66290000000000004</v>
      </c>
      <c r="C3609" s="24">
        <v>3239.2</v>
      </c>
      <c r="D3609" s="47">
        <f t="shared" si="56"/>
        <v>2147.26568</v>
      </c>
    </row>
    <row r="3610" spans="1:4">
      <c r="A3610" s="122">
        <v>37782</v>
      </c>
      <c r="B3610" s="24">
        <v>0.65690000000000004</v>
      </c>
      <c r="C3610" s="24">
        <v>3244.9</v>
      </c>
      <c r="D3610" s="47">
        <f t="shared" si="56"/>
        <v>2131.5748100000001</v>
      </c>
    </row>
    <row r="3611" spans="1:4">
      <c r="A3611" s="122">
        <v>37781</v>
      </c>
      <c r="B3611" s="24">
        <v>0.65639999999999998</v>
      </c>
      <c r="C3611" s="24">
        <v>3264.3</v>
      </c>
      <c r="D3611" s="47">
        <f t="shared" si="56"/>
        <v>2142.6865200000002</v>
      </c>
    </row>
    <row r="3612" spans="1:4">
      <c r="A3612" s="122">
        <v>37778</v>
      </c>
      <c r="B3612" s="24">
        <v>0.6583</v>
      </c>
      <c r="C3612" s="24">
        <v>3300.4</v>
      </c>
      <c r="D3612" s="47">
        <f t="shared" si="56"/>
        <v>2172.6533199999999</v>
      </c>
    </row>
    <row r="3613" spans="1:4">
      <c r="A3613" s="122">
        <v>37777</v>
      </c>
      <c r="B3613" s="24">
        <v>0.66510000000000002</v>
      </c>
      <c r="C3613" s="24">
        <v>3293.8</v>
      </c>
      <c r="D3613" s="47">
        <f t="shared" si="56"/>
        <v>2190.7063800000001</v>
      </c>
    </row>
    <row r="3614" spans="1:4">
      <c r="A3614" s="122">
        <v>37776</v>
      </c>
      <c r="B3614" s="24">
        <v>0.66449999999999998</v>
      </c>
      <c r="C3614" s="24">
        <v>3235.7</v>
      </c>
      <c r="D3614" s="47">
        <f t="shared" si="56"/>
        <v>2150.1226499999998</v>
      </c>
    </row>
    <row r="3615" spans="1:4">
      <c r="A3615" s="122">
        <v>37775</v>
      </c>
      <c r="B3615" s="24">
        <v>0.66039999999999999</v>
      </c>
      <c r="C3615" s="24">
        <v>3261.1</v>
      </c>
      <c r="D3615" s="47">
        <f t="shared" si="56"/>
        <v>2153.6304399999999</v>
      </c>
    </row>
    <row r="3616" spans="1:4">
      <c r="A3616" s="122">
        <v>37774</v>
      </c>
      <c r="B3616" s="24">
        <v>0.65810000000000002</v>
      </c>
      <c r="C3616" s="24">
        <v>3206.2</v>
      </c>
      <c r="D3616" s="47">
        <f t="shared" si="56"/>
        <v>2110.0002199999999</v>
      </c>
    </row>
    <row r="3617" spans="1:4">
      <c r="A3617" s="122">
        <v>37771</v>
      </c>
      <c r="B3617" s="24">
        <v>0.65380000000000005</v>
      </c>
      <c r="C3617" s="24">
        <v>3236.2</v>
      </c>
      <c r="D3617" s="47">
        <f t="shared" si="56"/>
        <v>2115.8275600000002</v>
      </c>
    </row>
    <row r="3618" spans="1:4">
      <c r="A3618" s="122">
        <v>37770</v>
      </c>
      <c r="B3618" s="24">
        <v>0.65139999999999998</v>
      </c>
      <c r="C3618" s="24">
        <v>3228.6</v>
      </c>
      <c r="D3618" s="47">
        <f t="shared" si="56"/>
        <v>2103.11004</v>
      </c>
    </row>
    <row r="3619" spans="1:4">
      <c r="A3619" s="122">
        <v>37769</v>
      </c>
      <c r="B3619" s="24">
        <v>0.65069999999999995</v>
      </c>
      <c r="C3619" s="24">
        <v>3196</v>
      </c>
      <c r="D3619" s="47">
        <f t="shared" si="56"/>
        <v>2079.6371999999997</v>
      </c>
    </row>
    <row r="3620" spans="1:4">
      <c r="A3620" s="122">
        <v>37768</v>
      </c>
      <c r="B3620" s="24">
        <v>0.65529999999999999</v>
      </c>
      <c r="C3620" s="24">
        <v>3185.8</v>
      </c>
      <c r="D3620" s="47">
        <f t="shared" si="56"/>
        <v>2087.6547399999999</v>
      </c>
    </row>
    <row r="3621" spans="1:4">
      <c r="A3621" s="122">
        <v>37767</v>
      </c>
      <c r="B3621" s="24">
        <v>0.65980000000000005</v>
      </c>
      <c r="C3621" s="24">
        <v>3245.2</v>
      </c>
      <c r="D3621" s="47">
        <f t="shared" si="56"/>
        <v>2141.1829600000001</v>
      </c>
    </row>
    <row r="3622" spans="1:4">
      <c r="A3622" s="122">
        <v>37764</v>
      </c>
      <c r="B3622" s="24">
        <v>0.65890000000000004</v>
      </c>
      <c r="C3622" s="24">
        <v>3258.1</v>
      </c>
      <c r="D3622" s="47">
        <f t="shared" si="56"/>
        <v>2146.7620900000002</v>
      </c>
    </row>
    <row r="3623" spans="1:4">
      <c r="A3623" s="122">
        <v>37763</v>
      </c>
      <c r="B3623" s="24">
        <v>0.65769999999999995</v>
      </c>
      <c r="C3623" s="24">
        <v>3236.6</v>
      </c>
      <c r="D3623" s="47">
        <f t="shared" si="56"/>
        <v>2128.71182</v>
      </c>
    </row>
    <row r="3624" spans="1:4">
      <c r="A3624" s="122">
        <v>37762</v>
      </c>
      <c r="B3624" s="24">
        <v>0.65559999999999996</v>
      </c>
      <c r="C3624" s="24">
        <v>3229.2</v>
      </c>
      <c r="D3624" s="47">
        <f t="shared" si="56"/>
        <v>2117.0635199999997</v>
      </c>
    </row>
    <row r="3625" spans="1:4">
      <c r="A3625" s="122">
        <v>37761</v>
      </c>
      <c r="B3625" s="24">
        <v>0.65790000000000004</v>
      </c>
      <c r="C3625" s="24">
        <v>3277</v>
      </c>
      <c r="D3625" s="47">
        <f t="shared" si="56"/>
        <v>2155.9383000000003</v>
      </c>
    </row>
    <row r="3626" spans="1:4">
      <c r="A3626" s="122">
        <v>37760</v>
      </c>
      <c r="B3626" s="24">
        <v>0.65469999999999995</v>
      </c>
      <c r="C3626" s="24">
        <v>3297.5</v>
      </c>
      <c r="D3626" s="47">
        <f t="shared" si="56"/>
        <v>2158.8732499999996</v>
      </c>
    </row>
    <row r="3627" spans="1:4">
      <c r="A3627" s="122">
        <v>37757</v>
      </c>
      <c r="B3627" s="24">
        <v>0.65139999999999998</v>
      </c>
      <c r="C3627" s="24">
        <v>3313.2</v>
      </c>
      <c r="D3627" s="47">
        <f t="shared" si="56"/>
        <v>2158.21848</v>
      </c>
    </row>
    <row r="3628" spans="1:4">
      <c r="A3628" s="122">
        <v>37756</v>
      </c>
      <c r="B3628" s="24">
        <v>0.64139999999999997</v>
      </c>
      <c r="C3628" s="24">
        <v>3312.4</v>
      </c>
      <c r="D3628" s="47">
        <f t="shared" si="56"/>
        <v>2124.5733599999999</v>
      </c>
    </row>
    <row r="3629" spans="1:4">
      <c r="A3629" s="122">
        <v>37755</v>
      </c>
      <c r="B3629" s="24">
        <v>0.64749999999999996</v>
      </c>
      <c r="C3629" s="24">
        <v>3287.6</v>
      </c>
      <c r="D3629" s="47">
        <f t="shared" si="56"/>
        <v>2128.721</v>
      </c>
    </row>
    <row r="3630" spans="1:4">
      <c r="A3630" s="122">
        <v>37754</v>
      </c>
      <c r="B3630" s="24">
        <v>0.64849999999999997</v>
      </c>
      <c r="C3630" s="24">
        <v>3309</v>
      </c>
      <c r="D3630" s="47">
        <f t="shared" si="56"/>
        <v>2145.8865000000001</v>
      </c>
    </row>
    <row r="3631" spans="1:4">
      <c r="A3631" s="122">
        <v>37753</v>
      </c>
      <c r="B3631" s="24">
        <v>0.64880000000000004</v>
      </c>
      <c r="C3631" s="24">
        <v>3308.1</v>
      </c>
      <c r="D3631" s="47">
        <f t="shared" si="56"/>
        <v>2146.2952800000003</v>
      </c>
    </row>
    <row r="3632" spans="1:4">
      <c r="A3632" s="122">
        <v>37750</v>
      </c>
      <c r="B3632" s="24">
        <v>0.64480000000000004</v>
      </c>
      <c r="C3632" s="24">
        <v>3306.5</v>
      </c>
      <c r="D3632" s="47">
        <f t="shared" si="56"/>
        <v>2132.0312000000004</v>
      </c>
    </row>
    <row r="3633" spans="1:4">
      <c r="A3633" s="122">
        <v>37749</v>
      </c>
      <c r="B3633" s="24">
        <v>0.64329999999999998</v>
      </c>
      <c r="C3633" s="24">
        <v>3281.7</v>
      </c>
      <c r="D3633" s="47">
        <f t="shared" si="56"/>
        <v>2111.1176099999998</v>
      </c>
    </row>
    <row r="3634" spans="1:4">
      <c r="A3634" s="122">
        <v>37748</v>
      </c>
      <c r="B3634" s="24">
        <v>0.63839999999999997</v>
      </c>
      <c r="C3634" s="24">
        <v>3284.1</v>
      </c>
      <c r="D3634" s="47">
        <f t="shared" si="56"/>
        <v>2096.5694399999998</v>
      </c>
    </row>
    <row r="3635" spans="1:4">
      <c r="A3635" s="122">
        <v>37747</v>
      </c>
      <c r="B3635" s="24">
        <v>0.64280000000000004</v>
      </c>
      <c r="C3635" s="24">
        <v>3274.6</v>
      </c>
      <c r="D3635" s="47">
        <f t="shared" si="56"/>
        <v>2104.9128799999999</v>
      </c>
    </row>
    <row r="3636" spans="1:4">
      <c r="A3636" s="122">
        <v>37746</v>
      </c>
      <c r="B3636" s="24">
        <v>0.63480000000000003</v>
      </c>
      <c r="C3636" s="24">
        <v>3275.6</v>
      </c>
      <c r="D3636" s="47">
        <f t="shared" si="56"/>
        <v>2079.35088</v>
      </c>
    </row>
    <row r="3637" spans="1:4">
      <c r="A3637" s="122">
        <v>37743</v>
      </c>
      <c r="B3637" s="24">
        <v>0.63019999999999998</v>
      </c>
      <c r="C3637" s="24">
        <v>3306.2</v>
      </c>
      <c r="D3637" s="47">
        <f t="shared" si="56"/>
        <v>2083.5672399999999</v>
      </c>
    </row>
    <row r="3638" spans="1:4">
      <c r="A3638" s="122">
        <v>37742</v>
      </c>
      <c r="B3638" s="24">
        <v>0.63149999999999995</v>
      </c>
      <c r="C3638" s="24">
        <v>3303.2</v>
      </c>
      <c r="D3638" s="47">
        <f t="shared" si="56"/>
        <v>2085.9707999999996</v>
      </c>
    </row>
    <row r="3639" spans="1:4">
      <c r="A3639" s="122">
        <v>37741</v>
      </c>
      <c r="B3639" s="24">
        <v>0.62629999999999997</v>
      </c>
      <c r="C3639" s="24">
        <v>3280.6</v>
      </c>
      <c r="D3639" s="47">
        <f t="shared" si="56"/>
        <v>2054.63978</v>
      </c>
    </row>
    <row r="3640" spans="1:4">
      <c r="A3640" s="122">
        <v>37740</v>
      </c>
      <c r="B3640" s="24">
        <v>0.62190000000000001</v>
      </c>
      <c r="C3640" s="24">
        <v>3281.2</v>
      </c>
      <c r="D3640" s="47">
        <f t="shared" si="56"/>
        <v>2040.5782799999999</v>
      </c>
    </row>
    <row r="3641" spans="1:4">
      <c r="A3641" s="122">
        <v>37739</v>
      </c>
      <c r="B3641" s="24">
        <v>0.61819999999999997</v>
      </c>
      <c r="C3641" s="24">
        <v>3284.7</v>
      </c>
      <c r="D3641" s="47">
        <f t="shared" si="56"/>
        <v>2030.6015399999999</v>
      </c>
    </row>
    <row r="3642" spans="1:4">
      <c r="A3642" s="122">
        <v>37736</v>
      </c>
      <c r="B3642" s="24">
        <v>0.61629999999999996</v>
      </c>
      <c r="C3642" s="24">
        <v>3301.1</v>
      </c>
      <c r="D3642" s="47">
        <f t="shared" si="56"/>
        <v>2034.4679299999998</v>
      </c>
    </row>
    <row r="3643" spans="1:4">
      <c r="A3643" s="122">
        <v>37735</v>
      </c>
      <c r="B3643" s="24">
        <v>0.61760000000000004</v>
      </c>
      <c r="C3643" s="24">
        <v>3325.1</v>
      </c>
      <c r="D3643" s="47">
        <f t="shared" si="56"/>
        <v>2053.58176</v>
      </c>
    </row>
    <row r="3644" spans="1:4">
      <c r="A3644" s="122">
        <v>37734</v>
      </c>
      <c r="B3644" s="24">
        <v>0.61860000000000004</v>
      </c>
      <c r="C3644" s="24">
        <v>3329.1</v>
      </c>
      <c r="D3644" s="47">
        <f t="shared" si="56"/>
        <v>2059.3812600000001</v>
      </c>
    </row>
    <row r="3645" spans="1:4">
      <c r="A3645" s="122">
        <v>37733</v>
      </c>
      <c r="B3645" s="24">
        <v>0.62139999999999995</v>
      </c>
      <c r="C3645" s="24">
        <v>3302.5</v>
      </c>
      <c r="D3645" s="47">
        <f t="shared" si="56"/>
        <v>2052.1734999999999</v>
      </c>
    </row>
    <row r="3646" spans="1:4">
      <c r="A3646" s="122">
        <v>37732</v>
      </c>
      <c r="B3646" s="24">
        <v>0.61419999999999997</v>
      </c>
      <c r="C3646" s="24">
        <v>3320.4</v>
      </c>
      <c r="D3646" s="47">
        <f t="shared" si="56"/>
        <v>2039.38968</v>
      </c>
    </row>
    <row r="3647" spans="1:4">
      <c r="A3647" s="122">
        <v>37729</v>
      </c>
      <c r="B3647" s="24">
        <v>0.61480000000000001</v>
      </c>
      <c r="C3647" s="24">
        <v>3291.5</v>
      </c>
      <c r="D3647" s="47">
        <f t="shared" si="56"/>
        <v>2023.6142</v>
      </c>
    </row>
    <row r="3648" spans="1:4">
      <c r="A3648" s="122">
        <v>37728</v>
      </c>
      <c r="B3648" s="24">
        <v>0.61399999999999999</v>
      </c>
      <c r="C3648" s="24">
        <v>3290.8</v>
      </c>
      <c r="D3648" s="47">
        <f t="shared" si="56"/>
        <v>2020.5512000000001</v>
      </c>
    </row>
    <row r="3649" spans="1:4">
      <c r="A3649" s="122">
        <v>37727</v>
      </c>
      <c r="B3649" s="24">
        <v>0.61270000000000002</v>
      </c>
      <c r="C3649" s="24">
        <v>3300.9</v>
      </c>
      <c r="D3649" s="47">
        <f t="shared" si="56"/>
        <v>2022.4614300000001</v>
      </c>
    </row>
    <row r="3650" spans="1:4">
      <c r="A3650" s="122">
        <v>37726</v>
      </c>
      <c r="B3650" s="24">
        <v>0.60670000000000002</v>
      </c>
      <c r="C3650" s="24">
        <v>3333.5</v>
      </c>
      <c r="D3650" s="47">
        <f t="shared" si="56"/>
        <v>2022.43445</v>
      </c>
    </row>
    <row r="3651" spans="1:4">
      <c r="A3651" s="122">
        <v>37725</v>
      </c>
      <c r="B3651" s="24">
        <v>0.60489999999999999</v>
      </c>
      <c r="C3651" s="24">
        <v>3354.2</v>
      </c>
      <c r="D3651" s="47">
        <f t="shared" ref="D3651:D3714" si="57">C3651*B3651</f>
        <v>2028.9555799999998</v>
      </c>
    </row>
    <row r="3652" spans="1:4">
      <c r="A3652" s="122">
        <v>37722</v>
      </c>
      <c r="B3652" s="24">
        <v>0.60560000000000003</v>
      </c>
      <c r="C3652" s="24">
        <v>3372.9</v>
      </c>
      <c r="D3652" s="47">
        <f t="shared" si="57"/>
        <v>2042.6282400000002</v>
      </c>
    </row>
    <row r="3653" spans="1:4">
      <c r="A3653" s="122">
        <v>37721</v>
      </c>
      <c r="B3653" s="24">
        <v>0.60560000000000003</v>
      </c>
      <c r="C3653" s="24">
        <v>3334.8</v>
      </c>
      <c r="D3653" s="47">
        <f t="shared" si="57"/>
        <v>2019.5548800000001</v>
      </c>
    </row>
    <row r="3654" spans="1:4">
      <c r="A3654" s="122">
        <v>37720</v>
      </c>
      <c r="B3654" s="24">
        <v>0.60540000000000005</v>
      </c>
      <c r="C3654" s="24">
        <v>3321.9</v>
      </c>
      <c r="D3654" s="47">
        <f t="shared" si="57"/>
        <v>2011.0782600000002</v>
      </c>
    </row>
    <row r="3655" spans="1:4">
      <c r="A3655" s="122">
        <v>37719</v>
      </c>
      <c r="B3655" s="24">
        <v>0.60089999999999999</v>
      </c>
      <c r="C3655" s="24">
        <v>3289.3</v>
      </c>
      <c r="D3655" s="47">
        <f t="shared" si="57"/>
        <v>1976.5403700000002</v>
      </c>
    </row>
    <row r="3656" spans="1:4">
      <c r="A3656" s="122">
        <v>37718</v>
      </c>
      <c r="B3656" s="24">
        <v>0.59799999999999998</v>
      </c>
      <c r="C3656" s="24">
        <v>3276.8</v>
      </c>
      <c r="D3656" s="47">
        <f t="shared" si="57"/>
        <v>1959.5264</v>
      </c>
    </row>
    <row r="3657" spans="1:4">
      <c r="A3657" s="122">
        <v>37715</v>
      </c>
      <c r="B3657" s="24">
        <v>0.60060000000000002</v>
      </c>
      <c r="C3657" s="24">
        <v>3254.6</v>
      </c>
      <c r="D3657" s="47">
        <f t="shared" si="57"/>
        <v>1954.7127600000001</v>
      </c>
    </row>
    <row r="3658" spans="1:4">
      <c r="A3658" s="122">
        <v>37714</v>
      </c>
      <c r="B3658" s="24">
        <v>0.60170000000000001</v>
      </c>
      <c r="C3658" s="24">
        <v>3264.4</v>
      </c>
      <c r="D3658" s="47">
        <f t="shared" si="57"/>
        <v>1964.18948</v>
      </c>
    </row>
    <row r="3659" spans="1:4">
      <c r="A3659" s="122">
        <v>37713</v>
      </c>
      <c r="B3659" s="24">
        <v>0.60250000000000004</v>
      </c>
      <c r="C3659" s="24">
        <v>3244.7</v>
      </c>
      <c r="D3659" s="47">
        <f t="shared" si="57"/>
        <v>1954.93175</v>
      </c>
    </row>
    <row r="3660" spans="1:4">
      <c r="A3660" s="122">
        <v>37712</v>
      </c>
      <c r="B3660" s="24">
        <v>0.60460000000000003</v>
      </c>
      <c r="C3660" s="24">
        <v>3239.7</v>
      </c>
      <c r="D3660" s="47">
        <f t="shared" si="57"/>
        <v>1958.72262</v>
      </c>
    </row>
    <row r="3661" spans="1:4">
      <c r="A3661" s="122">
        <v>37711</v>
      </c>
      <c r="B3661" s="24">
        <v>0.60409999999999997</v>
      </c>
      <c r="C3661" s="24">
        <v>3264.3</v>
      </c>
      <c r="D3661" s="47">
        <f t="shared" si="57"/>
        <v>1971.96363</v>
      </c>
    </row>
    <row r="3662" spans="1:4">
      <c r="A3662" s="122">
        <v>37708</v>
      </c>
      <c r="B3662" s="24">
        <v>0.60109999999999997</v>
      </c>
      <c r="C3662" s="24">
        <v>3260.7</v>
      </c>
      <c r="D3662" s="47">
        <f t="shared" si="57"/>
        <v>1960.0067699999997</v>
      </c>
    </row>
    <row r="3663" spans="1:4">
      <c r="A3663" s="122">
        <v>37707</v>
      </c>
      <c r="B3663" s="24">
        <v>0.60140000000000005</v>
      </c>
      <c r="C3663" s="24">
        <v>3267.9</v>
      </c>
      <c r="D3663" s="47">
        <f t="shared" si="57"/>
        <v>1965.3150600000001</v>
      </c>
    </row>
    <row r="3664" spans="1:4">
      <c r="A3664" s="122">
        <v>37706</v>
      </c>
      <c r="B3664" s="24">
        <v>0.59819999999999995</v>
      </c>
      <c r="C3664" s="24">
        <v>3235.8</v>
      </c>
      <c r="D3664" s="47">
        <f t="shared" si="57"/>
        <v>1935.6555599999999</v>
      </c>
    </row>
    <row r="3665" spans="1:4">
      <c r="A3665" s="122">
        <v>37705</v>
      </c>
      <c r="B3665" s="24">
        <v>0.59619999999999995</v>
      </c>
      <c r="C3665" s="24">
        <v>3192.7</v>
      </c>
      <c r="D3665" s="47">
        <f t="shared" si="57"/>
        <v>1903.4877399999998</v>
      </c>
    </row>
    <row r="3666" spans="1:4">
      <c r="A3666" s="122">
        <v>37704</v>
      </c>
      <c r="B3666" s="24">
        <v>0.59489999999999998</v>
      </c>
      <c r="C3666" s="24">
        <v>3226.7</v>
      </c>
      <c r="D3666" s="47">
        <f t="shared" si="57"/>
        <v>1919.5638299999998</v>
      </c>
    </row>
    <row r="3667" spans="1:4">
      <c r="A3667" s="122">
        <v>37701</v>
      </c>
      <c r="B3667" s="24">
        <v>0.59130000000000005</v>
      </c>
      <c r="C3667" s="24">
        <v>3264.2</v>
      </c>
      <c r="D3667" s="47">
        <f t="shared" si="57"/>
        <v>1930.1214600000001</v>
      </c>
    </row>
    <row r="3668" spans="1:4">
      <c r="A3668" s="122">
        <v>37700</v>
      </c>
      <c r="B3668" s="24">
        <v>0.59330000000000005</v>
      </c>
      <c r="C3668" s="24">
        <v>3266.6</v>
      </c>
      <c r="D3668" s="47">
        <f t="shared" si="57"/>
        <v>1938.0737800000002</v>
      </c>
    </row>
    <row r="3669" spans="1:4">
      <c r="A3669" s="122">
        <v>37699</v>
      </c>
      <c r="B3669" s="24">
        <v>0.5897</v>
      </c>
      <c r="C3669" s="24">
        <v>3201.9</v>
      </c>
      <c r="D3669" s="47">
        <f t="shared" si="57"/>
        <v>1888.1604300000001</v>
      </c>
    </row>
    <row r="3670" spans="1:4">
      <c r="A3670" s="122">
        <v>37698</v>
      </c>
      <c r="B3670" s="24">
        <v>0.59419999999999995</v>
      </c>
      <c r="C3670" s="24">
        <v>3226.5</v>
      </c>
      <c r="D3670" s="47">
        <f t="shared" si="57"/>
        <v>1917.1862999999998</v>
      </c>
    </row>
    <row r="3671" spans="1:4">
      <c r="A3671" s="122">
        <v>37697</v>
      </c>
      <c r="B3671" s="24">
        <v>0.59279999999999999</v>
      </c>
      <c r="C3671" s="24">
        <v>3260.7</v>
      </c>
      <c r="D3671" s="47">
        <f t="shared" si="57"/>
        <v>1932.9429599999999</v>
      </c>
    </row>
    <row r="3672" spans="1:4">
      <c r="A3672" s="122">
        <v>37694</v>
      </c>
      <c r="B3672" s="24">
        <v>0.5988</v>
      </c>
      <c r="C3672" s="24">
        <v>3265.2</v>
      </c>
      <c r="D3672" s="47">
        <f t="shared" si="57"/>
        <v>1955.2017599999999</v>
      </c>
    </row>
    <row r="3673" spans="1:4">
      <c r="A3673" s="122">
        <v>37693</v>
      </c>
      <c r="B3673" s="24">
        <v>0.59470000000000001</v>
      </c>
      <c r="C3673" s="24">
        <v>3274.3</v>
      </c>
      <c r="D3673" s="47">
        <f t="shared" si="57"/>
        <v>1947.22621</v>
      </c>
    </row>
    <row r="3674" spans="1:4">
      <c r="A3674" s="122">
        <v>37692</v>
      </c>
      <c r="B3674" s="24">
        <v>0.59560000000000002</v>
      </c>
      <c r="C3674" s="24">
        <v>3293.5</v>
      </c>
      <c r="D3674" s="47">
        <f t="shared" si="57"/>
        <v>1961.6086</v>
      </c>
    </row>
    <row r="3675" spans="1:4">
      <c r="A3675" s="122">
        <v>37691</v>
      </c>
      <c r="B3675" s="24">
        <v>0.60429999999999995</v>
      </c>
      <c r="C3675" s="24">
        <v>3311.3</v>
      </c>
      <c r="D3675" s="47">
        <f t="shared" si="57"/>
        <v>2001.0185899999999</v>
      </c>
    </row>
    <row r="3676" spans="1:4">
      <c r="A3676" s="122">
        <v>37690</v>
      </c>
      <c r="B3676" s="24">
        <v>0.61460000000000004</v>
      </c>
      <c r="C3676" s="24">
        <v>3318.6</v>
      </c>
      <c r="D3676" s="47">
        <f t="shared" si="57"/>
        <v>2039.6115600000001</v>
      </c>
    </row>
    <row r="3677" spans="1:4">
      <c r="A3677" s="122">
        <v>37687</v>
      </c>
      <c r="B3677" s="24">
        <v>0.6139</v>
      </c>
      <c r="C3677" s="24">
        <v>3327.7</v>
      </c>
      <c r="D3677" s="47">
        <f t="shared" si="57"/>
        <v>2042.8750299999999</v>
      </c>
    </row>
    <row r="3678" spans="1:4">
      <c r="A3678" s="122">
        <v>37686</v>
      </c>
      <c r="B3678" s="24">
        <v>0.61439999999999995</v>
      </c>
      <c r="C3678" s="24">
        <v>3300.6</v>
      </c>
      <c r="D3678" s="47">
        <f t="shared" si="57"/>
        <v>2027.8886399999997</v>
      </c>
    </row>
    <row r="3679" spans="1:4">
      <c r="A3679" s="122">
        <v>37685</v>
      </c>
      <c r="B3679" s="24">
        <v>0.61660000000000004</v>
      </c>
      <c r="C3679" s="24">
        <v>3298.8</v>
      </c>
      <c r="D3679" s="47">
        <f t="shared" si="57"/>
        <v>2034.0400800000002</v>
      </c>
    </row>
    <row r="3680" spans="1:4">
      <c r="A3680" s="122">
        <v>37684</v>
      </c>
      <c r="B3680" s="24">
        <v>0.61260000000000003</v>
      </c>
      <c r="C3680" s="24">
        <v>3290.7</v>
      </c>
      <c r="D3680" s="47">
        <f t="shared" si="57"/>
        <v>2015.88282</v>
      </c>
    </row>
    <row r="3681" spans="1:4">
      <c r="A3681" s="122">
        <v>37683</v>
      </c>
      <c r="B3681" s="24">
        <v>0.61450000000000005</v>
      </c>
      <c r="C3681" s="24">
        <v>3256.3</v>
      </c>
      <c r="D3681" s="47">
        <f t="shared" si="57"/>
        <v>2000.9963500000003</v>
      </c>
    </row>
    <row r="3682" spans="1:4">
      <c r="A3682" s="122">
        <v>37680</v>
      </c>
      <c r="B3682" s="24">
        <v>0.60850000000000004</v>
      </c>
      <c r="C3682" s="24">
        <v>3241.1</v>
      </c>
      <c r="D3682" s="47">
        <f t="shared" si="57"/>
        <v>1972.2093500000001</v>
      </c>
    </row>
    <row r="3683" spans="1:4">
      <c r="A3683" s="122">
        <v>37679</v>
      </c>
      <c r="B3683" s="24">
        <v>0.60519999999999996</v>
      </c>
      <c r="C3683" s="24">
        <v>3215.3</v>
      </c>
      <c r="D3683" s="47">
        <f t="shared" si="57"/>
        <v>1945.8995600000001</v>
      </c>
    </row>
    <row r="3684" spans="1:4">
      <c r="A3684" s="122">
        <v>37678</v>
      </c>
      <c r="B3684" s="24">
        <v>0.60709999999999997</v>
      </c>
      <c r="C3684" s="24">
        <v>3188.6</v>
      </c>
      <c r="D3684" s="47">
        <f t="shared" si="57"/>
        <v>1935.7990599999998</v>
      </c>
    </row>
    <row r="3685" spans="1:4">
      <c r="A3685" s="122">
        <v>37677</v>
      </c>
      <c r="B3685" s="24">
        <v>0.60560000000000003</v>
      </c>
      <c r="C3685" s="24">
        <v>3252.8</v>
      </c>
      <c r="D3685" s="47">
        <f t="shared" si="57"/>
        <v>1969.8956800000003</v>
      </c>
    </row>
    <row r="3686" spans="1:4">
      <c r="A3686" s="122">
        <v>37676</v>
      </c>
      <c r="B3686" s="24">
        <v>0.60529999999999995</v>
      </c>
      <c r="C3686" s="24">
        <v>3254.7</v>
      </c>
      <c r="D3686" s="47">
        <f t="shared" si="57"/>
        <v>1970.0699099999997</v>
      </c>
    </row>
    <row r="3687" spans="1:4">
      <c r="A3687" s="122">
        <v>37673</v>
      </c>
      <c r="B3687" s="24">
        <v>0.59719999999999995</v>
      </c>
      <c r="C3687" s="24">
        <v>3236.7</v>
      </c>
      <c r="D3687" s="47">
        <f t="shared" si="57"/>
        <v>1932.9572399999997</v>
      </c>
    </row>
    <row r="3688" spans="1:4">
      <c r="A3688" s="122">
        <v>37672</v>
      </c>
      <c r="B3688" s="24">
        <v>0.59850000000000003</v>
      </c>
      <c r="C3688" s="24">
        <v>3276.4</v>
      </c>
      <c r="D3688" s="47">
        <f t="shared" si="57"/>
        <v>1960.9254000000001</v>
      </c>
    </row>
    <row r="3689" spans="1:4">
      <c r="A3689" s="122">
        <v>37671</v>
      </c>
      <c r="B3689" s="24">
        <v>0.59409999999999996</v>
      </c>
      <c r="C3689" s="24">
        <v>3329.8</v>
      </c>
      <c r="D3689" s="47">
        <f t="shared" si="57"/>
        <v>1978.2341799999999</v>
      </c>
    </row>
    <row r="3690" spans="1:4">
      <c r="A3690" s="122">
        <v>37670</v>
      </c>
      <c r="B3690" s="24">
        <v>0.5897</v>
      </c>
      <c r="C3690" s="24">
        <v>3344.6</v>
      </c>
      <c r="D3690" s="47">
        <f t="shared" si="57"/>
        <v>1972.31062</v>
      </c>
    </row>
    <row r="3691" spans="1:4">
      <c r="A3691" s="122">
        <v>37669</v>
      </c>
      <c r="B3691" s="24">
        <v>0.5907</v>
      </c>
      <c r="C3691" s="24">
        <v>3334.1</v>
      </c>
      <c r="D3691" s="47">
        <f t="shared" si="57"/>
        <v>1969.4528699999998</v>
      </c>
    </row>
    <row r="3692" spans="1:4">
      <c r="A3692" s="122">
        <v>37666</v>
      </c>
      <c r="B3692" s="24">
        <v>0.59189999999999998</v>
      </c>
      <c r="C3692" s="24">
        <v>3324</v>
      </c>
      <c r="D3692" s="47">
        <f t="shared" si="57"/>
        <v>1967.4756</v>
      </c>
    </row>
    <row r="3693" spans="1:4">
      <c r="A3693" s="122">
        <v>37665</v>
      </c>
      <c r="B3693" s="24">
        <v>0.59570000000000001</v>
      </c>
      <c r="C3693" s="24">
        <v>3297.1</v>
      </c>
      <c r="D3693" s="47">
        <f t="shared" si="57"/>
        <v>1964.0824700000001</v>
      </c>
    </row>
    <row r="3694" spans="1:4">
      <c r="A3694" s="122">
        <v>37664</v>
      </c>
      <c r="B3694" s="24">
        <v>0.58879999999999999</v>
      </c>
      <c r="C3694" s="24">
        <v>3320.3</v>
      </c>
      <c r="D3694" s="47">
        <f t="shared" si="57"/>
        <v>1954.9926400000002</v>
      </c>
    </row>
    <row r="3695" spans="1:4">
      <c r="A3695" s="122">
        <v>37663</v>
      </c>
      <c r="B3695" s="24">
        <v>0.59109999999999996</v>
      </c>
      <c r="C3695" s="24">
        <v>3306.6</v>
      </c>
      <c r="D3695" s="47">
        <f t="shared" si="57"/>
        <v>1954.5312599999997</v>
      </c>
    </row>
    <row r="3696" spans="1:4">
      <c r="A3696" s="122">
        <v>37662</v>
      </c>
      <c r="B3696" s="24">
        <v>0.59130000000000005</v>
      </c>
      <c r="C3696" s="24">
        <v>3321.2</v>
      </c>
      <c r="D3696" s="47">
        <f t="shared" si="57"/>
        <v>1963.82556</v>
      </c>
    </row>
    <row r="3697" spans="1:4">
      <c r="A3697" s="122">
        <v>37659</v>
      </c>
      <c r="B3697" s="24">
        <v>0.5907</v>
      </c>
      <c r="C3697" s="24">
        <v>3347.3</v>
      </c>
      <c r="D3697" s="47">
        <f t="shared" si="57"/>
        <v>1977.2501100000002</v>
      </c>
    </row>
    <row r="3698" spans="1:4">
      <c r="A3698" s="122">
        <v>37658</v>
      </c>
      <c r="B3698" s="24">
        <v>0.59199999999999997</v>
      </c>
      <c r="C3698" s="24">
        <v>3347.3</v>
      </c>
      <c r="D3698" s="47">
        <f t="shared" si="57"/>
        <v>1981.6016</v>
      </c>
    </row>
    <row r="3699" spans="1:4">
      <c r="A3699" s="122">
        <v>37657</v>
      </c>
      <c r="B3699" s="24">
        <v>0.59</v>
      </c>
      <c r="C3699" s="24">
        <v>3331.7</v>
      </c>
      <c r="D3699" s="47">
        <f t="shared" si="57"/>
        <v>1965.7029999999997</v>
      </c>
    </row>
    <row r="3700" spans="1:4">
      <c r="A3700" s="122">
        <v>37656</v>
      </c>
      <c r="B3700" s="24">
        <v>0.59179999999999999</v>
      </c>
      <c r="C3700" s="24">
        <v>3297.8</v>
      </c>
      <c r="D3700" s="47">
        <f t="shared" si="57"/>
        <v>1951.63804</v>
      </c>
    </row>
    <row r="3701" spans="1:4">
      <c r="A3701" s="122">
        <v>37655</v>
      </c>
      <c r="B3701" s="24">
        <v>0.58450000000000002</v>
      </c>
      <c r="C3701" s="24">
        <v>3357.8</v>
      </c>
      <c r="D3701" s="47">
        <f t="shared" si="57"/>
        <v>1962.6341000000002</v>
      </c>
    </row>
    <row r="3702" spans="1:4">
      <c r="A3702" s="122">
        <v>37652</v>
      </c>
      <c r="B3702" s="24">
        <v>0.58679999999999999</v>
      </c>
      <c r="C3702" s="24">
        <v>3369.4</v>
      </c>
      <c r="D3702" s="47">
        <f t="shared" si="57"/>
        <v>1977.16392</v>
      </c>
    </row>
    <row r="3703" spans="1:4">
      <c r="A3703" s="122">
        <v>37651</v>
      </c>
      <c r="B3703" s="24">
        <v>0.58919999999999995</v>
      </c>
      <c r="C3703" s="24">
        <v>3363.9</v>
      </c>
      <c r="D3703" s="47">
        <f t="shared" si="57"/>
        <v>1982.0098799999998</v>
      </c>
    </row>
    <row r="3704" spans="1:4">
      <c r="A3704" s="122">
        <v>37650</v>
      </c>
      <c r="B3704" s="24">
        <v>0.58960000000000001</v>
      </c>
      <c r="C3704" s="24">
        <v>3367.4</v>
      </c>
      <c r="D3704" s="47">
        <f t="shared" si="57"/>
        <v>1985.41904</v>
      </c>
    </row>
    <row r="3705" spans="1:4">
      <c r="A3705" s="122">
        <v>37649</v>
      </c>
      <c r="B3705" s="24">
        <v>0.58850000000000002</v>
      </c>
      <c r="C3705" s="24">
        <v>3372.4</v>
      </c>
      <c r="D3705" s="47">
        <f t="shared" si="57"/>
        <v>1984.6574000000001</v>
      </c>
    </row>
    <row r="3706" spans="1:4">
      <c r="A3706" s="122">
        <v>37648</v>
      </c>
      <c r="B3706" s="24">
        <v>0.59040000000000004</v>
      </c>
      <c r="C3706" s="24">
        <v>3364.4</v>
      </c>
      <c r="D3706" s="47">
        <f t="shared" si="57"/>
        <v>1986.3417600000002</v>
      </c>
    </row>
    <row r="3707" spans="1:4">
      <c r="A3707" s="122">
        <v>37645</v>
      </c>
      <c r="B3707" s="24">
        <v>0.59199999999999997</v>
      </c>
      <c r="C3707" s="24">
        <v>3353.4</v>
      </c>
      <c r="D3707" s="47">
        <f t="shared" si="57"/>
        <v>1985.2128</v>
      </c>
    </row>
    <row r="3708" spans="1:4">
      <c r="A3708" s="122">
        <v>37644</v>
      </c>
      <c r="B3708" s="24">
        <v>0.5907</v>
      </c>
      <c r="C3708" s="24">
        <v>3338.9</v>
      </c>
      <c r="D3708" s="47">
        <f t="shared" si="57"/>
        <v>1972.2882300000001</v>
      </c>
    </row>
    <row r="3709" spans="1:4">
      <c r="A3709" s="122">
        <v>37643</v>
      </c>
      <c r="B3709" s="24">
        <v>0.58640000000000003</v>
      </c>
      <c r="C3709" s="24">
        <v>3344.2</v>
      </c>
      <c r="D3709" s="47">
        <f t="shared" si="57"/>
        <v>1961.0388800000001</v>
      </c>
    </row>
    <row r="3710" spans="1:4">
      <c r="A3710" s="122">
        <v>37642</v>
      </c>
      <c r="B3710" s="24">
        <v>0.58909999999999996</v>
      </c>
      <c r="C3710" s="24">
        <v>3336.3</v>
      </c>
      <c r="D3710" s="47">
        <f t="shared" si="57"/>
        <v>1965.4143300000001</v>
      </c>
    </row>
    <row r="3711" spans="1:4">
      <c r="A3711" s="122">
        <v>37641</v>
      </c>
      <c r="B3711" s="24">
        <v>0.59109999999999996</v>
      </c>
      <c r="C3711" s="24">
        <v>3331.8</v>
      </c>
      <c r="D3711" s="47">
        <f t="shared" si="57"/>
        <v>1969.42698</v>
      </c>
    </row>
    <row r="3712" spans="1:4">
      <c r="A3712" s="122">
        <v>37638</v>
      </c>
      <c r="B3712" s="24">
        <v>0.59179999999999999</v>
      </c>
      <c r="C3712" s="24">
        <v>3323.1</v>
      </c>
      <c r="D3712" s="47">
        <f t="shared" si="57"/>
        <v>1966.61058</v>
      </c>
    </row>
    <row r="3713" spans="1:4">
      <c r="A3713" s="122">
        <v>37637</v>
      </c>
      <c r="B3713" s="24">
        <v>0.5877</v>
      </c>
      <c r="C3713" s="24">
        <v>3314.9</v>
      </c>
      <c r="D3713" s="47">
        <f t="shared" si="57"/>
        <v>1948.1667300000001</v>
      </c>
    </row>
    <row r="3714" spans="1:4">
      <c r="A3714" s="122">
        <v>37636</v>
      </c>
      <c r="B3714" s="24">
        <v>0.58420000000000005</v>
      </c>
      <c r="C3714" s="24">
        <v>3309.1</v>
      </c>
      <c r="D3714" s="47">
        <f t="shared" si="57"/>
        <v>1933.1762200000001</v>
      </c>
    </row>
    <row r="3715" spans="1:4">
      <c r="A3715" s="122">
        <v>37635</v>
      </c>
      <c r="B3715" s="24">
        <v>0.58340000000000003</v>
      </c>
      <c r="C3715" s="24">
        <v>3315.3</v>
      </c>
      <c r="D3715" s="47">
        <f t="shared" ref="D3715:D3778" si="58">C3715*B3715</f>
        <v>1934.1460200000001</v>
      </c>
    </row>
    <row r="3716" spans="1:4">
      <c r="A3716" s="122">
        <v>37634</v>
      </c>
      <c r="B3716" s="24">
        <v>0.58530000000000004</v>
      </c>
      <c r="C3716" s="24">
        <v>3309.8</v>
      </c>
      <c r="D3716" s="47">
        <f t="shared" si="58"/>
        <v>1937.2259400000003</v>
      </c>
    </row>
    <row r="3717" spans="1:4">
      <c r="A3717" s="122">
        <v>37631</v>
      </c>
      <c r="B3717" s="24">
        <v>0.58399999999999996</v>
      </c>
      <c r="C3717" s="24">
        <v>3302.3</v>
      </c>
      <c r="D3717" s="47">
        <f t="shared" si="58"/>
        <v>1928.5432000000001</v>
      </c>
    </row>
    <row r="3718" spans="1:4">
      <c r="A3718" s="122">
        <v>37630</v>
      </c>
      <c r="B3718" s="24">
        <v>0.57589999999999997</v>
      </c>
      <c r="C3718" s="24">
        <v>3305</v>
      </c>
      <c r="D3718" s="47">
        <f t="shared" si="58"/>
        <v>1903.3494999999998</v>
      </c>
    </row>
    <row r="3719" spans="1:4">
      <c r="A3719" s="122">
        <v>37629</v>
      </c>
      <c r="B3719" s="24">
        <v>0.5766</v>
      </c>
      <c r="C3719" s="24">
        <v>3277.2</v>
      </c>
      <c r="D3719" s="47">
        <f t="shared" si="58"/>
        <v>1889.6335199999999</v>
      </c>
    </row>
    <row r="3720" spans="1:4">
      <c r="A3720" s="122">
        <v>37628</v>
      </c>
      <c r="B3720" s="24">
        <v>0.57340000000000002</v>
      </c>
      <c r="C3720" s="24">
        <v>3275.1</v>
      </c>
      <c r="D3720" s="47">
        <f t="shared" si="58"/>
        <v>1877.9423400000001</v>
      </c>
    </row>
    <row r="3721" spans="1:4">
      <c r="A3721" s="122">
        <v>37627</v>
      </c>
      <c r="B3721" s="24">
        <v>0.57599999999999996</v>
      </c>
      <c r="C3721" s="24">
        <v>3270.3</v>
      </c>
      <c r="D3721" s="47">
        <f t="shared" si="58"/>
        <v>1883.6928</v>
      </c>
    </row>
    <row r="3722" spans="1:4">
      <c r="A3722" s="122">
        <v>37624</v>
      </c>
      <c r="B3722" s="24">
        <v>0.56759999999999999</v>
      </c>
      <c r="C3722" s="24">
        <v>3254</v>
      </c>
      <c r="D3722" s="47">
        <f t="shared" si="58"/>
        <v>1846.9703999999999</v>
      </c>
    </row>
    <row r="3723" spans="1:4">
      <c r="A3723" s="122">
        <v>37623</v>
      </c>
      <c r="B3723" s="24">
        <v>0.56330000000000002</v>
      </c>
      <c r="C3723" s="24">
        <v>3251.1</v>
      </c>
      <c r="D3723" s="47">
        <f t="shared" si="58"/>
        <v>1831.3446300000001</v>
      </c>
    </row>
    <row r="3724" spans="1:4">
      <c r="A3724" s="122">
        <v>37622</v>
      </c>
      <c r="B3724" s="24">
        <v>0.56179999999999997</v>
      </c>
      <c r="C3724" s="24">
        <v>3255</v>
      </c>
      <c r="D3724" s="47">
        <f t="shared" si="58"/>
        <v>1828.6589999999999</v>
      </c>
    </row>
    <row r="3725" spans="1:4">
      <c r="A3725" s="122">
        <v>37621</v>
      </c>
      <c r="B3725" s="24">
        <v>0.5615</v>
      </c>
      <c r="C3725" s="24">
        <v>3258.2</v>
      </c>
      <c r="D3725" s="47">
        <f t="shared" si="58"/>
        <v>1829.4793</v>
      </c>
    </row>
    <row r="3726" spans="1:4">
      <c r="A3726" s="122">
        <v>37620</v>
      </c>
      <c r="B3726" s="24">
        <v>0.56489999999999996</v>
      </c>
      <c r="C3726" s="24">
        <v>3282.9</v>
      </c>
      <c r="D3726" s="47">
        <f t="shared" si="58"/>
        <v>1854.5102099999999</v>
      </c>
    </row>
    <row r="3727" spans="1:4">
      <c r="A3727" s="122">
        <v>37617</v>
      </c>
      <c r="B3727" s="24">
        <v>0.56120000000000003</v>
      </c>
      <c r="C3727" s="24">
        <v>3282.1</v>
      </c>
      <c r="D3727" s="47">
        <f t="shared" si="58"/>
        <v>1841.91452</v>
      </c>
    </row>
    <row r="3728" spans="1:4">
      <c r="A3728" s="122">
        <v>37616</v>
      </c>
      <c r="B3728" s="24">
        <v>0.56320000000000003</v>
      </c>
      <c r="C3728" s="24">
        <v>3305.4</v>
      </c>
      <c r="D3728" s="47">
        <f t="shared" si="58"/>
        <v>1861.6012800000001</v>
      </c>
    </row>
    <row r="3729" spans="1:4">
      <c r="A3729" s="122">
        <v>37615</v>
      </c>
      <c r="B3729" s="24">
        <v>0.56289999999999996</v>
      </c>
      <c r="C3729" s="24">
        <v>3332.3</v>
      </c>
      <c r="D3729" s="47">
        <f t="shared" si="58"/>
        <v>1875.7516699999999</v>
      </c>
    </row>
    <row r="3730" spans="1:4">
      <c r="A3730" s="122">
        <v>37614</v>
      </c>
      <c r="B3730" s="24">
        <v>0.56240000000000001</v>
      </c>
      <c r="C3730" s="24">
        <v>3300.9</v>
      </c>
      <c r="D3730" s="47">
        <f t="shared" si="58"/>
        <v>1856.42616</v>
      </c>
    </row>
    <row r="3731" spans="1:4">
      <c r="A3731" s="122">
        <v>37613</v>
      </c>
      <c r="B3731" s="24">
        <v>0.56210000000000004</v>
      </c>
      <c r="C3731" s="24">
        <v>3299.6</v>
      </c>
      <c r="D3731" s="47">
        <f t="shared" si="58"/>
        <v>1854.7051600000002</v>
      </c>
    </row>
    <row r="3732" spans="1:4">
      <c r="A3732" s="122">
        <v>37610</v>
      </c>
      <c r="B3732" s="24">
        <v>0.56310000000000004</v>
      </c>
      <c r="C3732" s="24">
        <v>3300.6</v>
      </c>
      <c r="D3732" s="47">
        <f t="shared" si="58"/>
        <v>1858.5678600000001</v>
      </c>
    </row>
    <row r="3733" spans="1:4">
      <c r="A3733" s="122">
        <v>37609</v>
      </c>
      <c r="B3733" s="24">
        <v>0.56530000000000002</v>
      </c>
      <c r="C3733" s="24">
        <v>3313.4</v>
      </c>
      <c r="D3733" s="47">
        <f t="shared" si="58"/>
        <v>1873.0650200000002</v>
      </c>
    </row>
    <row r="3734" spans="1:4">
      <c r="A3734" s="122">
        <v>37608</v>
      </c>
      <c r="B3734" s="24">
        <v>0.56499999999999995</v>
      </c>
      <c r="C3734" s="24">
        <v>3303.5</v>
      </c>
      <c r="D3734" s="47">
        <f t="shared" si="58"/>
        <v>1866.4774999999997</v>
      </c>
    </row>
    <row r="3735" spans="1:4">
      <c r="A3735" s="122">
        <v>37607</v>
      </c>
      <c r="B3735" s="24">
        <v>0.56559999999999999</v>
      </c>
      <c r="C3735" s="24">
        <v>3306.5</v>
      </c>
      <c r="D3735" s="47">
        <f t="shared" si="58"/>
        <v>1870.1564000000001</v>
      </c>
    </row>
    <row r="3736" spans="1:4">
      <c r="A3736" s="122">
        <v>37606</v>
      </c>
      <c r="B3736" s="24">
        <v>0.56679999999999997</v>
      </c>
      <c r="C3736" s="24">
        <v>3318.4</v>
      </c>
      <c r="D3736" s="47">
        <f t="shared" si="58"/>
        <v>1880.8691200000001</v>
      </c>
    </row>
    <row r="3737" spans="1:4">
      <c r="A3737" s="122">
        <v>37603</v>
      </c>
      <c r="B3737" s="24">
        <v>0.56479999999999997</v>
      </c>
      <c r="C3737" s="24">
        <v>3323.3</v>
      </c>
      <c r="D3737" s="47">
        <f t="shared" si="58"/>
        <v>1876.9998399999999</v>
      </c>
    </row>
    <row r="3738" spans="1:4">
      <c r="A3738" s="122">
        <v>37602</v>
      </c>
      <c r="B3738" s="24">
        <v>0.56589999999999996</v>
      </c>
      <c r="C3738" s="24">
        <v>3323.8</v>
      </c>
      <c r="D3738" s="47">
        <f t="shared" si="58"/>
        <v>1880.93842</v>
      </c>
    </row>
    <row r="3739" spans="1:4">
      <c r="A3739" s="122">
        <v>37601</v>
      </c>
      <c r="B3739" s="24">
        <v>0.5605</v>
      </c>
      <c r="C3739" s="24">
        <v>3305.3</v>
      </c>
      <c r="D3739" s="47">
        <f t="shared" si="58"/>
        <v>1852.6206500000001</v>
      </c>
    </row>
    <row r="3740" spans="1:4">
      <c r="A3740" s="122">
        <v>37600</v>
      </c>
      <c r="B3740" s="24">
        <v>0.55940000000000001</v>
      </c>
      <c r="C3740" s="24">
        <v>3306.9</v>
      </c>
      <c r="D3740" s="47">
        <f t="shared" si="58"/>
        <v>1849.87986</v>
      </c>
    </row>
    <row r="3741" spans="1:4">
      <c r="A3741" s="122">
        <v>37599</v>
      </c>
      <c r="B3741" s="24">
        <v>0.56369999999999998</v>
      </c>
      <c r="C3741" s="24">
        <v>3320.5</v>
      </c>
      <c r="D3741" s="47">
        <f t="shared" si="58"/>
        <v>1871.76585</v>
      </c>
    </row>
    <row r="3742" spans="1:4">
      <c r="A3742" s="122">
        <v>37596</v>
      </c>
      <c r="B3742" s="24">
        <v>0.56079999999999997</v>
      </c>
      <c r="C3742" s="24">
        <v>3310.1</v>
      </c>
      <c r="D3742" s="47">
        <f t="shared" si="58"/>
        <v>1856.3040799999999</v>
      </c>
    </row>
    <row r="3743" spans="1:4">
      <c r="A3743" s="122">
        <v>37595</v>
      </c>
      <c r="B3743" s="24">
        <v>0.56140000000000001</v>
      </c>
      <c r="C3743" s="24">
        <v>3308.1</v>
      </c>
      <c r="D3743" s="47">
        <f t="shared" si="58"/>
        <v>1857.16734</v>
      </c>
    </row>
    <row r="3744" spans="1:4">
      <c r="A3744" s="122">
        <v>37594</v>
      </c>
      <c r="B3744" s="24">
        <v>0.56059999999999999</v>
      </c>
      <c r="C3744" s="24">
        <v>3311.2</v>
      </c>
      <c r="D3744" s="47">
        <f t="shared" si="58"/>
        <v>1856.2587199999998</v>
      </c>
    </row>
    <row r="3745" spans="1:4">
      <c r="A3745" s="122">
        <v>37593</v>
      </c>
      <c r="B3745" s="24">
        <v>0.55900000000000005</v>
      </c>
      <c r="C3745" s="24">
        <v>3254.5</v>
      </c>
      <c r="D3745" s="47">
        <f t="shared" si="58"/>
        <v>1819.2655000000002</v>
      </c>
    </row>
    <row r="3746" spans="1:4">
      <c r="A3746" s="122">
        <v>37592</v>
      </c>
      <c r="B3746" s="24">
        <v>0.55969999999999998</v>
      </c>
      <c r="C3746" s="24">
        <v>3213.9</v>
      </c>
      <c r="D3746" s="47">
        <f t="shared" si="58"/>
        <v>1798.8198299999999</v>
      </c>
    </row>
    <row r="3747" spans="1:4">
      <c r="A3747" s="122">
        <v>37589</v>
      </c>
      <c r="B3747" s="24">
        <v>0.56059999999999999</v>
      </c>
      <c r="C3747" s="24">
        <v>3190.1</v>
      </c>
      <c r="D3747" s="47">
        <f t="shared" si="58"/>
        <v>1788.37006</v>
      </c>
    </row>
    <row r="3748" spans="1:4">
      <c r="A3748" s="122">
        <v>37588</v>
      </c>
      <c r="B3748" s="24">
        <v>0.56030000000000002</v>
      </c>
      <c r="C3748" s="24">
        <v>3177.8</v>
      </c>
      <c r="D3748" s="47">
        <f t="shared" si="58"/>
        <v>1780.5213400000002</v>
      </c>
    </row>
    <row r="3749" spans="1:4">
      <c r="A3749" s="122">
        <v>37587</v>
      </c>
      <c r="B3749" s="24">
        <v>0.55640000000000001</v>
      </c>
      <c r="C3749" s="24">
        <v>3177.1</v>
      </c>
      <c r="D3749" s="47">
        <f t="shared" si="58"/>
        <v>1767.7384399999999</v>
      </c>
    </row>
    <row r="3750" spans="1:4">
      <c r="A3750" s="122">
        <v>37586</v>
      </c>
      <c r="B3750" s="24">
        <v>0.56000000000000005</v>
      </c>
      <c r="C3750" s="24">
        <v>3173.6</v>
      </c>
      <c r="D3750" s="47">
        <f t="shared" si="58"/>
        <v>1777.2160000000001</v>
      </c>
    </row>
    <row r="3751" spans="1:4">
      <c r="A3751" s="122">
        <v>37585</v>
      </c>
      <c r="B3751" s="24">
        <v>0.55940000000000001</v>
      </c>
      <c r="C3751" s="24">
        <v>3178.4</v>
      </c>
      <c r="D3751" s="47">
        <f t="shared" si="58"/>
        <v>1777.9969600000002</v>
      </c>
    </row>
    <row r="3752" spans="1:4">
      <c r="A3752" s="122">
        <v>37582</v>
      </c>
      <c r="B3752" s="24">
        <v>0.5635</v>
      </c>
      <c r="C3752" s="24">
        <v>3155.2</v>
      </c>
      <c r="D3752" s="47">
        <f t="shared" si="58"/>
        <v>1777.9551999999999</v>
      </c>
    </row>
    <row r="3753" spans="1:4">
      <c r="A3753" s="122">
        <v>37581</v>
      </c>
      <c r="B3753" s="24">
        <v>0.56279999999999997</v>
      </c>
      <c r="C3753" s="24">
        <v>3151.1</v>
      </c>
      <c r="D3753" s="47">
        <f t="shared" si="58"/>
        <v>1773.4390799999999</v>
      </c>
    </row>
    <row r="3754" spans="1:4">
      <c r="A3754" s="122">
        <v>37580</v>
      </c>
      <c r="B3754" s="24">
        <v>0.56030000000000002</v>
      </c>
      <c r="C3754" s="24">
        <v>3140.8</v>
      </c>
      <c r="D3754" s="47">
        <f t="shared" si="58"/>
        <v>1759.7902400000003</v>
      </c>
    </row>
    <row r="3755" spans="1:4">
      <c r="A3755" s="122">
        <v>37579</v>
      </c>
      <c r="B3755" s="24">
        <v>0.55969999999999998</v>
      </c>
      <c r="C3755" s="24">
        <v>3133.1</v>
      </c>
      <c r="D3755" s="47">
        <f t="shared" si="58"/>
        <v>1753.5960699999998</v>
      </c>
    </row>
    <row r="3756" spans="1:4">
      <c r="A3756" s="122">
        <v>37578</v>
      </c>
      <c r="B3756" s="24">
        <v>0.56200000000000006</v>
      </c>
      <c r="C3756" s="24">
        <v>3118.2</v>
      </c>
      <c r="D3756" s="47">
        <f t="shared" si="58"/>
        <v>1752.4284</v>
      </c>
    </row>
    <row r="3757" spans="1:4">
      <c r="A3757" s="122">
        <v>37575</v>
      </c>
      <c r="B3757" s="24">
        <v>0.56359999999999999</v>
      </c>
      <c r="C3757" s="24">
        <v>3113.8</v>
      </c>
      <c r="D3757" s="47">
        <f t="shared" si="58"/>
        <v>1754.93768</v>
      </c>
    </row>
    <row r="3758" spans="1:4">
      <c r="A3758" s="122">
        <v>37574</v>
      </c>
      <c r="B3758" s="24">
        <v>0.56330000000000002</v>
      </c>
      <c r="C3758" s="24">
        <v>3146.5</v>
      </c>
      <c r="D3758" s="47">
        <f t="shared" si="58"/>
        <v>1772.42345</v>
      </c>
    </row>
    <row r="3759" spans="1:4">
      <c r="A3759" s="122">
        <v>37573</v>
      </c>
      <c r="B3759" s="24">
        <v>0.56030000000000002</v>
      </c>
      <c r="C3759" s="24">
        <v>3126.7</v>
      </c>
      <c r="D3759" s="47">
        <f t="shared" si="58"/>
        <v>1751.8900100000001</v>
      </c>
    </row>
    <row r="3760" spans="1:4">
      <c r="A3760" s="122">
        <v>37572</v>
      </c>
      <c r="B3760" s="24">
        <v>0.56030000000000002</v>
      </c>
      <c r="C3760" s="24">
        <v>3112.6</v>
      </c>
      <c r="D3760" s="47">
        <f t="shared" si="58"/>
        <v>1743.9897800000001</v>
      </c>
    </row>
    <row r="3761" spans="1:4">
      <c r="A3761" s="122">
        <v>37571</v>
      </c>
      <c r="B3761" s="24">
        <v>0.56140000000000001</v>
      </c>
      <c r="C3761" s="24">
        <v>3149.9</v>
      </c>
      <c r="D3761" s="47">
        <f t="shared" si="58"/>
        <v>1768.3538600000002</v>
      </c>
    </row>
    <row r="3762" spans="1:4">
      <c r="A3762" s="122">
        <v>37568</v>
      </c>
      <c r="B3762" s="24">
        <v>0.56479999999999997</v>
      </c>
      <c r="C3762" s="24">
        <v>3148.8</v>
      </c>
      <c r="D3762" s="47">
        <f t="shared" si="58"/>
        <v>1778.4422400000001</v>
      </c>
    </row>
    <row r="3763" spans="1:4">
      <c r="A3763" s="122">
        <v>37567</v>
      </c>
      <c r="B3763" s="24">
        <v>0.56669999999999998</v>
      </c>
      <c r="C3763" s="24">
        <v>3140.9</v>
      </c>
      <c r="D3763" s="47">
        <f t="shared" si="58"/>
        <v>1779.94803</v>
      </c>
    </row>
    <row r="3764" spans="1:4">
      <c r="A3764" s="122">
        <v>37566</v>
      </c>
      <c r="B3764" s="24">
        <v>0.56369999999999998</v>
      </c>
      <c r="C3764" s="24">
        <v>3088</v>
      </c>
      <c r="D3764" s="47">
        <f t="shared" si="58"/>
        <v>1740.7056</v>
      </c>
    </row>
    <row r="3765" spans="1:4">
      <c r="A3765" s="122">
        <v>37565</v>
      </c>
      <c r="B3765" s="24">
        <v>0.56120000000000003</v>
      </c>
      <c r="C3765" s="24">
        <v>3081</v>
      </c>
      <c r="D3765" s="47">
        <f t="shared" si="58"/>
        <v>1729.0572000000002</v>
      </c>
    </row>
    <row r="3766" spans="1:4">
      <c r="A3766" s="122">
        <v>37564</v>
      </c>
      <c r="B3766" s="24">
        <v>0.56140000000000001</v>
      </c>
      <c r="C3766" s="24">
        <v>3050.6</v>
      </c>
      <c r="D3766" s="47">
        <f t="shared" si="58"/>
        <v>1712.6068399999999</v>
      </c>
    </row>
    <row r="3767" spans="1:4">
      <c r="A3767" s="122">
        <v>37561</v>
      </c>
      <c r="B3767" s="24">
        <v>0.55910000000000004</v>
      </c>
      <c r="C3767" s="24">
        <v>3035.1</v>
      </c>
      <c r="D3767" s="47">
        <f t="shared" si="58"/>
        <v>1696.9244100000001</v>
      </c>
    </row>
    <row r="3768" spans="1:4">
      <c r="A3768" s="122">
        <v>37560</v>
      </c>
      <c r="B3768" s="24">
        <v>0.55459999999999998</v>
      </c>
      <c r="C3768" s="24">
        <v>3000.7</v>
      </c>
      <c r="D3768" s="47">
        <f t="shared" si="58"/>
        <v>1664.1882199999998</v>
      </c>
    </row>
    <row r="3769" spans="1:4">
      <c r="A3769" s="122">
        <v>37559</v>
      </c>
      <c r="B3769" s="24">
        <v>0.55330000000000001</v>
      </c>
      <c r="C3769" s="24">
        <v>3018.1</v>
      </c>
      <c r="D3769" s="47">
        <f t="shared" si="58"/>
        <v>1669.91473</v>
      </c>
    </row>
    <row r="3770" spans="1:4">
      <c r="A3770" s="122">
        <v>37558</v>
      </c>
      <c r="B3770" s="24">
        <v>0.55679999999999996</v>
      </c>
      <c r="C3770" s="24">
        <v>3009.5</v>
      </c>
      <c r="D3770" s="47">
        <f t="shared" si="58"/>
        <v>1675.6895999999999</v>
      </c>
    </row>
    <row r="3771" spans="1:4">
      <c r="A3771" s="122">
        <v>37557</v>
      </c>
      <c r="B3771" s="24">
        <v>0.55910000000000004</v>
      </c>
      <c r="C3771" s="24">
        <v>3021.4</v>
      </c>
      <c r="D3771" s="47">
        <f t="shared" si="58"/>
        <v>1689.2647400000001</v>
      </c>
    </row>
    <row r="3772" spans="1:4">
      <c r="A3772" s="122">
        <v>37554</v>
      </c>
      <c r="B3772" s="24">
        <v>0.55579999999999996</v>
      </c>
      <c r="C3772" s="24">
        <v>3002.3</v>
      </c>
      <c r="D3772" s="47">
        <f t="shared" si="58"/>
        <v>1668.6783399999999</v>
      </c>
    </row>
    <row r="3773" spans="1:4">
      <c r="A3773" s="122">
        <v>37553</v>
      </c>
      <c r="B3773" s="24">
        <v>0.55449999999999999</v>
      </c>
      <c r="C3773" s="24">
        <v>3039.1</v>
      </c>
      <c r="D3773" s="47">
        <f t="shared" si="58"/>
        <v>1685.1809499999999</v>
      </c>
    </row>
    <row r="3774" spans="1:4">
      <c r="A3774" s="122">
        <v>37552</v>
      </c>
      <c r="B3774" s="24">
        <v>0.55289999999999995</v>
      </c>
      <c r="C3774" s="24">
        <v>3044.9</v>
      </c>
      <c r="D3774" s="47">
        <f t="shared" si="58"/>
        <v>1683.5252099999998</v>
      </c>
    </row>
    <row r="3775" spans="1:4">
      <c r="A3775" s="122">
        <v>37551</v>
      </c>
      <c r="B3775" s="24">
        <v>0.55249999999999999</v>
      </c>
      <c r="C3775" s="24">
        <v>3074.8</v>
      </c>
      <c r="D3775" s="47">
        <f t="shared" si="58"/>
        <v>1698.827</v>
      </c>
    </row>
    <row r="3776" spans="1:4">
      <c r="A3776" s="122">
        <v>37550</v>
      </c>
      <c r="B3776" s="24">
        <v>0.55469999999999997</v>
      </c>
      <c r="C3776" s="24">
        <v>3089.2</v>
      </c>
      <c r="D3776" s="47">
        <f t="shared" si="58"/>
        <v>1713.5792399999998</v>
      </c>
    </row>
    <row r="3777" spans="1:4">
      <c r="A3777" s="122">
        <v>37547</v>
      </c>
      <c r="B3777" s="24">
        <v>0.55000000000000004</v>
      </c>
      <c r="C3777" s="24">
        <v>3051.1</v>
      </c>
      <c r="D3777" s="47">
        <f t="shared" si="58"/>
        <v>1678.105</v>
      </c>
    </row>
    <row r="3778" spans="1:4">
      <c r="A3778" s="122">
        <v>37546</v>
      </c>
      <c r="B3778" s="24">
        <v>0.55089999999999995</v>
      </c>
      <c r="C3778" s="24">
        <v>3034.8</v>
      </c>
      <c r="D3778" s="47">
        <f t="shared" si="58"/>
        <v>1671.87132</v>
      </c>
    </row>
    <row r="3779" spans="1:4">
      <c r="A3779" s="122">
        <v>37545</v>
      </c>
      <c r="B3779" s="24">
        <v>0.54869999999999997</v>
      </c>
      <c r="C3779" s="24">
        <v>2996.4</v>
      </c>
      <c r="D3779" s="47">
        <f t="shared" ref="D3779:D3842" si="59">C3779*B3779</f>
        <v>1644.1246799999999</v>
      </c>
    </row>
    <row r="3780" spans="1:4">
      <c r="A3780" s="122">
        <v>37544</v>
      </c>
      <c r="B3780" s="24">
        <v>0.54669999999999996</v>
      </c>
      <c r="C3780" s="24">
        <v>3043.4</v>
      </c>
      <c r="D3780" s="47">
        <f t="shared" si="59"/>
        <v>1663.8267799999999</v>
      </c>
    </row>
    <row r="3781" spans="1:4">
      <c r="A3781" s="122">
        <v>37543</v>
      </c>
      <c r="B3781" s="24">
        <v>0.54669999999999996</v>
      </c>
      <c r="C3781" s="24">
        <v>3086.1</v>
      </c>
      <c r="D3781" s="47">
        <f t="shared" si="59"/>
        <v>1687.1708699999999</v>
      </c>
    </row>
    <row r="3782" spans="1:4">
      <c r="A3782" s="122">
        <v>37540</v>
      </c>
      <c r="B3782" s="24">
        <v>0.54869999999999997</v>
      </c>
      <c r="C3782" s="24">
        <v>3106.2</v>
      </c>
      <c r="D3782" s="47">
        <f t="shared" si="59"/>
        <v>1704.3719399999998</v>
      </c>
    </row>
    <row r="3783" spans="1:4">
      <c r="A3783" s="122">
        <v>37539</v>
      </c>
      <c r="B3783" s="24">
        <v>0.54849999999999999</v>
      </c>
      <c r="C3783" s="24">
        <v>3107.2</v>
      </c>
      <c r="D3783" s="47">
        <f t="shared" si="59"/>
        <v>1704.2991999999999</v>
      </c>
    </row>
    <row r="3784" spans="1:4">
      <c r="A3784" s="122">
        <v>37538</v>
      </c>
      <c r="B3784" s="24">
        <v>0.54910000000000003</v>
      </c>
      <c r="C3784" s="24">
        <v>3053.8</v>
      </c>
      <c r="D3784" s="47">
        <f t="shared" si="59"/>
        <v>1676.8415800000002</v>
      </c>
    </row>
    <row r="3785" spans="1:4">
      <c r="A3785" s="122">
        <v>37537</v>
      </c>
      <c r="B3785" s="24">
        <v>0.54659999999999997</v>
      </c>
      <c r="C3785" s="24">
        <v>3107.5</v>
      </c>
      <c r="D3785" s="47">
        <f t="shared" si="59"/>
        <v>1698.5594999999998</v>
      </c>
    </row>
    <row r="3786" spans="1:4">
      <c r="A3786" s="122">
        <v>37536</v>
      </c>
      <c r="B3786" s="24">
        <v>0.54949999999999999</v>
      </c>
      <c r="C3786" s="24">
        <v>3131.1</v>
      </c>
      <c r="D3786" s="47">
        <f t="shared" si="59"/>
        <v>1720.53945</v>
      </c>
    </row>
    <row r="3787" spans="1:4">
      <c r="A3787" s="122">
        <v>37533</v>
      </c>
      <c r="B3787" s="24">
        <v>0.54659999999999997</v>
      </c>
      <c r="C3787" s="24">
        <v>3102</v>
      </c>
      <c r="D3787" s="47">
        <f t="shared" si="59"/>
        <v>1695.5531999999998</v>
      </c>
    </row>
    <row r="3788" spans="1:4">
      <c r="A3788" s="122">
        <v>37532</v>
      </c>
      <c r="B3788" s="24">
        <v>0.54630000000000001</v>
      </c>
      <c r="C3788" s="24">
        <v>3115.8</v>
      </c>
      <c r="D3788" s="47">
        <f t="shared" si="59"/>
        <v>1702.1615400000001</v>
      </c>
    </row>
    <row r="3789" spans="1:4">
      <c r="A3789" s="122">
        <v>37531</v>
      </c>
      <c r="B3789" s="24">
        <v>0.54349999999999998</v>
      </c>
      <c r="C3789" s="24">
        <v>3106.3</v>
      </c>
      <c r="D3789" s="47">
        <f t="shared" si="59"/>
        <v>1688.27405</v>
      </c>
    </row>
    <row r="3790" spans="1:4">
      <c r="A3790" s="122">
        <v>37530</v>
      </c>
      <c r="B3790" s="24">
        <v>0.54379999999999995</v>
      </c>
      <c r="C3790" s="24">
        <v>3117.3</v>
      </c>
      <c r="D3790" s="47">
        <f t="shared" si="59"/>
        <v>1695.1877399999998</v>
      </c>
    </row>
    <row r="3791" spans="1:4">
      <c r="A3791" s="122">
        <v>37529</v>
      </c>
      <c r="B3791" s="24">
        <v>0.54339999999999999</v>
      </c>
      <c r="C3791" s="24">
        <v>3069.2</v>
      </c>
      <c r="D3791" s="47">
        <f t="shared" si="59"/>
        <v>1667.8032799999999</v>
      </c>
    </row>
    <row r="3792" spans="1:4">
      <c r="A3792" s="122">
        <v>37526</v>
      </c>
      <c r="B3792" s="24">
        <v>0.54379999999999995</v>
      </c>
      <c r="C3792" s="24">
        <v>3010.3</v>
      </c>
      <c r="D3792" s="47">
        <f t="shared" si="59"/>
        <v>1637.0011399999999</v>
      </c>
    </row>
    <row r="3793" spans="1:4">
      <c r="A3793" s="122">
        <v>37525</v>
      </c>
      <c r="B3793" s="24">
        <v>0.54410000000000003</v>
      </c>
      <c r="C3793" s="24">
        <v>2943.9</v>
      </c>
      <c r="D3793" s="47">
        <f t="shared" si="59"/>
        <v>1601.7759900000001</v>
      </c>
    </row>
    <row r="3794" spans="1:4">
      <c r="A3794" s="122">
        <v>37524</v>
      </c>
      <c r="B3794" s="24">
        <v>0.54669999999999996</v>
      </c>
      <c r="C3794" s="24">
        <v>3111.9</v>
      </c>
      <c r="D3794" s="47">
        <f t="shared" si="59"/>
        <v>1701.2757299999998</v>
      </c>
    </row>
    <row r="3795" spans="1:4">
      <c r="A3795" s="122">
        <v>37523</v>
      </c>
      <c r="B3795" s="24">
        <v>0.54330000000000001</v>
      </c>
      <c r="C3795" s="24">
        <v>3099.7</v>
      </c>
      <c r="D3795" s="47">
        <f t="shared" si="59"/>
        <v>1684.06701</v>
      </c>
    </row>
    <row r="3796" spans="1:4">
      <c r="A3796" s="122">
        <v>37522</v>
      </c>
      <c r="B3796" s="24">
        <v>0.54349999999999998</v>
      </c>
      <c r="C3796" s="24">
        <v>3148.7</v>
      </c>
      <c r="D3796" s="47">
        <f t="shared" si="59"/>
        <v>1711.3184499999998</v>
      </c>
    </row>
    <row r="3797" spans="1:4">
      <c r="A3797" s="122">
        <v>37519</v>
      </c>
      <c r="B3797" s="24">
        <v>0.54630000000000001</v>
      </c>
      <c r="C3797" s="24">
        <v>3173</v>
      </c>
      <c r="D3797" s="47">
        <f t="shared" si="59"/>
        <v>1733.4099000000001</v>
      </c>
    </row>
    <row r="3798" spans="1:4">
      <c r="A3798" s="122">
        <v>37518</v>
      </c>
      <c r="B3798" s="24">
        <v>0.55000000000000004</v>
      </c>
      <c r="C3798" s="24">
        <v>3201.4</v>
      </c>
      <c r="D3798" s="47">
        <f t="shared" si="59"/>
        <v>1760.7700000000002</v>
      </c>
    </row>
    <row r="3799" spans="1:4">
      <c r="A3799" s="122">
        <v>37517</v>
      </c>
      <c r="B3799" s="24">
        <v>0.54859999999999998</v>
      </c>
      <c r="C3799" s="24">
        <v>3182</v>
      </c>
      <c r="D3799" s="47">
        <f t="shared" si="59"/>
        <v>1745.6451999999999</v>
      </c>
    </row>
    <row r="3800" spans="1:4">
      <c r="A3800" s="122">
        <v>37516</v>
      </c>
      <c r="B3800" s="24">
        <v>0.54759999999999998</v>
      </c>
      <c r="C3800" s="24">
        <v>3157.1</v>
      </c>
      <c r="D3800" s="47">
        <f t="shared" si="59"/>
        <v>1728.8279599999998</v>
      </c>
    </row>
    <row r="3801" spans="1:4">
      <c r="A3801" s="122">
        <v>37515</v>
      </c>
      <c r="B3801" s="24">
        <v>0.54779999999999995</v>
      </c>
      <c r="C3801" s="24">
        <v>3155.4</v>
      </c>
      <c r="D3801" s="47">
        <f t="shared" si="59"/>
        <v>1728.5281199999999</v>
      </c>
    </row>
    <row r="3802" spans="1:4">
      <c r="A3802" s="122">
        <v>37512</v>
      </c>
      <c r="B3802" s="24">
        <v>0.55020000000000002</v>
      </c>
      <c r="C3802" s="24">
        <v>3176.8</v>
      </c>
      <c r="D3802" s="47">
        <f t="shared" si="59"/>
        <v>1747.8753600000002</v>
      </c>
    </row>
    <row r="3803" spans="1:4">
      <c r="A3803" s="122">
        <v>37511</v>
      </c>
      <c r="B3803" s="24">
        <v>0.5524</v>
      </c>
      <c r="C3803" s="24">
        <v>3191</v>
      </c>
      <c r="D3803" s="47">
        <f t="shared" si="59"/>
        <v>1762.7084</v>
      </c>
    </row>
    <row r="3804" spans="1:4">
      <c r="A3804" s="122">
        <v>37510</v>
      </c>
      <c r="B3804" s="24">
        <v>0.54820000000000002</v>
      </c>
      <c r="C3804" s="24">
        <v>3133.3</v>
      </c>
      <c r="D3804" s="47">
        <f t="shared" si="59"/>
        <v>1717.6750600000003</v>
      </c>
    </row>
    <row r="3805" spans="1:4">
      <c r="A3805" s="122">
        <v>37509</v>
      </c>
      <c r="B3805" s="24">
        <v>0.5484</v>
      </c>
      <c r="C3805" s="24">
        <v>3194.1</v>
      </c>
      <c r="D3805" s="47">
        <f t="shared" si="59"/>
        <v>1751.64444</v>
      </c>
    </row>
    <row r="3806" spans="1:4">
      <c r="A3806" s="122">
        <v>37508</v>
      </c>
      <c r="B3806" s="24">
        <v>0.54830000000000001</v>
      </c>
      <c r="C3806" s="24">
        <v>3225.9</v>
      </c>
      <c r="D3806" s="47">
        <f t="shared" si="59"/>
        <v>1768.76097</v>
      </c>
    </row>
    <row r="3807" spans="1:4">
      <c r="A3807" s="122">
        <v>37505</v>
      </c>
      <c r="B3807" s="24">
        <v>0.54749999999999999</v>
      </c>
      <c r="C3807" s="24">
        <v>3230.2</v>
      </c>
      <c r="D3807" s="47">
        <f t="shared" si="59"/>
        <v>1768.5344999999998</v>
      </c>
    </row>
    <row r="3808" spans="1:4">
      <c r="A3808" s="122">
        <v>37504</v>
      </c>
      <c r="B3808" s="24">
        <v>0.54210000000000003</v>
      </c>
      <c r="C3808" s="24">
        <v>3227.9</v>
      </c>
      <c r="D3808" s="47">
        <f t="shared" si="59"/>
        <v>1749.8445900000002</v>
      </c>
    </row>
    <row r="3809" spans="1:4">
      <c r="A3809" s="122">
        <v>37503</v>
      </c>
      <c r="B3809" s="24">
        <v>0.54479999999999995</v>
      </c>
      <c r="C3809" s="24">
        <v>3251.5</v>
      </c>
      <c r="D3809" s="47">
        <f t="shared" si="59"/>
        <v>1771.4171999999999</v>
      </c>
    </row>
    <row r="3810" spans="1:4">
      <c r="A3810" s="122">
        <v>37502</v>
      </c>
      <c r="B3810" s="24">
        <v>0.54820000000000002</v>
      </c>
      <c r="C3810" s="24">
        <v>3248.8</v>
      </c>
      <c r="D3810" s="47">
        <f t="shared" si="59"/>
        <v>1780.9921600000002</v>
      </c>
    </row>
    <row r="3811" spans="1:4">
      <c r="A3811" s="122">
        <v>37501</v>
      </c>
      <c r="B3811" s="24">
        <v>0.55200000000000005</v>
      </c>
      <c r="C3811" s="24">
        <v>3276.4</v>
      </c>
      <c r="D3811" s="47">
        <f t="shared" si="59"/>
        <v>1808.5728000000001</v>
      </c>
    </row>
    <row r="3812" spans="1:4">
      <c r="A3812" s="122">
        <v>37498</v>
      </c>
      <c r="B3812" s="24">
        <v>0.55049999999999999</v>
      </c>
      <c r="C3812" s="24">
        <v>3248.8</v>
      </c>
      <c r="D3812" s="47">
        <f t="shared" si="59"/>
        <v>1788.4644000000001</v>
      </c>
    </row>
    <row r="3813" spans="1:4">
      <c r="A3813" s="122">
        <v>37497</v>
      </c>
      <c r="B3813" s="24">
        <v>0.55220000000000002</v>
      </c>
      <c r="C3813" s="24">
        <v>3237.7</v>
      </c>
      <c r="D3813" s="47">
        <f t="shared" si="59"/>
        <v>1787.8579399999999</v>
      </c>
    </row>
    <row r="3814" spans="1:4">
      <c r="A3814" s="122">
        <v>37496</v>
      </c>
      <c r="B3814" s="24">
        <v>0.55149999999999999</v>
      </c>
      <c r="C3814" s="24">
        <v>3200.4</v>
      </c>
      <c r="D3814" s="47">
        <f t="shared" si="59"/>
        <v>1765.0206000000001</v>
      </c>
    </row>
    <row r="3815" spans="1:4">
      <c r="A3815" s="122">
        <v>37495</v>
      </c>
      <c r="B3815" s="24">
        <v>0.55410000000000004</v>
      </c>
      <c r="C3815" s="24">
        <v>3171.8</v>
      </c>
      <c r="D3815" s="47">
        <f t="shared" si="59"/>
        <v>1757.4943800000003</v>
      </c>
    </row>
    <row r="3816" spans="1:4">
      <c r="A3816" s="122">
        <v>37494</v>
      </c>
      <c r="B3816" s="24">
        <v>0.54379999999999995</v>
      </c>
      <c r="C3816" s="24">
        <v>3159.7</v>
      </c>
      <c r="D3816" s="47">
        <f t="shared" si="59"/>
        <v>1718.2448599999998</v>
      </c>
    </row>
    <row r="3817" spans="1:4">
      <c r="A3817" s="122">
        <v>37491</v>
      </c>
      <c r="B3817" s="24">
        <v>0.54239999999999999</v>
      </c>
      <c r="C3817" s="24">
        <v>3178.7</v>
      </c>
      <c r="D3817" s="47">
        <f t="shared" si="59"/>
        <v>1724.1268799999998</v>
      </c>
    </row>
    <row r="3818" spans="1:4">
      <c r="A3818" s="122">
        <v>37490</v>
      </c>
      <c r="B3818" s="24">
        <v>0.54069999999999996</v>
      </c>
      <c r="C3818" s="24">
        <v>3185.9</v>
      </c>
      <c r="D3818" s="47">
        <f t="shared" si="59"/>
        <v>1722.6161299999999</v>
      </c>
    </row>
    <row r="3819" spans="1:4">
      <c r="A3819" s="122">
        <v>37489</v>
      </c>
      <c r="B3819" s="24">
        <v>0.54390000000000005</v>
      </c>
      <c r="C3819" s="24">
        <v>3189.3</v>
      </c>
      <c r="D3819" s="47">
        <f t="shared" si="59"/>
        <v>1734.6602700000003</v>
      </c>
    </row>
    <row r="3820" spans="1:4">
      <c r="A3820" s="122">
        <v>37488</v>
      </c>
      <c r="B3820" s="24">
        <v>0.54620000000000002</v>
      </c>
      <c r="C3820" s="24">
        <v>3188</v>
      </c>
      <c r="D3820" s="47">
        <f t="shared" si="59"/>
        <v>1741.2856000000002</v>
      </c>
    </row>
    <row r="3821" spans="1:4">
      <c r="A3821" s="122">
        <v>37487</v>
      </c>
      <c r="B3821" s="24">
        <v>0.54210000000000003</v>
      </c>
      <c r="C3821" s="24">
        <v>3207.9</v>
      </c>
      <c r="D3821" s="47">
        <f t="shared" si="59"/>
        <v>1739.0025900000001</v>
      </c>
    </row>
    <row r="3822" spans="1:4">
      <c r="A3822" s="122">
        <v>37484</v>
      </c>
      <c r="B3822" s="24">
        <v>0.54530000000000001</v>
      </c>
      <c r="C3822" s="24">
        <v>3232.5</v>
      </c>
      <c r="D3822" s="47">
        <f t="shared" si="59"/>
        <v>1762.6822500000001</v>
      </c>
    </row>
    <row r="3823" spans="1:4">
      <c r="A3823" s="122">
        <v>37483</v>
      </c>
      <c r="B3823" s="24">
        <v>0.54279999999999995</v>
      </c>
      <c r="C3823" s="24">
        <v>3214</v>
      </c>
      <c r="D3823" s="47">
        <f t="shared" si="59"/>
        <v>1744.5591999999999</v>
      </c>
    </row>
    <row r="3824" spans="1:4">
      <c r="A3824" s="122">
        <v>37482</v>
      </c>
      <c r="B3824" s="24">
        <v>0.53649999999999998</v>
      </c>
      <c r="C3824" s="24">
        <v>3232.6</v>
      </c>
      <c r="D3824" s="47">
        <f t="shared" si="59"/>
        <v>1734.2899</v>
      </c>
    </row>
    <row r="3825" spans="1:4">
      <c r="A3825" s="122">
        <v>37481</v>
      </c>
      <c r="B3825" s="24">
        <v>0.53790000000000004</v>
      </c>
      <c r="C3825" s="24">
        <v>3219.8</v>
      </c>
      <c r="D3825" s="47">
        <f t="shared" si="59"/>
        <v>1731.9304200000001</v>
      </c>
    </row>
    <row r="3826" spans="1:4">
      <c r="A3826" s="122">
        <v>37480</v>
      </c>
      <c r="B3826" s="24">
        <v>0.53959999999999997</v>
      </c>
      <c r="C3826" s="24">
        <v>3187.2</v>
      </c>
      <c r="D3826" s="47">
        <f t="shared" si="59"/>
        <v>1719.8131199999998</v>
      </c>
    </row>
    <row r="3827" spans="1:4">
      <c r="A3827" s="122">
        <v>37477</v>
      </c>
      <c r="B3827" s="24">
        <v>0.53600000000000003</v>
      </c>
      <c r="C3827" s="24">
        <v>3124.6</v>
      </c>
      <c r="D3827" s="47">
        <f t="shared" si="59"/>
        <v>1674.7856000000002</v>
      </c>
    </row>
    <row r="3828" spans="1:4">
      <c r="A3828" s="122">
        <v>37476</v>
      </c>
      <c r="B3828" s="24">
        <v>0.53359999999999996</v>
      </c>
      <c r="C3828" s="24">
        <v>3106.7</v>
      </c>
      <c r="D3828" s="47">
        <f t="shared" si="59"/>
        <v>1657.7351199999998</v>
      </c>
    </row>
    <row r="3829" spans="1:4">
      <c r="A3829" s="122">
        <v>37475</v>
      </c>
      <c r="B3829" s="24">
        <v>0.53690000000000004</v>
      </c>
      <c r="C3829" s="24">
        <v>3111.2</v>
      </c>
      <c r="D3829" s="47">
        <f t="shared" si="59"/>
        <v>1670.40328</v>
      </c>
    </row>
    <row r="3830" spans="1:4">
      <c r="A3830" s="122">
        <v>37474</v>
      </c>
      <c r="B3830" s="24">
        <v>0.53100000000000003</v>
      </c>
      <c r="C3830" s="24">
        <v>3099.6</v>
      </c>
      <c r="D3830" s="47">
        <f t="shared" si="59"/>
        <v>1645.8876</v>
      </c>
    </row>
    <row r="3831" spans="1:4">
      <c r="A3831" s="122">
        <v>37473</v>
      </c>
      <c r="B3831" s="24">
        <v>0.5272</v>
      </c>
      <c r="C3831" s="24">
        <v>3101.1</v>
      </c>
      <c r="D3831" s="47">
        <f t="shared" si="59"/>
        <v>1634.8999200000001</v>
      </c>
    </row>
    <row r="3832" spans="1:4">
      <c r="A3832" s="122">
        <v>37470</v>
      </c>
      <c r="B3832" s="24">
        <v>0.53839999999999999</v>
      </c>
      <c r="C3832" s="24">
        <v>3097</v>
      </c>
      <c r="D3832" s="47">
        <f t="shared" si="59"/>
        <v>1667.4248</v>
      </c>
    </row>
    <row r="3833" spans="1:4">
      <c r="A3833" s="122">
        <v>37469</v>
      </c>
      <c r="B3833" s="24">
        <v>0.54069999999999996</v>
      </c>
      <c r="C3833" s="24">
        <v>3114.9</v>
      </c>
      <c r="D3833" s="47">
        <f t="shared" si="59"/>
        <v>1684.2264299999999</v>
      </c>
    </row>
    <row r="3834" spans="1:4">
      <c r="A3834" s="122">
        <v>37468</v>
      </c>
      <c r="B3834" s="24">
        <v>0.54249999999999998</v>
      </c>
      <c r="C3834" s="24">
        <v>3114.9</v>
      </c>
      <c r="D3834" s="47">
        <f t="shared" si="59"/>
        <v>1689.8332499999999</v>
      </c>
    </row>
    <row r="3835" spans="1:4">
      <c r="A3835" s="122">
        <v>37467</v>
      </c>
      <c r="B3835" s="24">
        <v>0.54359999999999997</v>
      </c>
      <c r="C3835" s="24">
        <v>3140.8</v>
      </c>
      <c r="D3835" s="47">
        <f t="shared" si="59"/>
        <v>1707.33888</v>
      </c>
    </row>
    <row r="3836" spans="1:4">
      <c r="A3836" s="122">
        <v>37466</v>
      </c>
      <c r="B3836" s="24">
        <v>0.54110000000000003</v>
      </c>
      <c r="C3836" s="24">
        <v>3150.4</v>
      </c>
      <c r="D3836" s="47">
        <f t="shared" si="59"/>
        <v>1704.6814400000001</v>
      </c>
    </row>
    <row r="3837" spans="1:4">
      <c r="A3837" s="122">
        <v>37463</v>
      </c>
      <c r="B3837" s="24">
        <v>0.53469999999999995</v>
      </c>
      <c r="C3837" s="24">
        <v>3152.3</v>
      </c>
      <c r="D3837" s="47">
        <f t="shared" si="59"/>
        <v>1685.5348099999999</v>
      </c>
    </row>
    <row r="3838" spans="1:4">
      <c r="A3838" s="122">
        <v>37462</v>
      </c>
      <c r="B3838" s="24">
        <v>0.54020000000000001</v>
      </c>
      <c r="C3838" s="24">
        <v>3122.2</v>
      </c>
      <c r="D3838" s="47">
        <f t="shared" si="59"/>
        <v>1686.6124399999999</v>
      </c>
    </row>
    <row r="3839" spans="1:4">
      <c r="A3839" s="122">
        <v>37461</v>
      </c>
      <c r="B3839" s="24">
        <v>0.54259999999999997</v>
      </c>
      <c r="C3839" s="24">
        <v>3167.3</v>
      </c>
      <c r="D3839" s="47">
        <f t="shared" si="59"/>
        <v>1718.57698</v>
      </c>
    </row>
    <row r="3840" spans="1:4">
      <c r="A3840" s="122">
        <v>37460</v>
      </c>
      <c r="B3840" s="24">
        <v>0.53849999999999998</v>
      </c>
      <c r="C3840" s="24">
        <v>3192.3</v>
      </c>
      <c r="D3840" s="47">
        <f t="shared" si="59"/>
        <v>1719.0535500000001</v>
      </c>
    </row>
    <row r="3841" spans="1:4">
      <c r="A3841" s="122">
        <v>37459</v>
      </c>
      <c r="B3841" s="24">
        <v>0.54710000000000003</v>
      </c>
      <c r="C3841" s="24">
        <v>3149.9</v>
      </c>
      <c r="D3841" s="47">
        <f t="shared" si="59"/>
        <v>1723.3102900000001</v>
      </c>
    </row>
    <row r="3842" spans="1:4">
      <c r="A3842" s="122">
        <v>37456</v>
      </c>
      <c r="B3842" s="24">
        <v>0.55669999999999997</v>
      </c>
      <c r="C3842" s="24">
        <v>3134.6</v>
      </c>
      <c r="D3842" s="47">
        <f t="shared" si="59"/>
        <v>1745.0318199999999</v>
      </c>
    </row>
    <row r="3843" spans="1:4">
      <c r="A3843" s="122">
        <v>37455</v>
      </c>
      <c r="B3843" s="24">
        <v>0.55289999999999995</v>
      </c>
      <c r="C3843" s="24">
        <v>3136.9</v>
      </c>
      <c r="D3843" s="47">
        <f t="shared" ref="D3843:D3906" si="60">C3843*B3843</f>
        <v>1734.3920099999998</v>
      </c>
    </row>
    <row r="3844" spans="1:4">
      <c r="A3844" s="122">
        <v>37454</v>
      </c>
      <c r="B3844" s="24">
        <v>0.55079999999999996</v>
      </c>
      <c r="C3844" s="24">
        <v>3118.7</v>
      </c>
      <c r="D3844" s="47">
        <f t="shared" si="60"/>
        <v>1717.7799599999998</v>
      </c>
    </row>
    <row r="3845" spans="1:4">
      <c r="A3845" s="122">
        <v>37453</v>
      </c>
      <c r="B3845" s="24">
        <v>0.55620000000000003</v>
      </c>
      <c r="C3845" s="24">
        <v>3142.4</v>
      </c>
      <c r="D3845" s="47">
        <f t="shared" si="60"/>
        <v>1747.8028800000002</v>
      </c>
    </row>
    <row r="3846" spans="1:4">
      <c r="A3846" s="122">
        <v>37452</v>
      </c>
      <c r="B3846" s="24">
        <v>0.55889999999999995</v>
      </c>
      <c r="C3846" s="24">
        <v>3110.3</v>
      </c>
      <c r="D3846" s="47">
        <f t="shared" si="60"/>
        <v>1738.3466699999999</v>
      </c>
    </row>
    <row r="3847" spans="1:4">
      <c r="A3847" s="122">
        <v>37449</v>
      </c>
      <c r="B3847" s="24">
        <v>0.55979999999999996</v>
      </c>
      <c r="C3847" s="24">
        <v>3072.3</v>
      </c>
      <c r="D3847" s="47">
        <f t="shared" si="60"/>
        <v>1719.87354</v>
      </c>
    </row>
    <row r="3848" spans="1:4">
      <c r="A3848" s="122">
        <v>37448</v>
      </c>
      <c r="B3848" s="24">
        <v>0.55769999999999997</v>
      </c>
      <c r="C3848" s="24">
        <v>3080.2</v>
      </c>
      <c r="D3848" s="47">
        <f t="shared" si="60"/>
        <v>1717.8275399999998</v>
      </c>
    </row>
    <row r="3849" spans="1:4">
      <c r="A3849" s="122">
        <v>37447</v>
      </c>
      <c r="B3849" s="24">
        <v>0.56540000000000001</v>
      </c>
      <c r="C3849" s="24">
        <v>3064.6</v>
      </c>
      <c r="D3849" s="47">
        <f t="shared" si="60"/>
        <v>1732.7248400000001</v>
      </c>
    </row>
    <row r="3850" spans="1:4">
      <c r="A3850" s="122">
        <v>37446</v>
      </c>
      <c r="B3850" s="24">
        <v>0.56830000000000003</v>
      </c>
      <c r="C3850" s="24">
        <v>3051.4</v>
      </c>
      <c r="D3850" s="47">
        <f t="shared" si="60"/>
        <v>1734.1106200000002</v>
      </c>
    </row>
    <row r="3851" spans="1:4">
      <c r="A3851" s="122">
        <v>37445</v>
      </c>
      <c r="B3851" s="24">
        <v>0.56469999999999998</v>
      </c>
      <c r="C3851" s="24">
        <v>3048.7</v>
      </c>
      <c r="D3851" s="47">
        <f t="shared" si="60"/>
        <v>1721.6008899999999</v>
      </c>
    </row>
    <row r="3852" spans="1:4">
      <c r="A3852" s="122">
        <v>37442</v>
      </c>
      <c r="B3852" s="24">
        <v>0.55659999999999998</v>
      </c>
      <c r="C3852" s="24">
        <v>3069.7</v>
      </c>
      <c r="D3852" s="47">
        <f t="shared" si="60"/>
        <v>1708.5950199999997</v>
      </c>
    </row>
    <row r="3853" spans="1:4">
      <c r="A3853" s="122">
        <v>37441</v>
      </c>
      <c r="B3853" s="24">
        <v>0.55610000000000004</v>
      </c>
      <c r="C3853" s="24">
        <v>3073.4</v>
      </c>
      <c r="D3853" s="47">
        <f t="shared" si="60"/>
        <v>1709.1177400000001</v>
      </c>
    </row>
    <row r="3854" spans="1:4">
      <c r="A3854" s="122">
        <v>37440</v>
      </c>
      <c r="B3854" s="24">
        <v>0.56000000000000005</v>
      </c>
      <c r="C3854" s="24">
        <v>3112.5</v>
      </c>
      <c r="D3854" s="47">
        <f t="shared" si="60"/>
        <v>1743.0000000000002</v>
      </c>
    </row>
    <row r="3855" spans="1:4">
      <c r="A3855" s="122">
        <v>37439</v>
      </c>
      <c r="B3855" s="24">
        <v>0.5645</v>
      </c>
      <c r="C3855" s="24">
        <v>3080.5</v>
      </c>
      <c r="D3855" s="47">
        <f t="shared" si="60"/>
        <v>1738.9422500000001</v>
      </c>
    </row>
    <row r="3856" spans="1:4">
      <c r="A3856" s="122">
        <v>37438</v>
      </c>
      <c r="B3856" s="24">
        <v>0.56169999999999998</v>
      </c>
      <c r="C3856" s="24">
        <v>3128</v>
      </c>
      <c r="D3856" s="47">
        <f t="shared" si="60"/>
        <v>1756.9975999999999</v>
      </c>
    </row>
    <row r="3857" spans="1:4">
      <c r="A3857" s="122">
        <v>37435</v>
      </c>
      <c r="B3857" s="24">
        <v>0.5635</v>
      </c>
      <c r="C3857" s="24">
        <v>3121.5</v>
      </c>
      <c r="D3857" s="47">
        <f t="shared" si="60"/>
        <v>1758.96525</v>
      </c>
    </row>
    <row r="3858" spans="1:4">
      <c r="A3858" s="122">
        <v>37434</v>
      </c>
      <c r="B3858" s="24">
        <v>0.56240000000000001</v>
      </c>
      <c r="C3858" s="24">
        <v>3115.4</v>
      </c>
      <c r="D3858" s="47">
        <f t="shared" si="60"/>
        <v>1752.10096</v>
      </c>
    </row>
    <row r="3859" spans="1:4">
      <c r="A3859" s="122">
        <v>37433</v>
      </c>
      <c r="B3859" s="24">
        <v>0.55989999999999995</v>
      </c>
      <c r="C3859" s="24">
        <v>3078.9</v>
      </c>
      <c r="D3859" s="47">
        <f t="shared" si="60"/>
        <v>1723.8761099999999</v>
      </c>
    </row>
    <row r="3860" spans="1:4">
      <c r="A3860" s="122">
        <v>37432</v>
      </c>
      <c r="B3860" s="24">
        <v>0.5716</v>
      </c>
      <c r="C3860" s="24">
        <v>3088.4</v>
      </c>
      <c r="D3860" s="47">
        <f t="shared" si="60"/>
        <v>1765.32944</v>
      </c>
    </row>
    <row r="3861" spans="1:4">
      <c r="A3861" s="122">
        <v>37431</v>
      </c>
      <c r="B3861" s="24">
        <v>0.56950000000000001</v>
      </c>
      <c r="C3861" s="24">
        <v>3160.8</v>
      </c>
      <c r="D3861" s="47">
        <f t="shared" si="60"/>
        <v>1800.0756000000001</v>
      </c>
    </row>
    <row r="3862" spans="1:4">
      <c r="A3862" s="122">
        <v>37428</v>
      </c>
      <c r="B3862" s="24">
        <v>0.57389999999999997</v>
      </c>
      <c r="C3862" s="24">
        <v>3084</v>
      </c>
      <c r="D3862" s="47">
        <f t="shared" si="60"/>
        <v>1769.9076</v>
      </c>
    </row>
    <row r="3863" spans="1:4">
      <c r="A3863" s="122">
        <v>37427</v>
      </c>
      <c r="B3863" s="24">
        <v>0.57220000000000004</v>
      </c>
      <c r="C3863" s="24">
        <v>3023.4</v>
      </c>
      <c r="D3863" s="47">
        <f t="shared" si="60"/>
        <v>1729.9894800000002</v>
      </c>
    </row>
    <row r="3864" spans="1:4">
      <c r="A3864" s="122">
        <v>37426</v>
      </c>
      <c r="B3864" s="24">
        <v>0.56469999999999998</v>
      </c>
      <c r="C3864" s="24">
        <v>2999.3</v>
      </c>
      <c r="D3864" s="47">
        <f t="shared" si="60"/>
        <v>1693.70471</v>
      </c>
    </row>
    <row r="3865" spans="1:4">
      <c r="A3865" s="122">
        <v>37425</v>
      </c>
      <c r="B3865" s="24">
        <v>0.56569999999999998</v>
      </c>
      <c r="C3865" s="24">
        <v>3018.7</v>
      </c>
      <c r="D3865" s="47">
        <f t="shared" si="60"/>
        <v>1707.6785899999998</v>
      </c>
    </row>
    <row r="3866" spans="1:4">
      <c r="A3866" s="122">
        <v>37424</v>
      </c>
      <c r="B3866" s="24">
        <v>0.5585</v>
      </c>
      <c r="C3866" s="24">
        <v>3093.7</v>
      </c>
      <c r="D3866" s="47">
        <f t="shared" si="60"/>
        <v>1727.8314499999999</v>
      </c>
    </row>
    <row r="3867" spans="1:4">
      <c r="A3867" s="122">
        <v>37421</v>
      </c>
      <c r="B3867" s="24">
        <v>0.56040000000000001</v>
      </c>
      <c r="C3867" s="24">
        <v>3117.7</v>
      </c>
      <c r="D3867" s="47">
        <f t="shared" si="60"/>
        <v>1747.1590799999999</v>
      </c>
    </row>
    <row r="3868" spans="1:4">
      <c r="A3868" s="122">
        <v>37420</v>
      </c>
      <c r="B3868" s="24">
        <v>0.56669999999999998</v>
      </c>
      <c r="C3868" s="24">
        <v>3104.9</v>
      </c>
      <c r="D3868" s="47">
        <f t="shared" si="60"/>
        <v>1759.54683</v>
      </c>
    </row>
    <row r="3869" spans="1:4">
      <c r="A3869" s="122">
        <v>37419</v>
      </c>
      <c r="B3869" s="24">
        <v>0.57020000000000004</v>
      </c>
      <c r="C3869" s="24">
        <v>3099.9</v>
      </c>
      <c r="D3869" s="47">
        <f t="shared" si="60"/>
        <v>1767.5629800000002</v>
      </c>
    </row>
    <row r="3870" spans="1:4">
      <c r="A3870" s="122">
        <v>37418</v>
      </c>
      <c r="B3870" s="24">
        <v>0.56869999999999998</v>
      </c>
      <c r="C3870" s="24">
        <v>3082</v>
      </c>
      <c r="D3870" s="47">
        <f t="shared" si="60"/>
        <v>1752.7333999999998</v>
      </c>
    </row>
    <row r="3871" spans="1:4">
      <c r="A3871" s="122">
        <v>37417</v>
      </c>
      <c r="B3871" s="24">
        <v>0.5706</v>
      </c>
      <c r="C3871" s="24">
        <v>3102.6</v>
      </c>
      <c r="D3871" s="47">
        <f t="shared" si="60"/>
        <v>1770.34356</v>
      </c>
    </row>
    <row r="3872" spans="1:4">
      <c r="A3872" s="122">
        <v>37414</v>
      </c>
      <c r="B3872" s="24">
        <v>0.57179999999999997</v>
      </c>
      <c r="C3872" s="24">
        <v>3072.2</v>
      </c>
      <c r="D3872" s="47">
        <f t="shared" si="60"/>
        <v>1756.6839599999998</v>
      </c>
    </row>
    <row r="3873" spans="1:4">
      <c r="A3873" s="122">
        <v>37413</v>
      </c>
      <c r="B3873" s="24">
        <v>0.57579999999999998</v>
      </c>
      <c r="C3873" s="24">
        <v>3101.7</v>
      </c>
      <c r="D3873" s="47">
        <f t="shared" si="60"/>
        <v>1785.9588599999997</v>
      </c>
    </row>
    <row r="3874" spans="1:4">
      <c r="A3874" s="122">
        <v>37412</v>
      </c>
      <c r="B3874" s="24">
        <v>0.57369999999999999</v>
      </c>
      <c r="C3874" s="24">
        <v>3102.6</v>
      </c>
      <c r="D3874" s="47">
        <f t="shared" si="60"/>
        <v>1779.9616199999998</v>
      </c>
    </row>
    <row r="3875" spans="1:4">
      <c r="A3875" s="122">
        <v>37411</v>
      </c>
      <c r="B3875" s="24">
        <v>0.57240000000000002</v>
      </c>
      <c r="C3875" s="24">
        <v>3090</v>
      </c>
      <c r="D3875" s="47">
        <f t="shared" si="60"/>
        <v>1768.7160000000001</v>
      </c>
    </row>
    <row r="3876" spans="1:4">
      <c r="A3876" s="122">
        <v>37410</v>
      </c>
      <c r="B3876" s="24">
        <v>0.57130000000000003</v>
      </c>
      <c r="C3876" s="24">
        <v>3071</v>
      </c>
      <c r="D3876" s="47">
        <f t="shared" si="60"/>
        <v>1754.4623000000001</v>
      </c>
    </row>
    <row r="3877" spans="1:4">
      <c r="A3877" s="122">
        <v>37407</v>
      </c>
      <c r="B3877" s="24">
        <v>0.56769999999999998</v>
      </c>
      <c r="C3877" s="24">
        <v>3058.7</v>
      </c>
      <c r="D3877" s="47">
        <f t="shared" si="60"/>
        <v>1736.4239899999998</v>
      </c>
    </row>
    <row r="3878" spans="1:4">
      <c r="A3878" s="122">
        <v>37406</v>
      </c>
      <c r="B3878" s="24">
        <v>0.56459999999999999</v>
      </c>
      <c r="C3878" s="24">
        <v>3054.1</v>
      </c>
      <c r="D3878" s="47">
        <f t="shared" si="60"/>
        <v>1724.3448599999999</v>
      </c>
    </row>
    <row r="3879" spans="1:4">
      <c r="A3879" s="122">
        <v>37405</v>
      </c>
      <c r="B3879" s="24">
        <v>0.56379999999999997</v>
      </c>
      <c r="C3879" s="24">
        <v>3067.7</v>
      </c>
      <c r="D3879" s="47">
        <f t="shared" si="60"/>
        <v>1729.5692599999998</v>
      </c>
    </row>
    <row r="3880" spans="1:4">
      <c r="A3880" s="122">
        <v>37404</v>
      </c>
      <c r="B3880" s="24">
        <v>0.56179999999999997</v>
      </c>
      <c r="C3880" s="24">
        <v>3083.6</v>
      </c>
      <c r="D3880" s="47">
        <f t="shared" si="60"/>
        <v>1732.3664799999999</v>
      </c>
    </row>
    <row r="3881" spans="1:4">
      <c r="A3881" s="122">
        <v>37403</v>
      </c>
      <c r="B3881" s="24">
        <v>0.55740000000000001</v>
      </c>
      <c r="C3881" s="24">
        <v>3053</v>
      </c>
      <c r="D3881" s="47">
        <f t="shared" si="60"/>
        <v>1701.7421999999999</v>
      </c>
    </row>
    <row r="3882" spans="1:4">
      <c r="A3882" s="122">
        <v>37400</v>
      </c>
      <c r="B3882" s="24">
        <v>0.55679999999999996</v>
      </c>
      <c r="C3882" s="24">
        <v>3048.3</v>
      </c>
      <c r="D3882" s="47">
        <f t="shared" si="60"/>
        <v>1697.2934399999999</v>
      </c>
    </row>
    <row r="3883" spans="1:4">
      <c r="A3883" s="122">
        <v>37399</v>
      </c>
      <c r="B3883" s="24">
        <v>0.55689999999999995</v>
      </c>
      <c r="C3883" s="24">
        <v>3077.5</v>
      </c>
      <c r="D3883" s="47">
        <f t="shared" si="60"/>
        <v>1713.8597499999998</v>
      </c>
    </row>
    <row r="3884" spans="1:4">
      <c r="A3884" s="122">
        <v>37398</v>
      </c>
      <c r="B3884" s="24">
        <v>0.56030000000000002</v>
      </c>
      <c r="C3884" s="24">
        <v>3039.5</v>
      </c>
      <c r="D3884" s="47">
        <f t="shared" si="60"/>
        <v>1703.0318500000001</v>
      </c>
    </row>
    <row r="3885" spans="1:4">
      <c r="A3885" s="122">
        <v>37397</v>
      </c>
      <c r="B3885" s="24">
        <v>0.55679999999999996</v>
      </c>
      <c r="C3885" s="24">
        <v>3018.1</v>
      </c>
      <c r="D3885" s="47">
        <f t="shared" si="60"/>
        <v>1680.4780799999999</v>
      </c>
    </row>
    <row r="3886" spans="1:4">
      <c r="A3886" s="122">
        <v>37396</v>
      </c>
      <c r="B3886" s="24">
        <v>0.55510000000000004</v>
      </c>
      <c r="C3886" s="24">
        <v>2976.3</v>
      </c>
      <c r="D3886" s="47">
        <f t="shared" si="60"/>
        <v>1652.1441300000001</v>
      </c>
    </row>
    <row r="3887" spans="1:4">
      <c r="A3887" s="122">
        <v>37393</v>
      </c>
      <c r="B3887" s="24">
        <v>0.55259999999999998</v>
      </c>
      <c r="C3887" s="24">
        <v>2970.3</v>
      </c>
      <c r="D3887" s="47">
        <f t="shared" si="60"/>
        <v>1641.38778</v>
      </c>
    </row>
    <row r="3888" spans="1:4">
      <c r="A3888" s="122">
        <v>37392</v>
      </c>
      <c r="B3888" s="24">
        <v>0.54910000000000003</v>
      </c>
      <c r="C3888" s="24">
        <v>2996.8</v>
      </c>
      <c r="D3888" s="47">
        <f t="shared" si="60"/>
        <v>1645.5428800000002</v>
      </c>
    </row>
    <row r="3889" spans="1:4">
      <c r="A3889" s="122">
        <v>37391</v>
      </c>
      <c r="B3889" s="24">
        <v>0.54920000000000002</v>
      </c>
      <c r="C3889" s="24">
        <v>2995.4</v>
      </c>
      <c r="D3889" s="47">
        <f t="shared" si="60"/>
        <v>1645.0736800000002</v>
      </c>
    </row>
    <row r="3890" spans="1:4">
      <c r="A3890" s="122">
        <v>37390</v>
      </c>
      <c r="B3890" s="24">
        <v>0.54730000000000001</v>
      </c>
      <c r="C3890" s="24">
        <v>2979.8</v>
      </c>
      <c r="D3890" s="47">
        <f t="shared" si="60"/>
        <v>1630.8445400000001</v>
      </c>
    </row>
    <row r="3891" spans="1:4">
      <c r="A3891" s="122">
        <v>37389</v>
      </c>
      <c r="B3891" s="24">
        <v>0.54669999999999996</v>
      </c>
      <c r="C3891" s="24">
        <v>2972.6</v>
      </c>
      <c r="D3891" s="47">
        <f t="shared" si="60"/>
        <v>1625.1204199999997</v>
      </c>
    </row>
    <row r="3892" spans="1:4">
      <c r="A3892" s="122">
        <v>37386</v>
      </c>
      <c r="B3892" s="24">
        <v>0.54490000000000005</v>
      </c>
      <c r="C3892" s="24">
        <v>3000.2</v>
      </c>
      <c r="D3892" s="47">
        <f t="shared" si="60"/>
        <v>1634.80898</v>
      </c>
    </row>
    <row r="3893" spans="1:4">
      <c r="A3893" s="122">
        <v>37385</v>
      </c>
      <c r="B3893" s="24">
        <v>0.54420000000000002</v>
      </c>
      <c r="C3893" s="24">
        <v>3002</v>
      </c>
      <c r="D3893" s="47">
        <f t="shared" si="60"/>
        <v>1633.6884</v>
      </c>
    </row>
    <row r="3894" spans="1:4">
      <c r="A3894" s="122">
        <v>37384</v>
      </c>
      <c r="B3894" s="24">
        <v>0.5393</v>
      </c>
      <c r="C3894" s="24">
        <v>3021.4</v>
      </c>
      <c r="D3894" s="47">
        <f t="shared" si="60"/>
        <v>1629.44102</v>
      </c>
    </row>
    <row r="3895" spans="1:4">
      <c r="A3895" s="122">
        <v>37383</v>
      </c>
      <c r="B3895" s="24">
        <v>0.53920000000000001</v>
      </c>
      <c r="C3895" s="24">
        <v>3000.6</v>
      </c>
      <c r="D3895" s="47">
        <f t="shared" si="60"/>
        <v>1617.9235200000001</v>
      </c>
    </row>
    <row r="3896" spans="1:4">
      <c r="A3896" s="122">
        <v>37382</v>
      </c>
      <c r="B3896" s="24">
        <v>0.53969999999999996</v>
      </c>
      <c r="C3896" s="24">
        <v>2979.1</v>
      </c>
      <c r="D3896" s="47">
        <f t="shared" si="60"/>
        <v>1607.8202699999999</v>
      </c>
    </row>
    <row r="3897" spans="1:4">
      <c r="A3897" s="122">
        <v>37379</v>
      </c>
      <c r="B3897" s="24">
        <v>0.53969999999999996</v>
      </c>
      <c r="C3897" s="24">
        <v>2950.4</v>
      </c>
      <c r="D3897" s="47">
        <f t="shared" si="60"/>
        <v>1592.33088</v>
      </c>
    </row>
    <row r="3898" spans="1:4">
      <c r="A3898" s="122">
        <v>37378</v>
      </c>
      <c r="B3898" s="24">
        <v>0.53549999999999998</v>
      </c>
      <c r="C3898" s="24">
        <v>2956.2</v>
      </c>
      <c r="D3898" s="47">
        <f t="shared" si="60"/>
        <v>1583.0450999999998</v>
      </c>
    </row>
    <row r="3899" spans="1:4">
      <c r="A3899" s="122">
        <v>37377</v>
      </c>
      <c r="B3899" s="24">
        <v>0.53959999999999997</v>
      </c>
      <c r="C3899" s="24">
        <v>2954.8</v>
      </c>
      <c r="D3899" s="47">
        <f t="shared" si="60"/>
        <v>1594.4100800000001</v>
      </c>
    </row>
    <row r="3900" spans="1:4">
      <c r="A3900" s="122">
        <v>37376</v>
      </c>
      <c r="B3900" s="24">
        <v>0.53849999999999998</v>
      </c>
      <c r="C3900" s="24">
        <v>2926.7</v>
      </c>
      <c r="D3900" s="47">
        <f t="shared" si="60"/>
        <v>1576.0279499999999</v>
      </c>
    </row>
    <row r="3901" spans="1:4">
      <c r="A3901" s="122">
        <v>37375</v>
      </c>
      <c r="B3901" s="24">
        <v>0.53869999999999996</v>
      </c>
      <c r="C3901" s="24">
        <v>2883.6</v>
      </c>
      <c r="D3901" s="47">
        <f t="shared" si="60"/>
        <v>1553.3953199999999</v>
      </c>
    </row>
    <row r="3902" spans="1:4">
      <c r="A3902" s="122">
        <v>37372</v>
      </c>
      <c r="B3902" s="24">
        <v>0.54369999999999996</v>
      </c>
      <c r="C3902" s="24">
        <v>2843.1</v>
      </c>
      <c r="D3902" s="47">
        <f t="shared" si="60"/>
        <v>1545.7934699999998</v>
      </c>
    </row>
    <row r="3903" spans="1:4">
      <c r="A3903" s="122">
        <v>37371</v>
      </c>
      <c r="B3903" s="24">
        <v>0.54349999999999998</v>
      </c>
      <c r="C3903" s="24">
        <v>2833.2</v>
      </c>
      <c r="D3903" s="47">
        <f t="shared" si="60"/>
        <v>1539.8441999999998</v>
      </c>
    </row>
    <row r="3904" spans="1:4">
      <c r="A3904" s="122">
        <v>37370</v>
      </c>
      <c r="B3904" s="24">
        <v>0.54279999999999995</v>
      </c>
      <c r="C3904" s="24">
        <v>2864.6</v>
      </c>
      <c r="D3904" s="47">
        <f t="shared" si="60"/>
        <v>1554.9048799999998</v>
      </c>
    </row>
    <row r="3905" spans="1:4">
      <c r="A3905" s="122">
        <v>37369</v>
      </c>
      <c r="B3905" s="24">
        <v>0.53810000000000002</v>
      </c>
      <c r="C3905" s="24">
        <v>2882</v>
      </c>
      <c r="D3905" s="47">
        <f t="shared" si="60"/>
        <v>1550.8042</v>
      </c>
    </row>
    <row r="3906" spans="1:4">
      <c r="A3906" s="122">
        <v>37368</v>
      </c>
      <c r="B3906" s="24">
        <v>0.54049999999999998</v>
      </c>
      <c r="C3906" s="24">
        <v>2872.8</v>
      </c>
      <c r="D3906" s="47">
        <f t="shared" si="60"/>
        <v>1552.7483999999999</v>
      </c>
    </row>
    <row r="3907" spans="1:4">
      <c r="A3907" s="122">
        <v>37365</v>
      </c>
      <c r="B3907" s="24">
        <v>0.53979999999999995</v>
      </c>
      <c r="C3907" s="24">
        <v>2849.8</v>
      </c>
      <c r="D3907" s="47">
        <f t="shared" ref="D3907:D3970" si="61">C3907*B3907</f>
        <v>1538.32204</v>
      </c>
    </row>
    <row r="3908" spans="1:4">
      <c r="A3908" s="122">
        <v>37364</v>
      </c>
      <c r="B3908" s="24">
        <v>0.53879999999999995</v>
      </c>
      <c r="C3908" s="24">
        <v>2834.3</v>
      </c>
      <c r="D3908" s="47">
        <f t="shared" si="61"/>
        <v>1527.12084</v>
      </c>
    </row>
    <row r="3909" spans="1:4">
      <c r="A3909" s="122">
        <v>37363</v>
      </c>
      <c r="B3909" s="24">
        <v>0.53769999999999996</v>
      </c>
      <c r="C3909" s="24">
        <v>2821.4</v>
      </c>
      <c r="D3909" s="47">
        <f t="shared" si="61"/>
        <v>1517.0667799999999</v>
      </c>
    </row>
    <row r="3910" spans="1:4">
      <c r="A3910" s="122">
        <v>37362</v>
      </c>
      <c r="B3910" s="24">
        <v>0.53300000000000003</v>
      </c>
      <c r="C3910" s="24">
        <v>2790.9</v>
      </c>
      <c r="D3910" s="47">
        <f t="shared" si="61"/>
        <v>1487.5497</v>
      </c>
    </row>
    <row r="3911" spans="1:4">
      <c r="A3911" s="122">
        <v>37361</v>
      </c>
      <c r="B3911" s="24">
        <v>0.53120000000000001</v>
      </c>
      <c r="C3911" s="24">
        <v>2764.6</v>
      </c>
      <c r="D3911" s="47">
        <f t="shared" si="61"/>
        <v>1468.5555199999999</v>
      </c>
    </row>
    <row r="3912" spans="1:4">
      <c r="A3912" s="122">
        <v>37358</v>
      </c>
      <c r="B3912" s="24">
        <v>0.53490000000000004</v>
      </c>
      <c r="C3912" s="24">
        <v>2765</v>
      </c>
      <c r="D3912" s="47">
        <f t="shared" si="61"/>
        <v>1478.9985000000001</v>
      </c>
    </row>
    <row r="3913" spans="1:4">
      <c r="A3913" s="122">
        <v>37357</v>
      </c>
      <c r="B3913" s="24">
        <v>0.53500000000000003</v>
      </c>
      <c r="C3913" s="24">
        <v>2789.9</v>
      </c>
      <c r="D3913" s="47">
        <f t="shared" si="61"/>
        <v>1492.5965000000001</v>
      </c>
    </row>
    <row r="3914" spans="1:4">
      <c r="A3914" s="122">
        <v>37356</v>
      </c>
      <c r="B3914" s="24">
        <v>0.53090000000000004</v>
      </c>
      <c r="C3914" s="24">
        <v>2774.6</v>
      </c>
      <c r="D3914" s="47">
        <f t="shared" si="61"/>
        <v>1473.03514</v>
      </c>
    </row>
    <row r="3915" spans="1:4">
      <c r="A3915" s="122">
        <v>37355</v>
      </c>
      <c r="B3915" s="24">
        <v>0.52800000000000002</v>
      </c>
      <c r="C3915" s="24">
        <v>2768</v>
      </c>
      <c r="D3915" s="47">
        <f t="shared" si="61"/>
        <v>1461.5040000000001</v>
      </c>
    </row>
    <row r="3916" spans="1:4">
      <c r="A3916" s="122">
        <v>37354</v>
      </c>
      <c r="B3916" s="24">
        <v>0.52729999999999999</v>
      </c>
      <c r="C3916" s="24">
        <v>2763.4</v>
      </c>
      <c r="D3916" s="47">
        <f t="shared" si="61"/>
        <v>1457.1408200000001</v>
      </c>
    </row>
    <row r="3917" spans="1:4">
      <c r="A3917" s="122">
        <v>37351</v>
      </c>
      <c r="B3917" s="24">
        <v>0.53049999999999997</v>
      </c>
      <c r="C3917" s="24">
        <v>2722.3</v>
      </c>
      <c r="D3917" s="47">
        <f t="shared" si="61"/>
        <v>1444.1801499999999</v>
      </c>
    </row>
    <row r="3918" spans="1:4">
      <c r="A3918" s="122">
        <v>37350</v>
      </c>
      <c r="B3918" s="24">
        <v>0.53110000000000002</v>
      </c>
      <c r="C3918" s="24">
        <v>2740.7</v>
      </c>
      <c r="D3918" s="47">
        <f t="shared" si="61"/>
        <v>1455.5857699999999</v>
      </c>
    </row>
    <row r="3919" spans="1:4">
      <c r="A3919" s="122">
        <v>37349</v>
      </c>
      <c r="B3919" s="24">
        <v>0.53220000000000001</v>
      </c>
      <c r="C3919" s="24">
        <v>2801.7</v>
      </c>
      <c r="D3919" s="47">
        <f t="shared" si="61"/>
        <v>1491.06474</v>
      </c>
    </row>
    <row r="3920" spans="1:4">
      <c r="A3920" s="122">
        <v>37348</v>
      </c>
      <c r="B3920" s="24">
        <v>0.53480000000000005</v>
      </c>
      <c r="C3920" s="24">
        <v>2841.2</v>
      </c>
      <c r="D3920" s="47">
        <f t="shared" si="61"/>
        <v>1519.4737600000001</v>
      </c>
    </row>
    <row r="3921" spans="1:4">
      <c r="A3921" s="122">
        <v>37347</v>
      </c>
      <c r="B3921" s="24">
        <v>0.53400000000000003</v>
      </c>
      <c r="C3921" s="24">
        <v>2845.1</v>
      </c>
      <c r="D3921" s="47">
        <f t="shared" si="61"/>
        <v>1519.2834</v>
      </c>
    </row>
    <row r="3922" spans="1:4">
      <c r="A3922" s="122">
        <v>37344</v>
      </c>
      <c r="B3922" s="24">
        <v>0.53339999999999999</v>
      </c>
      <c r="C3922" s="24">
        <v>2871.1</v>
      </c>
      <c r="D3922" s="47">
        <f t="shared" si="61"/>
        <v>1531.4447399999999</v>
      </c>
    </row>
    <row r="3923" spans="1:4">
      <c r="A3923" s="122">
        <v>37343</v>
      </c>
      <c r="B3923" s="24">
        <v>0.53390000000000004</v>
      </c>
      <c r="C3923" s="24">
        <v>2865</v>
      </c>
      <c r="D3923" s="47">
        <f t="shared" si="61"/>
        <v>1529.6235000000001</v>
      </c>
    </row>
    <row r="3924" spans="1:4">
      <c r="A3924" s="122">
        <v>37342</v>
      </c>
      <c r="B3924" s="24">
        <v>0.52769999999999995</v>
      </c>
      <c r="C3924" s="24">
        <v>2837.2</v>
      </c>
      <c r="D3924" s="47">
        <f t="shared" si="61"/>
        <v>1497.1904399999999</v>
      </c>
    </row>
    <row r="3925" spans="1:4">
      <c r="A3925" s="122">
        <v>37341</v>
      </c>
      <c r="B3925" s="24">
        <v>0.52700000000000002</v>
      </c>
      <c r="C3925" s="24">
        <v>2851.6</v>
      </c>
      <c r="D3925" s="47">
        <f t="shared" si="61"/>
        <v>1502.7932000000001</v>
      </c>
    </row>
    <row r="3926" spans="1:4">
      <c r="A3926" s="122">
        <v>37340</v>
      </c>
      <c r="B3926" s="24">
        <v>0.5302</v>
      </c>
      <c r="C3926" s="24">
        <v>2836.7</v>
      </c>
      <c r="D3926" s="47">
        <f t="shared" si="61"/>
        <v>1504.0183399999999</v>
      </c>
    </row>
    <row r="3927" spans="1:4">
      <c r="A3927" s="122">
        <v>37337</v>
      </c>
      <c r="B3927" s="24">
        <v>0.53059999999999996</v>
      </c>
      <c r="C3927" s="24">
        <v>2854.6</v>
      </c>
      <c r="D3927" s="47">
        <f t="shared" si="61"/>
        <v>1514.6507599999998</v>
      </c>
    </row>
    <row r="3928" spans="1:4">
      <c r="A3928" s="122">
        <v>37336</v>
      </c>
      <c r="B3928" s="24">
        <v>0.53010000000000002</v>
      </c>
      <c r="C3928" s="24">
        <v>2831.8</v>
      </c>
      <c r="D3928" s="47">
        <f t="shared" si="61"/>
        <v>1501.1371800000002</v>
      </c>
    </row>
    <row r="3929" spans="1:4">
      <c r="A3929" s="122">
        <v>37335</v>
      </c>
      <c r="B3929" s="24">
        <v>0.52990000000000004</v>
      </c>
      <c r="C3929" s="24">
        <v>2848.8</v>
      </c>
      <c r="D3929" s="47">
        <f t="shared" si="61"/>
        <v>1509.5791200000001</v>
      </c>
    </row>
    <row r="3930" spans="1:4">
      <c r="A3930" s="122">
        <v>37334</v>
      </c>
      <c r="B3930" s="24">
        <v>0.52310000000000001</v>
      </c>
      <c r="C3930" s="24">
        <v>2817</v>
      </c>
      <c r="D3930" s="47">
        <f t="shared" si="61"/>
        <v>1473.5726999999999</v>
      </c>
    </row>
    <row r="3931" spans="1:4">
      <c r="A3931" s="122">
        <v>37333</v>
      </c>
      <c r="B3931" s="24">
        <v>0.52549999999999997</v>
      </c>
      <c r="C3931" s="24">
        <v>2834.9</v>
      </c>
      <c r="D3931" s="47">
        <f t="shared" si="61"/>
        <v>1489.7399499999999</v>
      </c>
    </row>
    <row r="3932" spans="1:4">
      <c r="A3932" s="122">
        <v>37330</v>
      </c>
      <c r="B3932" s="24">
        <v>0.52549999999999997</v>
      </c>
      <c r="C3932" s="24">
        <v>2857.7</v>
      </c>
      <c r="D3932" s="47">
        <f t="shared" si="61"/>
        <v>1501.7213499999998</v>
      </c>
    </row>
    <row r="3933" spans="1:4">
      <c r="A3933" s="122">
        <v>37329</v>
      </c>
      <c r="B3933" s="24">
        <v>0.52400000000000002</v>
      </c>
      <c r="C3933" s="24">
        <v>2844</v>
      </c>
      <c r="D3933" s="47">
        <f t="shared" si="61"/>
        <v>1490.2560000000001</v>
      </c>
    </row>
    <row r="3934" spans="1:4">
      <c r="A3934" s="122">
        <v>37328</v>
      </c>
      <c r="B3934" s="24">
        <v>0.51959999999999995</v>
      </c>
      <c r="C3934" s="24">
        <v>2821.8</v>
      </c>
      <c r="D3934" s="47">
        <f t="shared" si="61"/>
        <v>1466.2072799999999</v>
      </c>
    </row>
    <row r="3935" spans="1:4">
      <c r="A3935" s="122">
        <v>37327</v>
      </c>
      <c r="B3935" s="24">
        <v>0.52059999999999995</v>
      </c>
      <c r="C3935" s="24">
        <v>2853.8</v>
      </c>
      <c r="D3935" s="47">
        <f t="shared" si="61"/>
        <v>1485.6882799999998</v>
      </c>
    </row>
    <row r="3936" spans="1:4">
      <c r="A3936" s="122">
        <v>37326</v>
      </c>
      <c r="B3936" s="24">
        <v>0.52170000000000005</v>
      </c>
      <c r="C3936" s="24">
        <v>2828.2</v>
      </c>
      <c r="D3936" s="47">
        <f t="shared" si="61"/>
        <v>1475.4719400000001</v>
      </c>
    </row>
    <row r="3937" spans="1:4">
      <c r="A3937" s="122">
        <v>37323</v>
      </c>
      <c r="B3937" s="24">
        <v>0.5232</v>
      </c>
      <c r="C3937" s="24">
        <v>2826.8</v>
      </c>
      <c r="D3937" s="47">
        <f t="shared" si="61"/>
        <v>1478.9817600000001</v>
      </c>
    </row>
    <row r="3938" spans="1:4">
      <c r="A3938" s="122">
        <v>37322</v>
      </c>
      <c r="B3938" s="24">
        <v>0.52529999999999999</v>
      </c>
      <c r="C3938" s="24">
        <v>2836.6</v>
      </c>
      <c r="D3938" s="47">
        <f t="shared" si="61"/>
        <v>1490.0659799999999</v>
      </c>
    </row>
    <row r="3939" spans="1:4">
      <c r="A3939" s="122">
        <v>37321</v>
      </c>
      <c r="B3939" s="24">
        <v>0.52249999999999996</v>
      </c>
      <c r="C3939" s="24">
        <v>2842</v>
      </c>
      <c r="D3939" s="47">
        <f t="shared" si="61"/>
        <v>1484.9449999999999</v>
      </c>
    </row>
    <row r="3940" spans="1:4">
      <c r="A3940" s="122">
        <v>37320</v>
      </c>
      <c r="B3940" s="24">
        <v>0.52049999999999996</v>
      </c>
      <c r="C3940" s="24">
        <v>2832.1</v>
      </c>
      <c r="D3940" s="47">
        <f t="shared" si="61"/>
        <v>1474.1080499999998</v>
      </c>
    </row>
    <row r="3941" spans="1:4">
      <c r="A3941" s="122">
        <v>37319</v>
      </c>
      <c r="B3941" s="24">
        <v>0.52049999999999996</v>
      </c>
      <c r="C3941" s="24">
        <v>2864.2</v>
      </c>
      <c r="D3941" s="47">
        <f t="shared" si="61"/>
        <v>1490.8160999999998</v>
      </c>
    </row>
    <row r="3942" spans="1:4">
      <c r="A3942" s="122">
        <v>37316</v>
      </c>
      <c r="B3942" s="24">
        <v>0.51959999999999995</v>
      </c>
      <c r="C3942" s="24">
        <v>2904.9</v>
      </c>
      <c r="D3942" s="47">
        <f t="shared" si="61"/>
        <v>1509.3860399999999</v>
      </c>
    </row>
    <row r="3943" spans="1:4">
      <c r="A3943" s="122">
        <v>37315</v>
      </c>
      <c r="B3943" s="24">
        <v>0.51670000000000005</v>
      </c>
      <c r="C3943" s="24">
        <v>2909.4</v>
      </c>
      <c r="D3943" s="47">
        <f t="shared" si="61"/>
        <v>1503.2869800000001</v>
      </c>
    </row>
    <row r="3944" spans="1:4">
      <c r="A3944" s="122">
        <v>37314</v>
      </c>
      <c r="B3944" s="24">
        <v>0.51529999999999998</v>
      </c>
      <c r="C3944" s="24">
        <v>2936.6</v>
      </c>
      <c r="D3944" s="47">
        <f t="shared" si="61"/>
        <v>1513.2299799999998</v>
      </c>
    </row>
    <row r="3945" spans="1:4">
      <c r="A3945" s="122">
        <v>37313</v>
      </c>
      <c r="B3945" s="24">
        <v>0.51359999999999995</v>
      </c>
      <c r="C3945" s="24">
        <v>2939.9</v>
      </c>
      <c r="D3945" s="47">
        <f t="shared" si="61"/>
        <v>1509.93264</v>
      </c>
    </row>
    <row r="3946" spans="1:4">
      <c r="A3946" s="122">
        <v>37312</v>
      </c>
      <c r="B3946" s="24">
        <v>0.51380000000000003</v>
      </c>
      <c r="C3946" s="24">
        <v>2928.7</v>
      </c>
      <c r="D3946" s="47">
        <f t="shared" si="61"/>
        <v>1504.7660599999999</v>
      </c>
    </row>
    <row r="3947" spans="1:4">
      <c r="A3947" s="122">
        <v>37309</v>
      </c>
      <c r="B3947" s="24">
        <v>0.51290000000000002</v>
      </c>
      <c r="C3947" s="24">
        <v>2921.3</v>
      </c>
      <c r="D3947" s="47">
        <f t="shared" si="61"/>
        <v>1498.3347700000002</v>
      </c>
    </row>
    <row r="3948" spans="1:4">
      <c r="A3948" s="122">
        <v>37308</v>
      </c>
      <c r="B3948" s="24">
        <v>0.5171</v>
      </c>
      <c r="C3948" s="24">
        <v>2922.2</v>
      </c>
      <c r="D3948" s="47">
        <f t="shared" si="61"/>
        <v>1511.06962</v>
      </c>
    </row>
    <row r="3949" spans="1:4">
      <c r="A3949" s="122">
        <v>37307</v>
      </c>
      <c r="B3949" s="24">
        <v>0.51819999999999999</v>
      </c>
      <c r="C3949" s="24">
        <v>2887.3</v>
      </c>
      <c r="D3949" s="47">
        <f t="shared" si="61"/>
        <v>1496.19886</v>
      </c>
    </row>
    <row r="3950" spans="1:4">
      <c r="A3950" s="122">
        <v>37306</v>
      </c>
      <c r="B3950" s="24">
        <v>0.51829999999999998</v>
      </c>
      <c r="C3950" s="24">
        <v>2919.3</v>
      </c>
      <c r="D3950" s="47">
        <f t="shared" si="61"/>
        <v>1513.0731900000001</v>
      </c>
    </row>
    <row r="3951" spans="1:4">
      <c r="A3951" s="122">
        <v>37305</v>
      </c>
      <c r="B3951" s="24">
        <v>0.51829999999999998</v>
      </c>
      <c r="C3951" s="24">
        <v>2920.5</v>
      </c>
      <c r="D3951" s="47">
        <f t="shared" si="61"/>
        <v>1513.69515</v>
      </c>
    </row>
    <row r="3952" spans="1:4">
      <c r="A3952" s="122">
        <v>37302</v>
      </c>
      <c r="B3952" s="24">
        <v>0.5171</v>
      </c>
      <c r="C3952" s="24">
        <v>2875.7</v>
      </c>
      <c r="D3952" s="47">
        <f t="shared" si="61"/>
        <v>1487.0244699999998</v>
      </c>
    </row>
    <row r="3953" spans="1:4">
      <c r="A3953" s="122">
        <v>37301</v>
      </c>
      <c r="B3953" s="24">
        <v>0.51680000000000004</v>
      </c>
      <c r="C3953" s="24">
        <v>2917.5</v>
      </c>
      <c r="D3953" s="47">
        <f t="shared" si="61"/>
        <v>1507.7640000000001</v>
      </c>
    </row>
    <row r="3954" spans="1:4">
      <c r="A3954" s="122">
        <v>37300</v>
      </c>
      <c r="B3954" s="24">
        <v>0.50980000000000003</v>
      </c>
      <c r="C3954" s="24">
        <v>2945</v>
      </c>
      <c r="D3954" s="47">
        <f t="shared" si="61"/>
        <v>1501.3610000000001</v>
      </c>
    </row>
    <row r="3955" spans="1:4">
      <c r="A3955" s="122">
        <v>37299</v>
      </c>
      <c r="B3955" s="24">
        <v>0.50919999999999999</v>
      </c>
      <c r="C3955" s="24">
        <v>2970</v>
      </c>
      <c r="D3955" s="47">
        <f t="shared" si="61"/>
        <v>1512.3240000000001</v>
      </c>
    </row>
    <row r="3956" spans="1:4">
      <c r="A3956" s="122">
        <v>37298</v>
      </c>
      <c r="B3956" s="24">
        <v>0.51239999999999997</v>
      </c>
      <c r="C3956" s="24">
        <v>2957.7</v>
      </c>
      <c r="D3956" s="47">
        <f t="shared" si="61"/>
        <v>1515.5254799999998</v>
      </c>
    </row>
    <row r="3957" spans="1:4">
      <c r="A3957" s="122">
        <v>37295</v>
      </c>
      <c r="B3957" s="24">
        <v>0.51039999999999996</v>
      </c>
      <c r="C3957" s="24">
        <v>2980.8</v>
      </c>
      <c r="D3957" s="47">
        <f t="shared" si="61"/>
        <v>1521.40032</v>
      </c>
    </row>
    <row r="3958" spans="1:4">
      <c r="A3958" s="122">
        <v>37294</v>
      </c>
      <c r="B3958" s="24">
        <v>0.50919999999999999</v>
      </c>
      <c r="C3958" s="24">
        <v>2992.7</v>
      </c>
      <c r="D3958" s="47">
        <f t="shared" si="61"/>
        <v>1523.8828399999998</v>
      </c>
    </row>
    <row r="3959" spans="1:4">
      <c r="A3959" s="122">
        <v>37293</v>
      </c>
      <c r="B3959" s="24">
        <v>0.50829999999999997</v>
      </c>
      <c r="C3959" s="24">
        <v>2955.6</v>
      </c>
      <c r="D3959" s="47">
        <f t="shared" si="61"/>
        <v>1502.3314799999998</v>
      </c>
    </row>
    <row r="3960" spans="1:4">
      <c r="A3960" s="122">
        <v>37292</v>
      </c>
      <c r="B3960" s="24">
        <v>0.50919999999999999</v>
      </c>
      <c r="C3960" s="24">
        <v>2956</v>
      </c>
      <c r="D3960" s="47">
        <f t="shared" si="61"/>
        <v>1505.1951999999999</v>
      </c>
    </row>
    <row r="3961" spans="1:4">
      <c r="A3961" s="122">
        <v>37291</v>
      </c>
      <c r="B3961" s="24">
        <v>0.51080000000000003</v>
      </c>
      <c r="C3961" s="24">
        <v>2958.2</v>
      </c>
      <c r="D3961" s="47">
        <f t="shared" si="61"/>
        <v>1511.04856</v>
      </c>
    </row>
    <row r="3962" spans="1:4">
      <c r="A3962" s="122">
        <v>37288</v>
      </c>
      <c r="B3962" s="24">
        <v>0.50919999999999999</v>
      </c>
      <c r="C3962" s="24">
        <v>2922.6</v>
      </c>
      <c r="D3962" s="47">
        <f t="shared" si="61"/>
        <v>1488.1879199999998</v>
      </c>
    </row>
    <row r="3963" spans="1:4">
      <c r="A3963" s="122">
        <v>37287</v>
      </c>
      <c r="B3963" s="24">
        <v>0.50780000000000003</v>
      </c>
      <c r="C3963" s="24">
        <v>2954.5</v>
      </c>
      <c r="D3963" s="47">
        <f t="shared" si="61"/>
        <v>1500.2951</v>
      </c>
    </row>
    <row r="3964" spans="1:4">
      <c r="A3964" s="122">
        <v>37286</v>
      </c>
      <c r="B3964" s="24">
        <v>0.50670000000000004</v>
      </c>
      <c r="C3964" s="24">
        <v>2901.5</v>
      </c>
      <c r="D3964" s="47">
        <f t="shared" si="61"/>
        <v>1470.1900500000002</v>
      </c>
    </row>
    <row r="3965" spans="1:4">
      <c r="A3965" s="122">
        <v>37285</v>
      </c>
      <c r="B3965" s="24">
        <v>0.50939999999999996</v>
      </c>
      <c r="C3965" s="24">
        <v>2880</v>
      </c>
      <c r="D3965" s="47">
        <f t="shared" si="61"/>
        <v>1467.0719999999999</v>
      </c>
    </row>
    <row r="3966" spans="1:4">
      <c r="A3966" s="122">
        <v>37284</v>
      </c>
      <c r="B3966" s="24">
        <v>0.51580000000000004</v>
      </c>
      <c r="C3966" s="24">
        <v>2873.6</v>
      </c>
      <c r="D3966" s="47">
        <f t="shared" si="61"/>
        <v>1482.2028800000001</v>
      </c>
    </row>
    <row r="3967" spans="1:4">
      <c r="A3967" s="122">
        <v>37281</v>
      </c>
      <c r="B3967" s="24">
        <v>0.51619999999999999</v>
      </c>
      <c r="C3967" s="24">
        <v>2898.2</v>
      </c>
      <c r="D3967" s="47">
        <f t="shared" si="61"/>
        <v>1496.0508399999999</v>
      </c>
    </row>
    <row r="3968" spans="1:4">
      <c r="A3968" s="122">
        <v>37280</v>
      </c>
      <c r="B3968" s="24">
        <v>0.51939999999999997</v>
      </c>
      <c r="C3968" s="24">
        <v>2919.8</v>
      </c>
      <c r="D3968" s="47">
        <f t="shared" si="61"/>
        <v>1516.54412</v>
      </c>
    </row>
    <row r="3969" spans="1:4">
      <c r="A3969" s="122">
        <v>37279</v>
      </c>
      <c r="B3969" s="24">
        <v>0.51800000000000002</v>
      </c>
      <c r="C3969" s="24">
        <v>2946.6</v>
      </c>
      <c r="D3969" s="47">
        <f t="shared" si="61"/>
        <v>1526.3388</v>
      </c>
    </row>
    <row r="3970" spans="1:4">
      <c r="A3970" s="122">
        <v>37278</v>
      </c>
      <c r="B3970" s="24">
        <v>0.51910000000000001</v>
      </c>
      <c r="C3970" s="24">
        <v>2957.4</v>
      </c>
      <c r="D3970" s="47">
        <f t="shared" si="61"/>
        <v>1535.18634</v>
      </c>
    </row>
    <row r="3971" spans="1:4">
      <c r="A3971" s="122">
        <v>37277</v>
      </c>
      <c r="B3971" s="24">
        <v>0.51749999999999996</v>
      </c>
      <c r="C3971" s="24">
        <v>2940.6</v>
      </c>
      <c r="D3971" s="47">
        <f t="shared" ref="D3971:D4034" si="62">C3971*B3971</f>
        <v>1521.7604999999999</v>
      </c>
    </row>
    <row r="3972" spans="1:4">
      <c r="A3972" s="122">
        <v>37274</v>
      </c>
      <c r="B3972" s="24">
        <v>0.51449999999999996</v>
      </c>
      <c r="C3972" s="24">
        <v>2969.1</v>
      </c>
      <c r="D3972" s="47">
        <f t="shared" si="62"/>
        <v>1527.6019499999998</v>
      </c>
    </row>
    <row r="3973" spans="1:4">
      <c r="A3973" s="122">
        <v>37273</v>
      </c>
      <c r="B3973" s="24">
        <v>0.51459999999999995</v>
      </c>
      <c r="C3973" s="24">
        <v>2937.1</v>
      </c>
      <c r="D3973" s="47">
        <f t="shared" si="62"/>
        <v>1511.4316599999997</v>
      </c>
    </row>
    <row r="3974" spans="1:4">
      <c r="A3974" s="122">
        <v>37272</v>
      </c>
      <c r="B3974" s="24">
        <v>0.51519999999999999</v>
      </c>
      <c r="C3974" s="24">
        <v>2951</v>
      </c>
      <c r="D3974" s="47">
        <f t="shared" si="62"/>
        <v>1520.3552</v>
      </c>
    </row>
    <row r="3975" spans="1:4">
      <c r="A3975" s="122">
        <v>37271</v>
      </c>
      <c r="B3975" s="24">
        <v>0.51790000000000003</v>
      </c>
      <c r="C3975" s="24">
        <v>2989.2</v>
      </c>
      <c r="D3975" s="47">
        <f t="shared" si="62"/>
        <v>1548.1066800000001</v>
      </c>
    </row>
    <row r="3976" spans="1:4">
      <c r="A3976" s="122">
        <v>37270</v>
      </c>
      <c r="B3976" s="24">
        <v>0.51819999999999999</v>
      </c>
      <c r="C3976" s="24">
        <v>2988</v>
      </c>
      <c r="D3976" s="47">
        <f t="shared" si="62"/>
        <v>1548.3815999999999</v>
      </c>
    </row>
    <row r="3977" spans="1:4">
      <c r="A3977" s="122">
        <v>37267</v>
      </c>
      <c r="B3977" s="24">
        <v>0.52070000000000005</v>
      </c>
      <c r="C3977" s="24">
        <v>2981.8</v>
      </c>
      <c r="D3977" s="47">
        <f t="shared" si="62"/>
        <v>1552.6232600000003</v>
      </c>
    </row>
    <row r="3978" spans="1:4">
      <c r="A3978" s="122">
        <v>37266</v>
      </c>
      <c r="B3978" s="24">
        <v>0.52310000000000001</v>
      </c>
      <c r="C3978" s="24">
        <v>2977.2</v>
      </c>
      <c r="D3978" s="47">
        <f t="shared" si="62"/>
        <v>1557.3733199999999</v>
      </c>
    </row>
    <row r="3979" spans="1:4">
      <c r="A3979" s="122">
        <v>37265</v>
      </c>
      <c r="B3979" s="24">
        <v>0.52470000000000006</v>
      </c>
      <c r="C3979" s="24">
        <v>2994.7</v>
      </c>
      <c r="D3979" s="47">
        <f t="shared" si="62"/>
        <v>1571.31909</v>
      </c>
    </row>
    <row r="3980" spans="1:4">
      <c r="A3980" s="122">
        <v>37264</v>
      </c>
      <c r="B3980" s="24">
        <v>0.5242</v>
      </c>
      <c r="C3980" s="24">
        <v>3013.5</v>
      </c>
      <c r="D3980" s="47">
        <f t="shared" si="62"/>
        <v>1579.6767</v>
      </c>
    </row>
    <row r="3981" spans="1:4">
      <c r="A3981" s="122">
        <v>37263</v>
      </c>
      <c r="B3981" s="24">
        <v>0.51870000000000005</v>
      </c>
      <c r="C3981" s="24">
        <v>3040.8</v>
      </c>
      <c r="D3981" s="47">
        <f t="shared" si="62"/>
        <v>1577.2629600000002</v>
      </c>
    </row>
    <row r="3982" spans="1:4">
      <c r="A3982" s="122">
        <v>37260</v>
      </c>
      <c r="B3982" s="24">
        <v>0.52</v>
      </c>
      <c r="C3982" s="24">
        <v>3053.9</v>
      </c>
      <c r="D3982" s="47">
        <f t="shared" si="62"/>
        <v>1588.028</v>
      </c>
    </row>
    <row r="3983" spans="1:4">
      <c r="A3983" s="122">
        <v>37259</v>
      </c>
      <c r="B3983" s="24">
        <v>0.51439999999999997</v>
      </c>
      <c r="C3983" s="24">
        <v>3013.4</v>
      </c>
      <c r="D3983" s="47">
        <f t="shared" si="62"/>
        <v>1550.0929599999999</v>
      </c>
    </row>
    <row r="3984" spans="1:4">
      <c r="A3984" s="122">
        <v>37258</v>
      </c>
      <c r="B3984" s="24">
        <v>0.51490000000000002</v>
      </c>
      <c r="C3984" s="24">
        <v>2990.6</v>
      </c>
      <c r="D3984" s="47">
        <f t="shared" si="62"/>
        <v>1539.8599400000001</v>
      </c>
    </row>
    <row r="3985" spans="1:4">
      <c r="A3985" s="122">
        <v>37257</v>
      </c>
      <c r="B3985" s="24">
        <v>0.50990000000000002</v>
      </c>
      <c r="C3985" s="24">
        <v>3001.4</v>
      </c>
      <c r="D3985" s="47">
        <f t="shared" si="62"/>
        <v>1530.4138600000001</v>
      </c>
    </row>
    <row r="3986" spans="1:4">
      <c r="A3986" s="122">
        <v>37256</v>
      </c>
      <c r="B3986" s="24">
        <v>0.51060000000000005</v>
      </c>
      <c r="C3986" s="24">
        <v>2992.2</v>
      </c>
      <c r="D3986" s="47">
        <f t="shared" si="62"/>
        <v>1527.8173200000001</v>
      </c>
    </row>
    <row r="3987" spans="1:4">
      <c r="A3987" s="122">
        <v>37253</v>
      </c>
      <c r="B3987" s="24">
        <v>0.51060000000000005</v>
      </c>
      <c r="C3987" s="24">
        <v>2996.7</v>
      </c>
      <c r="D3987" s="47">
        <f t="shared" si="62"/>
        <v>1530.11502</v>
      </c>
    </row>
    <row r="3988" spans="1:4">
      <c r="A3988" s="122">
        <v>37252</v>
      </c>
      <c r="B3988" s="24">
        <v>0.50770000000000004</v>
      </c>
      <c r="C3988" s="24">
        <v>2982.7</v>
      </c>
      <c r="D3988" s="47">
        <f t="shared" si="62"/>
        <v>1514.3167900000001</v>
      </c>
    </row>
    <row r="3989" spans="1:4">
      <c r="A3989" s="122">
        <v>37251</v>
      </c>
      <c r="B3989" s="24">
        <v>0.50739999999999996</v>
      </c>
      <c r="C3989" s="24">
        <v>2976.8</v>
      </c>
      <c r="D3989" s="47">
        <f t="shared" si="62"/>
        <v>1510.42832</v>
      </c>
    </row>
    <row r="3990" spans="1:4">
      <c r="A3990" s="122">
        <v>37250</v>
      </c>
      <c r="B3990" s="24">
        <v>0.50800000000000001</v>
      </c>
      <c r="C3990" s="24">
        <v>3021</v>
      </c>
      <c r="D3990" s="47">
        <f t="shared" si="62"/>
        <v>1534.6680000000001</v>
      </c>
    </row>
    <row r="3991" spans="1:4">
      <c r="A3991" s="122">
        <v>37249</v>
      </c>
      <c r="B3991" s="24">
        <v>0.50880000000000003</v>
      </c>
      <c r="C3991" s="24">
        <v>3003.3</v>
      </c>
      <c r="D3991" s="47">
        <f t="shared" si="62"/>
        <v>1528.0790400000001</v>
      </c>
    </row>
    <row r="3992" spans="1:4">
      <c r="A3992" s="122">
        <v>37246</v>
      </c>
      <c r="B3992" s="24">
        <v>0.50839999999999996</v>
      </c>
      <c r="C3992" s="24">
        <v>3019.7</v>
      </c>
      <c r="D3992" s="47">
        <f t="shared" si="62"/>
        <v>1535.2154799999998</v>
      </c>
    </row>
    <row r="3993" spans="1:4">
      <c r="A3993" s="122">
        <v>37245</v>
      </c>
      <c r="B3993" s="24">
        <v>0.50529999999999997</v>
      </c>
      <c r="C3993" s="24">
        <v>3017.5</v>
      </c>
      <c r="D3993" s="47">
        <f t="shared" si="62"/>
        <v>1524.7427499999999</v>
      </c>
    </row>
    <row r="3994" spans="1:4">
      <c r="A3994" s="122">
        <v>37244</v>
      </c>
      <c r="B3994" s="24">
        <v>0.5111</v>
      </c>
      <c r="C3994" s="24">
        <v>2968.2</v>
      </c>
      <c r="D3994" s="47">
        <f t="shared" si="62"/>
        <v>1517.04702</v>
      </c>
    </row>
    <row r="3995" spans="1:4">
      <c r="A3995" s="122">
        <v>37243</v>
      </c>
      <c r="B3995" s="24">
        <v>0.51549999999999996</v>
      </c>
      <c r="C3995" s="24">
        <v>2939</v>
      </c>
      <c r="D3995" s="47">
        <f t="shared" si="62"/>
        <v>1515.0545</v>
      </c>
    </row>
    <row r="3996" spans="1:4">
      <c r="A3996" s="122">
        <v>37242</v>
      </c>
      <c r="B3996" s="24">
        <v>0.51719999999999999</v>
      </c>
      <c r="C3996" s="24">
        <v>2903.7</v>
      </c>
      <c r="D3996" s="47">
        <f t="shared" si="62"/>
        <v>1501.7936399999999</v>
      </c>
    </row>
    <row r="3997" spans="1:4">
      <c r="A3997" s="122">
        <v>37239</v>
      </c>
      <c r="B3997" s="24">
        <v>0.51939999999999997</v>
      </c>
      <c r="C3997" s="24">
        <v>2930.9</v>
      </c>
      <c r="D3997" s="47">
        <f t="shared" si="62"/>
        <v>1522.3094599999999</v>
      </c>
    </row>
    <row r="3998" spans="1:4">
      <c r="A3998" s="122">
        <v>37238</v>
      </c>
      <c r="B3998" s="24">
        <v>0.51880000000000004</v>
      </c>
      <c r="C3998" s="24">
        <v>2932.9</v>
      </c>
      <c r="D3998" s="47">
        <f t="shared" si="62"/>
        <v>1521.5885200000002</v>
      </c>
    </row>
    <row r="3999" spans="1:4">
      <c r="A3999" s="122">
        <v>37237</v>
      </c>
      <c r="B3999" s="24">
        <v>0.51980000000000004</v>
      </c>
      <c r="C3999" s="24">
        <v>2905.2</v>
      </c>
      <c r="D3999" s="47">
        <f t="shared" si="62"/>
        <v>1510.1229599999999</v>
      </c>
    </row>
    <row r="4000" spans="1:4">
      <c r="A4000" s="122">
        <v>37236</v>
      </c>
      <c r="B4000" s="24">
        <v>0.51590000000000003</v>
      </c>
      <c r="C4000" s="24">
        <v>2903.6</v>
      </c>
      <c r="D4000" s="47">
        <f t="shared" si="62"/>
        <v>1497.9672399999999</v>
      </c>
    </row>
    <row r="4001" spans="1:4">
      <c r="A4001" s="122">
        <v>37235</v>
      </c>
      <c r="B4001" s="24">
        <v>0.51470000000000005</v>
      </c>
      <c r="C4001" s="24">
        <v>2936.9</v>
      </c>
      <c r="D4001" s="47">
        <f t="shared" si="62"/>
        <v>1511.6224300000001</v>
      </c>
    </row>
    <row r="4002" spans="1:4">
      <c r="A4002" s="122">
        <v>37232</v>
      </c>
      <c r="B4002" s="24">
        <v>0.51470000000000005</v>
      </c>
      <c r="C4002" s="24">
        <v>2955.4</v>
      </c>
      <c r="D4002" s="47">
        <f t="shared" si="62"/>
        <v>1521.1443800000002</v>
      </c>
    </row>
    <row r="4003" spans="1:4">
      <c r="A4003" s="122">
        <v>37231</v>
      </c>
      <c r="B4003" s="24">
        <v>0.51870000000000005</v>
      </c>
      <c r="C4003" s="24">
        <v>2934.5</v>
      </c>
      <c r="D4003" s="47">
        <f t="shared" si="62"/>
        <v>1522.1251500000001</v>
      </c>
    </row>
    <row r="4004" spans="1:4">
      <c r="A4004" s="122">
        <v>37230</v>
      </c>
      <c r="B4004" s="24">
        <v>0.51759999999999995</v>
      </c>
      <c r="C4004" s="24">
        <v>2939.1</v>
      </c>
      <c r="D4004" s="47">
        <f t="shared" si="62"/>
        <v>1521.2781599999998</v>
      </c>
    </row>
    <row r="4005" spans="1:4">
      <c r="A4005" s="122">
        <v>37229</v>
      </c>
      <c r="B4005" s="24">
        <v>0.51419999999999999</v>
      </c>
      <c r="C4005" s="24">
        <v>2933.8</v>
      </c>
      <c r="D4005" s="47">
        <f t="shared" si="62"/>
        <v>1508.55996</v>
      </c>
    </row>
    <row r="4006" spans="1:4">
      <c r="A4006" s="122">
        <v>37228</v>
      </c>
      <c r="B4006" s="24">
        <v>0.51700000000000002</v>
      </c>
      <c r="C4006" s="24">
        <v>2889.2</v>
      </c>
      <c r="D4006" s="47">
        <f t="shared" si="62"/>
        <v>1493.7164</v>
      </c>
    </row>
    <row r="4007" spans="1:4">
      <c r="A4007" s="122">
        <v>37225</v>
      </c>
      <c r="B4007" s="24">
        <v>0.52180000000000004</v>
      </c>
      <c r="C4007" s="24">
        <v>2888.5</v>
      </c>
      <c r="D4007" s="47">
        <f t="shared" si="62"/>
        <v>1507.2193000000002</v>
      </c>
    </row>
    <row r="4008" spans="1:4">
      <c r="A4008" s="122">
        <v>37224</v>
      </c>
      <c r="B4008" s="24">
        <v>0.51780000000000004</v>
      </c>
      <c r="C4008" s="24">
        <v>2890</v>
      </c>
      <c r="D4008" s="47">
        <f t="shared" si="62"/>
        <v>1496.442</v>
      </c>
    </row>
    <row r="4009" spans="1:4">
      <c r="A4009" s="122">
        <v>37223</v>
      </c>
      <c r="B4009" s="24">
        <v>0.52149999999999996</v>
      </c>
      <c r="C4009" s="24">
        <v>2919</v>
      </c>
      <c r="D4009" s="47">
        <f t="shared" si="62"/>
        <v>1522.2584999999999</v>
      </c>
    </row>
    <row r="4010" spans="1:4">
      <c r="A4010" s="122">
        <v>37222</v>
      </c>
      <c r="B4010" s="24">
        <v>0.52270000000000005</v>
      </c>
      <c r="C4010" s="24">
        <v>2923.8</v>
      </c>
      <c r="D4010" s="47">
        <f t="shared" si="62"/>
        <v>1528.2702600000002</v>
      </c>
    </row>
    <row r="4011" spans="1:4">
      <c r="A4011" s="122">
        <v>37221</v>
      </c>
      <c r="B4011" s="24">
        <v>0.5181</v>
      </c>
      <c r="C4011" s="24">
        <v>2908.9</v>
      </c>
      <c r="D4011" s="47">
        <f t="shared" si="62"/>
        <v>1507.1010900000001</v>
      </c>
    </row>
    <row r="4012" spans="1:4">
      <c r="A4012" s="122">
        <v>37218</v>
      </c>
      <c r="B4012" s="24">
        <v>0.51790000000000003</v>
      </c>
      <c r="C4012" s="24">
        <v>2888.6</v>
      </c>
      <c r="D4012" s="47">
        <f t="shared" si="62"/>
        <v>1496.00594</v>
      </c>
    </row>
    <row r="4013" spans="1:4">
      <c r="A4013" s="122">
        <v>37217</v>
      </c>
      <c r="B4013" s="24">
        <v>0.51729999999999998</v>
      </c>
      <c r="C4013" s="24">
        <v>2873</v>
      </c>
      <c r="D4013" s="47">
        <f t="shared" si="62"/>
        <v>1486.2029</v>
      </c>
    </row>
    <row r="4014" spans="1:4">
      <c r="A4014" s="122">
        <v>37216</v>
      </c>
      <c r="B4014" s="24">
        <v>0.51659999999999995</v>
      </c>
      <c r="C4014" s="24">
        <v>2883.4</v>
      </c>
      <c r="D4014" s="47">
        <f t="shared" si="62"/>
        <v>1489.5644399999999</v>
      </c>
    </row>
    <row r="4015" spans="1:4">
      <c r="A4015" s="122">
        <v>37215</v>
      </c>
      <c r="B4015" s="24">
        <v>0.51990000000000003</v>
      </c>
      <c r="C4015" s="24">
        <v>2851.6</v>
      </c>
      <c r="D4015" s="47">
        <f t="shared" si="62"/>
        <v>1482.54684</v>
      </c>
    </row>
    <row r="4016" spans="1:4">
      <c r="A4016" s="122">
        <v>37214</v>
      </c>
      <c r="B4016" s="24">
        <v>0.52229999999999999</v>
      </c>
      <c r="C4016" s="24">
        <v>2848.6</v>
      </c>
      <c r="D4016" s="47">
        <f t="shared" si="62"/>
        <v>1487.8237799999999</v>
      </c>
    </row>
    <row r="4017" spans="1:4">
      <c r="A4017" s="122">
        <v>37211</v>
      </c>
      <c r="B4017" s="24">
        <v>0.52249999999999996</v>
      </c>
      <c r="C4017" s="24">
        <v>2831.9</v>
      </c>
      <c r="D4017" s="47">
        <f t="shared" si="62"/>
        <v>1479.6677499999998</v>
      </c>
    </row>
    <row r="4018" spans="1:4">
      <c r="A4018" s="122">
        <v>37210</v>
      </c>
      <c r="B4018" s="24">
        <v>0.51839999999999997</v>
      </c>
      <c r="C4018" s="24">
        <v>2820.7</v>
      </c>
      <c r="D4018" s="47">
        <f t="shared" si="62"/>
        <v>1462.2508799999998</v>
      </c>
    </row>
    <row r="4019" spans="1:4">
      <c r="A4019" s="122">
        <v>37209</v>
      </c>
      <c r="B4019" s="24">
        <v>0.52029999999999998</v>
      </c>
      <c r="C4019" s="24">
        <v>2832.2</v>
      </c>
      <c r="D4019" s="47">
        <f t="shared" si="62"/>
        <v>1473.5936599999998</v>
      </c>
    </row>
    <row r="4020" spans="1:4">
      <c r="A4020" s="122">
        <v>37208</v>
      </c>
      <c r="B4020" s="24">
        <v>0.52080000000000004</v>
      </c>
      <c r="C4020" s="24">
        <v>2847.5</v>
      </c>
      <c r="D4020" s="47">
        <f t="shared" si="62"/>
        <v>1482.9780000000001</v>
      </c>
    </row>
    <row r="4021" spans="1:4">
      <c r="A4021" s="122">
        <v>37207</v>
      </c>
      <c r="B4021" s="24">
        <v>0.52080000000000004</v>
      </c>
      <c r="C4021" s="24">
        <v>2840.5</v>
      </c>
      <c r="D4021" s="47">
        <f t="shared" si="62"/>
        <v>1479.3324</v>
      </c>
    </row>
    <row r="4022" spans="1:4">
      <c r="A4022" s="122">
        <v>37204</v>
      </c>
      <c r="B4022" s="24">
        <v>0.51429999999999998</v>
      </c>
      <c r="C4022" s="24">
        <v>2881</v>
      </c>
      <c r="D4022" s="47">
        <f t="shared" si="62"/>
        <v>1481.6983</v>
      </c>
    </row>
    <row r="4023" spans="1:4">
      <c r="A4023" s="122">
        <v>37203</v>
      </c>
      <c r="B4023" s="24">
        <v>0.51470000000000005</v>
      </c>
      <c r="C4023" s="24">
        <v>2881.1</v>
      </c>
      <c r="D4023" s="47">
        <f t="shared" si="62"/>
        <v>1482.9021700000001</v>
      </c>
    </row>
    <row r="4024" spans="1:4">
      <c r="A4024" s="122">
        <v>37202</v>
      </c>
      <c r="B4024" s="24">
        <v>0.51539999999999997</v>
      </c>
      <c r="C4024" s="24">
        <v>2883.8</v>
      </c>
      <c r="D4024" s="47">
        <f t="shared" si="62"/>
        <v>1486.31052</v>
      </c>
    </row>
    <row r="4025" spans="1:4">
      <c r="A4025" s="122">
        <v>37201</v>
      </c>
      <c r="B4025" s="24">
        <v>0.51370000000000005</v>
      </c>
      <c r="C4025" s="24">
        <v>2914.3</v>
      </c>
      <c r="D4025" s="47">
        <f t="shared" si="62"/>
        <v>1497.0759100000002</v>
      </c>
    </row>
    <row r="4026" spans="1:4">
      <c r="A4026" s="122">
        <v>37200</v>
      </c>
      <c r="B4026" s="24">
        <v>0.50880000000000003</v>
      </c>
      <c r="C4026" s="24">
        <v>2930.9</v>
      </c>
      <c r="D4026" s="47">
        <f t="shared" si="62"/>
        <v>1491.2419200000002</v>
      </c>
    </row>
    <row r="4027" spans="1:4">
      <c r="A4027" s="122">
        <v>37197</v>
      </c>
      <c r="B4027" s="24">
        <v>0.50849999999999995</v>
      </c>
      <c r="C4027" s="24">
        <v>2920.4</v>
      </c>
      <c r="D4027" s="47">
        <f t="shared" si="62"/>
        <v>1485.0233999999998</v>
      </c>
    </row>
    <row r="4028" spans="1:4">
      <c r="A4028" s="122">
        <v>37196</v>
      </c>
      <c r="B4028" s="24">
        <v>0.50880000000000003</v>
      </c>
      <c r="C4028" s="24">
        <v>2984.6</v>
      </c>
      <c r="D4028" s="47">
        <f t="shared" si="62"/>
        <v>1518.56448</v>
      </c>
    </row>
    <row r="4029" spans="1:4">
      <c r="A4029" s="122">
        <v>37195</v>
      </c>
      <c r="B4029" s="24">
        <v>0.50329999999999997</v>
      </c>
      <c r="C4029" s="24">
        <v>2958.9</v>
      </c>
      <c r="D4029" s="47">
        <f t="shared" si="62"/>
        <v>1489.2143699999999</v>
      </c>
    </row>
    <row r="4030" spans="1:4">
      <c r="A4030" s="122">
        <v>37194</v>
      </c>
      <c r="B4030" s="24">
        <v>0.50439999999999996</v>
      </c>
      <c r="C4030" s="24">
        <v>2944.9</v>
      </c>
      <c r="D4030" s="47">
        <f t="shared" si="62"/>
        <v>1485.4075599999999</v>
      </c>
    </row>
    <row r="4031" spans="1:4">
      <c r="A4031" s="122">
        <v>37193</v>
      </c>
      <c r="B4031" s="24">
        <v>0.50560000000000005</v>
      </c>
      <c r="C4031" s="24">
        <v>2917.7</v>
      </c>
      <c r="D4031" s="47">
        <f t="shared" si="62"/>
        <v>1475.18912</v>
      </c>
    </row>
    <row r="4032" spans="1:4">
      <c r="A4032" s="122">
        <v>37190</v>
      </c>
      <c r="B4032" s="24">
        <v>0.50270000000000004</v>
      </c>
      <c r="C4032" s="24">
        <v>2925.6</v>
      </c>
      <c r="D4032" s="47">
        <f t="shared" si="62"/>
        <v>1470.69912</v>
      </c>
    </row>
    <row r="4033" spans="1:4">
      <c r="A4033" s="122">
        <v>37189</v>
      </c>
      <c r="B4033" s="24">
        <v>0.50349999999999995</v>
      </c>
      <c r="C4033" s="24">
        <v>2923.8</v>
      </c>
      <c r="D4033" s="47">
        <f t="shared" si="62"/>
        <v>1472.1333</v>
      </c>
    </row>
    <row r="4034" spans="1:4">
      <c r="A4034" s="122">
        <v>37188</v>
      </c>
      <c r="B4034" s="24">
        <v>0.50780000000000003</v>
      </c>
      <c r="C4034" s="24">
        <v>2973.7</v>
      </c>
      <c r="D4034" s="47">
        <f t="shared" si="62"/>
        <v>1510.04486</v>
      </c>
    </row>
    <row r="4035" spans="1:4">
      <c r="A4035" s="122">
        <v>37187</v>
      </c>
      <c r="B4035" s="24">
        <v>0.50780000000000003</v>
      </c>
      <c r="C4035" s="24">
        <v>2974.8</v>
      </c>
      <c r="D4035" s="47">
        <f t="shared" ref="D4035:D4098" si="63">C4035*B4035</f>
        <v>1510.6034400000001</v>
      </c>
    </row>
    <row r="4036" spans="1:4">
      <c r="A4036" s="122">
        <v>37186</v>
      </c>
      <c r="B4036" s="24">
        <v>0.51080000000000003</v>
      </c>
      <c r="C4036" s="24">
        <v>3016.8</v>
      </c>
      <c r="D4036" s="47">
        <f t="shared" si="63"/>
        <v>1540.9814400000002</v>
      </c>
    </row>
    <row r="4037" spans="1:4">
      <c r="A4037" s="122">
        <v>37183</v>
      </c>
      <c r="B4037" s="24">
        <v>0.50919999999999999</v>
      </c>
      <c r="C4037" s="24">
        <v>3001.6</v>
      </c>
      <c r="D4037" s="47">
        <f t="shared" si="63"/>
        <v>1528.41472</v>
      </c>
    </row>
    <row r="4038" spans="1:4">
      <c r="A4038" s="122">
        <v>37182</v>
      </c>
      <c r="B4038" s="24">
        <v>0.50649999999999995</v>
      </c>
      <c r="C4038" s="24">
        <v>3027.8</v>
      </c>
      <c r="D4038" s="47">
        <f t="shared" si="63"/>
        <v>1533.5807</v>
      </c>
    </row>
    <row r="4039" spans="1:4">
      <c r="A4039" s="122">
        <v>37181</v>
      </c>
      <c r="B4039" s="24">
        <v>0.50870000000000004</v>
      </c>
      <c r="C4039" s="24">
        <v>3031.6</v>
      </c>
      <c r="D4039" s="47">
        <f t="shared" si="63"/>
        <v>1542.1749200000002</v>
      </c>
    </row>
    <row r="4040" spans="1:4">
      <c r="A4040" s="122">
        <v>37180</v>
      </c>
      <c r="B4040" s="24">
        <v>0.51119999999999999</v>
      </c>
      <c r="C4040" s="24">
        <v>3044.7</v>
      </c>
      <c r="D4040" s="47">
        <f t="shared" si="63"/>
        <v>1556.4506399999998</v>
      </c>
    </row>
    <row r="4041" spans="1:4">
      <c r="A4041" s="122">
        <v>37179</v>
      </c>
      <c r="B4041" s="24">
        <v>0.51649999999999996</v>
      </c>
      <c r="C4041" s="24">
        <v>3067.5</v>
      </c>
      <c r="D4041" s="47">
        <f t="shared" si="63"/>
        <v>1584.36375</v>
      </c>
    </row>
    <row r="4042" spans="1:4">
      <c r="A4042" s="122">
        <v>37176</v>
      </c>
      <c r="B4042" s="24">
        <v>0.50580000000000003</v>
      </c>
      <c r="C4042" s="24">
        <v>3052.9</v>
      </c>
      <c r="D4042" s="47">
        <f t="shared" si="63"/>
        <v>1544.1568200000002</v>
      </c>
    </row>
    <row r="4043" spans="1:4">
      <c r="A4043" s="122">
        <v>37175</v>
      </c>
      <c r="B4043" s="24">
        <v>0.50080000000000002</v>
      </c>
      <c r="C4043" s="24">
        <v>3045.7</v>
      </c>
      <c r="D4043" s="47">
        <f t="shared" si="63"/>
        <v>1525.28656</v>
      </c>
    </row>
    <row r="4044" spans="1:4">
      <c r="A4044" s="122">
        <v>37174</v>
      </c>
      <c r="B4044" s="24">
        <v>0.50180000000000002</v>
      </c>
      <c r="C4044" s="24">
        <v>3042.2</v>
      </c>
      <c r="D4044" s="47">
        <f t="shared" si="63"/>
        <v>1526.5759599999999</v>
      </c>
    </row>
    <row r="4045" spans="1:4">
      <c r="A4045" s="122">
        <v>37173</v>
      </c>
      <c r="B4045" s="24">
        <v>0.50070000000000003</v>
      </c>
      <c r="C4045" s="24">
        <v>2993.9</v>
      </c>
      <c r="D4045" s="47">
        <f t="shared" si="63"/>
        <v>1499.04573</v>
      </c>
    </row>
    <row r="4046" spans="1:4">
      <c r="A4046" s="122">
        <v>37172</v>
      </c>
      <c r="B4046" s="24">
        <v>0.50819999999999999</v>
      </c>
      <c r="C4046" s="24">
        <v>3013.8</v>
      </c>
      <c r="D4046" s="47">
        <f t="shared" si="63"/>
        <v>1531.6131600000001</v>
      </c>
    </row>
    <row r="4047" spans="1:4">
      <c r="A4047" s="122">
        <v>37169</v>
      </c>
      <c r="B4047" s="24">
        <v>0.50700000000000001</v>
      </c>
      <c r="C4047" s="24">
        <v>3040.6</v>
      </c>
      <c r="D4047" s="47">
        <f t="shared" si="63"/>
        <v>1541.5842</v>
      </c>
    </row>
    <row r="4048" spans="1:4">
      <c r="A4048" s="122">
        <v>37168</v>
      </c>
      <c r="B4048" s="24">
        <v>0.4985</v>
      </c>
      <c r="C4048" s="24">
        <v>3021.9</v>
      </c>
      <c r="D4048" s="47">
        <f t="shared" si="63"/>
        <v>1506.41715</v>
      </c>
    </row>
    <row r="4049" spans="1:4">
      <c r="A4049" s="122">
        <v>37167</v>
      </c>
      <c r="B4049" s="24">
        <v>0.49580000000000002</v>
      </c>
      <c r="C4049" s="24">
        <v>3011.4</v>
      </c>
      <c r="D4049" s="47">
        <f t="shared" si="63"/>
        <v>1493.0521200000001</v>
      </c>
    </row>
    <row r="4050" spans="1:4">
      <c r="A4050" s="122">
        <v>37166</v>
      </c>
      <c r="B4050" s="24">
        <v>0.49530000000000002</v>
      </c>
      <c r="C4050" s="24">
        <v>3003</v>
      </c>
      <c r="D4050" s="47">
        <f t="shared" si="63"/>
        <v>1487.3859</v>
      </c>
    </row>
    <row r="4051" spans="1:4">
      <c r="A4051" s="122">
        <v>37165</v>
      </c>
      <c r="B4051" s="24">
        <v>0.4955</v>
      </c>
      <c r="C4051" s="24">
        <v>2990.9</v>
      </c>
      <c r="D4051" s="47">
        <f t="shared" si="63"/>
        <v>1481.9909500000001</v>
      </c>
    </row>
    <row r="4052" spans="1:4">
      <c r="A4052" s="122">
        <v>37162</v>
      </c>
      <c r="B4052" s="24">
        <v>0.49130000000000001</v>
      </c>
      <c r="C4052" s="24">
        <v>2955.1</v>
      </c>
      <c r="D4052" s="47">
        <f t="shared" si="63"/>
        <v>1451.8406299999999</v>
      </c>
    </row>
    <row r="4053" spans="1:4">
      <c r="A4053" s="122">
        <v>37161</v>
      </c>
      <c r="B4053" s="24">
        <v>0.4879</v>
      </c>
      <c r="C4053" s="24">
        <v>2971.7</v>
      </c>
      <c r="D4053" s="47">
        <f t="shared" si="63"/>
        <v>1449.8924299999999</v>
      </c>
    </row>
    <row r="4054" spans="1:4">
      <c r="A4054" s="122">
        <v>37160</v>
      </c>
      <c r="B4054" s="24">
        <v>0.49130000000000001</v>
      </c>
      <c r="C4054" s="24">
        <v>2969.4</v>
      </c>
      <c r="D4054" s="47">
        <f t="shared" si="63"/>
        <v>1458.8662200000001</v>
      </c>
    </row>
    <row r="4055" spans="1:4">
      <c r="A4055" s="122">
        <v>37159</v>
      </c>
      <c r="B4055" s="24">
        <v>0.49299999999999999</v>
      </c>
      <c r="C4055" s="24">
        <v>2938.3</v>
      </c>
      <c r="D4055" s="47">
        <f t="shared" si="63"/>
        <v>1448.5819000000001</v>
      </c>
    </row>
    <row r="4056" spans="1:4">
      <c r="A4056" s="122">
        <v>37158</v>
      </c>
      <c r="B4056" s="24">
        <v>0.49159999999999998</v>
      </c>
      <c r="C4056" s="24">
        <v>2938.6</v>
      </c>
      <c r="D4056" s="47">
        <f t="shared" si="63"/>
        <v>1444.6157599999999</v>
      </c>
    </row>
    <row r="4057" spans="1:4">
      <c r="A4057" s="122">
        <v>37155</v>
      </c>
      <c r="B4057" s="24">
        <v>0.48470000000000002</v>
      </c>
      <c r="C4057" s="24">
        <v>2872.7</v>
      </c>
      <c r="D4057" s="47">
        <f t="shared" si="63"/>
        <v>1392.39769</v>
      </c>
    </row>
    <row r="4058" spans="1:4">
      <c r="A4058" s="122">
        <v>37154</v>
      </c>
      <c r="B4058" s="24">
        <v>0.49259999999999998</v>
      </c>
      <c r="C4058" s="24">
        <v>2867</v>
      </c>
      <c r="D4058" s="47">
        <f t="shared" si="63"/>
        <v>1412.2842000000001</v>
      </c>
    </row>
    <row r="4059" spans="1:4">
      <c r="A4059" s="122">
        <v>37153</v>
      </c>
      <c r="B4059" s="24">
        <v>0.49340000000000001</v>
      </c>
      <c r="C4059" s="24">
        <v>2894</v>
      </c>
      <c r="D4059" s="47">
        <f t="shared" si="63"/>
        <v>1427.8996</v>
      </c>
    </row>
    <row r="4060" spans="1:4">
      <c r="A4060" s="122">
        <v>37152</v>
      </c>
      <c r="B4060" s="24">
        <v>0.49709999999999999</v>
      </c>
      <c r="C4060" s="24">
        <v>2873.3</v>
      </c>
      <c r="D4060" s="47">
        <f t="shared" si="63"/>
        <v>1428.3174300000001</v>
      </c>
    </row>
    <row r="4061" spans="1:4">
      <c r="A4061" s="122">
        <v>37151</v>
      </c>
      <c r="B4061" s="24">
        <v>0.50249999999999995</v>
      </c>
      <c r="C4061" s="24">
        <v>2896.3</v>
      </c>
      <c r="D4061" s="47">
        <f t="shared" si="63"/>
        <v>1455.39075</v>
      </c>
    </row>
    <row r="4062" spans="1:4">
      <c r="A4062" s="122">
        <v>37148</v>
      </c>
      <c r="B4062" s="24">
        <v>0.51500000000000001</v>
      </c>
      <c r="C4062" s="24">
        <v>2887.3</v>
      </c>
      <c r="D4062" s="47">
        <f t="shared" si="63"/>
        <v>1486.9595000000002</v>
      </c>
    </row>
    <row r="4063" spans="1:4">
      <c r="A4063" s="122">
        <v>37147</v>
      </c>
      <c r="B4063" s="24">
        <v>0.51649999999999996</v>
      </c>
      <c r="C4063" s="24">
        <v>2865.5</v>
      </c>
      <c r="D4063" s="47">
        <f t="shared" si="63"/>
        <v>1480.0307499999999</v>
      </c>
    </row>
    <row r="4064" spans="1:4">
      <c r="A4064" s="122">
        <v>37146</v>
      </c>
      <c r="B4064" s="24">
        <v>0.51670000000000005</v>
      </c>
      <c r="C4064" s="24">
        <v>2885.8</v>
      </c>
      <c r="D4064" s="47">
        <f t="shared" si="63"/>
        <v>1491.0928600000002</v>
      </c>
    </row>
    <row r="4065" spans="1:4">
      <c r="A4065" s="122">
        <v>37145</v>
      </c>
      <c r="B4065" s="24">
        <v>0.5222</v>
      </c>
      <c r="C4065" s="24">
        <v>2881.3</v>
      </c>
      <c r="D4065" s="47">
        <f t="shared" si="63"/>
        <v>1504.6148600000001</v>
      </c>
    </row>
    <row r="4066" spans="1:4">
      <c r="A4066" s="122">
        <v>37144</v>
      </c>
      <c r="B4066" s="24">
        <v>0.51329999999999998</v>
      </c>
      <c r="C4066" s="24">
        <v>2876.1</v>
      </c>
      <c r="D4066" s="47">
        <f t="shared" si="63"/>
        <v>1476.3021299999998</v>
      </c>
    </row>
    <row r="4067" spans="1:4">
      <c r="A4067" s="122">
        <v>37141</v>
      </c>
      <c r="B4067" s="24">
        <v>0.51939999999999997</v>
      </c>
      <c r="C4067" s="24">
        <v>2857.9</v>
      </c>
      <c r="D4067" s="47">
        <f t="shared" si="63"/>
        <v>1484.3932600000001</v>
      </c>
    </row>
    <row r="4068" spans="1:4">
      <c r="A4068" s="122">
        <v>37140</v>
      </c>
      <c r="B4068" s="24">
        <v>0.52229999999999999</v>
      </c>
      <c r="C4068" s="24">
        <v>2864</v>
      </c>
      <c r="D4068" s="47">
        <f t="shared" si="63"/>
        <v>1495.8671999999999</v>
      </c>
    </row>
    <row r="4069" spans="1:4">
      <c r="A4069" s="122">
        <v>37139</v>
      </c>
      <c r="B4069" s="24">
        <v>0.52049999999999996</v>
      </c>
      <c r="C4069" s="24">
        <v>2874.5</v>
      </c>
      <c r="D4069" s="47">
        <f t="shared" si="63"/>
        <v>1496.17725</v>
      </c>
    </row>
    <row r="4070" spans="1:4">
      <c r="A4070" s="122">
        <v>37138</v>
      </c>
      <c r="B4070" s="24">
        <v>0.52090000000000003</v>
      </c>
      <c r="C4070" s="24">
        <v>2874.1</v>
      </c>
      <c r="D4070" s="47">
        <f t="shared" si="63"/>
        <v>1497.11869</v>
      </c>
    </row>
    <row r="4071" spans="1:4">
      <c r="A4071" s="122">
        <v>37137</v>
      </c>
      <c r="B4071" s="24">
        <v>0.52690000000000003</v>
      </c>
      <c r="C4071" s="24">
        <v>2843.3</v>
      </c>
      <c r="D4071" s="47">
        <f t="shared" si="63"/>
        <v>1498.1347700000001</v>
      </c>
    </row>
    <row r="4072" spans="1:4">
      <c r="A4072" s="122">
        <v>37134</v>
      </c>
      <c r="B4072" s="24">
        <v>0.52949999999999997</v>
      </c>
      <c r="C4072" s="24">
        <v>2831.1</v>
      </c>
      <c r="D4072" s="47">
        <f t="shared" si="63"/>
        <v>1499.0674499999998</v>
      </c>
    </row>
    <row r="4073" spans="1:4">
      <c r="A4073" s="122">
        <v>37133</v>
      </c>
      <c r="B4073" s="24">
        <v>0.53220000000000001</v>
      </c>
      <c r="C4073" s="24">
        <v>2812.2</v>
      </c>
      <c r="D4073" s="47">
        <f t="shared" si="63"/>
        <v>1496.65284</v>
      </c>
    </row>
    <row r="4074" spans="1:4">
      <c r="A4074" s="122">
        <v>37132</v>
      </c>
      <c r="B4074" s="24">
        <v>0.52939999999999998</v>
      </c>
      <c r="C4074" s="24">
        <v>2801.8</v>
      </c>
      <c r="D4074" s="47">
        <f t="shared" si="63"/>
        <v>1483.2729200000001</v>
      </c>
    </row>
    <row r="4075" spans="1:4">
      <c r="A4075" s="122">
        <v>37131</v>
      </c>
      <c r="B4075" s="24">
        <v>0.53090000000000004</v>
      </c>
      <c r="C4075" s="24">
        <v>2811.1</v>
      </c>
      <c r="D4075" s="47">
        <f t="shared" si="63"/>
        <v>1492.41299</v>
      </c>
    </row>
    <row r="4076" spans="1:4">
      <c r="A4076" s="122">
        <v>37130</v>
      </c>
      <c r="B4076" s="24">
        <v>0.52859999999999996</v>
      </c>
      <c r="C4076" s="24">
        <v>2785.5</v>
      </c>
      <c r="D4076" s="47">
        <f t="shared" si="63"/>
        <v>1472.4152999999999</v>
      </c>
    </row>
    <row r="4077" spans="1:4">
      <c r="A4077" s="122">
        <v>37127</v>
      </c>
      <c r="B4077" s="24">
        <v>0.53449999999999998</v>
      </c>
      <c r="C4077" s="24">
        <v>2769.4</v>
      </c>
      <c r="D4077" s="47">
        <f t="shared" si="63"/>
        <v>1480.2443000000001</v>
      </c>
    </row>
    <row r="4078" spans="1:4">
      <c r="A4078" s="122">
        <v>37126</v>
      </c>
      <c r="B4078" s="24">
        <v>0.53400000000000003</v>
      </c>
      <c r="C4078" s="24">
        <v>2773.1</v>
      </c>
      <c r="D4078" s="47">
        <f t="shared" si="63"/>
        <v>1480.8353999999999</v>
      </c>
    </row>
    <row r="4079" spans="1:4">
      <c r="A4079" s="122">
        <v>37125</v>
      </c>
      <c r="B4079" s="24">
        <v>0.5333</v>
      </c>
      <c r="C4079" s="24">
        <v>2776.6</v>
      </c>
      <c r="D4079" s="47">
        <f t="shared" si="63"/>
        <v>1480.7607799999998</v>
      </c>
    </row>
    <row r="4080" spans="1:4">
      <c r="A4080" s="122">
        <v>37124</v>
      </c>
      <c r="B4080" s="24">
        <v>0.53420000000000001</v>
      </c>
      <c r="C4080" s="24">
        <v>2794.1</v>
      </c>
      <c r="D4080" s="47">
        <f t="shared" si="63"/>
        <v>1492.6082200000001</v>
      </c>
    </row>
    <row r="4081" spans="1:4">
      <c r="A4081" s="122">
        <v>37123</v>
      </c>
      <c r="B4081" s="24">
        <v>0.53239999999999998</v>
      </c>
      <c r="C4081" s="24">
        <v>2768.4</v>
      </c>
      <c r="D4081" s="47">
        <f t="shared" si="63"/>
        <v>1473.89616</v>
      </c>
    </row>
    <row r="4082" spans="1:4">
      <c r="A4082" s="122">
        <v>37120</v>
      </c>
      <c r="B4082" s="24">
        <v>0.53539999999999999</v>
      </c>
      <c r="C4082" s="24">
        <v>2790.9</v>
      </c>
      <c r="D4082" s="47">
        <f t="shared" si="63"/>
        <v>1494.2478599999999</v>
      </c>
    </row>
    <row r="4083" spans="1:4">
      <c r="A4083" s="122">
        <v>37119</v>
      </c>
      <c r="B4083" s="24">
        <v>0.52410000000000001</v>
      </c>
      <c r="C4083" s="24">
        <v>2819.1</v>
      </c>
      <c r="D4083" s="47">
        <f t="shared" si="63"/>
        <v>1477.4903099999999</v>
      </c>
    </row>
    <row r="4084" spans="1:4">
      <c r="A4084" s="122">
        <v>37118</v>
      </c>
      <c r="B4084" s="24">
        <v>0.52890000000000004</v>
      </c>
      <c r="C4084" s="24">
        <v>2811</v>
      </c>
      <c r="D4084" s="47">
        <f t="shared" si="63"/>
        <v>1486.7379000000001</v>
      </c>
    </row>
    <row r="4085" spans="1:4">
      <c r="A4085" s="122">
        <v>37117</v>
      </c>
      <c r="B4085" s="24">
        <v>0.52180000000000004</v>
      </c>
      <c r="C4085" s="24">
        <v>2799.4</v>
      </c>
      <c r="D4085" s="47">
        <f t="shared" si="63"/>
        <v>1460.7269200000001</v>
      </c>
    </row>
    <row r="4086" spans="1:4">
      <c r="A4086" s="122">
        <v>37116</v>
      </c>
      <c r="B4086" s="24">
        <v>0.51719999999999999</v>
      </c>
      <c r="C4086" s="24">
        <v>2807.9</v>
      </c>
      <c r="D4086" s="47">
        <f t="shared" si="63"/>
        <v>1452.2458799999999</v>
      </c>
    </row>
    <row r="4087" spans="1:4">
      <c r="A4087" s="122">
        <v>37113</v>
      </c>
      <c r="B4087" s="24">
        <v>0.51329999999999998</v>
      </c>
      <c r="C4087" s="24">
        <v>2772.3</v>
      </c>
      <c r="D4087" s="47">
        <f t="shared" si="63"/>
        <v>1423.0215900000001</v>
      </c>
    </row>
    <row r="4088" spans="1:4">
      <c r="A4088" s="122">
        <v>37112</v>
      </c>
      <c r="B4088" s="24">
        <v>0.51170000000000004</v>
      </c>
      <c r="C4088" s="24">
        <v>2771.9</v>
      </c>
      <c r="D4088" s="47">
        <f t="shared" si="63"/>
        <v>1418.3812300000002</v>
      </c>
    </row>
    <row r="4089" spans="1:4">
      <c r="A4089" s="122">
        <v>37111</v>
      </c>
      <c r="B4089" s="24">
        <v>0.51890000000000003</v>
      </c>
      <c r="C4089" s="24">
        <v>2753.4</v>
      </c>
      <c r="D4089" s="47">
        <f t="shared" si="63"/>
        <v>1428.7392600000001</v>
      </c>
    </row>
    <row r="4090" spans="1:4">
      <c r="A4090" s="122">
        <v>37110</v>
      </c>
      <c r="B4090" s="24">
        <v>0.51500000000000001</v>
      </c>
      <c r="C4090" s="24">
        <v>2768.3</v>
      </c>
      <c r="D4090" s="47">
        <f t="shared" si="63"/>
        <v>1425.6745000000001</v>
      </c>
    </row>
    <row r="4091" spans="1:4">
      <c r="A4091" s="122">
        <v>37109</v>
      </c>
      <c r="B4091" s="24">
        <v>0.51739999999999997</v>
      </c>
      <c r="C4091" s="24">
        <v>2777.9</v>
      </c>
      <c r="D4091" s="47">
        <f t="shared" si="63"/>
        <v>1437.2854600000001</v>
      </c>
    </row>
    <row r="4092" spans="1:4">
      <c r="A4092" s="122">
        <v>37106</v>
      </c>
      <c r="B4092" s="24">
        <v>0.51659999999999995</v>
      </c>
      <c r="C4092" s="24">
        <v>2758.4</v>
      </c>
      <c r="D4092" s="47">
        <f t="shared" si="63"/>
        <v>1424.9894399999998</v>
      </c>
    </row>
    <row r="4093" spans="1:4">
      <c r="A4093" s="122">
        <v>37105</v>
      </c>
      <c r="B4093" s="24">
        <v>0.5202</v>
      </c>
      <c r="C4093" s="24">
        <v>2747.2</v>
      </c>
      <c r="D4093" s="47">
        <f t="shared" si="63"/>
        <v>1429.0934399999999</v>
      </c>
    </row>
    <row r="4094" spans="1:4">
      <c r="A4094" s="122">
        <v>37104</v>
      </c>
      <c r="B4094" s="24">
        <v>0.51780000000000004</v>
      </c>
      <c r="C4094" s="24">
        <v>2780.2</v>
      </c>
      <c r="D4094" s="47">
        <f t="shared" si="63"/>
        <v>1439.5875599999999</v>
      </c>
    </row>
    <row r="4095" spans="1:4">
      <c r="A4095" s="122">
        <v>37103</v>
      </c>
      <c r="B4095" s="24">
        <v>0.50960000000000005</v>
      </c>
      <c r="C4095" s="24">
        <v>2784.4</v>
      </c>
      <c r="D4095" s="47">
        <f t="shared" si="63"/>
        <v>1418.9302400000001</v>
      </c>
    </row>
    <row r="4096" spans="1:4">
      <c r="A4096" s="122">
        <v>37102</v>
      </c>
      <c r="B4096" s="24">
        <v>0.50560000000000005</v>
      </c>
      <c r="C4096" s="24">
        <v>2794.8</v>
      </c>
      <c r="D4096" s="47">
        <f t="shared" si="63"/>
        <v>1413.0508800000002</v>
      </c>
    </row>
    <row r="4097" spans="1:4">
      <c r="A4097" s="122">
        <v>37099</v>
      </c>
      <c r="B4097" s="24">
        <v>0.50800000000000001</v>
      </c>
      <c r="C4097" s="24">
        <v>2823.8</v>
      </c>
      <c r="D4097" s="47">
        <f t="shared" si="63"/>
        <v>1434.4904000000001</v>
      </c>
    </row>
    <row r="4098" spans="1:4">
      <c r="A4098" s="122">
        <v>37098</v>
      </c>
      <c r="B4098" s="24">
        <v>0.50939999999999996</v>
      </c>
      <c r="C4098" s="24">
        <v>2803.6</v>
      </c>
      <c r="D4098" s="47">
        <f t="shared" si="63"/>
        <v>1428.1538399999999</v>
      </c>
    </row>
    <row r="4099" spans="1:4">
      <c r="A4099" s="122">
        <v>37097</v>
      </c>
      <c r="B4099" s="24">
        <v>0.50780000000000003</v>
      </c>
      <c r="C4099" s="24">
        <v>2790.2</v>
      </c>
      <c r="D4099" s="47">
        <f t="shared" ref="D4099:D4162" si="64">C4099*B4099</f>
        <v>1416.86356</v>
      </c>
    </row>
    <row r="4100" spans="1:4">
      <c r="A4100" s="122">
        <v>37096</v>
      </c>
      <c r="B4100" s="24">
        <v>0.50939999999999996</v>
      </c>
      <c r="C4100" s="24">
        <v>2805</v>
      </c>
      <c r="D4100" s="47">
        <f t="shared" si="64"/>
        <v>1428.867</v>
      </c>
    </row>
    <row r="4101" spans="1:4">
      <c r="A4101" s="122">
        <v>37095</v>
      </c>
      <c r="B4101" s="24">
        <v>0.50780000000000003</v>
      </c>
      <c r="C4101" s="24">
        <v>2781.7</v>
      </c>
      <c r="D4101" s="47">
        <f t="shared" si="64"/>
        <v>1412.5472600000001</v>
      </c>
    </row>
    <row r="4102" spans="1:4">
      <c r="A4102" s="122">
        <v>37092</v>
      </c>
      <c r="B4102" s="24">
        <v>0.50560000000000005</v>
      </c>
      <c r="C4102" s="24">
        <v>2765.1</v>
      </c>
      <c r="D4102" s="47">
        <f t="shared" si="64"/>
        <v>1398.0345600000001</v>
      </c>
    </row>
    <row r="4103" spans="1:4">
      <c r="A4103" s="122">
        <v>37091</v>
      </c>
      <c r="B4103" s="24">
        <v>0.51319999999999999</v>
      </c>
      <c r="C4103" s="24">
        <v>2738.8</v>
      </c>
      <c r="D4103" s="47">
        <f t="shared" si="64"/>
        <v>1405.55216</v>
      </c>
    </row>
    <row r="4104" spans="1:4">
      <c r="A4104" s="122">
        <v>37090</v>
      </c>
      <c r="B4104" s="24">
        <v>0.51480000000000004</v>
      </c>
      <c r="C4104" s="24">
        <v>2713.1</v>
      </c>
      <c r="D4104" s="47">
        <f t="shared" si="64"/>
        <v>1396.70388</v>
      </c>
    </row>
    <row r="4105" spans="1:4">
      <c r="A4105" s="122">
        <v>37089</v>
      </c>
      <c r="B4105" s="24">
        <v>0.50919999999999999</v>
      </c>
      <c r="C4105" s="24">
        <v>2736.7</v>
      </c>
      <c r="D4105" s="47">
        <f t="shared" si="64"/>
        <v>1393.5276399999998</v>
      </c>
    </row>
    <row r="4106" spans="1:4">
      <c r="A4106" s="122">
        <v>37088</v>
      </c>
      <c r="B4106" s="24">
        <v>0.50760000000000005</v>
      </c>
      <c r="C4106" s="24">
        <v>2743.2</v>
      </c>
      <c r="D4106" s="47">
        <f t="shared" si="64"/>
        <v>1392.44832</v>
      </c>
    </row>
    <row r="4107" spans="1:4">
      <c r="A4107" s="122">
        <v>37085</v>
      </c>
      <c r="B4107" s="24">
        <v>0.50760000000000005</v>
      </c>
      <c r="C4107" s="24">
        <v>2764.8</v>
      </c>
      <c r="D4107" s="47">
        <f t="shared" si="64"/>
        <v>1403.4124800000002</v>
      </c>
    </row>
    <row r="4108" spans="1:4">
      <c r="A4108" s="122">
        <v>37084</v>
      </c>
      <c r="B4108" s="24">
        <v>0.50509999999999999</v>
      </c>
      <c r="C4108" s="24">
        <v>2747.3</v>
      </c>
      <c r="D4108" s="47">
        <f t="shared" si="64"/>
        <v>1387.6612300000002</v>
      </c>
    </row>
    <row r="4109" spans="1:4">
      <c r="A4109" s="122">
        <v>37083</v>
      </c>
      <c r="B4109" s="24">
        <v>0.50480000000000003</v>
      </c>
      <c r="C4109" s="24">
        <v>2724.9</v>
      </c>
      <c r="D4109" s="47">
        <f t="shared" si="64"/>
        <v>1375.52952</v>
      </c>
    </row>
    <row r="4110" spans="1:4">
      <c r="A4110" s="122">
        <v>37082</v>
      </c>
      <c r="B4110" s="24">
        <v>0.50929999999999997</v>
      </c>
      <c r="C4110" s="24">
        <v>2709.4</v>
      </c>
      <c r="D4110" s="47">
        <f t="shared" si="64"/>
        <v>1379.89742</v>
      </c>
    </row>
    <row r="4111" spans="1:4">
      <c r="A4111" s="122">
        <v>37081</v>
      </c>
      <c r="B4111" s="24">
        <v>0.51100000000000001</v>
      </c>
      <c r="C4111" s="24">
        <v>2704.1</v>
      </c>
      <c r="D4111" s="47">
        <f t="shared" si="64"/>
        <v>1381.7951</v>
      </c>
    </row>
    <row r="4112" spans="1:4">
      <c r="A4112" s="122">
        <v>37078</v>
      </c>
      <c r="B4112" s="24">
        <v>0.50800000000000001</v>
      </c>
      <c r="C4112" s="24">
        <v>2721.4</v>
      </c>
      <c r="D4112" s="47">
        <f t="shared" si="64"/>
        <v>1382.4712</v>
      </c>
    </row>
    <row r="4113" spans="1:4">
      <c r="A4113" s="122">
        <v>37077</v>
      </c>
      <c r="B4113" s="24">
        <v>0.51400000000000001</v>
      </c>
      <c r="C4113" s="24">
        <v>2746.6</v>
      </c>
      <c r="D4113" s="47">
        <f t="shared" si="64"/>
        <v>1411.7524000000001</v>
      </c>
    </row>
    <row r="4114" spans="1:4">
      <c r="A4114" s="122">
        <v>37076</v>
      </c>
      <c r="B4114" s="24">
        <v>0.51790000000000003</v>
      </c>
      <c r="C4114" s="24">
        <v>2749.7</v>
      </c>
      <c r="D4114" s="47">
        <f t="shared" si="64"/>
        <v>1424.06963</v>
      </c>
    </row>
    <row r="4115" spans="1:4">
      <c r="A4115" s="122">
        <v>37075</v>
      </c>
      <c r="B4115" s="24">
        <v>0.51759999999999995</v>
      </c>
      <c r="C4115" s="24">
        <v>2757.4</v>
      </c>
      <c r="D4115" s="47">
        <f t="shared" si="64"/>
        <v>1427.2302399999999</v>
      </c>
    </row>
    <row r="4116" spans="1:4">
      <c r="A4116" s="122">
        <v>37074</v>
      </c>
      <c r="B4116" s="24">
        <v>0.51100000000000001</v>
      </c>
      <c r="C4116" s="24">
        <v>2800.4</v>
      </c>
      <c r="D4116" s="47">
        <f t="shared" si="64"/>
        <v>1431.0044</v>
      </c>
    </row>
    <row r="4117" spans="1:4">
      <c r="A4117" s="122">
        <v>37071</v>
      </c>
      <c r="B4117" s="24">
        <v>0.5111</v>
      </c>
      <c r="C4117" s="24">
        <v>2755.6</v>
      </c>
      <c r="D4117" s="47">
        <f t="shared" si="64"/>
        <v>1408.38716</v>
      </c>
    </row>
    <row r="4118" spans="1:4">
      <c r="A4118" s="122">
        <v>37070</v>
      </c>
      <c r="B4118" s="24">
        <v>0.50639999999999996</v>
      </c>
      <c r="C4118" s="24">
        <v>2716.6</v>
      </c>
      <c r="D4118" s="47">
        <f t="shared" si="64"/>
        <v>1375.6862399999998</v>
      </c>
    </row>
    <row r="4119" spans="1:4">
      <c r="A4119" s="122">
        <v>37069</v>
      </c>
      <c r="B4119" s="24">
        <v>0.51880000000000004</v>
      </c>
      <c r="C4119" s="24">
        <v>2732.2</v>
      </c>
      <c r="D4119" s="47">
        <f t="shared" si="64"/>
        <v>1417.4653599999999</v>
      </c>
    </row>
    <row r="4120" spans="1:4">
      <c r="A4120" s="122">
        <v>37068</v>
      </c>
      <c r="B4120" s="24">
        <v>0.52129999999999999</v>
      </c>
      <c r="C4120" s="24">
        <v>2717.6</v>
      </c>
      <c r="D4120" s="47">
        <f t="shared" si="64"/>
        <v>1416.68488</v>
      </c>
    </row>
    <row r="4121" spans="1:4">
      <c r="A4121" s="122">
        <v>37067</v>
      </c>
      <c r="B4121" s="24">
        <v>0.51700000000000002</v>
      </c>
      <c r="C4121" s="24">
        <v>2689.8</v>
      </c>
      <c r="D4121" s="47">
        <f t="shared" si="64"/>
        <v>1390.6266000000001</v>
      </c>
    </row>
    <row r="4122" spans="1:4">
      <c r="A4122" s="122">
        <v>37064</v>
      </c>
      <c r="B4122" s="24">
        <v>0.51639999999999997</v>
      </c>
      <c r="C4122" s="24">
        <v>2669.6</v>
      </c>
      <c r="D4122" s="47">
        <f t="shared" si="64"/>
        <v>1378.5814399999999</v>
      </c>
    </row>
    <row r="4123" spans="1:4">
      <c r="A4123" s="122">
        <v>37063</v>
      </c>
      <c r="B4123" s="24">
        <v>0.51670000000000005</v>
      </c>
      <c r="C4123" s="24">
        <v>2667.8</v>
      </c>
      <c r="D4123" s="47">
        <f t="shared" si="64"/>
        <v>1378.4522600000003</v>
      </c>
    </row>
    <row r="4124" spans="1:4">
      <c r="A4124" s="122">
        <v>37062</v>
      </c>
      <c r="B4124" s="24">
        <v>0.51910000000000001</v>
      </c>
      <c r="C4124" s="24">
        <v>2659.8</v>
      </c>
      <c r="D4124" s="47">
        <f t="shared" si="64"/>
        <v>1380.70218</v>
      </c>
    </row>
    <row r="4125" spans="1:4">
      <c r="A4125" s="122">
        <v>37061</v>
      </c>
      <c r="B4125" s="24">
        <v>0.51959999999999995</v>
      </c>
      <c r="C4125" s="24">
        <v>2666.2</v>
      </c>
      <c r="D4125" s="47">
        <f t="shared" si="64"/>
        <v>1385.3575199999998</v>
      </c>
    </row>
    <row r="4126" spans="1:4">
      <c r="A4126" s="122">
        <v>37060</v>
      </c>
      <c r="B4126" s="24">
        <v>0.52259999999999995</v>
      </c>
      <c r="C4126" s="24">
        <v>2641.2</v>
      </c>
      <c r="D4126" s="47">
        <f t="shared" si="64"/>
        <v>1380.2911199999999</v>
      </c>
    </row>
    <row r="4127" spans="1:4">
      <c r="A4127" s="122">
        <v>37057</v>
      </c>
      <c r="B4127" s="24">
        <v>0.52449999999999997</v>
      </c>
      <c r="C4127" s="24">
        <v>2652.3</v>
      </c>
      <c r="D4127" s="47">
        <f t="shared" si="64"/>
        <v>1391.1313500000001</v>
      </c>
    </row>
    <row r="4128" spans="1:4">
      <c r="A4128" s="122">
        <v>37056</v>
      </c>
      <c r="B4128" s="24">
        <v>0.52749999999999997</v>
      </c>
      <c r="C4128" s="24">
        <v>2640</v>
      </c>
      <c r="D4128" s="47">
        <f t="shared" si="64"/>
        <v>1392.6</v>
      </c>
    </row>
    <row r="4129" spans="1:4">
      <c r="A4129" s="122">
        <v>37055</v>
      </c>
      <c r="B4129" s="24">
        <v>0.52939999999999998</v>
      </c>
      <c r="C4129" s="24">
        <v>2602.6999999999998</v>
      </c>
      <c r="D4129" s="47">
        <f t="shared" si="64"/>
        <v>1377.8693799999999</v>
      </c>
    </row>
    <row r="4130" spans="1:4">
      <c r="A4130" s="122">
        <v>37054</v>
      </c>
      <c r="B4130" s="24">
        <v>0.52449999999999997</v>
      </c>
      <c r="C4130" s="24">
        <v>2596.6</v>
      </c>
      <c r="D4130" s="47">
        <f t="shared" si="64"/>
        <v>1361.9166999999998</v>
      </c>
    </row>
    <row r="4131" spans="1:4">
      <c r="A4131" s="122">
        <v>37053</v>
      </c>
      <c r="B4131" s="24">
        <v>0.52159999999999995</v>
      </c>
      <c r="C4131" s="24">
        <v>2586.9</v>
      </c>
      <c r="D4131" s="47">
        <f t="shared" si="64"/>
        <v>1349.3270399999999</v>
      </c>
    </row>
    <row r="4132" spans="1:4">
      <c r="A4132" s="122">
        <v>37050</v>
      </c>
      <c r="B4132" s="24">
        <v>0.52480000000000004</v>
      </c>
      <c r="C4132" s="24">
        <v>2636.7</v>
      </c>
      <c r="D4132" s="47">
        <f t="shared" si="64"/>
        <v>1383.7401600000001</v>
      </c>
    </row>
    <row r="4133" spans="1:4">
      <c r="A4133" s="122">
        <v>37049</v>
      </c>
      <c r="B4133" s="24">
        <v>0.51939999999999997</v>
      </c>
      <c r="C4133" s="24">
        <v>2671</v>
      </c>
      <c r="D4133" s="47">
        <f t="shared" si="64"/>
        <v>1387.3173999999999</v>
      </c>
    </row>
    <row r="4134" spans="1:4">
      <c r="A4134" s="122">
        <v>37048</v>
      </c>
      <c r="B4134" s="24">
        <v>0.51590000000000003</v>
      </c>
      <c r="C4134" s="24">
        <v>2655.5</v>
      </c>
      <c r="D4134" s="47">
        <f t="shared" si="64"/>
        <v>1369.97245</v>
      </c>
    </row>
    <row r="4135" spans="1:4">
      <c r="A4135" s="122">
        <v>37047</v>
      </c>
      <c r="B4135" s="24">
        <v>0.50970000000000004</v>
      </c>
      <c r="C4135" s="24">
        <v>2673.1</v>
      </c>
      <c r="D4135" s="47">
        <f t="shared" si="64"/>
        <v>1362.4790700000001</v>
      </c>
    </row>
    <row r="4136" spans="1:4">
      <c r="A4136" s="122">
        <v>37046</v>
      </c>
      <c r="B4136" s="24">
        <v>0.50780000000000003</v>
      </c>
      <c r="C4136" s="24">
        <v>2657.5</v>
      </c>
      <c r="D4136" s="47">
        <f t="shared" si="64"/>
        <v>1349.4785000000002</v>
      </c>
    </row>
    <row r="4137" spans="1:4">
      <c r="A4137" s="122">
        <v>37043</v>
      </c>
      <c r="B4137" s="24">
        <v>0.50860000000000005</v>
      </c>
      <c r="C4137" s="24">
        <v>2637.1</v>
      </c>
      <c r="D4137" s="47">
        <f t="shared" si="64"/>
        <v>1341.2290600000001</v>
      </c>
    </row>
    <row r="4138" spans="1:4">
      <c r="A4138" s="122">
        <v>37042</v>
      </c>
      <c r="B4138" s="24">
        <v>0.50639999999999996</v>
      </c>
      <c r="C4138" s="24">
        <v>2630.4</v>
      </c>
      <c r="D4138" s="47">
        <f t="shared" si="64"/>
        <v>1332.0345600000001</v>
      </c>
    </row>
    <row r="4139" spans="1:4">
      <c r="A4139" s="122">
        <v>37041</v>
      </c>
      <c r="B4139" s="24">
        <v>0.51249999999999996</v>
      </c>
      <c r="C4139" s="24">
        <v>2672.4</v>
      </c>
      <c r="D4139" s="47">
        <f t="shared" si="64"/>
        <v>1369.605</v>
      </c>
    </row>
    <row r="4140" spans="1:4">
      <c r="A4140" s="122">
        <v>37040</v>
      </c>
      <c r="B4140" s="24">
        <v>0.51729999999999998</v>
      </c>
      <c r="C4140" s="24">
        <v>2646</v>
      </c>
      <c r="D4140" s="47">
        <f t="shared" si="64"/>
        <v>1368.7757999999999</v>
      </c>
    </row>
    <row r="4141" spans="1:4">
      <c r="A4141" s="122">
        <v>37039</v>
      </c>
      <c r="B4141" s="24">
        <v>0.52029999999999998</v>
      </c>
      <c r="C4141" s="24">
        <v>2685.6</v>
      </c>
      <c r="D4141" s="47">
        <f t="shared" si="64"/>
        <v>1397.3176799999999</v>
      </c>
    </row>
    <row r="4142" spans="1:4">
      <c r="A4142" s="122">
        <v>37036</v>
      </c>
      <c r="B4142" s="24">
        <v>0.52029999999999998</v>
      </c>
      <c r="C4142" s="24">
        <v>2689.3</v>
      </c>
      <c r="D4142" s="47">
        <f t="shared" si="64"/>
        <v>1399.24279</v>
      </c>
    </row>
    <row r="4143" spans="1:4">
      <c r="A4143" s="122">
        <v>37035</v>
      </c>
      <c r="B4143" s="24">
        <v>0.51949999999999996</v>
      </c>
      <c r="C4143" s="24">
        <v>2691.4</v>
      </c>
      <c r="D4143" s="47">
        <f t="shared" si="64"/>
        <v>1398.1822999999999</v>
      </c>
    </row>
    <row r="4144" spans="1:4">
      <c r="A4144" s="122">
        <v>37034</v>
      </c>
      <c r="B4144" s="24">
        <v>0.51749999999999996</v>
      </c>
      <c r="C4144" s="24">
        <v>2668.8</v>
      </c>
      <c r="D4144" s="47">
        <f t="shared" si="64"/>
        <v>1381.104</v>
      </c>
    </row>
    <row r="4145" spans="1:4">
      <c r="A4145" s="122">
        <v>37033</v>
      </c>
      <c r="B4145" s="24">
        <v>0.52329999999999999</v>
      </c>
      <c r="C4145" s="24">
        <v>2677.5</v>
      </c>
      <c r="D4145" s="47">
        <f t="shared" si="64"/>
        <v>1401.1357499999999</v>
      </c>
    </row>
    <row r="4146" spans="1:4">
      <c r="A4146" s="122">
        <v>37032</v>
      </c>
      <c r="B4146" s="24">
        <v>0.52639999999999998</v>
      </c>
      <c r="C4146" s="24">
        <v>2664.9</v>
      </c>
      <c r="D4146" s="47">
        <f t="shared" si="64"/>
        <v>1402.8033599999999</v>
      </c>
    </row>
    <row r="4147" spans="1:4">
      <c r="A4147" s="122">
        <v>37029</v>
      </c>
      <c r="B4147" s="24">
        <v>0.52929999999999999</v>
      </c>
      <c r="C4147" s="24">
        <v>2619.1999999999998</v>
      </c>
      <c r="D4147" s="47">
        <f t="shared" si="64"/>
        <v>1386.3425599999998</v>
      </c>
    </row>
    <row r="4148" spans="1:4">
      <c r="A4148" s="122">
        <v>37028</v>
      </c>
      <c r="B4148" s="24">
        <v>0.52729999999999999</v>
      </c>
      <c r="C4148" s="24">
        <v>2597.8000000000002</v>
      </c>
      <c r="D4148" s="47">
        <f t="shared" si="64"/>
        <v>1369.8199400000001</v>
      </c>
    </row>
    <row r="4149" spans="1:4">
      <c r="A4149" s="122">
        <v>37027</v>
      </c>
      <c r="B4149" s="24">
        <v>0.52349999999999997</v>
      </c>
      <c r="C4149" s="24">
        <v>2591</v>
      </c>
      <c r="D4149" s="47">
        <f t="shared" si="64"/>
        <v>1356.3885</v>
      </c>
    </row>
    <row r="4150" spans="1:4">
      <c r="A4150" s="122">
        <v>37026</v>
      </c>
      <c r="B4150" s="24">
        <v>0.52110000000000001</v>
      </c>
      <c r="C4150" s="24">
        <v>2600</v>
      </c>
      <c r="D4150" s="47">
        <f t="shared" si="64"/>
        <v>1354.8600000000001</v>
      </c>
    </row>
    <row r="4151" spans="1:4">
      <c r="A4151" s="122">
        <v>37025</v>
      </c>
      <c r="B4151" s="24">
        <v>0.51929999999999998</v>
      </c>
      <c r="C4151" s="24">
        <v>2599.8000000000002</v>
      </c>
      <c r="D4151" s="47">
        <f t="shared" si="64"/>
        <v>1350.0761400000001</v>
      </c>
    </row>
    <row r="4152" spans="1:4">
      <c r="A4152" s="122">
        <v>37022</v>
      </c>
      <c r="B4152" s="24">
        <v>0.52129999999999999</v>
      </c>
      <c r="C4152" s="24">
        <v>2606.6</v>
      </c>
      <c r="D4152" s="47">
        <f t="shared" si="64"/>
        <v>1358.8205799999998</v>
      </c>
    </row>
    <row r="4153" spans="1:4">
      <c r="A4153" s="122">
        <v>37021</v>
      </c>
      <c r="B4153" s="24">
        <v>0.52349999999999997</v>
      </c>
      <c r="C4153" s="24">
        <v>2635.1</v>
      </c>
      <c r="D4153" s="47">
        <f t="shared" si="64"/>
        <v>1379.4748499999998</v>
      </c>
    </row>
    <row r="4154" spans="1:4">
      <c r="A4154" s="122">
        <v>37020</v>
      </c>
      <c r="B4154" s="24">
        <v>0.5242</v>
      </c>
      <c r="C4154" s="24">
        <v>2649.6</v>
      </c>
      <c r="D4154" s="47">
        <f t="shared" si="64"/>
        <v>1388.9203199999999</v>
      </c>
    </row>
    <row r="4155" spans="1:4">
      <c r="A4155" s="122">
        <v>37019</v>
      </c>
      <c r="B4155" s="24">
        <v>0.51600000000000001</v>
      </c>
      <c r="C4155" s="24">
        <v>2606</v>
      </c>
      <c r="D4155" s="47">
        <f t="shared" si="64"/>
        <v>1344.6960000000001</v>
      </c>
    </row>
    <row r="4156" spans="1:4">
      <c r="A4156" s="122">
        <v>37018</v>
      </c>
      <c r="B4156" s="24">
        <v>0.51759999999999995</v>
      </c>
      <c r="C4156" s="24">
        <v>2612.1</v>
      </c>
      <c r="D4156" s="47">
        <f t="shared" si="64"/>
        <v>1352.0229599999998</v>
      </c>
    </row>
    <row r="4157" spans="1:4">
      <c r="A4157" s="122">
        <v>37015</v>
      </c>
      <c r="B4157" s="24">
        <v>0.51839999999999997</v>
      </c>
      <c r="C4157" s="24">
        <v>2618.5</v>
      </c>
      <c r="D4157" s="47">
        <f t="shared" si="64"/>
        <v>1357.4304</v>
      </c>
    </row>
    <row r="4158" spans="1:4">
      <c r="A4158" s="122">
        <v>37014</v>
      </c>
      <c r="B4158" s="24">
        <v>0.51839999999999997</v>
      </c>
      <c r="C4158" s="24">
        <v>2593.6</v>
      </c>
      <c r="D4158" s="47">
        <f t="shared" si="64"/>
        <v>1344.5222399999998</v>
      </c>
    </row>
    <row r="4159" spans="1:4">
      <c r="A4159" s="122">
        <v>37013</v>
      </c>
      <c r="B4159" s="24">
        <v>0.52059999999999995</v>
      </c>
      <c r="C4159" s="24">
        <v>2601.4</v>
      </c>
      <c r="D4159" s="47">
        <f t="shared" si="64"/>
        <v>1354.2888399999999</v>
      </c>
    </row>
    <row r="4160" spans="1:4">
      <c r="A4160" s="122">
        <v>37012</v>
      </c>
      <c r="B4160" s="24">
        <v>0.51719999999999999</v>
      </c>
      <c r="C4160" s="24">
        <v>2596.1</v>
      </c>
      <c r="D4160" s="47">
        <f t="shared" si="64"/>
        <v>1342.7029199999999</v>
      </c>
    </row>
    <row r="4161" spans="1:4">
      <c r="A4161" s="122">
        <v>37011</v>
      </c>
      <c r="B4161" s="24">
        <v>0.51300000000000001</v>
      </c>
      <c r="C4161" s="24">
        <v>2589.6</v>
      </c>
      <c r="D4161" s="47">
        <f t="shared" si="64"/>
        <v>1328.4648</v>
      </c>
    </row>
    <row r="4162" spans="1:4">
      <c r="A4162" s="122">
        <v>37008</v>
      </c>
      <c r="B4162" s="24">
        <v>0.50939999999999996</v>
      </c>
      <c r="C4162" s="24">
        <v>2563</v>
      </c>
      <c r="D4162" s="47">
        <f t="shared" si="64"/>
        <v>1305.5921999999998</v>
      </c>
    </row>
    <row r="4163" spans="1:4">
      <c r="A4163" s="122">
        <v>37007</v>
      </c>
      <c r="B4163" s="24">
        <v>0.51039999999999996</v>
      </c>
      <c r="C4163" s="24">
        <v>2532.8000000000002</v>
      </c>
      <c r="D4163" s="47">
        <f t="shared" ref="D4163:D4226" si="65">C4163*B4163</f>
        <v>1292.7411199999999</v>
      </c>
    </row>
    <row r="4164" spans="1:4">
      <c r="A4164" s="122">
        <v>37006</v>
      </c>
      <c r="B4164" s="24">
        <v>0.50600000000000001</v>
      </c>
      <c r="C4164" s="24">
        <v>2533.1999999999998</v>
      </c>
      <c r="D4164" s="47">
        <f t="shared" si="65"/>
        <v>1281.7991999999999</v>
      </c>
    </row>
    <row r="4165" spans="1:4">
      <c r="A4165" s="122">
        <v>37005</v>
      </c>
      <c r="B4165" s="24">
        <v>0.50609999999999999</v>
      </c>
      <c r="C4165" s="24">
        <v>2501.6999999999998</v>
      </c>
      <c r="D4165" s="47">
        <f t="shared" si="65"/>
        <v>1266.1103699999999</v>
      </c>
    </row>
    <row r="4166" spans="1:4">
      <c r="A4166" s="122">
        <v>37004</v>
      </c>
      <c r="B4166" s="24">
        <v>0.50670000000000004</v>
      </c>
      <c r="C4166" s="24">
        <v>2484.6</v>
      </c>
      <c r="D4166" s="47">
        <f t="shared" si="65"/>
        <v>1258.9468200000001</v>
      </c>
    </row>
    <row r="4167" spans="1:4">
      <c r="A4167" s="122">
        <v>37001</v>
      </c>
      <c r="B4167" s="24">
        <v>0.5151</v>
      </c>
      <c r="C4167" s="24">
        <v>2467.3000000000002</v>
      </c>
      <c r="D4167" s="47">
        <f t="shared" si="65"/>
        <v>1270.9062300000001</v>
      </c>
    </row>
    <row r="4168" spans="1:4">
      <c r="A4168" s="122">
        <v>37000</v>
      </c>
      <c r="B4168" s="24">
        <v>0.51549999999999996</v>
      </c>
      <c r="C4168" s="24">
        <v>2464.4</v>
      </c>
      <c r="D4168" s="47">
        <f t="shared" si="65"/>
        <v>1270.3981999999999</v>
      </c>
    </row>
    <row r="4169" spans="1:4">
      <c r="A4169" s="122">
        <v>36999</v>
      </c>
      <c r="B4169" s="24">
        <v>0.50319999999999998</v>
      </c>
      <c r="C4169" s="24">
        <v>2464.1</v>
      </c>
      <c r="D4169" s="47">
        <f t="shared" si="65"/>
        <v>1239.9351199999999</v>
      </c>
    </row>
    <row r="4170" spans="1:4">
      <c r="A4170" s="122">
        <v>36998</v>
      </c>
      <c r="B4170" s="24">
        <v>0.50319999999999998</v>
      </c>
      <c r="C4170" s="24">
        <v>2434.9</v>
      </c>
      <c r="D4170" s="47">
        <f t="shared" si="65"/>
        <v>1225.2416800000001</v>
      </c>
    </row>
    <row r="4171" spans="1:4">
      <c r="A4171" s="122">
        <v>36997</v>
      </c>
      <c r="B4171" s="24">
        <v>0.51119999999999999</v>
      </c>
      <c r="C4171" s="24">
        <v>2435.1999999999998</v>
      </c>
      <c r="D4171" s="47">
        <f t="shared" si="65"/>
        <v>1244.8742399999999</v>
      </c>
    </row>
    <row r="4172" spans="1:4">
      <c r="A4172" s="122">
        <v>36994</v>
      </c>
      <c r="B4172" s="24">
        <v>0.50870000000000004</v>
      </c>
      <c r="C4172" s="24">
        <v>2432.3000000000002</v>
      </c>
      <c r="D4172" s="47">
        <f t="shared" si="65"/>
        <v>1237.3110100000001</v>
      </c>
    </row>
    <row r="4173" spans="1:4">
      <c r="A4173" s="122">
        <v>36993</v>
      </c>
      <c r="B4173" s="24">
        <v>0.50839999999999996</v>
      </c>
      <c r="C4173" s="24">
        <v>2377.9</v>
      </c>
      <c r="D4173" s="47">
        <f t="shared" si="65"/>
        <v>1208.92436</v>
      </c>
    </row>
    <row r="4174" spans="1:4">
      <c r="A4174" s="122">
        <v>36992</v>
      </c>
      <c r="B4174" s="24">
        <v>0.50270000000000004</v>
      </c>
      <c r="C4174" s="24">
        <v>2383</v>
      </c>
      <c r="D4174" s="47">
        <f t="shared" si="65"/>
        <v>1197.9341000000002</v>
      </c>
    </row>
    <row r="4175" spans="1:4">
      <c r="A4175" s="122">
        <v>36991</v>
      </c>
      <c r="B4175" s="24">
        <v>0.49590000000000001</v>
      </c>
      <c r="C4175" s="24">
        <v>2406.1</v>
      </c>
      <c r="D4175" s="47">
        <f t="shared" si="65"/>
        <v>1193.18499</v>
      </c>
    </row>
    <row r="4176" spans="1:4">
      <c r="A4176" s="122">
        <v>36990</v>
      </c>
      <c r="B4176" s="24">
        <v>0.4914</v>
      </c>
      <c r="C4176" s="24">
        <v>2416.4</v>
      </c>
      <c r="D4176" s="47">
        <f t="shared" si="65"/>
        <v>1187.41896</v>
      </c>
    </row>
    <row r="4177" spans="1:4">
      <c r="A4177" s="122">
        <v>36987</v>
      </c>
      <c r="B4177" s="24">
        <v>0.49780000000000002</v>
      </c>
      <c r="C4177" s="24">
        <v>2400.6</v>
      </c>
      <c r="D4177" s="47">
        <f t="shared" si="65"/>
        <v>1195.0186799999999</v>
      </c>
    </row>
    <row r="4178" spans="1:4">
      <c r="A4178" s="122">
        <v>36986</v>
      </c>
      <c r="B4178" s="24">
        <v>0.49</v>
      </c>
      <c r="C4178" s="24">
        <v>2412.6</v>
      </c>
      <c r="D4178" s="47">
        <f t="shared" si="65"/>
        <v>1182.174</v>
      </c>
    </row>
    <row r="4179" spans="1:4">
      <c r="A4179" s="122">
        <v>36985</v>
      </c>
      <c r="B4179" s="24">
        <v>0.48809999999999998</v>
      </c>
      <c r="C4179" s="24">
        <v>2451.9</v>
      </c>
      <c r="D4179" s="47">
        <f t="shared" si="65"/>
        <v>1196.7723900000001</v>
      </c>
    </row>
    <row r="4180" spans="1:4">
      <c r="A4180" s="122">
        <v>36984</v>
      </c>
      <c r="B4180" s="24">
        <v>0.48749999999999999</v>
      </c>
      <c r="C4180" s="24">
        <v>2401.5</v>
      </c>
      <c r="D4180" s="47">
        <f t="shared" si="65"/>
        <v>1170.73125</v>
      </c>
    </row>
    <row r="4181" spans="1:4">
      <c r="A4181" s="122">
        <v>36983</v>
      </c>
      <c r="B4181" s="24">
        <v>0.47870000000000001</v>
      </c>
      <c r="C4181" s="24">
        <v>2427.6</v>
      </c>
      <c r="D4181" s="47">
        <f t="shared" si="65"/>
        <v>1162.09212</v>
      </c>
    </row>
    <row r="4182" spans="1:4">
      <c r="A4182" s="122">
        <v>36980</v>
      </c>
      <c r="B4182" s="24">
        <v>0.4854</v>
      </c>
      <c r="C4182" s="24">
        <v>2449.1</v>
      </c>
      <c r="D4182" s="47">
        <f t="shared" si="65"/>
        <v>1188.79314</v>
      </c>
    </row>
    <row r="4183" spans="1:4">
      <c r="A4183" s="122">
        <v>36979</v>
      </c>
      <c r="B4183" s="24">
        <v>0.49419999999999997</v>
      </c>
      <c r="C4183" s="24">
        <v>2491.9</v>
      </c>
      <c r="D4183" s="47">
        <f t="shared" si="65"/>
        <v>1231.4969799999999</v>
      </c>
    </row>
    <row r="4184" spans="1:4">
      <c r="A4184" s="122">
        <v>36978</v>
      </c>
      <c r="B4184" s="24">
        <v>0.49320000000000003</v>
      </c>
      <c r="C4184" s="24">
        <v>2511.3000000000002</v>
      </c>
      <c r="D4184" s="47">
        <f t="shared" si="65"/>
        <v>1238.5731600000001</v>
      </c>
    </row>
    <row r="4185" spans="1:4">
      <c r="A4185" s="122">
        <v>36977</v>
      </c>
      <c r="B4185" s="24">
        <v>0.49869999999999998</v>
      </c>
      <c r="C4185" s="24">
        <v>2532.9</v>
      </c>
      <c r="D4185" s="47">
        <f t="shared" si="65"/>
        <v>1263.15723</v>
      </c>
    </row>
    <row r="4186" spans="1:4">
      <c r="A4186" s="122">
        <v>36976</v>
      </c>
      <c r="B4186" s="24">
        <v>0.49969999999999998</v>
      </c>
      <c r="C4186" s="24">
        <v>2528.1999999999998</v>
      </c>
      <c r="D4186" s="47">
        <f t="shared" si="65"/>
        <v>1263.3415399999999</v>
      </c>
    </row>
    <row r="4187" spans="1:4">
      <c r="A4187" s="122">
        <v>36973</v>
      </c>
      <c r="B4187" s="24">
        <v>0.49619999999999997</v>
      </c>
      <c r="C4187" s="24">
        <v>2504.6999999999998</v>
      </c>
      <c r="D4187" s="47">
        <f t="shared" si="65"/>
        <v>1242.8321399999998</v>
      </c>
    </row>
    <row r="4188" spans="1:4">
      <c r="A4188" s="122">
        <v>36972</v>
      </c>
      <c r="B4188" s="24">
        <v>0.49330000000000002</v>
      </c>
      <c r="C4188" s="24">
        <v>2560.4</v>
      </c>
      <c r="D4188" s="47">
        <f t="shared" si="65"/>
        <v>1263.0453200000002</v>
      </c>
    </row>
    <row r="4189" spans="1:4">
      <c r="A4189" s="122">
        <v>36971</v>
      </c>
      <c r="B4189" s="24">
        <v>0.49340000000000001</v>
      </c>
      <c r="C4189" s="24">
        <v>2516.3000000000002</v>
      </c>
      <c r="D4189" s="47">
        <f t="shared" si="65"/>
        <v>1241.54242</v>
      </c>
    </row>
    <row r="4190" spans="1:4">
      <c r="A4190" s="122">
        <v>36970</v>
      </c>
      <c r="B4190" s="24">
        <v>0.50119999999999998</v>
      </c>
      <c r="C4190" s="24">
        <v>2477.1</v>
      </c>
      <c r="D4190" s="47">
        <f t="shared" si="65"/>
        <v>1241.52252</v>
      </c>
    </row>
    <row r="4191" spans="1:4">
      <c r="A4191" s="122">
        <v>36969</v>
      </c>
      <c r="B4191" s="24">
        <v>0.49790000000000001</v>
      </c>
      <c r="C4191" s="24">
        <v>2463.6</v>
      </c>
      <c r="D4191" s="47">
        <f t="shared" si="65"/>
        <v>1226.62644</v>
      </c>
    </row>
    <row r="4192" spans="1:4">
      <c r="A4192" s="122">
        <v>36966</v>
      </c>
      <c r="B4192" s="24">
        <v>0.4945</v>
      </c>
      <c r="C4192" s="24">
        <v>2479</v>
      </c>
      <c r="D4192" s="47">
        <f t="shared" si="65"/>
        <v>1225.8654999999999</v>
      </c>
    </row>
    <row r="4193" spans="1:4">
      <c r="A4193" s="122">
        <v>36965</v>
      </c>
      <c r="B4193" s="24">
        <v>0.49159999999999998</v>
      </c>
      <c r="C4193" s="24">
        <v>2483.3000000000002</v>
      </c>
      <c r="D4193" s="47">
        <f t="shared" si="65"/>
        <v>1220.7902799999999</v>
      </c>
    </row>
    <row r="4194" spans="1:4">
      <c r="A4194" s="122">
        <v>36964</v>
      </c>
      <c r="B4194" s="24">
        <v>0.497</v>
      </c>
      <c r="C4194" s="24">
        <v>2494.8000000000002</v>
      </c>
      <c r="D4194" s="47">
        <f t="shared" si="65"/>
        <v>1239.9156</v>
      </c>
    </row>
    <row r="4195" spans="1:4">
      <c r="A4195" s="122">
        <v>36963</v>
      </c>
      <c r="B4195" s="24">
        <v>0.50280000000000002</v>
      </c>
      <c r="C4195" s="24">
        <v>2495.4</v>
      </c>
      <c r="D4195" s="47">
        <f t="shared" si="65"/>
        <v>1254.68712</v>
      </c>
    </row>
    <row r="4196" spans="1:4">
      <c r="A4196" s="122">
        <v>36962</v>
      </c>
      <c r="B4196" s="24">
        <v>0.50929999999999997</v>
      </c>
      <c r="C4196" s="24">
        <v>2446.6999999999998</v>
      </c>
      <c r="D4196" s="47">
        <f t="shared" si="65"/>
        <v>1246.1043099999999</v>
      </c>
    </row>
    <row r="4197" spans="1:4">
      <c r="A4197" s="122">
        <v>36959</v>
      </c>
      <c r="B4197" s="24">
        <v>0.50870000000000004</v>
      </c>
      <c r="C4197" s="24">
        <v>2402.8000000000002</v>
      </c>
      <c r="D4197" s="47">
        <f t="shared" si="65"/>
        <v>1222.3043600000001</v>
      </c>
    </row>
    <row r="4198" spans="1:4">
      <c r="A4198" s="122">
        <v>36958</v>
      </c>
      <c r="B4198" s="24">
        <v>0.51139999999999997</v>
      </c>
      <c r="C4198" s="24">
        <v>2464.8000000000002</v>
      </c>
      <c r="D4198" s="47">
        <f t="shared" si="65"/>
        <v>1260.49872</v>
      </c>
    </row>
    <row r="4199" spans="1:4">
      <c r="A4199" s="122">
        <v>36957</v>
      </c>
      <c r="B4199" s="24">
        <v>0.50980000000000003</v>
      </c>
      <c r="C4199" s="24">
        <v>2484.6</v>
      </c>
      <c r="D4199" s="47">
        <f t="shared" si="65"/>
        <v>1266.6490800000001</v>
      </c>
    </row>
    <row r="4200" spans="1:4">
      <c r="A4200" s="122">
        <v>36956</v>
      </c>
      <c r="B4200" s="24">
        <v>0.52039999999999997</v>
      </c>
      <c r="C4200" s="24">
        <v>2496.9</v>
      </c>
      <c r="D4200" s="47">
        <f t="shared" si="65"/>
        <v>1299.3867600000001</v>
      </c>
    </row>
    <row r="4201" spans="1:4">
      <c r="A4201" s="122">
        <v>36955</v>
      </c>
      <c r="B4201" s="24">
        <v>0.52210000000000001</v>
      </c>
      <c r="C4201" s="24">
        <v>2510.5</v>
      </c>
      <c r="D4201" s="47">
        <f t="shared" si="65"/>
        <v>1310.7320500000001</v>
      </c>
    </row>
    <row r="4202" spans="1:4">
      <c r="A4202" s="122">
        <v>36952</v>
      </c>
      <c r="B4202" s="24">
        <v>0.53010000000000002</v>
      </c>
      <c r="C4202" s="24">
        <v>2446.5</v>
      </c>
      <c r="D4202" s="47">
        <f t="shared" si="65"/>
        <v>1296.8896500000001</v>
      </c>
    </row>
    <row r="4203" spans="1:4">
      <c r="A4203" s="122">
        <v>36951</v>
      </c>
      <c r="B4203" s="24">
        <v>0.5272</v>
      </c>
      <c r="C4203" s="24">
        <v>2456.8000000000002</v>
      </c>
      <c r="D4203" s="47">
        <f t="shared" si="65"/>
        <v>1295.22496</v>
      </c>
    </row>
    <row r="4204" spans="1:4">
      <c r="A4204" s="122">
        <v>36950</v>
      </c>
      <c r="B4204" s="24">
        <v>0.52569999999999995</v>
      </c>
      <c r="C4204" s="24">
        <v>2459.8000000000002</v>
      </c>
      <c r="D4204" s="47">
        <f t="shared" si="65"/>
        <v>1293.1168599999999</v>
      </c>
    </row>
    <row r="4205" spans="1:4">
      <c r="A4205" s="122">
        <v>36949</v>
      </c>
      <c r="B4205" s="24">
        <v>0.52539999999999998</v>
      </c>
      <c r="C4205" s="24">
        <v>2405.1999999999998</v>
      </c>
      <c r="D4205" s="47">
        <f t="shared" si="65"/>
        <v>1263.6920799999998</v>
      </c>
    </row>
    <row r="4206" spans="1:4">
      <c r="A4206" s="122">
        <v>36948</v>
      </c>
      <c r="B4206" s="24">
        <v>0.5222</v>
      </c>
      <c r="C4206" s="24">
        <v>2430.1</v>
      </c>
      <c r="D4206" s="47">
        <f t="shared" si="65"/>
        <v>1268.9982199999999</v>
      </c>
    </row>
    <row r="4207" spans="1:4">
      <c r="A4207" s="122">
        <v>36945</v>
      </c>
      <c r="B4207" s="24">
        <v>0.52600000000000002</v>
      </c>
      <c r="C4207" s="24">
        <v>2470.6</v>
      </c>
      <c r="D4207" s="47">
        <f t="shared" si="65"/>
        <v>1299.5355999999999</v>
      </c>
    </row>
    <row r="4208" spans="1:4">
      <c r="A4208" s="122">
        <v>36944</v>
      </c>
      <c r="B4208" s="24">
        <v>0.52400000000000002</v>
      </c>
      <c r="C4208" s="24">
        <v>2512.5</v>
      </c>
      <c r="D4208" s="47">
        <f t="shared" si="65"/>
        <v>1316.55</v>
      </c>
    </row>
    <row r="4209" spans="1:4">
      <c r="A4209" s="122">
        <v>36943</v>
      </c>
      <c r="B4209" s="24">
        <v>0.52439999999999998</v>
      </c>
      <c r="C4209" s="24">
        <v>2562</v>
      </c>
      <c r="D4209" s="47">
        <f t="shared" si="65"/>
        <v>1343.5128</v>
      </c>
    </row>
    <row r="4210" spans="1:4">
      <c r="A4210" s="122">
        <v>36942</v>
      </c>
      <c r="B4210" s="24">
        <v>0.52339999999999998</v>
      </c>
      <c r="C4210" s="24">
        <v>2580.1999999999998</v>
      </c>
      <c r="D4210" s="47">
        <f t="shared" si="65"/>
        <v>1350.4766799999998</v>
      </c>
    </row>
    <row r="4211" spans="1:4">
      <c r="A4211" s="122">
        <v>36941</v>
      </c>
      <c r="B4211" s="24">
        <v>0.53029999999999999</v>
      </c>
      <c r="C4211" s="24">
        <v>2561.1999999999998</v>
      </c>
      <c r="D4211" s="47">
        <f t="shared" si="65"/>
        <v>1358.20436</v>
      </c>
    </row>
    <row r="4212" spans="1:4">
      <c r="A4212" s="122">
        <v>36938</v>
      </c>
      <c r="B4212" s="24">
        <v>0.52769999999999995</v>
      </c>
      <c r="C4212" s="24">
        <v>2594.4</v>
      </c>
      <c r="D4212" s="47">
        <f t="shared" si="65"/>
        <v>1369.0648799999999</v>
      </c>
    </row>
    <row r="4213" spans="1:4">
      <c r="A4213" s="122">
        <v>36937</v>
      </c>
      <c r="B4213" s="24">
        <v>0.52329999999999999</v>
      </c>
      <c r="C4213" s="24">
        <v>2618.6999999999998</v>
      </c>
      <c r="D4213" s="47">
        <f t="shared" si="65"/>
        <v>1370.3657099999998</v>
      </c>
    </row>
    <row r="4214" spans="1:4">
      <c r="A4214" s="122">
        <v>36936</v>
      </c>
      <c r="B4214" s="24">
        <v>0.52849999999999997</v>
      </c>
      <c r="C4214" s="24">
        <v>2600.6999999999998</v>
      </c>
      <c r="D4214" s="47">
        <f t="shared" si="65"/>
        <v>1374.4699499999999</v>
      </c>
    </row>
    <row r="4215" spans="1:4">
      <c r="A4215" s="122">
        <v>36935</v>
      </c>
      <c r="B4215" s="24">
        <v>0.53369999999999995</v>
      </c>
      <c r="C4215" s="24">
        <v>2530.9</v>
      </c>
      <c r="D4215" s="47">
        <f t="shared" si="65"/>
        <v>1350.7413299999998</v>
      </c>
    </row>
    <row r="4216" spans="1:4">
      <c r="A4216" s="122">
        <v>36934</v>
      </c>
      <c r="B4216" s="24">
        <v>0.53849999999999998</v>
      </c>
      <c r="C4216" s="24">
        <v>2493.5</v>
      </c>
      <c r="D4216" s="47">
        <f t="shared" si="65"/>
        <v>1342.7497499999999</v>
      </c>
    </row>
    <row r="4217" spans="1:4">
      <c r="A4217" s="122">
        <v>36931</v>
      </c>
      <c r="B4217" s="24">
        <v>0.53620000000000001</v>
      </c>
      <c r="C4217" s="24">
        <v>2529.3000000000002</v>
      </c>
      <c r="D4217" s="47">
        <f t="shared" si="65"/>
        <v>1356.2106600000002</v>
      </c>
    </row>
    <row r="4218" spans="1:4">
      <c r="A4218" s="122">
        <v>36930</v>
      </c>
      <c r="B4218" s="24">
        <v>0.53559999999999997</v>
      </c>
      <c r="C4218" s="24">
        <v>2504.8000000000002</v>
      </c>
      <c r="D4218" s="47">
        <f t="shared" si="65"/>
        <v>1341.57088</v>
      </c>
    </row>
    <row r="4219" spans="1:4">
      <c r="A4219" s="122">
        <v>36929</v>
      </c>
      <c r="B4219" s="24">
        <v>0.54590000000000005</v>
      </c>
      <c r="C4219" s="24">
        <v>2510.8000000000002</v>
      </c>
      <c r="D4219" s="47">
        <f t="shared" si="65"/>
        <v>1370.6457200000002</v>
      </c>
    </row>
    <row r="4220" spans="1:4">
      <c r="A4220" s="122">
        <v>36928</v>
      </c>
      <c r="B4220" s="24">
        <v>0.54830000000000001</v>
      </c>
      <c r="C4220" s="24">
        <v>2518.5</v>
      </c>
      <c r="D4220" s="47">
        <f t="shared" si="65"/>
        <v>1380.89355</v>
      </c>
    </row>
    <row r="4221" spans="1:4">
      <c r="A4221" s="122">
        <v>36927</v>
      </c>
      <c r="B4221" s="24">
        <v>0.54990000000000006</v>
      </c>
      <c r="C4221" s="24">
        <v>2554.4</v>
      </c>
      <c r="D4221" s="47">
        <f t="shared" si="65"/>
        <v>1404.6645600000002</v>
      </c>
    </row>
    <row r="4222" spans="1:4">
      <c r="A4222" s="122">
        <v>36924</v>
      </c>
      <c r="B4222" s="24">
        <v>0.55269999999999997</v>
      </c>
      <c r="C4222" s="24">
        <v>2554.6</v>
      </c>
      <c r="D4222" s="47">
        <f t="shared" si="65"/>
        <v>1411.92742</v>
      </c>
    </row>
    <row r="4223" spans="1:4">
      <c r="A4223" s="122">
        <v>36923</v>
      </c>
      <c r="B4223" s="24">
        <v>0.55269999999999997</v>
      </c>
      <c r="C4223" s="24">
        <v>2559.1</v>
      </c>
      <c r="D4223" s="47">
        <f t="shared" si="65"/>
        <v>1414.4145699999999</v>
      </c>
    </row>
    <row r="4224" spans="1:4">
      <c r="A4224" s="122">
        <v>36922</v>
      </c>
      <c r="B4224" s="24">
        <v>0.55049999999999999</v>
      </c>
      <c r="C4224" s="24">
        <v>2597.6</v>
      </c>
      <c r="D4224" s="47">
        <f t="shared" si="65"/>
        <v>1429.9787999999999</v>
      </c>
    </row>
    <row r="4225" spans="1:4">
      <c r="A4225" s="122">
        <v>36921</v>
      </c>
      <c r="B4225" s="24">
        <v>0.54779999999999995</v>
      </c>
      <c r="C4225" s="24">
        <v>2636.7</v>
      </c>
      <c r="D4225" s="47">
        <f t="shared" si="65"/>
        <v>1444.3842599999998</v>
      </c>
    </row>
    <row r="4226" spans="1:4">
      <c r="A4226" s="122">
        <v>36920</v>
      </c>
      <c r="B4226" s="24">
        <v>0.54259999999999997</v>
      </c>
      <c r="C4226" s="24">
        <v>2629</v>
      </c>
      <c r="D4226" s="47">
        <f t="shared" si="65"/>
        <v>1426.4954</v>
      </c>
    </row>
    <row r="4227" spans="1:4">
      <c r="A4227" s="122">
        <v>36917</v>
      </c>
      <c r="B4227" s="24">
        <v>0.54400000000000004</v>
      </c>
      <c r="C4227" s="24">
        <v>2661.3</v>
      </c>
      <c r="D4227" s="47">
        <f t="shared" ref="D4227:D4290" si="66">C4227*B4227</f>
        <v>1447.7472000000002</v>
      </c>
    </row>
    <row r="4228" spans="1:4">
      <c r="A4228" s="122">
        <v>36916</v>
      </c>
      <c r="B4228" s="24">
        <v>0.54620000000000002</v>
      </c>
      <c r="C4228" s="24">
        <v>2657.9</v>
      </c>
      <c r="D4228" s="47">
        <f t="shared" si="66"/>
        <v>1451.7449800000002</v>
      </c>
    </row>
    <row r="4229" spans="1:4">
      <c r="A4229" s="122">
        <v>36915</v>
      </c>
      <c r="B4229" s="24">
        <v>0.54249999999999998</v>
      </c>
      <c r="C4229" s="24">
        <v>2647.1</v>
      </c>
      <c r="D4229" s="47">
        <f t="shared" si="66"/>
        <v>1436.0517499999999</v>
      </c>
    </row>
    <row r="4230" spans="1:4">
      <c r="A4230" s="122">
        <v>36914</v>
      </c>
      <c r="B4230" s="24">
        <v>0.5514</v>
      </c>
      <c r="C4230" s="24">
        <v>2673.7</v>
      </c>
      <c r="D4230" s="47">
        <f t="shared" si="66"/>
        <v>1474.2781799999998</v>
      </c>
    </row>
    <row r="4231" spans="1:4">
      <c r="A4231" s="122">
        <v>36913</v>
      </c>
      <c r="B4231" s="24">
        <v>0.55720000000000003</v>
      </c>
      <c r="C4231" s="24">
        <v>2660.6</v>
      </c>
      <c r="D4231" s="47">
        <f t="shared" si="66"/>
        <v>1482.48632</v>
      </c>
    </row>
    <row r="4232" spans="1:4">
      <c r="A4232" s="122">
        <v>36910</v>
      </c>
      <c r="B4232" s="24">
        <v>0.55600000000000005</v>
      </c>
      <c r="C4232" s="24">
        <v>2689.8</v>
      </c>
      <c r="D4232" s="47">
        <f t="shared" si="66"/>
        <v>1495.5288000000003</v>
      </c>
    </row>
    <row r="4233" spans="1:4">
      <c r="A4233" s="122">
        <v>36909</v>
      </c>
      <c r="B4233" s="24">
        <v>0.55800000000000005</v>
      </c>
      <c r="C4233" s="24">
        <v>2696.4</v>
      </c>
      <c r="D4233" s="47">
        <f t="shared" si="66"/>
        <v>1504.5912000000003</v>
      </c>
    </row>
    <row r="4234" spans="1:4">
      <c r="A4234" s="122">
        <v>36908</v>
      </c>
      <c r="B4234" s="24">
        <v>0.55330000000000001</v>
      </c>
      <c r="C4234" s="24">
        <v>2711.1</v>
      </c>
      <c r="D4234" s="47">
        <f t="shared" si="66"/>
        <v>1500.0516299999999</v>
      </c>
    </row>
    <row r="4235" spans="1:4">
      <c r="A4235" s="122">
        <v>36907</v>
      </c>
      <c r="B4235" s="24">
        <v>0.55489999999999995</v>
      </c>
      <c r="C4235" s="24">
        <v>2733.6</v>
      </c>
      <c r="D4235" s="47">
        <f t="shared" si="66"/>
        <v>1516.8746399999998</v>
      </c>
    </row>
    <row r="4236" spans="1:4">
      <c r="A4236" s="122">
        <v>36906</v>
      </c>
      <c r="B4236" s="24">
        <v>0.55230000000000001</v>
      </c>
      <c r="C4236" s="24">
        <v>2733.2</v>
      </c>
      <c r="D4236" s="47">
        <f t="shared" si="66"/>
        <v>1509.5463599999998</v>
      </c>
    </row>
    <row r="4237" spans="1:4">
      <c r="A4237" s="122">
        <v>36903</v>
      </c>
      <c r="B4237" s="24">
        <v>0.55659999999999998</v>
      </c>
      <c r="C4237" s="24">
        <v>2758.9</v>
      </c>
      <c r="D4237" s="47">
        <f t="shared" si="66"/>
        <v>1535.60374</v>
      </c>
    </row>
    <row r="4238" spans="1:4">
      <c r="A4238" s="122">
        <v>36902</v>
      </c>
      <c r="B4238" s="24">
        <v>0.5605</v>
      </c>
      <c r="C4238" s="24">
        <v>2750.3</v>
      </c>
      <c r="D4238" s="47">
        <f t="shared" si="66"/>
        <v>1541.5431500000002</v>
      </c>
    </row>
    <row r="4239" spans="1:4">
      <c r="A4239" s="122">
        <v>36901</v>
      </c>
      <c r="B4239" s="24">
        <v>0.55500000000000005</v>
      </c>
      <c r="C4239" s="24">
        <v>2717.8</v>
      </c>
      <c r="D4239" s="47">
        <f t="shared" si="66"/>
        <v>1508.3790000000001</v>
      </c>
    </row>
    <row r="4240" spans="1:4">
      <c r="A4240" s="122">
        <v>36900</v>
      </c>
      <c r="B4240" s="24">
        <v>0.56430000000000002</v>
      </c>
      <c r="C4240" s="24">
        <v>2700</v>
      </c>
      <c r="D4240" s="47">
        <f t="shared" si="66"/>
        <v>1523.6100000000001</v>
      </c>
    </row>
    <row r="4241" spans="1:4">
      <c r="A4241" s="122">
        <v>36899</v>
      </c>
      <c r="B4241" s="24">
        <v>0.56740000000000002</v>
      </c>
      <c r="C4241" s="24">
        <v>2671.2</v>
      </c>
      <c r="D4241" s="47">
        <f t="shared" si="66"/>
        <v>1515.63888</v>
      </c>
    </row>
    <row r="4242" spans="1:4">
      <c r="A4242" s="122">
        <v>36896</v>
      </c>
      <c r="B4242" s="24">
        <v>0.57189999999999996</v>
      </c>
      <c r="C4242" s="24">
        <v>2703.7</v>
      </c>
      <c r="D4242" s="47">
        <f t="shared" si="66"/>
        <v>1546.2460299999998</v>
      </c>
    </row>
    <row r="4243" spans="1:4">
      <c r="A4243" s="122">
        <v>36895</v>
      </c>
      <c r="B4243" s="24">
        <v>0.56640000000000001</v>
      </c>
      <c r="C4243" s="24">
        <v>2739.9</v>
      </c>
      <c r="D4243" s="47">
        <f t="shared" si="66"/>
        <v>1551.8793600000001</v>
      </c>
    </row>
    <row r="4244" spans="1:4">
      <c r="A4244" s="122">
        <v>36894</v>
      </c>
      <c r="B4244" s="24">
        <v>0.55600000000000005</v>
      </c>
      <c r="C4244" s="24">
        <v>2725.7</v>
      </c>
      <c r="D4244" s="47">
        <f t="shared" si="66"/>
        <v>1515.4892</v>
      </c>
    </row>
    <row r="4245" spans="1:4">
      <c r="A4245" s="122">
        <v>36893</v>
      </c>
      <c r="B4245" s="24">
        <v>0.56000000000000005</v>
      </c>
      <c r="C4245" s="24">
        <v>2722.1</v>
      </c>
      <c r="D4245" s="47">
        <f t="shared" si="66"/>
        <v>1524.3760000000002</v>
      </c>
    </row>
    <row r="4246" spans="1:4">
      <c r="A4246" s="122">
        <v>36892</v>
      </c>
      <c r="B4246" s="24">
        <v>0.55889999999999995</v>
      </c>
      <c r="C4246" s="24">
        <v>2703.2</v>
      </c>
      <c r="D4246" s="47">
        <f t="shared" si="66"/>
        <v>1510.8184799999997</v>
      </c>
    </row>
    <row r="4247" spans="1:4">
      <c r="A4247" s="122">
        <v>36889</v>
      </c>
      <c r="B4247" s="24">
        <v>0.5585</v>
      </c>
      <c r="C4247" s="24">
        <v>2694.9</v>
      </c>
      <c r="D4247" s="47">
        <f t="shared" si="66"/>
        <v>1505.1016500000001</v>
      </c>
    </row>
    <row r="4248" spans="1:4">
      <c r="A4248" s="122">
        <v>36888</v>
      </c>
      <c r="B4248" s="24">
        <v>0.55349999999999999</v>
      </c>
      <c r="C4248" s="24">
        <v>2697.2</v>
      </c>
      <c r="D4248" s="47">
        <f t="shared" si="66"/>
        <v>1492.9001999999998</v>
      </c>
    </row>
    <row r="4249" spans="1:4">
      <c r="A4249" s="122">
        <v>36887</v>
      </c>
      <c r="B4249" s="24">
        <v>0.55840000000000001</v>
      </c>
      <c r="C4249" s="24">
        <v>2655.7</v>
      </c>
      <c r="D4249" s="47">
        <f t="shared" si="66"/>
        <v>1482.9428799999998</v>
      </c>
    </row>
    <row r="4250" spans="1:4">
      <c r="A4250" s="122">
        <v>36886</v>
      </c>
      <c r="B4250" s="24">
        <v>0.55810000000000004</v>
      </c>
      <c r="C4250" s="24">
        <v>2620.1</v>
      </c>
      <c r="D4250" s="47">
        <f t="shared" si="66"/>
        <v>1462.27781</v>
      </c>
    </row>
    <row r="4251" spans="1:4">
      <c r="A4251" s="122">
        <v>36885</v>
      </c>
      <c r="B4251" s="24">
        <v>0.55669999999999997</v>
      </c>
      <c r="C4251" s="24">
        <v>2570.8000000000002</v>
      </c>
      <c r="D4251" s="47">
        <f t="shared" si="66"/>
        <v>1431.16436</v>
      </c>
    </row>
    <row r="4252" spans="1:4">
      <c r="A4252" s="122">
        <v>36882</v>
      </c>
      <c r="B4252" s="24">
        <v>0.55620000000000003</v>
      </c>
      <c r="C4252" s="24">
        <v>2563.5</v>
      </c>
      <c r="D4252" s="47">
        <f t="shared" si="66"/>
        <v>1425.8187</v>
      </c>
    </row>
    <row r="4253" spans="1:4">
      <c r="A4253" s="122">
        <v>36881</v>
      </c>
      <c r="B4253" s="24">
        <v>0.5544</v>
      </c>
      <c r="C4253" s="24">
        <v>2546</v>
      </c>
      <c r="D4253" s="47">
        <f t="shared" si="66"/>
        <v>1411.5024000000001</v>
      </c>
    </row>
    <row r="4254" spans="1:4">
      <c r="A4254" s="122">
        <v>36880</v>
      </c>
      <c r="B4254" s="24">
        <v>0.55300000000000005</v>
      </c>
      <c r="C4254" s="24">
        <v>2550.6999999999998</v>
      </c>
      <c r="D4254" s="47">
        <f t="shared" si="66"/>
        <v>1410.5371</v>
      </c>
    </row>
    <row r="4255" spans="1:4">
      <c r="A4255" s="122">
        <v>36879</v>
      </c>
      <c r="B4255" s="24">
        <v>0.54490000000000005</v>
      </c>
      <c r="C4255" s="24">
        <v>2543.8000000000002</v>
      </c>
      <c r="D4255" s="47">
        <f t="shared" si="66"/>
        <v>1386.1166200000002</v>
      </c>
    </row>
    <row r="4256" spans="1:4">
      <c r="A4256" s="122">
        <v>36878</v>
      </c>
      <c r="B4256" s="24">
        <v>0.54210000000000003</v>
      </c>
      <c r="C4256" s="24">
        <v>2560.1</v>
      </c>
      <c r="D4256" s="47">
        <f t="shared" si="66"/>
        <v>1387.8302100000001</v>
      </c>
    </row>
    <row r="4257" spans="1:4">
      <c r="A4257" s="122">
        <v>36875</v>
      </c>
      <c r="B4257" s="24">
        <v>0.54520000000000002</v>
      </c>
      <c r="C4257" s="24">
        <v>2553.9</v>
      </c>
      <c r="D4257" s="47">
        <f t="shared" si="66"/>
        <v>1392.3862800000002</v>
      </c>
    </row>
    <row r="4258" spans="1:4">
      <c r="A4258" s="122">
        <v>36874</v>
      </c>
      <c r="B4258" s="24">
        <v>0.54379999999999995</v>
      </c>
      <c r="C4258" s="24">
        <v>2572.1</v>
      </c>
      <c r="D4258" s="47">
        <f t="shared" si="66"/>
        <v>1398.7079799999999</v>
      </c>
    </row>
    <row r="4259" spans="1:4">
      <c r="A4259" s="122">
        <v>36873</v>
      </c>
      <c r="B4259" s="24">
        <v>0.54</v>
      </c>
      <c r="C4259" s="24">
        <v>2507.1</v>
      </c>
      <c r="D4259" s="47">
        <f t="shared" si="66"/>
        <v>1353.8340000000001</v>
      </c>
    </row>
    <row r="4260" spans="1:4">
      <c r="A4260" s="122">
        <v>36872</v>
      </c>
      <c r="B4260" s="24">
        <v>0.54149999999999998</v>
      </c>
      <c r="C4260" s="24">
        <v>2487.8000000000002</v>
      </c>
      <c r="D4260" s="47">
        <f t="shared" si="66"/>
        <v>1347.1437000000001</v>
      </c>
    </row>
    <row r="4261" spans="1:4">
      <c r="A4261" s="122">
        <v>36871</v>
      </c>
      <c r="B4261" s="24">
        <v>0.54</v>
      </c>
      <c r="C4261" s="24">
        <v>2550.6</v>
      </c>
      <c r="D4261" s="47">
        <f t="shared" si="66"/>
        <v>1377.3240000000001</v>
      </c>
    </row>
    <row r="4262" spans="1:4">
      <c r="A4262" s="122">
        <v>36868</v>
      </c>
      <c r="B4262" s="24">
        <v>0.54569999999999996</v>
      </c>
      <c r="C4262" s="24">
        <v>2516.5</v>
      </c>
      <c r="D4262" s="47">
        <f t="shared" si="66"/>
        <v>1373.25405</v>
      </c>
    </row>
    <row r="4263" spans="1:4">
      <c r="A4263" s="122">
        <v>36867</v>
      </c>
      <c r="B4263" s="24">
        <v>0.54700000000000004</v>
      </c>
      <c r="C4263" s="24">
        <v>2501.3000000000002</v>
      </c>
      <c r="D4263" s="47">
        <f t="shared" si="66"/>
        <v>1368.2111000000002</v>
      </c>
    </row>
    <row r="4264" spans="1:4">
      <c r="A4264" s="122">
        <v>36866</v>
      </c>
      <c r="B4264" s="24">
        <v>0.54820000000000002</v>
      </c>
      <c r="C4264" s="24">
        <v>2537.1</v>
      </c>
      <c r="D4264" s="47">
        <f t="shared" si="66"/>
        <v>1390.8382200000001</v>
      </c>
    </row>
    <row r="4265" spans="1:4">
      <c r="A4265" s="122">
        <v>36865</v>
      </c>
      <c r="B4265" s="24">
        <v>0.53959999999999997</v>
      </c>
      <c r="C4265" s="24">
        <v>2567.1999999999998</v>
      </c>
      <c r="D4265" s="47">
        <f t="shared" si="66"/>
        <v>1385.2611199999999</v>
      </c>
    </row>
    <row r="4266" spans="1:4">
      <c r="A4266" s="122">
        <v>36864</v>
      </c>
      <c r="B4266" s="24">
        <v>0.54300000000000004</v>
      </c>
      <c r="C4266" s="24">
        <v>2584.9</v>
      </c>
      <c r="D4266" s="47">
        <f t="shared" si="66"/>
        <v>1403.6007000000002</v>
      </c>
    </row>
    <row r="4267" spans="1:4">
      <c r="A4267" s="122">
        <v>36861</v>
      </c>
      <c r="B4267" s="24">
        <v>0.53859999999999997</v>
      </c>
      <c r="C4267" s="24">
        <v>2600.8000000000002</v>
      </c>
      <c r="D4267" s="47">
        <f t="shared" si="66"/>
        <v>1400.79088</v>
      </c>
    </row>
    <row r="4268" spans="1:4">
      <c r="A4268" s="122">
        <v>36860</v>
      </c>
      <c r="B4268" s="24">
        <v>0.52839999999999998</v>
      </c>
      <c r="C4268" s="24">
        <v>2604.6</v>
      </c>
      <c r="D4268" s="47">
        <f t="shared" si="66"/>
        <v>1376.27064</v>
      </c>
    </row>
    <row r="4269" spans="1:4">
      <c r="A4269" s="122">
        <v>36859</v>
      </c>
      <c r="B4269" s="24">
        <v>0.52149999999999996</v>
      </c>
      <c r="C4269" s="24">
        <v>2613.9</v>
      </c>
      <c r="D4269" s="47">
        <f t="shared" si="66"/>
        <v>1363.14885</v>
      </c>
    </row>
    <row r="4270" spans="1:4">
      <c r="A4270" s="122">
        <v>36858</v>
      </c>
      <c r="B4270" s="24">
        <v>0.52210000000000001</v>
      </c>
      <c r="C4270" s="24">
        <v>2631.5</v>
      </c>
      <c r="D4270" s="47">
        <f t="shared" si="66"/>
        <v>1373.90615</v>
      </c>
    </row>
    <row r="4271" spans="1:4">
      <c r="A4271" s="122">
        <v>36857</v>
      </c>
      <c r="B4271" s="24">
        <v>0.52659999999999996</v>
      </c>
      <c r="C4271" s="24">
        <v>2655.3</v>
      </c>
      <c r="D4271" s="47">
        <f t="shared" si="66"/>
        <v>1398.28098</v>
      </c>
    </row>
    <row r="4272" spans="1:4">
      <c r="A4272" s="122">
        <v>36854</v>
      </c>
      <c r="B4272" s="24">
        <v>0.5232</v>
      </c>
      <c r="C4272" s="24">
        <v>2654.5</v>
      </c>
      <c r="D4272" s="47">
        <f t="shared" si="66"/>
        <v>1388.8344</v>
      </c>
    </row>
    <row r="4273" spans="1:4">
      <c r="A4273" s="122">
        <v>36853</v>
      </c>
      <c r="B4273" s="24">
        <v>0.52200000000000002</v>
      </c>
      <c r="C4273" s="24">
        <v>2625.6</v>
      </c>
      <c r="D4273" s="47">
        <f t="shared" si="66"/>
        <v>1370.5632000000001</v>
      </c>
    </row>
    <row r="4274" spans="1:4">
      <c r="A4274" s="122">
        <v>36852</v>
      </c>
      <c r="B4274" s="24">
        <v>0.52539999999999998</v>
      </c>
      <c r="C4274" s="24">
        <v>2673.4</v>
      </c>
      <c r="D4274" s="47">
        <f t="shared" si="66"/>
        <v>1404.60436</v>
      </c>
    </row>
    <row r="4275" spans="1:4">
      <c r="A4275" s="122">
        <v>36851</v>
      </c>
      <c r="B4275" s="24">
        <v>0.50990000000000002</v>
      </c>
      <c r="C4275" s="24">
        <v>2668.8</v>
      </c>
      <c r="D4275" s="47">
        <f t="shared" si="66"/>
        <v>1360.8211200000001</v>
      </c>
    </row>
    <row r="4276" spans="1:4">
      <c r="A4276" s="122">
        <v>36850</v>
      </c>
      <c r="B4276" s="24">
        <v>0.51439999999999997</v>
      </c>
      <c r="C4276" s="24">
        <v>2664.1</v>
      </c>
      <c r="D4276" s="47">
        <f t="shared" si="66"/>
        <v>1370.4130399999999</v>
      </c>
    </row>
    <row r="4277" spans="1:4">
      <c r="A4277" s="122">
        <v>36847</v>
      </c>
      <c r="B4277" s="24">
        <v>0.51849999999999996</v>
      </c>
      <c r="C4277" s="24">
        <v>2673.7</v>
      </c>
      <c r="D4277" s="47">
        <f t="shared" si="66"/>
        <v>1386.3134499999999</v>
      </c>
    </row>
    <row r="4278" spans="1:4">
      <c r="A4278" s="122">
        <v>36846</v>
      </c>
      <c r="B4278" s="24">
        <v>0.52049999999999996</v>
      </c>
      <c r="C4278" s="24">
        <v>2661.5</v>
      </c>
      <c r="D4278" s="47">
        <f t="shared" si="66"/>
        <v>1385.3107499999999</v>
      </c>
    </row>
    <row r="4279" spans="1:4">
      <c r="A4279" s="122">
        <v>36845</v>
      </c>
      <c r="B4279" s="24">
        <v>0.52059999999999995</v>
      </c>
      <c r="C4279" s="24">
        <v>2681.5</v>
      </c>
      <c r="D4279" s="47">
        <f t="shared" si="66"/>
        <v>1395.9888999999998</v>
      </c>
    </row>
    <row r="4280" spans="1:4">
      <c r="A4280" s="122">
        <v>36844</v>
      </c>
      <c r="B4280" s="24">
        <v>0.51900000000000002</v>
      </c>
      <c r="C4280" s="24">
        <v>2671.3</v>
      </c>
      <c r="D4280" s="47">
        <f t="shared" si="66"/>
        <v>1386.4047</v>
      </c>
    </row>
    <row r="4281" spans="1:4">
      <c r="A4281" s="122">
        <v>36843</v>
      </c>
      <c r="B4281" s="24">
        <v>0.51949999999999996</v>
      </c>
      <c r="C4281" s="24">
        <v>2706.4</v>
      </c>
      <c r="D4281" s="47">
        <f t="shared" si="66"/>
        <v>1405.9748</v>
      </c>
    </row>
    <row r="4282" spans="1:4">
      <c r="A4282" s="122">
        <v>36840</v>
      </c>
      <c r="B4282" s="24">
        <v>0.51919999999999999</v>
      </c>
      <c r="C4282" s="24">
        <v>2701.8</v>
      </c>
      <c r="D4282" s="47">
        <f t="shared" si="66"/>
        <v>1402.7745600000001</v>
      </c>
    </row>
    <row r="4283" spans="1:4">
      <c r="A4283" s="122">
        <v>36839</v>
      </c>
      <c r="B4283" s="24">
        <v>0.52700000000000002</v>
      </c>
      <c r="C4283" s="24">
        <v>2717.2</v>
      </c>
      <c r="D4283" s="47">
        <f t="shared" si="66"/>
        <v>1431.9644000000001</v>
      </c>
    </row>
    <row r="4284" spans="1:4">
      <c r="A4284" s="122">
        <v>36838</v>
      </c>
      <c r="B4284" s="24">
        <v>0.52610000000000001</v>
      </c>
      <c r="C4284" s="24">
        <v>2729.8</v>
      </c>
      <c r="D4284" s="47">
        <f t="shared" si="66"/>
        <v>1436.1477800000002</v>
      </c>
    </row>
    <row r="4285" spans="1:4">
      <c r="A4285" s="122">
        <v>36837</v>
      </c>
      <c r="B4285" s="24">
        <v>0.52849999999999997</v>
      </c>
      <c r="C4285" s="24">
        <v>2740.8</v>
      </c>
      <c r="D4285" s="47">
        <f t="shared" si="66"/>
        <v>1448.5128</v>
      </c>
    </row>
    <row r="4286" spans="1:4">
      <c r="A4286" s="122">
        <v>36836</v>
      </c>
      <c r="B4286" s="24">
        <v>0.52749999999999997</v>
      </c>
      <c r="C4286" s="24">
        <v>2723.6</v>
      </c>
      <c r="D4286" s="47">
        <f t="shared" si="66"/>
        <v>1436.6989999999998</v>
      </c>
    </row>
    <row r="4287" spans="1:4">
      <c r="A4287" s="122">
        <v>36833</v>
      </c>
      <c r="B4287" s="24">
        <v>0.52600000000000002</v>
      </c>
      <c r="C4287" s="24">
        <v>2724.6</v>
      </c>
      <c r="D4287" s="47">
        <f t="shared" si="66"/>
        <v>1433.1396</v>
      </c>
    </row>
    <row r="4288" spans="1:4">
      <c r="A4288" s="122">
        <v>36832</v>
      </c>
      <c r="B4288" s="24">
        <v>0.52049999999999996</v>
      </c>
      <c r="C4288" s="24">
        <v>2730.7</v>
      </c>
      <c r="D4288" s="47">
        <f t="shared" si="66"/>
        <v>1421.3293499999997</v>
      </c>
    </row>
    <row r="4289" spans="1:4">
      <c r="A4289" s="122">
        <v>36831</v>
      </c>
      <c r="B4289" s="24">
        <v>0.52580000000000005</v>
      </c>
      <c r="C4289" s="24">
        <v>2745.2</v>
      </c>
      <c r="D4289" s="47">
        <f t="shared" si="66"/>
        <v>1443.42616</v>
      </c>
    </row>
    <row r="4290" spans="1:4">
      <c r="A4290" s="122">
        <v>36830</v>
      </c>
      <c r="B4290" s="24">
        <v>0.51910000000000001</v>
      </c>
      <c r="C4290" s="24">
        <v>2754.8</v>
      </c>
      <c r="D4290" s="47">
        <f t="shared" si="66"/>
        <v>1430.0166800000002</v>
      </c>
    </row>
    <row r="4291" spans="1:4">
      <c r="A4291" s="122">
        <v>36829</v>
      </c>
      <c r="B4291" s="24">
        <v>0.52290000000000003</v>
      </c>
      <c r="C4291" s="24">
        <v>2745.9</v>
      </c>
      <c r="D4291" s="47">
        <f t="shared" ref="D4291:D4354" si="67">C4291*B4291</f>
        <v>1435.8311100000001</v>
      </c>
    </row>
    <row r="4292" spans="1:4">
      <c r="A4292" s="122">
        <v>36826</v>
      </c>
      <c r="B4292" s="24">
        <v>0.52300000000000002</v>
      </c>
      <c r="C4292" s="24">
        <v>2709</v>
      </c>
      <c r="D4292" s="47">
        <f t="shared" si="67"/>
        <v>1416.807</v>
      </c>
    </row>
    <row r="4293" spans="1:4">
      <c r="A4293" s="122">
        <v>36825</v>
      </c>
      <c r="B4293" s="24">
        <v>0.5202</v>
      </c>
      <c r="C4293" s="24">
        <v>2695.8</v>
      </c>
      <c r="D4293" s="47">
        <f t="shared" si="67"/>
        <v>1402.3551600000001</v>
      </c>
    </row>
    <row r="4294" spans="1:4">
      <c r="A4294" s="122">
        <v>36824</v>
      </c>
      <c r="B4294" s="24">
        <v>0.52010000000000001</v>
      </c>
      <c r="C4294" s="24">
        <v>2727.3</v>
      </c>
      <c r="D4294" s="47">
        <f t="shared" si="67"/>
        <v>1418.4687300000001</v>
      </c>
    </row>
    <row r="4295" spans="1:4">
      <c r="A4295" s="122">
        <v>36823</v>
      </c>
      <c r="B4295" s="24">
        <v>0.52510000000000001</v>
      </c>
      <c r="C4295" s="24">
        <v>2765.9</v>
      </c>
      <c r="D4295" s="47">
        <f t="shared" si="67"/>
        <v>1452.37409</v>
      </c>
    </row>
    <row r="4296" spans="1:4">
      <c r="A4296" s="122">
        <v>36822</v>
      </c>
      <c r="B4296" s="24">
        <v>0.52629999999999999</v>
      </c>
      <c r="C4296" s="24">
        <v>2803.9</v>
      </c>
      <c r="D4296" s="47">
        <f t="shared" si="67"/>
        <v>1475.6925699999999</v>
      </c>
    </row>
    <row r="4297" spans="1:4">
      <c r="A4297" s="122">
        <v>36819</v>
      </c>
      <c r="B4297" s="24">
        <v>0.52890000000000004</v>
      </c>
      <c r="C4297" s="24">
        <v>2828.2</v>
      </c>
      <c r="D4297" s="47">
        <f t="shared" si="67"/>
        <v>1495.8349800000001</v>
      </c>
    </row>
    <row r="4298" spans="1:4">
      <c r="A4298" s="122">
        <v>36818</v>
      </c>
      <c r="B4298" s="24">
        <v>0.52159999999999995</v>
      </c>
      <c r="C4298" s="24">
        <v>2805.8</v>
      </c>
      <c r="D4298" s="47">
        <f t="shared" si="67"/>
        <v>1463.5052799999999</v>
      </c>
    </row>
    <row r="4299" spans="1:4">
      <c r="A4299" s="122">
        <v>36817</v>
      </c>
      <c r="B4299" s="24">
        <v>0.52029999999999998</v>
      </c>
      <c r="C4299" s="24">
        <v>2815.3</v>
      </c>
      <c r="D4299" s="47">
        <f t="shared" si="67"/>
        <v>1464.8005900000001</v>
      </c>
    </row>
    <row r="4300" spans="1:4">
      <c r="A4300" s="122">
        <v>36816</v>
      </c>
      <c r="B4300" s="24">
        <v>0.52010000000000001</v>
      </c>
      <c r="C4300" s="24">
        <v>2822</v>
      </c>
      <c r="D4300" s="47">
        <f t="shared" si="67"/>
        <v>1467.7221999999999</v>
      </c>
    </row>
    <row r="4301" spans="1:4">
      <c r="A4301" s="122">
        <v>36815</v>
      </c>
      <c r="B4301" s="24">
        <v>0.52210000000000001</v>
      </c>
      <c r="C4301" s="24">
        <v>2817.8</v>
      </c>
      <c r="D4301" s="47">
        <f t="shared" si="67"/>
        <v>1471.1733800000002</v>
      </c>
    </row>
    <row r="4302" spans="1:4">
      <c r="A4302" s="122">
        <v>36812</v>
      </c>
      <c r="B4302" s="24">
        <v>0.52849999999999997</v>
      </c>
      <c r="C4302" s="24">
        <v>2826.3</v>
      </c>
      <c r="D4302" s="47">
        <f t="shared" si="67"/>
        <v>1493.69955</v>
      </c>
    </row>
    <row r="4303" spans="1:4">
      <c r="A4303" s="122">
        <v>36811</v>
      </c>
      <c r="B4303" s="24">
        <v>0.53110000000000002</v>
      </c>
      <c r="C4303" s="24">
        <v>2815.6</v>
      </c>
      <c r="D4303" s="47">
        <f t="shared" si="67"/>
        <v>1495.3651600000001</v>
      </c>
    </row>
    <row r="4304" spans="1:4">
      <c r="A4304" s="122">
        <v>36810</v>
      </c>
      <c r="B4304" s="24">
        <v>0.53400000000000003</v>
      </c>
      <c r="C4304" s="24">
        <v>2785.4</v>
      </c>
      <c r="D4304" s="47">
        <f t="shared" si="67"/>
        <v>1487.4036000000001</v>
      </c>
    </row>
    <row r="4305" spans="1:4">
      <c r="A4305" s="122">
        <v>36809</v>
      </c>
      <c r="B4305" s="24">
        <v>0.53439999999999999</v>
      </c>
      <c r="C4305" s="24">
        <v>2753.6</v>
      </c>
      <c r="D4305" s="47">
        <f t="shared" si="67"/>
        <v>1471.5238399999998</v>
      </c>
    </row>
    <row r="4306" spans="1:4">
      <c r="A4306" s="122">
        <v>36808</v>
      </c>
      <c r="B4306" s="24">
        <v>0.53639999999999999</v>
      </c>
      <c r="C4306" s="24">
        <v>2761.1</v>
      </c>
      <c r="D4306" s="47">
        <f t="shared" si="67"/>
        <v>1481.05404</v>
      </c>
    </row>
    <row r="4307" spans="1:4">
      <c r="A4307" s="122">
        <v>36805</v>
      </c>
      <c r="B4307" s="24">
        <v>0.53349999999999997</v>
      </c>
      <c r="C4307" s="24">
        <v>2739.3</v>
      </c>
      <c r="D4307" s="47">
        <f t="shared" si="67"/>
        <v>1461.4165499999999</v>
      </c>
    </row>
    <row r="4308" spans="1:4">
      <c r="A4308" s="122">
        <v>36804</v>
      </c>
      <c r="B4308" s="24">
        <v>0.53420000000000001</v>
      </c>
      <c r="C4308" s="24">
        <v>2741.8</v>
      </c>
      <c r="D4308" s="47">
        <f t="shared" si="67"/>
        <v>1464.66956</v>
      </c>
    </row>
    <row r="4309" spans="1:4">
      <c r="A4309" s="122">
        <v>36803</v>
      </c>
      <c r="B4309" s="24">
        <v>0.53749999999999998</v>
      </c>
      <c r="C4309" s="24">
        <v>2717.7</v>
      </c>
      <c r="D4309" s="47">
        <f t="shared" si="67"/>
        <v>1460.7637499999998</v>
      </c>
    </row>
    <row r="4310" spans="1:4">
      <c r="A4310" s="122">
        <v>36802</v>
      </c>
      <c r="B4310" s="24">
        <v>0.54</v>
      </c>
      <c r="C4310" s="24">
        <v>2699.9</v>
      </c>
      <c r="D4310" s="47">
        <f t="shared" si="67"/>
        <v>1457.9460000000001</v>
      </c>
    </row>
    <row r="4311" spans="1:4">
      <c r="A4311" s="122">
        <v>36801</v>
      </c>
      <c r="B4311" s="24">
        <v>0.54630000000000001</v>
      </c>
      <c r="C4311" s="24">
        <v>2694.1</v>
      </c>
      <c r="D4311" s="47">
        <f t="shared" si="67"/>
        <v>1471.78683</v>
      </c>
    </row>
    <row r="4312" spans="1:4">
      <c r="A4312" s="122">
        <v>36798</v>
      </c>
      <c r="B4312" s="24">
        <v>0.54249999999999998</v>
      </c>
      <c r="C4312" s="24">
        <v>2686</v>
      </c>
      <c r="D4312" s="47">
        <f t="shared" si="67"/>
        <v>1457.155</v>
      </c>
    </row>
    <row r="4313" spans="1:4">
      <c r="A4313" s="122">
        <v>36797</v>
      </c>
      <c r="B4313" s="24">
        <v>0.54479999999999995</v>
      </c>
      <c r="C4313" s="24">
        <v>2683.4</v>
      </c>
      <c r="D4313" s="47">
        <f t="shared" si="67"/>
        <v>1461.9163199999998</v>
      </c>
    </row>
    <row r="4314" spans="1:4">
      <c r="A4314" s="122">
        <v>36796</v>
      </c>
      <c r="B4314" s="24">
        <v>0.55020000000000002</v>
      </c>
      <c r="C4314" s="24">
        <v>2703.4</v>
      </c>
      <c r="D4314" s="47">
        <f t="shared" si="67"/>
        <v>1487.4106800000002</v>
      </c>
    </row>
    <row r="4315" spans="1:4">
      <c r="A4315" s="122">
        <v>36795</v>
      </c>
      <c r="B4315" s="24">
        <v>0.54849999999999999</v>
      </c>
      <c r="C4315" s="24">
        <v>2724.2</v>
      </c>
      <c r="D4315" s="47">
        <f t="shared" si="67"/>
        <v>1494.2236999999998</v>
      </c>
    </row>
    <row r="4316" spans="1:4">
      <c r="A4316" s="122">
        <v>36794</v>
      </c>
      <c r="B4316" s="24">
        <v>0.54849999999999999</v>
      </c>
      <c r="C4316" s="24">
        <v>2722.5</v>
      </c>
      <c r="D4316" s="47">
        <f t="shared" si="67"/>
        <v>1493.29125</v>
      </c>
    </row>
    <row r="4317" spans="1:4">
      <c r="A4317" s="122">
        <v>36791</v>
      </c>
      <c r="B4317" s="24">
        <v>0.54400000000000004</v>
      </c>
      <c r="C4317" s="24">
        <v>2733</v>
      </c>
      <c r="D4317" s="47">
        <f t="shared" si="67"/>
        <v>1486.7520000000002</v>
      </c>
    </row>
    <row r="4318" spans="1:4">
      <c r="A4318" s="122">
        <v>36790</v>
      </c>
      <c r="B4318" s="24">
        <v>0.5444</v>
      </c>
      <c r="C4318" s="24">
        <v>2718.8</v>
      </c>
      <c r="D4318" s="47">
        <f t="shared" si="67"/>
        <v>1480.11472</v>
      </c>
    </row>
    <row r="4319" spans="1:4">
      <c r="A4319" s="122">
        <v>36789</v>
      </c>
      <c r="B4319" s="24">
        <v>0.53879999999999995</v>
      </c>
      <c r="C4319" s="24">
        <v>2716.2</v>
      </c>
      <c r="D4319" s="47">
        <f t="shared" si="67"/>
        <v>1463.4885599999998</v>
      </c>
    </row>
    <row r="4320" spans="1:4">
      <c r="A4320" s="122">
        <v>36788</v>
      </c>
      <c r="B4320" s="24">
        <v>0.54400000000000004</v>
      </c>
      <c r="C4320" s="24">
        <v>2709.9</v>
      </c>
      <c r="D4320" s="47">
        <f t="shared" si="67"/>
        <v>1474.1856000000002</v>
      </c>
    </row>
    <row r="4321" spans="1:4">
      <c r="A4321" s="122">
        <v>36787</v>
      </c>
      <c r="B4321" s="24">
        <v>0.54210000000000003</v>
      </c>
      <c r="C4321" s="24">
        <v>2708.7</v>
      </c>
      <c r="D4321" s="47">
        <f t="shared" si="67"/>
        <v>1468.38627</v>
      </c>
    </row>
    <row r="4322" spans="1:4">
      <c r="A4322" s="122">
        <v>36784</v>
      </c>
      <c r="B4322" s="24">
        <v>0.54500000000000004</v>
      </c>
      <c r="C4322" s="24">
        <v>2706.8</v>
      </c>
      <c r="D4322" s="47">
        <f t="shared" si="67"/>
        <v>1475.2060000000001</v>
      </c>
    </row>
    <row r="4323" spans="1:4">
      <c r="A4323" s="122">
        <v>36783</v>
      </c>
      <c r="B4323" s="24">
        <v>0.54869999999999997</v>
      </c>
      <c r="C4323" s="24">
        <v>2669.5</v>
      </c>
      <c r="D4323" s="47">
        <f t="shared" si="67"/>
        <v>1464.7546499999999</v>
      </c>
    </row>
    <row r="4324" spans="1:4">
      <c r="A4324" s="122">
        <v>36782</v>
      </c>
      <c r="B4324" s="24">
        <v>0.55389999999999995</v>
      </c>
      <c r="C4324" s="24">
        <v>2670.9</v>
      </c>
      <c r="D4324" s="47">
        <f t="shared" si="67"/>
        <v>1479.4115099999999</v>
      </c>
    </row>
    <row r="4325" spans="1:4">
      <c r="A4325" s="122">
        <v>36781</v>
      </c>
      <c r="B4325" s="24">
        <v>0.5575</v>
      </c>
      <c r="C4325" s="24">
        <v>2661.5</v>
      </c>
      <c r="D4325" s="47">
        <f t="shared" si="67"/>
        <v>1483.7862499999999</v>
      </c>
    </row>
    <row r="4326" spans="1:4">
      <c r="A4326" s="122">
        <v>36780</v>
      </c>
      <c r="B4326" s="24">
        <v>0.56200000000000006</v>
      </c>
      <c r="C4326" s="24">
        <v>2655.4</v>
      </c>
      <c r="D4326" s="47">
        <f t="shared" si="67"/>
        <v>1492.3348000000001</v>
      </c>
    </row>
    <row r="4327" spans="1:4">
      <c r="A4327" s="122">
        <v>36777</v>
      </c>
      <c r="B4327" s="24">
        <v>0.55579999999999996</v>
      </c>
      <c r="C4327" s="24">
        <v>2635.2</v>
      </c>
      <c r="D4327" s="47">
        <f t="shared" si="67"/>
        <v>1464.6441599999998</v>
      </c>
    </row>
    <row r="4328" spans="1:4">
      <c r="A4328" s="122">
        <v>36776</v>
      </c>
      <c r="B4328" s="24">
        <v>0.5575</v>
      </c>
      <c r="C4328" s="24">
        <v>2626.1</v>
      </c>
      <c r="D4328" s="47">
        <f t="shared" si="67"/>
        <v>1464.0507499999999</v>
      </c>
    </row>
    <row r="4329" spans="1:4">
      <c r="A4329" s="122">
        <v>36775</v>
      </c>
      <c r="B4329" s="24">
        <v>0.5635</v>
      </c>
      <c r="C4329" s="24">
        <v>2609.3000000000002</v>
      </c>
      <c r="D4329" s="47">
        <f t="shared" si="67"/>
        <v>1470.3405500000001</v>
      </c>
    </row>
    <row r="4330" spans="1:4">
      <c r="A4330" s="122">
        <v>36774</v>
      </c>
      <c r="B4330" s="24">
        <v>0.56850000000000001</v>
      </c>
      <c r="C4330" s="24">
        <v>2591.8000000000002</v>
      </c>
      <c r="D4330" s="47">
        <f t="shared" si="67"/>
        <v>1473.4383</v>
      </c>
    </row>
    <row r="4331" spans="1:4">
      <c r="A4331" s="122">
        <v>36773</v>
      </c>
      <c r="B4331" s="24">
        <v>0.57520000000000004</v>
      </c>
      <c r="C4331" s="24">
        <v>2644.3</v>
      </c>
      <c r="D4331" s="47">
        <f t="shared" si="67"/>
        <v>1521.0013600000002</v>
      </c>
    </row>
    <row r="4332" spans="1:4">
      <c r="A4332" s="122">
        <v>36770</v>
      </c>
      <c r="B4332" s="24">
        <v>0.57699999999999996</v>
      </c>
      <c r="C4332" s="24">
        <v>2620.1</v>
      </c>
      <c r="D4332" s="47">
        <f t="shared" si="67"/>
        <v>1511.7976999999998</v>
      </c>
    </row>
    <row r="4333" spans="1:4">
      <c r="A4333" s="122">
        <v>36769</v>
      </c>
      <c r="B4333" s="24">
        <v>0.57689999999999997</v>
      </c>
      <c r="C4333" s="24">
        <v>2629.8</v>
      </c>
      <c r="D4333" s="47">
        <f t="shared" si="67"/>
        <v>1517.1316200000001</v>
      </c>
    </row>
    <row r="4334" spans="1:4">
      <c r="A4334" s="122">
        <v>36768</v>
      </c>
      <c r="B4334" s="24">
        <v>0.57579999999999998</v>
      </c>
      <c r="C4334" s="24">
        <v>2626.9</v>
      </c>
      <c r="D4334" s="47">
        <f t="shared" si="67"/>
        <v>1512.5690199999999</v>
      </c>
    </row>
    <row r="4335" spans="1:4">
      <c r="A4335" s="122">
        <v>36767</v>
      </c>
      <c r="B4335" s="24">
        <v>0.56950000000000001</v>
      </c>
      <c r="C4335" s="24">
        <v>2627.2</v>
      </c>
      <c r="D4335" s="47">
        <f t="shared" si="67"/>
        <v>1496.1904</v>
      </c>
    </row>
    <row r="4336" spans="1:4">
      <c r="A4336" s="122">
        <v>36766</v>
      </c>
      <c r="B4336" s="24">
        <v>0.57140000000000002</v>
      </c>
      <c r="C4336" s="24">
        <v>2605.3000000000002</v>
      </c>
      <c r="D4336" s="47">
        <f t="shared" si="67"/>
        <v>1488.6684200000002</v>
      </c>
    </row>
    <row r="4337" spans="1:4">
      <c r="A4337" s="122">
        <v>36763</v>
      </c>
      <c r="B4337" s="24">
        <v>0.57389999999999997</v>
      </c>
      <c r="C4337" s="24">
        <v>2596.4</v>
      </c>
      <c r="D4337" s="47">
        <f t="shared" si="67"/>
        <v>1490.0739599999999</v>
      </c>
    </row>
    <row r="4338" spans="1:4">
      <c r="A4338" s="122">
        <v>36762</v>
      </c>
      <c r="B4338" s="24">
        <v>0.5726</v>
      </c>
      <c r="C4338" s="24">
        <v>2586.8000000000002</v>
      </c>
      <c r="D4338" s="47">
        <f t="shared" si="67"/>
        <v>1481.2016800000001</v>
      </c>
    </row>
    <row r="4339" spans="1:4">
      <c r="A4339" s="122">
        <v>36761</v>
      </c>
      <c r="B4339" s="24">
        <v>0.57179999999999997</v>
      </c>
      <c r="C4339" s="24">
        <v>2578.3000000000002</v>
      </c>
      <c r="D4339" s="47">
        <f t="shared" si="67"/>
        <v>1474.2719400000001</v>
      </c>
    </row>
    <row r="4340" spans="1:4">
      <c r="A4340" s="122">
        <v>36760</v>
      </c>
      <c r="B4340" s="24">
        <v>0.58040000000000003</v>
      </c>
      <c r="C4340" s="24">
        <v>2593.4</v>
      </c>
      <c r="D4340" s="47">
        <f t="shared" si="67"/>
        <v>1505.2093600000001</v>
      </c>
    </row>
    <row r="4341" spans="1:4">
      <c r="A4341" s="122">
        <v>36759</v>
      </c>
      <c r="B4341" s="24">
        <v>0.58750000000000002</v>
      </c>
      <c r="C4341" s="24">
        <v>2599.6999999999998</v>
      </c>
      <c r="D4341" s="47">
        <f t="shared" si="67"/>
        <v>1527.32375</v>
      </c>
    </row>
    <row r="4342" spans="1:4">
      <c r="A4342" s="122">
        <v>36756</v>
      </c>
      <c r="B4342" s="24">
        <v>0.59050000000000002</v>
      </c>
      <c r="C4342" s="24">
        <v>2595.1</v>
      </c>
      <c r="D4342" s="47">
        <f t="shared" si="67"/>
        <v>1532.4065499999999</v>
      </c>
    </row>
    <row r="4343" spans="1:4">
      <c r="A4343" s="122">
        <v>36755</v>
      </c>
      <c r="B4343" s="24">
        <v>0.59240000000000004</v>
      </c>
      <c r="C4343" s="24">
        <v>2559</v>
      </c>
      <c r="D4343" s="47">
        <f t="shared" si="67"/>
        <v>1515.9516000000001</v>
      </c>
    </row>
    <row r="4344" spans="1:4">
      <c r="A4344" s="122">
        <v>36754</v>
      </c>
      <c r="B4344" s="24">
        <v>0.59109999999999996</v>
      </c>
      <c r="C4344" s="24">
        <v>2591.6</v>
      </c>
      <c r="D4344" s="47">
        <f t="shared" si="67"/>
        <v>1531.8947599999999</v>
      </c>
    </row>
    <row r="4345" spans="1:4">
      <c r="A4345" s="122">
        <v>36753</v>
      </c>
      <c r="B4345" s="24">
        <v>0.58250000000000002</v>
      </c>
      <c r="C4345" s="24">
        <v>2613.1999999999998</v>
      </c>
      <c r="D4345" s="47">
        <f t="shared" si="67"/>
        <v>1522.1889999999999</v>
      </c>
    </row>
    <row r="4346" spans="1:4">
      <c r="A4346" s="122">
        <v>36752</v>
      </c>
      <c r="B4346" s="24">
        <v>0.58189999999999997</v>
      </c>
      <c r="C4346" s="24">
        <v>2619.5</v>
      </c>
      <c r="D4346" s="47">
        <f t="shared" si="67"/>
        <v>1524.2870499999999</v>
      </c>
    </row>
    <row r="4347" spans="1:4">
      <c r="A4347" s="122">
        <v>36749</v>
      </c>
      <c r="B4347" s="24">
        <v>0.57940000000000003</v>
      </c>
      <c r="C4347" s="24">
        <v>2611.5</v>
      </c>
      <c r="D4347" s="47">
        <f t="shared" si="67"/>
        <v>1513.1031</v>
      </c>
    </row>
    <row r="4348" spans="1:4">
      <c r="A4348" s="122">
        <v>36748</v>
      </c>
      <c r="B4348" s="24">
        <v>0.58209999999999995</v>
      </c>
      <c r="C4348" s="24">
        <v>2630.7</v>
      </c>
      <c r="D4348" s="47">
        <f t="shared" si="67"/>
        <v>1531.3304699999999</v>
      </c>
    </row>
    <row r="4349" spans="1:4">
      <c r="A4349" s="122">
        <v>36747</v>
      </c>
      <c r="B4349" s="24">
        <v>0.57850000000000001</v>
      </c>
      <c r="C4349" s="24">
        <v>2601.1999999999998</v>
      </c>
      <c r="D4349" s="47">
        <f t="shared" si="67"/>
        <v>1504.7941999999998</v>
      </c>
    </row>
    <row r="4350" spans="1:4">
      <c r="A4350" s="122">
        <v>36746</v>
      </c>
      <c r="B4350" s="24">
        <v>0.5827</v>
      </c>
      <c r="C4350" s="24">
        <v>2600.8000000000002</v>
      </c>
      <c r="D4350" s="47">
        <f t="shared" si="67"/>
        <v>1515.4861600000002</v>
      </c>
    </row>
    <row r="4351" spans="1:4">
      <c r="A4351" s="122">
        <v>36745</v>
      </c>
      <c r="B4351" s="24">
        <v>0.58689999999999998</v>
      </c>
      <c r="C4351" s="24">
        <v>2601.9</v>
      </c>
      <c r="D4351" s="47">
        <f t="shared" si="67"/>
        <v>1527.05511</v>
      </c>
    </row>
    <row r="4352" spans="1:4">
      <c r="A4352" s="122">
        <v>36742</v>
      </c>
      <c r="B4352" s="24">
        <v>0.58620000000000005</v>
      </c>
      <c r="C4352" s="24">
        <v>2597.6999999999998</v>
      </c>
      <c r="D4352" s="47">
        <f t="shared" si="67"/>
        <v>1522.7717400000001</v>
      </c>
    </row>
    <row r="4353" spans="1:4">
      <c r="A4353" s="122">
        <v>36741</v>
      </c>
      <c r="B4353" s="24">
        <v>0.58599999999999997</v>
      </c>
      <c r="C4353" s="24">
        <v>2613.6</v>
      </c>
      <c r="D4353" s="47">
        <f t="shared" si="67"/>
        <v>1531.5695999999998</v>
      </c>
    </row>
    <row r="4354" spans="1:4">
      <c r="A4354" s="122">
        <v>36740</v>
      </c>
      <c r="B4354" s="24">
        <v>0.58420000000000005</v>
      </c>
      <c r="C4354" s="24">
        <v>2600.8000000000002</v>
      </c>
      <c r="D4354" s="47">
        <f t="shared" si="67"/>
        <v>1519.3873600000002</v>
      </c>
    </row>
    <row r="4355" spans="1:4">
      <c r="A4355" s="122">
        <v>36739</v>
      </c>
      <c r="B4355" s="24">
        <v>0.57850000000000001</v>
      </c>
      <c r="C4355" s="24">
        <v>2588.8000000000002</v>
      </c>
      <c r="D4355" s="47">
        <f t="shared" ref="D4355:D4418" si="68">C4355*B4355</f>
        <v>1497.6208000000001</v>
      </c>
    </row>
    <row r="4356" spans="1:4">
      <c r="A4356" s="122">
        <v>36738</v>
      </c>
      <c r="B4356" s="24">
        <v>0.57950000000000002</v>
      </c>
      <c r="C4356" s="24">
        <v>2569</v>
      </c>
      <c r="D4356" s="47">
        <f t="shared" si="68"/>
        <v>1488.7355</v>
      </c>
    </row>
    <row r="4357" spans="1:4">
      <c r="A4357" s="122">
        <v>36735</v>
      </c>
      <c r="B4357" s="24">
        <v>0.58779999999999999</v>
      </c>
      <c r="C4357" s="24">
        <v>2550.6999999999998</v>
      </c>
      <c r="D4357" s="47">
        <f t="shared" si="68"/>
        <v>1499.3014599999999</v>
      </c>
    </row>
    <row r="4358" spans="1:4">
      <c r="A4358" s="122">
        <v>36734</v>
      </c>
      <c r="B4358" s="24">
        <v>0.58750000000000002</v>
      </c>
      <c r="C4358" s="24">
        <v>2572.6</v>
      </c>
      <c r="D4358" s="47">
        <f t="shared" si="68"/>
        <v>1511.4024999999999</v>
      </c>
    </row>
    <row r="4359" spans="1:4">
      <c r="A4359" s="122">
        <v>36733</v>
      </c>
      <c r="B4359" s="24">
        <v>0.59119999999999995</v>
      </c>
      <c r="C4359" s="24">
        <v>2552.1999999999998</v>
      </c>
      <c r="D4359" s="47">
        <f t="shared" si="68"/>
        <v>1508.8606399999996</v>
      </c>
    </row>
    <row r="4360" spans="1:4">
      <c r="A4360" s="122">
        <v>36732</v>
      </c>
      <c r="B4360" s="24">
        <v>0.58540000000000003</v>
      </c>
      <c r="C4360" s="24">
        <v>2574.6</v>
      </c>
      <c r="D4360" s="47">
        <f t="shared" si="68"/>
        <v>1507.17084</v>
      </c>
    </row>
    <row r="4361" spans="1:4">
      <c r="A4361" s="122">
        <v>36731</v>
      </c>
      <c r="B4361" s="24">
        <v>0.58499999999999996</v>
      </c>
      <c r="C4361" s="24">
        <v>2589.9</v>
      </c>
      <c r="D4361" s="47">
        <f t="shared" si="68"/>
        <v>1515.0915</v>
      </c>
    </row>
    <row r="4362" spans="1:4">
      <c r="A4362" s="122">
        <v>36728</v>
      </c>
      <c r="B4362" s="24">
        <v>0.58589999999999998</v>
      </c>
      <c r="C4362" s="24">
        <v>2603.9</v>
      </c>
      <c r="D4362" s="47">
        <f t="shared" si="68"/>
        <v>1525.62501</v>
      </c>
    </row>
    <row r="4363" spans="1:4">
      <c r="A4363" s="122">
        <v>36727</v>
      </c>
      <c r="B4363" s="24">
        <v>0.58250000000000002</v>
      </c>
      <c r="C4363" s="24">
        <v>2565</v>
      </c>
      <c r="D4363" s="47">
        <f t="shared" si="68"/>
        <v>1494.1125</v>
      </c>
    </row>
    <row r="4364" spans="1:4">
      <c r="A4364" s="122">
        <v>36726</v>
      </c>
      <c r="B4364" s="24">
        <v>0.5766</v>
      </c>
      <c r="C4364" s="24">
        <v>2535.4</v>
      </c>
      <c r="D4364" s="47">
        <f t="shared" si="68"/>
        <v>1461.91164</v>
      </c>
    </row>
    <row r="4365" spans="1:4">
      <c r="A4365" s="122">
        <v>36725</v>
      </c>
      <c r="B4365" s="24">
        <v>0.58099999999999996</v>
      </c>
      <c r="C4365" s="24">
        <v>2556.3000000000002</v>
      </c>
      <c r="D4365" s="47">
        <f t="shared" si="68"/>
        <v>1485.2103</v>
      </c>
    </row>
    <row r="4366" spans="1:4">
      <c r="A4366" s="122">
        <v>36724</v>
      </c>
      <c r="B4366" s="24">
        <v>0.58819999999999995</v>
      </c>
      <c r="C4366" s="24">
        <v>2513.6</v>
      </c>
      <c r="D4366" s="47">
        <f t="shared" si="68"/>
        <v>1478.4995199999998</v>
      </c>
    </row>
    <row r="4367" spans="1:4">
      <c r="A4367" s="122">
        <v>36721</v>
      </c>
      <c r="B4367" s="24">
        <v>0.58360000000000001</v>
      </c>
      <c r="C4367" s="24">
        <v>2492</v>
      </c>
      <c r="D4367" s="47">
        <f t="shared" si="68"/>
        <v>1454.3312000000001</v>
      </c>
    </row>
    <row r="4368" spans="1:4">
      <c r="A4368" s="122">
        <v>36720</v>
      </c>
      <c r="B4368" s="24">
        <v>0.58430000000000004</v>
      </c>
      <c r="C4368" s="24">
        <v>2552</v>
      </c>
      <c r="D4368" s="47">
        <f t="shared" si="68"/>
        <v>1491.1336000000001</v>
      </c>
    </row>
    <row r="4369" spans="1:4">
      <c r="A4369" s="122">
        <v>36719</v>
      </c>
      <c r="B4369" s="24">
        <v>0.58809999999999996</v>
      </c>
      <c r="C4369" s="24">
        <v>2602.9</v>
      </c>
      <c r="D4369" s="47">
        <f t="shared" si="68"/>
        <v>1530.76549</v>
      </c>
    </row>
    <row r="4370" spans="1:4">
      <c r="A4370" s="122">
        <v>36718</v>
      </c>
      <c r="B4370" s="24">
        <v>0.58740000000000003</v>
      </c>
      <c r="C4370" s="24">
        <v>2599.5</v>
      </c>
      <c r="D4370" s="47">
        <f t="shared" si="68"/>
        <v>1526.9463000000001</v>
      </c>
    </row>
    <row r="4371" spans="1:4">
      <c r="A4371" s="122">
        <v>36717</v>
      </c>
      <c r="B4371" s="24">
        <v>0.59240000000000004</v>
      </c>
      <c r="C4371" s="24">
        <v>2637</v>
      </c>
      <c r="D4371" s="47">
        <f t="shared" si="68"/>
        <v>1562.1588000000002</v>
      </c>
    </row>
    <row r="4372" spans="1:4">
      <c r="A4372" s="122">
        <v>36714</v>
      </c>
      <c r="B4372" s="24">
        <v>0.59150000000000003</v>
      </c>
      <c r="C4372" s="24">
        <v>2596</v>
      </c>
      <c r="D4372" s="47">
        <f t="shared" si="68"/>
        <v>1535.5340000000001</v>
      </c>
    </row>
    <row r="4373" spans="1:4">
      <c r="A4373" s="122">
        <v>36713</v>
      </c>
      <c r="B4373" s="24">
        <v>0.58979999999999999</v>
      </c>
      <c r="C4373" s="24">
        <v>2560.4</v>
      </c>
      <c r="D4373" s="47">
        <f t="shared" si="68"/>
        <v>1510.12392</v>
      </c>
    </row>
    <row r="4374" spans="1:4">
      <c r="A4374" s="122">
        <v>36712</v>
      </c>
      <c r="B4374" s="24">
        <v>0.58919999999999995</v>
      </c>
      <c r="C4374" s="24">
        <v>2567.4</v>
      </c>
      <c r="D4374" s="47">
        <f t="shared" si="68"/>
        <v>1512.71208</v>
      </c>
    </row>
    <row r="4375" spans="1:4">
      <c r="A4375" s="122">
        <v>36711</v>
      </c>
      <c r="B4375" s="24">
        <v>0.59889999999999999</v>
      </c>
      <c r="C4375" s="24">
        <v>2553.4</v>
      </c>
      <c r="D4375" s="47">
        <f t="shared" si="68"/>
        <v>1529.23126</v>
      </c>
    </row>
    <row r="4376" spans="1:4">
      <c r="A4376" s="122">
        <v>36710</v>
      </c>
      <c r="B4376" s="24">
        <v>0.5988</v>
      </c>
      <c r="C4376" s="24">
        <v>2527.9</v>
      </c>
      <c r="D4376" s="47">
        <f t="shared" si="68"/>
        <v>1513.70652</v>
      </c>
    </row>
    <row r="4377" spans="1:4">
      <c r="A4377" s="122">
        <v>36707</v>
      </c>
      <c r="B4377" s="24">
        <v>0.59640000000000004</v>
      </c>
      <c r="C4377" s="24">
        <v>2507.5</v>
      </c>
      <c r="D4377" s="47">
        <f t="shared" si="68"/>
        <v>1495.4730000000002</v>
      </c>
    </row>
    <row r="4378" spans="1:4">
      <c r="A4378" s="122">
        <v>36706</v>
      </c>
      <c r="B4378" s="24">
        <v>0.60170000000000001</v>
      </c>
      <c r="C4378" s="24">
        <v>2512.1</v>
      </c>
      <c r="D4378" s="47">
        <f t="shared" si="68"/>
        <v>1511.5305699999999</v>
      </c>
    </row>
    <row r="4379" spans="1:4">
      <c r="A4379" s="122">
        <v>36705</v>
      </c>
      <c r="B4379" s="24">
        <v>0.60209999999999997</v>
      </c>
      <c r="C4379" s="24">
        <v>2459.4</v>
      </c>
      <c r="D4379" s="47">
        <f t="shared" si="68"/>
        <v>1480.80474</v>
      </c>
    </row>
    <row r="4380" spans="1:4">
      <c r="A4380" s="122">
        <v>36704</v>
      </c>
      <c r="B4380" s="24">
        <v>0.60140000000000005</v>
      </c>
      <c r="C4380" s="24">
        <v>2480.5</v>
      </c>
      <c r="D4380" s="47">
        <f t="shared" si="68"/>
        <v>1491.7727000000002</v>
      </c>
    </row>
    <row r="4381" spans="1:4">
      <c r="A4381" s="122">
        <v>36703</v>
      </c>
      <c r="B4381" s="24">
        <v>0.59699999999999998</v>
      </c>
      <c r="C4381" s="24">
        <v>2518.1</v>
      </c>
      <c r="D4381" s="47">
        <f t="shared" si="68"/>
        <v>1503.3056999999999</v>
      </c>
    </row>
    <row r="4382" spans="1:4">
      <c r="A4382" s="122">
        <v>36700</v>
      </c>
      <c r="B4382" s="24">
        <v>0.59440000000000004</v>
      </c>
      <c r="C4382" s="24">
        <v>2517.6</v>
      </c>
      <c r="D4382" s="47">
        <f t="shared" si="68"/>
        <v>1496.46144</v>
      </c>
    </row>
    <row r="4383" spans="1:4">
      <c r="A4383" s="122">
        <v>36699</v>
      </c>
      <c r="B4383" s="24">
        <v>0.5968</v>
      </c>
      <c r="C4383" s="24">
        <v>2466.6999999999998</v>
      </c>
      <c r="D4383" s="47">
        <f t="shared" si="68"/>
        <v>1472.1265599999999</v>
      </c>
    </row>
    <row r="4384" spans="1:4">
      <c r="A4384" s="122">
        <v>36698</v>
      </c>
      <c r="B4384" s="24">
        <v>0.60160000000000002</v>
      </c>
      <c r="C4384" s="24">
        <v>2453</v>
      </c>
      <c r="D4384" s="47">
        <f t="shared" si="68"/>
        <v>1475.7248</v>
      </c>
    </row>
    <row r="4385" spans="1:4">
      <c r="A4385" s="122">
        <v>36697</v>
      </c>
      <c r="B4385" s="24">
        <v>0.60260000000000002</v>
      </c>
      <c r="C4385" s="24">
        <v>2448.3000000000002</v>
      </c>
      <c r="D4385" s="47">
        <f t="shared" si="68"/>
        <v>1475.3455800000002</v>
      </c>
    </row>
    <row r="4386" spans="1:4">
      <c r="A4386" s="122">
        <v>36696</v>
      </c>
      <c r="B4386" s="24">
        <v>0.60089999999999999</v>
      </c>
      <c r="C4386" s="24">
        <v>2474.1999999999998</v>
      </c>
      <c r="D4386" s="47">
        <f t="shared" si="68"/>
        <v>1486.7467799999999</v>
      </c>
    </row>
    <row r="4387" spans="1:4">
      <c r="A4387" s="122">
        <v>36693</v>
      </c>
      <c r="B4387" s="24">
        <v>0.60589999999999999</v>
      </c>
      <c r="C4387" s="24">
        <v>2511.1999999999998</v>
      </c>
      <c r="D4387" s="47">
        <f t="shared" si="68"/>
        <v>1521.5360799999999</v>
      </c>
    </row>
    <row r="4388" spans="1:4">
      <c r="A4388" s="122">
        <v>36692</v>
      </c>
      <c r="B4388" s="24">
        <v>0.60199999999999998</v>
      </c>
      <c r="C4388" s="24">
        <v>2540.8000000000002</v>
      </c>
      <c r="D4388" s="47">
        <f t="shared" si="68"/>
        <v>1529.5616</v>
      </c>
    </row>
    <row r="4389" spans="1:4">
      <c r="A4389" s="122">
        <v>36691</v>
      </c>
      <c r="B4389" s="24">
        <v>0.59930000000000005</v>
      </c>
      <c r="C4389" s="24">
        <v>2544.6</v>
      </c>
      <c r="D4389" s="47">
        <f t="shared" si="68"/>
        <v>1524.9787800000001</v>
      </c>
    </row>
    <row r="4390" spans="1:4">
      <c r="A4390" s="122">
        <v>36690</v>
      </c>
      <c r="B4390" s="24">
        <v>0.59599999999999997</v>
      </c>
      <c r="C4390" s="24">
        <v>2513</v>
      </c>
      <c r="D4390" s="47">
        <f t="shared" si="68"/>
        <v>1497.748</v>
      </c>
    </row>
    <row r="4391" spans="1:4">
      <c r="A4391" s="122">
        <v>36689</v>
      </c>
      <c r="B4391" s="24">
        <v>0.59109999999999996</v>
      </c>
      <c r="C4391" s="24">
        <v>2505.5</v>
      </c>
      <c r="D4391" s="47">
        <f t="shared" si="68"/>
        <v>1481.0010499999999</v>
      </c>
    </row>
    <row r="4392" spans="1:4">
      <c r="A4392" s="122">
        <v>36686</v>
      </c>
      <c r="B4392" s="24">
        <v>0.58699999999999997</v>
      </c>
      <c r="C4392" s="24">
        <v>2515.6</v>
      </c>
      <c r="D4392" s="47">
        <f t="shared" si="68"/>
        <v>1476.6571999999999</v>
      </c>
    </row>
    <row r="4393" spans="1:4">
      <c r="A4393" s="122">
        <v>36685</v>
      </c>
      <c r="B4393" s="24">
        <v>0.58860000000000001</v>
      </c>
      <c r="C4393" s="24">
        <v>2480.6999999999998</v>
      </c>
      <c r="D4393" s="47">
        <f t="shared" si="68"/>
        <v>1460.1400199999998</v>
      </c>
    </row>
    <row r="4394" spans="1:4">
      <c r="A4394" s="122">
        <v>36684</v>
      </c>
      <c r="B4394" s="24">
        <v>0.59319999999999995</v>
      </c>
      <c r="C4394" s="24">
        <v>2472</v>
      </c>
      <c r="D4394" s="47">
        <f t="shared" si="68"/>
        <v>1466.3903999999998</v>
      </c>
    </row>
    <row r="4395" spans="1:4">
      <c r="A4395" s="122">
        <v>36683</v>
      </c>
      <c r="B4395" s="24">
        <v>0.58819999999999995</v>
      </c>
      <c r="C4395" s="24">
        <v>2424.1</v>
      </c>
      <c r="D4395" s="47">
        <f t="shared" si="68"/>
        <v>1425.8556199999998</v>
      </c>
    </row>
    <row r="4396" spans="1:4">
      <c r="A4396" s="122">
        <v>36682</v>
      </c>
      <c r="B4396" s="24">
        <v>0.58169999999999999</v>
      </c>
      <c r="C4396" s="24">
        <v>2422</v>
      </c>
      <c r="D4396" s="47">
        <f t="shared" si="68"/>
        <v>1408.8774000000001</v>
      </c>
    </row>
    <row r="4397" spans="1:4">
      <c r="A4397" s="122">
        <v>36679</v>
      </c>
      <c r="B4397" s="24">
        <v>0.57950000000000002</v>
      </c>
      <c r="C4397" s="24">
        <v>2421.5</v>
      </c>
      <c r="D4397" s="47">
        <f t="shared" si="68"/>
        <v>1403.2592500000001</v>
      </c>
    </row>
    <row r="4398" spans="1:4">
      <c r="A4398" s="122">
        <v>36678</v>
      </c>
      <c r="B4398" s="24">
        <v>0.57179999999999997</v>
      </c>
      <c r="C4398" s="24">
        <v>2411.8000000000002</v>
      </c>
      <c r="D4398" s="47">
        <f t="shared" si="68"/>
        <v>1379.0672400000001</v>
      </c>
    </row>
    <row r="4399" spans="1:4">
      <c r="A4399" s="122">
        <v>36677</v>
      </c>
      <c r="B4399" s="24">
        <v>0.57310000000000005</v>
      </c>
      <c r="C4399" s="24">
        <v>2436.1999999999998</v>
      </c>
      <c r="D4399" s="47">
        <f t="shared" si="68"/>
        <v>1396.18622</v>
      </c>
    </row>
    <row r="4400" spans="1:4">
      <c r="A4400" s="122">
        <v>36676</v>
      </c>
      <c r="B4400" s="24">
        <v>0.57520000000000004</v>
      </c>
      <c r="C4400" s="24">
        <v>2437.1999999999998</v>
      </c>
      <c r="D4400" s="47">
        <f t="shared" si="68"/>
        <v>1401.87744</v>
      </c>
    </row>
    <row r="4401" spans="1:4">
      <c r="A4401" s="122">
        <v>36675</v>
      </c>
      <c r="B4401" s="24">
        <v>0.57179999999999997</v>
      </c>
      <c r="C4401" s="24">
        <v>2389.1</v>
      </c>
      <c r="D4401" s="47">
        <f t="shared" si="68"/>
        <v>1366.0873799999999</v>
      </c>
    </row>
    <row r="4402" spans="1:4">
      <c r="A4402" s="122">
        <v>36672</v>
      </c>
      <c r="B4402" s="24">
        <v>0.57399999999999995</v>
      </c>
      <c r="C4402" s="24">
        <v>2396</v>
      </c>
      <c r="D4402" s="47">
        <f t="shared" si="68"/>
        <v>1375.3039999999999</v>
      </c>
    </row>
    <row r="4403" spans="1:4">
      <c r="A4403" s="122">
        <v>36671</v>
      </c>
      <c r="B4403" s="24">
        <v>0.56850000000000001</v>
      </c>
      <c r="C4403" s="24">
        <v>2422.6999999999998</v>
      </c>
      <c r="D4403" s="47">
        <f t="shared" si="68"/>
        <v>1377.30495</v>
      </c>
    </row>
    <row r="4404" spans="1:4">
      <c r="A4404" s="122">
        <v>36670</v>
      </c>
      <c r="B4404" s="24">
        <v>0.57040000000000002</v>
      </c>
      <c r="C4404" s="24">
        <v>2441.3000000000002</v>
      </c>
      <c r="D4404" s="47">
        <f t="shared" si="68"/>
        <v>1392.5175200000001</v>
      </c>
    </row>
    <row r="4405" spans="1:4">
      <c r="A4405" s="122">
        <v>36669</v>
      </c>
      <c r="B4405" s="24">
        <v>0.57499999999999996</v>
      </c>
      <c r="C4405" s="24">
        <v>2433.4</v>
      </c>
      <c r="D4405" s="47">
        <f t="shared" si="68"/>
        <v>1399.2049999999999</v>
      </c>
    </row>
    <row r="4406" spans="1:4">
      <c r="A4406" s="122">
        <v>36668</v>
      </c>
      <c r="B4406" s="24">
        <v>0.5716</v>
      </c>
      <c r="C4406" s="24">
        <v>2459.3000000000002</v>
      </c>
      <c r="D4406" s="47">
        <f t="shared" si="68"/>
        <v>1405.7358800000002</v>
      </c>
    </row>
    <row r="4407" spans="1:4">
      <c r="A4407" s="122">
        <v>36665</v>
      </c>
      <c r="B4407" s="24">
        <v>0.57369999999999999</v>
      </c>
      <c r="C4407" s="24">
        <v>2463.5</v>
      </c>
      <c r="D4407" s="47">
        <f t="shared" si="68"/>
        <v>1413.3099500000001</v>
      </c>
    </row>
    <row r="4408" spans="1:4">
      <c r="A4408" s="122">
        <v>36664</v>
      </c>
      <c r="B4408" s="24">
        <v>0.57250000000000001</v>
      </c>
      <c r="C4408" s="24">
        <v>2476.3000000000002</v>
      </c>
      <c r="D4408" s="47">
        <f t="shared" si="68"/>
        <v>1417.6817500000002</v>
      </c>
    </row>
    <row r="4409" spans="1:4">
      <c r="A4409" s="122">
        <v>36663</v>
      </c>
      <c r="B4409" s="24">
        <v>0.56779999999999997</v>
      </c>
      <c r="C4409" s="24">
        <v>2474.3000000000002</v>
      </c>
      <c r="D4409" s="47">
        <f t="shared" si="68"/>
        <v>1404.9075399999999</v>
      </c>
    </row>
    <row r="4410" spans="1:4">
      <c r="A4410" s="122">
        <v>36662</v>
      </c>
      <c r="B4410" s="24">
        <v>0.57709999999999995</v>
      </c>
      <c r="C4410" s="24">
        <v>2464.5</v>
      </c>
      <c r="D4410" s="47">
        <f t="shared" si="68"/>
        <v>1422.2629499999998</v>
      </c>
    </row>
    <row r="4411" spans="1:4">
      <c r="A4411" s="122">
        <v>36661</v>
      </c>
      <c r="B4411" s="24">
        <v>0.57310000000000005</v>
      </c>
      <c r="C4411" s="24">
        <v>2526.1999999999998</v>
      </c>
      <c r="D4411" s="47">
        <f t="shared" si="68"/>
        <v>1447.76522</v>
      </c>
    </row>
    <row r="4412" spans="1:4">
      <c r="A4412" s="122">
        <v>36658</v>
      </c>
      <c r="B4412" s="24">
        <v>0.5796</v>
      </c>
      <c r="C4412" s="24">
        <v>2497.1</v>
      </c>
      <c r="D4412" s="47">
        <f t="shared" si="68"/>
        <v>1447.31916</v>
      </c>
    </row>
    <row r="4413" spans="1:4">
      <c r="A4413" s="122">
        <v>36657</v>
      </c>
      <c r="B4413" s="24">
        <v>0.58120000000000005</v>
      </c>
      <c r="C4413" s="24">
        <v>2500.3000000000002</v>
      </c>
      <c r="D4413" s="47">
        <f t="shared" si="68"/>
        <v>1453.1743600000002</v>
      </c>
    </row>
    <row r="4414" spans="1:4">
      <c r="A4414" s="122">
        <v>36656</v>
      </c>
      <c r="B4414" s="24">
        <v>0.58179999999999998</v>
      </c>
      <c r="C4414" s="24">
        <v>2454.4</v>
      </c>
      <c r="D4414" s="47">
        <f t="shared" si="68"/>
        <v>1427.96992</v>
      </c>
    </row>
    <row r="4415" spans="1:4">
      <c r="A4415" s="122">
        <v>36655</v>
      </c>
      <c r="B4415" s="24">
        <v>0.58350000000000002</v>
      </c>
      <c r="C4415" s="24">
        <v>2415</v>
      </c>
      <c r="D4415" s="47">
        <f t="shared" si="68"/>
        <v>1409.1525000000001</v>
      </c>
    </row>
    <row r="4416" spans="1:4">
      <c r="A4416" s="122">
        <v>36654</v>
      </c>
      <c r="B4416" s="24">
        <v>0.58150000000000002</v>
      </c>
      <c r="C4416" s="24">
        <v>2389.1</v>
      </c>
      <c r="D4416" s="47">
        <f t="shared" si="68"/>
        <v>1389.2616499999999</v>
      </c>
    </row>
    <row r="4417" spans="1:4">
      <c r="A4417" s="122">
        <v>36651</v>
      </c>
      <c r="B4417" s="24">
        <v>0.59609999999999996</v>
      </c>
      <c r="C4417" s="24">
        <v>2394.1</v>
      </c>
      <c r="D4417" s="47">
        <f t="shared" si="68"/>
        <v>1427.1230099999998</v>
      </c>
    </row>
    <row r="4418" spans="1:4">
      <c r="A4418" s="122">
        <v>36650</v>
      </c>
      <c r="B4418" s="24">
        <v>0.59099999999999997</v>
      </c>
      <c r="C4418" s="24">
        <v>2260.9</v>
      </c>
      <c r="D4418" s="47">
        <f t="shared" si="68"/>
        <v>1336.1919</v>
      </c>
    </row>
    <row r="4419" spans="1:4">
      <c r="A4419" s="122">
        <v>36649</v>
      </c>
      <c r="B4419" s="24">
        <v>0.59219999999999995</v>
      </c>
      <c r="C4419" s="24">
        <v>2425.5</v>
      </c>
      <c r="D4419" s="47">
        <f t="shared" ref="D4419:D4482" si="69">C4419*B4419</f>
        <v>1436.3810999999998</v>
      </c>
    </row>
    <row r="4420" spans="1:4">
      <c r="A4420" s="122">
        <v>36648</v>
      </c>
      <c r="B4420" s="24">
        <v>0.5847</v>
      </c>
      <c r="C4420" s="24">
        <v>2502.9</v>
      </c>
      <c r="D4420" s="47">
        <f t="shared" si="69"/>
        <v>1463.4456299999999</v>
      </c>
    </row>
    <row r="4421" spans="1:4">
      <c r="A4421" s="122">
        <v>36647</v>
      </c>
      <c r="B4421" s="24">
        <v>0.58309999999999995</v>
      </c>
      <c r="C4421" s="24">
        <v>2553.8000000000002</v>
      </c>
      <c r="D4421" s="47">
        <f t="shared" si="69"/>
        <v>1489.12078</v>
      </c>
    </row>
    <row r="4422" spans="1:4">
      <c r="A4422" s="122">
        <v>36644</v>
      </c>
      <c r="B4422" s="24">
        <v>0.58340000000000003</v>
      </c>
      <c r="C4422" s="24">
        <v>2621.9</v>
      </c>
      <c r="D4422" s="47">
        <f t="shared" si="69"/>
        <v>1529.6164600000002</v>
      </c>
    </row>
    <row r="4423" spans="1:4">
      <c r="A4423" s="122">
        <v>36643</v>
      </c>
      <c r="B4423" s="24">
        <v>0.58720000000000006</v>
      </c>
      <c r="C4423" s="24">
        <v>2589.5</v>
      </c>
      <c r="D4423" s="47">
        <f t="shared" si="69"/>
        <v>1520.5544000000002</v>
      </c>
    </row>
    <row r="4424" spans="1:4">
      <c r="A4424" s="122">
        <v>36642</v>
      </c>
      <c r="B4424" s="24">
        <v>0.58789999999999998</v>
      </c>
      <c r="C4424" s="24">
        <v>2578.4</v>
      </c>
      <c r="D4424" s="47">
        <f t="shared" si="69"/>
        <v>1515.8413599999999</v>
      </c>
    </row>
    <row r="4425" spans="1:4">
      <c r="A4425" s="122">
        <v>36641</v>
      </c>
      <c r="B4425" s="24">
        <v>0.59279999999999999</v>
      </c>
      <c r="C4425" s="24">
        <v>2582.8000000000002</v>
      </c>
      <c r="D4425" s="47">
        <f t="shared" si="69"/>
        <v>1531.08384</v>
      </c>
    </row>
    <row r="4426" spans="1:4">
      <c r="A4426" s="122">
        <v>36640</v>
      </c>
      <c r="B4426" s="24">
        <v>0.59489999999999998</v>
      </c>
      <c r="C4426" s="24">
        <v>2589.1</v>
      </c>
      <c r="D4426" s="47">
        <f t="shared" si="69"/>
        <v>1540.25559</v>
      </c>
    </row>
    <row r="4427" spans="1:4">
      <c r="A4427" s="122">
        <v>36637</v>
      </c>
      <c r="B4427" s="24">
        <v>0.59279999999999999</v>
      </c>
      <c r="C4427" s="24">
        <v>2590.9</v>
      </c>
      <c r="D4427" s="47">
        <f t="shared" si="69"/>
        <v>1535.88552</v>
      </c>
    </row>
    <row r="4428" spans="1:4">
      <c r="A4428" s="122">
        <v>36636</v>
      </c>
      <c r="B4428" s="24">
        <v>0.59260000000000002</v>
      </c>
      <c r="C4428" s="24">
        <v>2598.6999999999998</v>
      </c>
      <c r="D4428" s="47">
        <f t="shared" si="69"/>
        <v>1539.9896199999998</v>
      </c>
    </row>
    <row r="4429" spans="1:4">
      <c r="A4429" s="122">
        <v>36635</v>
      </c>
      <c r="B4429" s="24">
        <v>0.59550000000000003</v>
      </c>
      <c r="C4429" s="24">
        <v>2599.6999999999998</v>
      </c>
      <c r="D4429" s="47">
        <f t="shared" si="69"/>
        <v>1548.1213499999999</v>
      </c>
    </row>
    <row r="4430" spans="1:4">
      <c r="A4430" s="122">
        <v>36634</v>
      </c>
      <c r="B4430" s="24">
        <v>0.59440000000000004</v>
      </c>
      <c r="C4430" s="24">
        <v>2631.8</v>
      </c>
      <c r="D4430" s="47">
        <f t="shared" si="69"/>
        <v>1564.3419200000003</v>
      </c>
    </row>
    <row r="4431" spans="1:4">
      <c r="A4431" s="122">
        <v>36633</v>
      </c>
      <c r="B4431" s="24">
        <v>0.59109999999999996</v>
      </c>
      <c r="C4431" s="24">
        <v>2660.7</v>
      </c>
      <c r="D4431" s="47">
        <f t="shared" si="69"/>
        <v>1572.7397699999997</v>
      </c>
    </row>
    <row r="4432" spans="1:4">
      <c r="A4432" s="122">
        <v>36630</v>
      </c>
      <c r="B4432" s="24">
        <v>0.5978</v>
      </c>
      <c r="C4432" s="24">
        <v>2706.7</v>
      </c>
      <c r="D4432" s="47">
        <f t="shared" si="69"/>
        <v>1618.0652599999999</v>
      </c>
    </row>
    <row r="4433" spans="1:4">
      <c r="A4433" s="122">
        <v>36629</v>
      </c>
      <c r="B4433" s="24">
        <v>0.59609999999999996</v>
      </c>
      <c r="C4433" s="24">
        <v>2692.8</v>
      </c>
      <c r="D4433" s="47">
        <f t="shared" si="69"/>
        <v>1605.1780799999999</v>
      </c>
    </row>
    <row r="4434" spans="1:4">
      <c r="A4434" s="122">
        <v>36628</v>
      </c>
      <c r="B4434" s="24">
        <v>0.59799999999999998</v>
      </c>
      <c r="C4434" s="24">
        <v>2707.9</v>
      </c>
      <c r="D4434" s="47">
        <f t="shared" si="69"/>
        <v>1619.3242</v>
      </c>
    </row>
    <row r="4435" spans="1:4">
      <c r="A4435" s="122">
        <v>36627</v>
      </c>
      <c r="B4435" s="24">
        <v>0.59570000000000001</v>
      </c>
      <c r="C4435" s="24">
        <v>2701.1</v>
      </c>
      <c r="D4435" s="47">
        <f t="shared" si="69"/>
        <v>1609.0452700000001</v>
      </c>
    </row>
    <row r="4436" spans="1:4">
      <c r="A4436" s="122">
        <v>36626</v>
      </c>
      <c r="B4436" s="24">
        <v>0.59719999999999995</v>
      </c>
      <c r="C4436" s="24">
        <v>2717.6</v>
      </c>
      <c r="D4436" s="47">
        <f t="shared" si="69"/>
        <v>1622.9507199999998</v>
      </c>
    </row>
    <row r="4437" spans="1:4">
      <c r="A4437" s="122">
        <v>36623</v>
      </c>
      <c r="B4437" s="24">
        <v>0.59850000000000003</v>
      </c>
      <c r="C4437" s="24">
        <v>2716.7</v>
      </c>
      <c r="D4437" s="47">
        <f t="shared" si="69"/>
        <v>1625.9449500000001</v>
      </c>
    </row>
    <row r="4438" spans="1:4">
      <c r="A4438" s="122">
        <v>36622</v>
      </c>
      <c r="B4438" s="24">
        <v>0.60229999999999995</v>
      </c>
      <c r="C4438" s="24">
        <v>2703.1</v>
      </c>
      <c r="D4438" s="47">
        <f t="shared" si="69"/>
        <v>1628.0771299999999</v>
      </c>
    </row>
    <row r="4439" spans="1:4">
      <c r="A4439" s="122">
        <v>36621</v>
      </c>
      <c r="B4439" s="24">
        <v>0.60589999999999999</v>
      </c>
      <c r="C4439" s="24">
        <v>2713</v>
      </c>
      <c r="D4439" s="47">
        <f t="shared" si="69"/>
        <v>1643.8067000000001</v>
      </c>
    </row>
    <row r="4440" spans="1:4">
      <c r="A4440" s="122">
        <v>36620</v>
      </c>
      <c r="B4440" s="24">
        <v>0.60460000000000003</v>
      </c>
      <c r="C4440" s="24">
        <v>2714.9</v>
      </c>
      <c r="D4440" s="47">
        <f t="shared" si="69"/>
        <v>1641.4285400000001</v>
      </c>
    </row>
    <row r="4441" spans="1:4">
      <c r="A4441" s="122">
        <v>36619</v>
      </c>
      <c r="B4441" s="24">
        <v>0.60840000000000005</v>
      </c>
      <c r="C4441" s="24">
        <v>2717.3</v>
      </c>
      <c r="D4441" s="47">
        <f t="shared" si="69"/>
        <v>1653.2053200000003</v>
      </c>
    </row>
    <row r="4442" spans="1:4">
      <c r="A4442" s="122">
        <v>36616</v>
      </c>
      <c r="B4442" s="24">
        <v>0.60750000000000004</v>
      </c>
      <c r="C4442" s="24">
        <v>2708.3</v>
      </c>
      <c r="D4442" s="47">
        <f t="shared" si="69"/>
        <v>1645.2922500000002</v>
      </c>
    </row>
    <row r="4443" spans="1:4">
      <c r="A4443" s="122">
        <v>36615</v>
      </c>
      <c r="B4443" s="24">
        <v>0.6129</v>
      </c>
      <c r="C4443" s="24">
        <v>2718.2</v>
      </c>
      <c r="D4443" s="47">
        <f t="shared" si="69"/>
        <v>1665.98478</v>
      </c>
    </row>
    <row r="4444" spans="1:4">
      <c r="A4444" s="122">
        <v>36614</v>
      </c>
      <c r="B4444" s="24">
        <v>0.61019999999999996</v>
      </c>
      <c r="C4444" s="24">
        <v>2705.7</v>
      </c>
      <c r="D4444" s="47">
        <f t="shared" si="69"/>
        <v>1651.0181399999999</v>
      </c>
    </row>
    <row r="4445" spans="1:4">
      <c r="A4445" s="122">
        <v>36613</v>
      </c>
      <c r="B4445" s="24">
        <v>0.61570000000000003</v>
      </c>
      <c r="C4445" s="24">
        <v>2671</v>
      </c>
      <c r="D4445" s="47">
        <f t="shared" si="69"/>
        <v>1644.5347000000002</v>
      </c>
    </row>
    <row r="4446" spans="1:4">
      <c r="A4446" s="122">
        <v>36612</v>
      </c>
      <c r="B4446" s="24">
        <v>0.61309999999999998</v>
      </c>
      <c r="C4446" s="24">
        <v>2634.5</v>
      </c>
      <c r="D4446" s="47">
        <f t="shared" si="69"/>
        <v>1615.2119499999999</v>
      </c>
    </row>
    <row r="4447" spans="1:4">
      <c r="A4447" s="122">
        <v>36609</v>
      </c>
      <c r="B4447" s="24">
        <v>0.60760000000000003</v>
      </c>
      <c r="C4447" s="24">
        <v>2616</v>
      </c>
      <c r="D4447" s="47">
        <f t="shared" si="69"/>
        <v>1589.4816000000001</v>
      </c>
    </row>
    <row r="4448" spans="1:4">
      <c r="A4448" s="122">
        <v>36608</v>
      </c>
      <c r="B4448" s="24">
        <v>0.60580000000000001</v>
      </c>
      <c r="C4448" s="24">
        <v>2588.6999999999998</v>
      </c>
      <c r="D4448" s="47">
        <f t="shared" si="69"/>
        <v>1568.2344599999999</v>
      </c>
    </row>
    <row r="4449" spans="1:4">
      <c r="A4449" s="122">
        <v>36607</v>
      </c>
      <c r="B4449" s="24">
        <v>0.6038</v>
      </c>
      <c r="C4449" s="24">
        <v>2599.5</v>
      </c>
      <c r="D4449" s="47">
        <f t="shared" si="69"/>
        <v>1569.5780999999999</v>
      </c>
    </row>
    <row r="4450" spans="1:4">
      <c r="A4450" s="122">
        <v>36606</v>
      </c>
      <c r="B4450" s="24">
        <v>0.60960000000000003</v>
      </c>
      <c r="C4450" s="24">
        <v>2575.9</v>
      </c>
      <c r="D4450" s="47">
        <f t="shared" si="69"/>
        <v>1570.2686400000002</v>
      </c>
    </row>
    <row r="4451" spans="1:4">
      <c r="A4451" s="122">
        <v>36605</v>
      </c>
      <c r="B4451" s="24">
        <v>0.60799999999999998</v>
      </c>
      <c r="C4451" s="24">
        <v>2602</v>
      </c>
      <c r="D4451" s="47">
        <f t="shared" si="69"/>
        <v>1582.0159999999998</v>
      </c>
    </row>
    <row r="4452" spans="1:4">
      <c r="A4452" s="122">
        <v>36602</v>
      </c>
      <c r="B4452" s="24">
        <v>0.60609999999999997</v>
      </c>
      <c r="C4452" s="24">
        <v>2600.8000000000002</v>
      </c>
      <c r="D4452" s="47">
        <f t="shared" si="69"/>
        <v>1576.3448800000001</v>
      </c>
    </row>
    <row r="4453" spans="1:4">
      <c r="A4453" s="122">
        <v>36601</v>
      </c>
      <c r="B4453" s="24">
        <v>0.61050000000000004</v>
      </c>
      <c r="C4453" s="24">
        <v>2609.9</v>
      </c>
      <c r="D4453" s="47">
        <f t="shared" si="69"/>
        <v>1593.3439500000002</v>
      </c>
    </row>
    <row r="4454" spans="1:4">
      <c r="A4454" s="122">
        <v>36600</v>
      </c>
      <c r="B4454" s="24">
        <v>0.61329999999999996</v>
      </c>
      <c r="C4454" s="24">
        <v>2590.4</v>
      </c>
      <c r="D4454" s="47">
        <f t="shared" si="69"/>
        <v>1588.6923199999999</v>
      </c>
    </row>
    <row r="4455" spans="1:4">
      <c r="A4455" s="122">
        <v>36599</v>
      </c>
      <c r="B4455" s="24">
        <v>0.61439999999999995</v>
      </c>
      <c r="C4455" s="24">
        <v>2561.1999999999998</v>
      </c>
      <c r="D4455" s="47">
        <f t="shared" si="69"/>
        <v>1573.6012799999999</v>
      </c>
    </row>
    <row r="4456" spans="1:4">
      <c r="A4456" s="122">
        <v>36598</v>
      </c>
      <c r="B4456" s="24">
        <v>0.61650000000000005</v>
      </c>
      <c r="C4456" s="24">
        <v>2542.9</v>
      </c>
      <c r="D4456" s="47">
        <f t="shared" si="69"/>
        <v>1567.6978500000002</v>
      </c>
    </row>
    <row r="4457" spans="1:4">
      <c r="A4457" s="122">
        <v>36595</v>
      </c>
      <c r="B4457" s="24">
        <v>0.61439999999999995</v>
      </c>
      <c r="C4457" s="24">
        <v>2553.1999999999998</v>
      </c>
      <c r="D4457" s="47">
        <f t="shared" si="69"/>
        <v>1568.6860799999997</v>
      </c>
    </row>
    <row r="4458" spans="1:4">
      <c r="A4458" s="122">
        <v>36594</v>
      </c>
      <c r="B4458" s="24">
        <v>0.6149</v>
      </c>
      <c r="C4458" s="24">
        <v>2515.6999999999998</v>
      </c>
      <c r="D4458" s="47">
        <f t="shared" si="69"/>
        <v>1546.9039299999999</v>
      </c>
    </row>
    <row r="4459" spans="1:4">
      <c r="A4459" s="122">
        <v>36593</v>
      </c>
      <c r="B4459" s="24">
        <v>0.60919999999999996</v>
      </c>
      <c r="C4459" s="24">
        <v>2525.3000000000002</v>
      </c>
      <c r="D4459" s="47">
        <f t="shared" si="69"/>
        <v>1538.4127599999999</v>
      </c>
    </row>
    <row r="4460" spans="1:4">
      <c r="A4460" s="122">
        <v>36592</v>
      </c>
      <c r="B4460" s="24">
        <v>0.60450000000000004</v>
      </c>
      <c r="C4460" s="24">
        <v>2526.8000000000002</v>
      </c>
      <c r="D4460" s="47">
        <f t="shared" si="69"/>
        <v>1527.4506000000001</v>
      </c>
    </row>
    <row r="4461" spans="1:4">
      <c r="A4461" s="122">
        <v>36591</v>
      </c>
      <c r="B4461" s="24">
        <v>0.60199999999999998</v>
      </c>
      <c r="C4461" s="24">
        <v>2563.1999999999998</v>
      </c>
      <c r="D4461" s="47">
        <f t="shared" si="69"/>
        <v>1543.0463999999999</v>
      </c>
    </row>
    <row r="4462" spans="1:4">
      <c r="A4462" s="122">
        <v>36588</v>
      </c>
      <c r="B4462" s="24">
        <v>0.60819999999999996</v>
      </c>
      <c r="C4462" s="24">
        <v>2557.9</v>
      </c>
      <c r="D4462" s="47">
        <f t="shared" si="69"/>
        <v>1555.71478</v>
      </c>
    </row>
    <row r="4463" spans="1:4">
      <c r="A4463" s="122">
        <v>36587</v>
      </c>
      <c r="B4463" s="24">
        <v>0.60680000000000001</v>
      </c>
      <c r="C4463" s="24">
        <v>2558.8000000000002</v>
      </c>
      <c r="D4463" s="47">
        <f t="shared" si="69"/>
        <v>1552.67984</v>
      </c>
    </row>
    <row r="4464" spans="1:4">
      <c r="A4464" s="122">
        <v>36586</v>
      </c>
      <c r="B4464" s="24">
        <v>0.60499999999999998</v>
      </c>
      <c r="C4464" s="24">
        <v>2571.5</v>
      </c>
      <c r="D4464" s="47">
        <f t="shared" si="69"/>
        <v>1555.7574999999999</v>
      </c>
    </row>
    <row r="4465" spans="1:4">
      <c r="A4465" s="122">
        <v>36585</v>
      </c>
      <c r="B4465" s="24">
        <v>0.61750000000000005</v>
      </c>
      <c r="C4465" s="24">
        <v>2554.6</v>
      </c>
      <c r="D4465" s="47">
        <f t="shared" si="69"/>
        <v>1577.4655</v>
      </c>
    </row>
    <row r="4466" spans="1:4">
      <c r="A4466" s="122">
        <v>36584</v>
      </c>
      <c r="B4466" s="24">
        <v>0.61460000000000004</v>
      </c>
      <c r="C4466" s="24">
        <v>2584.5</v>
      </c>
      <c r="D4466" s="47">
        <f t="shared" si="69"/>
        <v>1588.4337</v>
      </c>
    </row>
    <row r="4467" spans="1:4">
      <c r="A4467" s="122">
        <v>36581</v>
      </c>
      <c r="B4467" s="24">
        <v>0.61480000000000001</v>
      </c>
      <c r="C4467" s="24">
        <v>2567.1999999999998</v>
      </c>
      <c r="D4467" s="47">
        <f t="shared" si="69"/>
        <v>1578.31456</v>
      </c>
    </row>
    <row r="4468" spans="1:4">
      <c r="A4468" s="122">
        <v>36580</v>
      </c>
      <c r="B4468" s="24">
        <v>0.61450000000000005</v>
      </c>
      <c r="C4468" s="24">
        <v>2557.5</v>
      </c>
      <c r="D4468" s="47">
        <f t="shared" si="69"/>
        <v>1571.58375</v>
      </c>
    </row>
    <row r="4469" spans="1:4">
      <c r="A4469" s="122">
        <v>36579</v>
      </c>
      <c r="B4469" s="24">
        <v>0.621</v>
      </c>
      <c r="C4469" s="24">
        <v>2555.4</v>
      </c>
      <c r="D4469" s="47">
        <f t="shared" si="69"/>
        <v>1586.9034000000001</v>
      </c>
    </row>
    <row r="4470" spans="1:4">
      <c r="A4470" s="122">
        <v>36578</v>
      </c>
      <c r="B4470" s="24">
        <v>0.62360000000000004</v>
      </c>
      <c r="C4470" s="24">
        <v>2602.1999999999998</v>
      </c>
      <c r="D4470" s="47">
        <f t="shared" si="69"/>
        <v>1622.7319199999999</v>
      </c>
    </row>
    <row r="4471" spans="1:4">
      <c r="A4471" s="122">
        <v>36577</v>
      </c>
      <c r="B4471" s="24">
        <v>0.62519999999999998</v>
      </c>
      <c r="C4471" s="24">
        <v>2564</v>
      </c>
      <c r="D4471" s="47">
        <f t="shared" si="69"/>
        <v>1603.0128</v>
      </c>
    </row>
    <row r="4472" spans="1:4">
      <c r="A4472" s="122">
        <v>36574</v>
      </c>
      <c r="B4472" s="24">
        <v>0.62860000000000005</v>
      </c>
      <c r="C4472" s="24">
        <v>2559.6999999999998</v>
      </c>
      <c r="D4472" s="47">
        <f t="shared" si="69"/>
        <v>1609.0274200000001</v>
      </c>
    </row>
    <row r="4473" spans="1:4">
      <c r="A4473" s="122">
        <v>36573</v>
      </c>
      <c r="B4473" s="24">
        <v>0.63190000000000002</v>
      </c>
      <c r="C4473" s="24">
        <v>2583.4</v>
      </c>
      <c r="D4473" s="47">
        <f t="shared" si="69"/>
        <v>1632.45046</v>
      </c>
    </row>
    <row r="4474" spans="1:4">
      <c r="A4474" s="122">
        <v>36572</v>
      </c>
      <c r="B4474" s="24">
        <v>0.63139999999999996</v>
      </c>
      <c r="C4474" s="24">
        <v>2600.9</v>
      </c>
      <c r="D4474" s="47">
        <f t="shared" si="69"/>
        <v>1642.2082599999999</v>
      </c>
    </row>
    <row r="4475" spans="1:4">
      <c r="A4475" s="122">
        <v>36571</v>
      </c>
      <c r="B4475" s="24">
        <v>0.62829999999999997</v>
      </c>
      <c r="C4475" s="24">
        <v>2643.8</v>
      </c>
      <c r="D4475" s="47">
        <f t="shared" si="69"/>
        <v>1661.0995399999999</v>
      </c>
    </row>
    <row r="4476" spans="1:4">
      <c r="A4476" s="122">
        <v>36570</v>
      </c>
      <c r="B4476" s="24">
        <v>0.62680000000000002</v>
      </c>
      <c r="C4476" s="24">
        <v>2652.5</v>
      </c>
      <c r="D4476" s="47">
        <f t="shared" si="69"/>
        <v>1662.587</v>
      </c>
    </row>
    <row r="4477" spans="1:4">
      <c r="A4477" s="122">
        <v>36567</v>
      </c>
      <c r="B4477" s="24">
        <v>0.63039999999999996</v>
      </c>
      <c r="C4477" s="24">
        <v>2662.6</v>
      </c>
      <c r="D4477" s="47">
        <f t="shared" si="69"/>
        <v>1678.5030399999998</v>
      </c>
    </row>
    <row r="4478" spans="1:4">
      <c r="A4478" s="122">
        <v>36566</v>
      </c>
      <c r="B4478" s="24">
        <v>0.63139999999999996</v>
      </c>
      <c r="C4478" s="24">
        <v>2642.3</v>
      </c>
      <c r="D4478" s="47">
        <f t="shared" si="69"/>
        <v>1668.3482200000001</v>
      </c>
    </row>
    <row r="4479" spans="1:4">
      <c r="A4479" s="122">
        <v>36565</v>
      </c>
      <c r="B4479" s="24">
        <v>0.63549999999999995</v>
      </c>
      <c r="C4479" s="24">
        <v>2641.9</v>
      </c>
      <c r="D4479" s="47">
        <f t="shared" si="69"/>
        <v>1678.9274499999999</v>
      </c>
    </row>
    <row r="4480" spans="1:4">
      <c r="A4480" s="122">
        <v>36564</v>
      </c>
      <c r="B4480" s="24">
        <v>0.6321</v>
      </c>
      <c r="C4480" s="24">
        <v>2663</v>
      </c>
      <c r="D4480" s="47">
        <f t="shared" si="69"/>
        <v>1683.2823000000001</v>
      </c>
    </row>
    <row r="4481" spans="1:4">
      <c r="A4481" s="122">
        <v>36563</v>
      </c>
      <c r="B4481" s="24">
        <v>0.63349999999999995</v>
      </c>
      <c r="C4481" s="24">
        <v>2673.7</v>
      </c>
      <c r="D4481" s="47">
        <f t="shared" si="69"/>
        <v>1693.7889499999997</v>
      </c>
    </row>
    <row r="4482" spans="1:4">
      <c r="A4482" s="122">
        <v>36560</v>
      </c>
      <c r="B4482" s="24">
        <v>0.63600000000000001</v>
      </c>
      <c r="C4482" s="24">
        <v>2672.7</v>
      </c>
      <c r="D4482" s="47">
        <f t="shared" si="69"/>
        <v>1699.8371999999999</v>
      </c>
    </row>
    <row r="4483" spans="1:4">
      <c r="A4483" s="122">
        <v>36559</v>
      </c>
      <c r="B4483" s="24">
        <v>0.6361</v>
      </c>
      <c r="C4483" s="24">
        <v>2671.7</v>
      </c>
      <c r="D4483" s="47">
        <f t="shared" ref="D4483:D4546" si="70">C4483*B4483</f>
        <v>1699.4683699999998</v>
      </c>
    </row>
    <row r="4484" spans="1:4">
      <c r="A4484" s="122">
        <v>36558</v>
      </c>
      <c r="B4484" s="24">
        <v>0.63770000000000004</v>
      </c>
      <c r="C4484" s="24">
        <v>2664.8</v>
      </c>
      <c r="D4484" s="47">
        <f t="shared" si="70"/>
        <v>1699.3429600000002</v>
      </c>
    </row>
    <row r="4485" spans="1:4">
      <c r="A4485" s="122">
        <v>36557</v>
      </c>
      <c r="B4485" s="24">
        <v>0.63160000000000005</v>
      </c>
      <c r="C4485" s="24">
        <v>2631.9</v>
      </c>
      <c r="D4485" s="47">
        <f t="shared" si="70"/>
        <v>1662.3080400000001</v>
      </c>
    </row>
    <row r="4486" spans="1:4">
      <c r="A4486" s="122">
        <v>36556</v>
      </c>
      <c r="B4486" s="24">
        <v>0.63560000000000005</v>
      </c>
      <c r="C4486" s="24">
        <v>2617.1</v>
      </c>
      <c r="D4486" s="47">
        <f t="shared" si="70"/>
        <v>1663.42876</v>
      </c>
    </row>
    <row r="4487" spans="1:4">
      <c r="A4487" s="122">
        <v>36553</v>
      </c>
      <c r="B4487" s="24">
        <v>0.63160000000000005</v>
      </c>
      <c r="C4487" s="24">
        <v>2624.1</v>
      </c>
      <c r="D4487" s="47">
        <f t="shared" si="70"/>
        <v>1657.38156</v>
      </c>
    </row>
    <row r="4488" spans="1:4">
      <c r="A4488" s="122">
        <v>36552</v>
      </c>
      <c r="B4488" s="24">
        <v>0.65400000000000003</v>
      </c>
      <c r="C4488" s="24">
        <v>2597.6999999999998</v>
      </c>
      <c r="D4488" s="47">
        <f t="shared" si="70"/>
        <v>1698.8958</v>
      </c>
    </row>
    <row r="4489" spans="1:4">
      <c r="A4489" s="122">
        <v>36551</v>
      </c>
      <c r="B4489" s="24">
        <v>0.65149999999999997</v>
      </c>
      <c r="C4489" s="24">
        <v>2595.8000000000002</v>
      </c>
      <c r="D4489" s="47">
        <f t="shared" si="70"/>
        <v>1691.1637000000001</v>
      </c>
    </row>
    <row r="4490" spans="1:4">
      <c r="A4490" s="122">
        <v>36550</v>
      </c>
      <c r="B4490" s="24">
        <v>0.65549999999999997</v>
      </c>
      <c r="C4490" s="24">
        <v>2626.8</v>
      </c>
      <c r="D4490" s="47">
        <f t="shared" si="70"/>
        <v>1721.8674000000001</v>
      </c>
    </row>
    <row r="4491" spans="1:4">
      <c r="A4491" s="122">
        <v>36549</v>
      </c>
      <c r="B4491" s="24">
        <v>0.65410000000000001</v>
      </c>
      <c r="C4491" s="24">
        <v>2612.6999999999998</v>
      </c>
      <c r="D4491" s="47">
        <f t="shared" si="70"/>
        <v>1708.9670699999999</v>
      </c>
    </row>
    <row r="4492" spans="1:4">
      <c r="A4492" s="122">
        <v>36546</v>
      </c>
      <c r="B4492" s="24">
        <v>0.66249999999999998</v>
      </c>
      <c r="C4492" s="24">
        <v>2588.6</v>
      </c>
      <c r="D4492" s="47">
        <f t="shared" si="70"/>
        <v>1714.9475</v>
      </c>
    </row>
    <row r="4493" spans="1:4">
      <c r="A4493" s="122">
        <v>36545</v>
      </c>
      <c r="B4493" s="24">
        <v>0.66539999999999999</v>
      </c>
      <c r="C4493" s="24">
        <v>2577.8000000000002</v>
      </c>
      <c r="D4493" s="47">
        <f t="shared" si="70"/>
        <v>1715.2681200000002</v>
      </c>
    </row>
    <row r="4494" spans="1:4">
      <c r="A4494" s="122">
        <v>36544</v>
      </c>
      <c r="B4494" s="24">
        <v>0.66310000000000002</v>
      </c>
      <c r="C4494" s="24">
        <v>2614</v>
      </c>
      <c r="D4494" s="47">
        <f t="shared" si="70"/>
        <v>1733.3434</v>
      </c>
    </row>
    <row r="4495" spans="1:4">
      <c r="A4495" s="122">
        <v>36543</v>
      </c>
      <c r="B4495" s="24">
        <v>0.66579999999999995</v>
      </c>
      <c r="C4495" s="24">
        <v>2641.1</v>
      </c>
      <c r="D4495" s="47">
        <f t="shared" si="70"/>
        <v>1758.4443799999999</v>
      </c>
    </row>
    <row r="4496" spans="1:4">
      <c r="A4496" s="122">
        <v>36542</v>
      </c>
      <c r="B4496" s="24">
        <v>0.66500000000000004</v>
      </c>
      <c r="C4496" s="24">
        <v>2635.8</v>
      </c>
      <c r="D4496" s="47">
        <f t="shared" si="70"/>
        <v>1752.8070000000002</v>
      </c>
    </row>
    <row r="4497" spans="1:4">
      <c r="A4497" s="122">
        <v>36539</v>
      </c>
      <c r="B4497" s="24">
        <v>0.66579999999999995</v>
      </c>
      <c r="C4497" s="24">
        <v>2637</v>
      </c>
      <c r="D4497" s="47">
        <f t="shared" si="70"/>
        <v>1755.7145999999998</v>
      </c>
    </row>
    <row r="4498" spans="1:4">
      <c r="A4498" s="122">
        <v>36538</v>
      </c>
      <c r="B4498" s="24">
        <v>0.66679999999999995</v>
      </c>
      <c r="C4498" s="24">
        <v>2621.8</v>
      </c>
      <c r="D4498" s="47">
        <f t="shared" si="70"/>
        <v>1748.21624</v>
      </c>
    </row>
    <row r="4499" spans="1:4">
      <c r="A4499" s="122">
        <v>36537</v>
      </c>
      <c r="B4499" s="24">
        <v>0.65820000000000001</v>
      </c>
      <c r="C4499" s="24">
        <v>2653.7</v>
      </c>
      <c r="D4499" s="47">
        <f t="shared" si="70"/>
        <v>1746.6653399999998</v>
      </c>
    </row>
    <row r="4500" spans="1:4">
      <c r="A4500" s="122">
        <v>36536</v>
      </c>
      <c r="B4500" s="24">
        <v>0.65800000000000003</v>
      </c>
      <c r="C4500" s="24">
        <v>2673.1</v>
      </c>
      <c r="D4500" s="47">
        <f t="shared" si="70"/>
        <v>1758.8997999999999</v>
      </c>
    </row>
    <row r="4501" spans="1:4">
      <c r="A4501" s="122">
        <v>36535</v>
      </c>
      <c r="B4501" s="24">
        <v>0.65610000000000002</v>
      </c>
      <c r="C4501" s="24">
        <v>2681.3</v>
      </c>
      <c r="D4501" s="47">
        <f t="shared" si="70"/>
        <v>1759.2009300000002</v>
      </c>
    </row>
    <row r="4502" spans="1:4">
      <c r="A4502" s="122">
        <v>36532</v>
      </c>
      <c r="B4502" s="24">
        <v>0.65529999999999999</v>
      </c>
      <c r="C4502" s="24">
        <v>2685.8</v>
      </c>
      <c r="D4502" s="47">
        <f t="shared" si="70"/>
        <v>1760.0047400000001</v>
      </c>
    </row>
    <row r="4503" spans="1:4">
      <c r="A4503" s="122">
        <v>36531</v>
      </c>
      <c r="B4503" s="24">
        <v>0.65400000000000003</v>
      </c>
      <c r="C4503" s="24">
        <v>2660.2</v>
      </c>
      <c r="D4503" s="47">
        <f t="shared" si="70"/>
        <v>1739.7708</v>
      </c>
    </row>
    <row r="4504" spans="1:4">
      <c r="A4504" s="122">
        <v>36530</v>
      </c>
      <c r="B4504" s="24">
        <v>0.6583</v>
      </c>
      <c r="C4504" s="24">
        <v>2664.7</v>
      </c>
      <c r="D4504" s="47">
        <f t="shared" si="70"/>
        <v>1754.1720099999998</v>
      </c>
    </row>
    <row r="4505" spans="1:4">
      <c r="A4505" s="122">
        <v>36529</v>
      </c>
      <c r="B4505" s="24">
        <v>0.65480000000000005</v>
      </c>
      <c r="C4505" s="24">
        <v>2641.8</v>
      </c>
      <c r="D4505" s="47">
        <f t="shared" si="70"/>
        <v>1729.8506400000003</v>
      </c>
    </row>
    <row r="4506" spans="1:4">
      <c r="A4506" s="122">
        <v>36528</v>
      </c>
      <c r="B4506" s="24">
        <v>0.65820000000000001</v>
      </c>
      <c r="C4506" s="24">
        <v>2640.6</v>
      </c>
      <c r="D4506" s="47">
        <f t="shared" si="70"/>
        <v>1738.0429199999999</v>
      </c>
    </row>
    <row r="4507" spans="1:4">
      <c r="A4507" s="122">
        <v>36525</v>
      </c>
      <c r="B4507" s="24">
        <v>0.65680000000000005</v>
      </c>
      <c r="C4507" s="24">
        <v>2646.3</v>
      </c>
      <c r="D4507" s="47">
        <f t="shared" si="70"/>
        <v>1738.0898400000003</v>
      </c>
    </row>
    <row r="4508" spans="1:4">
      <c r="A4508" s="122">
        <v>36524</v>
      </c>
      <c r="B4508" s="24">
        <v>0.65339999999999998</v>
      </c>
      <c r="C4508" s="24">
        <v>2629.3</v>
      </c>
      <c r="D4508" s="47">
        <f t="shared" si="70"/>
        <v>1717.9846200000002</v>
      </c>
    </row>
    <row r="4509" spans="1:4">
      <c r="A4509" s="122">
        <v>36523</v>
      </c>
      <c r="B4509" s="24">
        <v>0.65069999999999995</v>
      </c>
      <c r="C4509" s="24">
        <v>2647.4</v>
      </c>
      <c r="D4509" s="47">
        <f t="shared" si="70"/>
        <v>1722.66318</v>
      </c>
    </row>
    <row r="4510" spans="1:4">
      <c r="A4510" s="122">
        <v>36522</v>
      </c>
      <c r="B4510" s="24">
        <v>0.64629999999999999</v>
      </c>
      <c r="C4510" s="24">
        <v>2654</v>
      </c>
      <c r="D4510" s="47">
        <f t="shared" si="70"/>
        <v>1715.2801999999999</v>
      </c>
    </row>
    <row r="4511" spans="1:4">
      <c r="A4511" s="122">
        <v>36521</v>
      </c>
      <c r="B4511" s="24">
        <v>0.6452</v>
      </c>
      <c r="C4511" s="24">
        <v>2635.4</v>
      </c>
      <c r="D4511" s="47">
        <f t="shared" si="70"/>
        <v>1700.3600800000002</v>
      </c>
    </row>
    <row r="4512" spans="1:4">
      <c r="A4512" s="122">
        <v>36518</v>
      </c>
      <c r="B4512" s="24">
        <v>0.64280000000000004</v>
      </c>
      <c r="C4512" s="24">
        <v>2612.6999999999998</v>
      </c>
      <c r="D4512" s="47">
        <f t="shared" si="70"/>
        <v>1679.4435599999999</v>
      </c>
    </row>
    <row r="4513" spans="1:4">
      <c r="A4513" s="122">
        <v>36517</v>
      </c>
      <c r="B4513" s="24">
        <v>0.64529999999999998</v>
      </c>
      <c r="C4513" s="24">
        <v>2620.1</v>
      </c>
      <c r="D4513" s="47">
        <f t="shared" si="70"/>
        <v>1690.7505299999998</v>
      </c>
    </row>
    <row r="4514" spans="1:4">
      <c r="A4514" s="122">
        <v>36516</v>
      </c>
      <c r="B4514" s="24">
        <v>0.64410000000000001</v>
      </c>
      <c r="C4514" s="24">
        <v>2606.1999999999998</v>
      </c>
      <c r="D4514" s="47">
        <f t="shared" si="70"/>
        <v>1678.6534199999999</v>
      </c>
    </row>
    <row r="4515" spans="1:4">
      <c r="A4515" s="122">
        <v>36515</v>
      </c>
      <c r="B4515" s="24">
        <v>0.64449999999999996</v>
      </c>
      <c r="C4515" s="24">
        <v>2591</v>
      </c>
      <c r="D4515" s="47">
        <f t="shared" si="70"/>
        <v>1669.8995</v>
      </c>
    </row>
    <row r="4516" spans="1:4">
      <c r="A4516" s="122">
        <v>36514</v>
      </c>
      <c r="B4516" s="24">
        <v>0.64229999999999998</v>
      </c>
      <c r="C4516" s="24">
        <v>2573.9</v>
      </c>
      <c r="D4516" s="47">
        <f t="shared" si="70"/>
        <v>1653.21597</v>
      </c>
    </row>
    <row r="4517" spans="1:4">
      <c r="A4517" s="122">
        <v>36511</v>
      </c>
      <c r="B4517" s="24">
        <v>0.64249999999999996</v>
      </c>
      <c r="C4517" s="24">
        <v>2546.6999999999998</v>
      </c>
      <c r="D4517" s="47">
        <f t="shared" si="70"/>
        <v>1636.2547499999998</v>
      </c>
    </row>
    <row r="4518" spans="1:4">
      <c r="A4518" s="122">
        <v>36510</v>
      </c>
      <c r="B4518" s="24">
        <v>0.64239999999999997</v>
      </c>
      <c r="C4518" s="24">
        <v>2563.3000000000002</v>
      </c>
      <c r="D4518" s="47">
        <f t="shared" si="70"/>
        <v>1646.66392</v>
      </c>
    </row>
    <row r="4519" spans="1:4">
      <c r="A4519" s="122">
        <v>36509</v>
      </c>
      <c r="B4519" s="24">
        <v>0.63580000000000003</v>
      </c>
      <c r="C4519" s="24">
        <v>2532</v>
      </c>
      <c r="D4519" s="47">
        <f t="shared" si="70"/>
        <v>1609.8456000000001</v>
      </c>
    </row>
    <row r="4520" spans="1:4">
      <c r="A4520" s="122">
        <v>36508</v>
      </c>
      <c r="B4520" s="24">
        <v>0.63590000000000002</v>
      </c>
      <c r="C4520" s="24">
        <v>2535</v>
      </c>
      <c r="D4520" s="47">
        <f t="shared" si="70"/>
        <v>1612.0065</v>
      </c>
    </row>
    <row r="4521" spans="1:4">
      <c r="A4521" s="122">
        <v>36507</v>
      </c>
      <c r="B4521" s="24">
        <v>0.63439999999999996</v>
      </c>
      <c r="C4521" s="24">
        <v>2546.1999999999998</v>
      </c>
      <c r="D4521" s="47">
        <f t="shared" si="70"/>
        <v>1615.3092799999997</v>
      </c>
    </row>
    <row r="4522" spans="1:4">
      <c r="A4522" s="122">
        <v>36504</v>
      </c>
      <c r="B4522" s="24">
        <v>0.63619999999999999</v>
      </c>
      <c r="C4522" s="24">
        <v>2545.5</v>
      </c>
      <c r="D4522" s="47">
        <f t="shared" si="70"/>
        <v>1619.4470999999999</v>
      </c>
    </row>
    <row r="4523" spans="1:4">
      <c r="A4523" s="122">
        <v>36503</v>
      </c>
      <c r="B4523" s="24">
        <v>0.63919999999999999</v>
      </c>
      <c r="C4523" s="24">
        <v>2560.5</v>
      </c>
      <c r="D4523" s="47">
        <f t="shared" si="70"/>
        <v>1636.6715999999999</v>
      </c>
    </row>
    <row r="4524" spans="1:4">
      <c r="A4524" s="122">
        <v>36502</v>
      </c>
      <c r="B4524" s="24">
        <v>0.63759999999999994</v>
      </c>
      <c r="C4524" s="24">
        <v>2544.9</v>
      </c>
      <c r="D4524" s="47">
        <f t="shared" si="70"/>
        <v>1622.62824</v>
      </c>
    </row>
    <row r="4525" spans="1:4">
      <c r="A4525" s="122">
        <v>36501</v>
      </c>
      <c r="B4525" s="24">
        <v>0.63700000000000001</v>
      </c>
      <c r="C4525" s="24">
        <v>2524.8000000000002</v>
      </c>
      <c r="D4525" s="47">
        <f t="shared" si="70"/>
        <v>1608.2976000000001</v>
      </c>
    </row>
    <row r="4526" spans="1:4">
      <c r="A4526" s="122">
        <v>36500</v>
      </c>
      <c r="B4526" s="24">
        <v>0.63500000000000001</v>
      </c>
      <c r="C4526" s="24">
        <v>2520.5</v>
      </c>
      <c r="D4526" s="47">
        <f t="shared" si="70"/>
        <v>1600.5174999999999</v>
      </c>
    </row>
    <row r="4527" spans="1:4">
      <c r="A4527" s="122">
        <v>36497</v>
      </c>
      <c r="B4527" s="24">
        <v>0.63200000000000001</v>
      </c>
      <c r="C4527" s="24">
        <v>2515.3000000000002</v>
      </c>
      <c r="D4527" s="47">
        <f t="shared" si="70"/>
        <v>1589.6696000000002</v>
      </c>
    </row>
    <row r="4528" spans="1:4">
      <c r="A4528" s="122">
        <v>36496</v>
      </c>
      <c r="B4528" s="24">
        <v>0.63239999999999996</v>
      </c>
      <c r="C4528" s="24">
        <v>2524.3000000000002</v>
      </c>
      <c r="D4528" s="47">
        <f t="shared" si="70"/>
        <v>1596.3673200000001</v>
      </c>
    </row>
    <row r="4529" spans="1:4">
      <c r="A4529" s="122">
        <v>36495</v>
      </c>
      <c r="B4529" s="24">
        <v>0.63690000000000002</v>
      </c>
      <c r="C4529" s="24">
        <v>2504.9</v>
      </c>
      <c r="D4529" s="47">
        <f t="shared" si="70"/>
        <v>1595.3708100000001</v>
      </c>
    </row>
    <row r="4530" spans="1:4">
      <c r="A4530" s="122">
        <v>36494</v>
      </c>
      <c r="B4530" s="24">
        <v>0.63490000000000002</v>
      </c>
      <c r="C4530" s="24">
        <v>2488.6</v>
      </c>
      <c r="D4530" s="47">
        <f t="shared" si="70"/>
        <v>1580.01214</v>
      </c>
    </row>
    <row r="4531" spans="1:4">
      <c r="A4531" s="122">
        <v>36493</v>
      </c>
      <c r="B4531" s="24">
        <v>0.6371</v>
      </c>
      <c r="C4531" s="24">
        <v>2482.1</v>
      </c>
      <c r="D4531" s="47">
        <f t="shared" si="70"/>
        <v>1581.34591</v>
      </c>
    </row>
    <row r="4532" spans="1:4">
      <c r="A4532" s="122">
        <v>36490</v>
      </c>
      <c r="B4532" s="24">
        <v>0.63449999999999995</v>
      </c>
      <c r="C4532" s="24">
        <v>2469.1999999999998</v>
      </c>
      <c r="D4532" s="47">
        <f t="shared" si="70"/>
        <v>1566.7073999999998</v>
      </c>
    </row>
    <row r="4533" spans="1:4">
      <c r="A4533" s="122">
        <v>36489</v>
      </c>
      <c r="B4533" s="24">
        <v>0.63580000000000003</v>
      </c>
      <c r="C4533" s="24">
        <v>2469.1</v>
      </c>
      <c r="D4533" s="47">
        <f t="shared" si="70"/>
        <v>1569.8537799999999</v>
      </c>
    </row>
    <row r="4534" spans="1:4">
      <c r="A4534" s="122">
        <v>36488</v>
      </c>
      <c r="B4534" s="24">
        <v>0.63249999999999995</v>
      </c>
      <c r="C4534" s="24">
        <v>2475.3000000000002</v>
      </c>
      <c r="D4534" s="47">
        <f t="shared" si="70"/>
        <v>1565.62725</v>
      </c>
    </row>
    <row r="4535" spans="1:4">
      <c r="A4535" s="122">
        <v>36487</v>
      </c>
      <c r="B4535" s="24">
        <v>0.63600000000000001</v>
      </c>
      <c r="C4535" s="24">
        <v>2461.8000000000002</v>
      </c>
      <c r="D4535" s="47">
        <f t="shared" si="70"/>
        <v>1565.7048000000002</v>
      </c>
    </row>
    <row r="4536" spans="1:4">
      <c r="A4536" s="122">
        <v>36486</v>
      </c>
      <c r="B4536" s="24">
        <v>0.6371</v>
      </c>
      <c r="C4536" s="24">
        <v>2467.8000000000002</v>
      </c>
      <c r="D4536" s="47">
        <f t="shared" si="70"/>
        <v>1572.2353800000001</v>
      </c>
    </row>
    <row r="4537" spans="1:4">
      <c r="A4537" s="122">
        <v>36483</v>
      </c>
      <c r="B4537" s="24">
        <v>0.63829999999999998</v>
      </c>
      <c r="C4537" s="24">
        <v>2473</v>
      </c>
      <c r="D4537" s="47">
        <f t="shared" si="70"/>
        <v>1578.5158999999999</v>
      </c>
    </row>
    <row r="4538" spans="1:4">
      <c r="A4538" s="122">
        <v>36482</v>
      </c>
      <c r="B4538" s="24">
        <v>0.63849999999999996</v>
      </c>
      <c r="C4538" s="24">
        <v>2464.3000000000002</v>
      </c>
      <c r="D4538" s="47">
        <f t="shared" si="70"/>
        <v>1573.4555499999999</v>
      </c>
    </row>
    <row r="4539" spans="1:4">
      <c r="A4539" s="122">
        <v>36481</v>
      </c>
      <c r="B4539" s="24">
        <v>0.63929999999999998</v>
      </c>
      <c r="C4539" s="24">
        <v>2466.1</v>
      </c>
      <c r="D4539" s="47">
        <f t="shared" si="70"/>
        <v>1576.57773</v>
      </c>
    </row>
    <row r="4540" spans="1:4">
      <c r="A4540" s="122">
        <v>36480</v>
      </c>
      <c r="B4540" s="24">
        <v>0.64259999999999995</v>
      </c>
      <c r="C4540" s="24">
        <v>2442.6999999999998</v>
      </c>
      <c r="D4540" s="47">
        <f t="shared" si="70"/>
        <v>1569.6790199999998</v>
      </c>
    </row>
    <row r="4541" spans="1:4">
      <c r="A4541" s="122">
        <v>36479</v>
      </c>
      <c r="B4541" s="24">
        <v>0.64639999999999997</v>
      </c>
      <c r="C4541" s="24">
        <v>2453.8000000000002</v>
      </c>
      <c r="D4541" s="47">
        <f t="shared" si="70"/>
        <v>1586.1363200000001</v>
      </c>
    </row>
    <row r="4542" spans="1:4">
      <c r="A4542" s="122">
        <v>36476</v>
      </c>
      <c r="B4542" s="24">
        <v>0.64439999999999997</v>
      </c>
      <c r="C4542" s="24">
        <v>2447</v>
      </c>
      <c r="D4542" s="47">
        <f t="shared" si="70"/>
        <v>1576.8468</v>
      </c>
    </row>
    <row r="4543" spans="1:4">
      <c r="A4543" s="122">
        <v>36475</v>
      </c>
      <c r="B4543" s="24">
        <v>0.6421</v>
      </c>
      <c r="C4543" s="24">
        <v>2428</v>
      </c>
      <c r="D4543" s="47">
        <f t="shared" si="70"/>
        <v>1559.0188000000001</v>
      </c>
    </row>
    <row r="4544" spans="1:4">
      <c r="A4544" s="122">
        <v>36474</v>
      </c>
      <c r="B4544" s="24">
        <v>0.64200000000000002</v>
      </c>
      <c r="C4544" s="24">
        <v>2427.3000000000002</v>
      </c>
      <c r="D4544" s="47">
        <f t="shared" si="70"/>
        <v>1558.3266000000001</v>
      </c>
    </row>
    <row r="4545" spans="1:4">
      <c r="A4545" s="122">
        <v>36473</v>
      </c>
      <c r="B4545" s="24">
        <v>0.63880000000000003</v>
      </c>
      <c r="C4545" s="24">
        <v>2421.3000000000002</v>
      </c>
      <c r="D4545" s="47">
        <f t="shared" si="70"/>
        <v>1546.7264400000001</v>
      </c>
    </row>
    <row r="4546" spans="1:4">
      <c r="A4546" s="122">
        <v>36472</v>
      </c>
      <c r="B4546" s="24">
        <v>0.63739999999999997</v>
      </c>
      <c r="C4546" s="24">
        <v>2424.1</v>
      </c>
      <c r="D4546" s="47">
        <f t="shared" si="70"/>
        <v>1545.1213399999999</v>
      </c>
    </row>
    <row r="4547" spans="1:4">
      <c r="A4547" s="122">
        <v>36469</v>
      </c>
      <c r="B4547" s="24">
        <v>0.63849999999999996</v>
      </c>
      <c r="C4547" s="24">
        <v>2414.5</v>
      </c>
      <c r="D4547" s="47">
        <f t="shared" ref="D4547:D4610" si="71">C4547*B4547</f>
        <v>1541.65825</v>
      </c>
    </row>
    <row r="4548" spans="1:4">
      <c r="A4548" s="122">
        <v>36468</v>
      </c>
      <c r="B4548" s="24">
        <v>0.63700000000000001</v>
      </c>
      <c r="C4548" s="24">
        <v>2395.3000000000002</v>
      </c>
      <c r="D4548" s="47">
        <f t="shared" si="71"/>
        <v>1525.8061000000002</v>
      </c>
    </row>
    <row r="4549" spans="1:4">
      <c r="A4549" s="122">
        <v>36467</v>
      </c>
      <c r="B4549" s="24">
        <v>0.64290000000000003</v>
      </c>
      <c r="C4549" s="24">
        <v>2409.1999999999998</v>
      </c>
      <c r="D4549" s="47">
        <f t="shared" si="71"/>
        <v>1548.8746799999999</v>
      </c>
    </row>
    <row r="4550" spans="1:4">
      <c r="A4550" s="122">
        <v>36466</v>
      </c>
      <c r="B4550" s="24">
        <v>0.64029999999999998</v>
      </c>
      <c r="C4550" s="24">
        <v>2408.9</v>
      </c>
      <c r="D4550" s="47">
        <f t="shared" si="71"/>
        <v>1542.41867</v>
      </c>
    </row>
    <row r="4551" spans="1:4">
      <c r="A4551" s="122">
        <v>36465</v>
      </c>
      <c r="B4551" s="24">
        <v>0.63829999999999998</v>
      </c>
      <c r="C4551" s="24">
        <v>2386.5</v>
      </c>
      <c r="D4551" s="47">
        <f t="shared" si="71"/>
        <v>1523.30295</v>
      </c>
    </row>
    <row r="4552" spans="1:4">
      <c r="A4552" s="122">
        <v>36462</v>
      </c>
      <c r="B4552" s="24">
        <v>0.6371</v>
      </c>
      <c r="C4552" s="24">
        <v>2384.6</v>
      </c>
      <c r="D4552" s="47">
        <f t="shared" si="71"/>
        <v>1519.22866</v>
      </c>
    </row>
    <row r="4553" spans="1:4">
      <c r="A4553" s="122">
        <v>36461</v>
      </c>
      <c r="B4553" s="24">
        <v>0.64529999999999998</v>
      </c>
      <c r="C4553" s="24">
        <v>2380.6999999999998</v>
      </c>
      <c r="D4553" s="47">
        <f t="shared" si="71"/>
        <v>1536.2657099999999</v>
      </c>
    </row>
    <row r="4554" spans="1:4">
      <c r="A4554" s="122">
        <v>36460</v>
      </c>
      <c r="B4554" s="24">
        <v>0.64400000000000002</v>
      </c>
      <c r="C4554" s="24">
        <v>2350</v>
      </c>
      <c r="D4554" s="47">
        <f t="shared" si="71"/>
        <v>1513.4</v>
      </c>
    </row>
    <row r="4555" spans="1:4">
      <c r="A4555" s="122">
        <v>36459</v>
      </c>
      <c r="B4555" s="24">
        <v>0.64959999999999996</v>
      </c>
      <c r="C4555" s="24">
        <v>2343.6</v>
      </c>
      <c r="D4555" s="47">
        <f t="shared" si="71"/>
        <v>1522.4025599999998</v>
      </c>
    </row>
    <row r="4556" spans="1:4">
      <c r="A4556" s="122">
        <v>36458</v>
      </c>
      <c r="B4556" s="24">
        <v>0.65210000000000001</v>
      </c>
      <c r="C4556" s="24">
        <v>2318.6999999999998</v>
      </c>
      <c r="D4556" s="47">
        <f t="shared" si="71"/>
        <v>1512.0242699999999</v>
      </c>
    </row>
    <row r="4557" spans="1:4">
      <c r="A4557" s="122">
        <v>36455</v>
      </c>
      <c r="B4557" s="24">
        <v>0.64900000000000002</v>
      </c>
      <c r="C4557" s="24">
        <v>2304.5</v>
      </c>
      <c r="D4557" s="47">
        <f t="shared" si="71"/>
        <v>1495.6205</v>
      </c>
    </row>
    <row r="4558" spans="1:4">
      <c r="A4558" s="122">
        <v>36454</v>
      </c>
      <c r="B4558" s="24">
        <v>0.64829999999999999</v>
      </c>
      <c r="C4558" s="24">
        <v>2317.8000000000002</v>
      </c>
      <c r="D4558" s="47">
        <f t="shared" si="71"/>
        <v>1502.6297400000001</v>
      </c>
    </row>
    <row r="4559" spans="1:4">
      <c r="A4559" s="122">
        <v>36453</v>
      </c>
      <c r="B4559" s="24">
        <v>0.64639999999999997</v>
      </c>
      <c r="C4559" s="24">
        <v>2330.6</v>
      </c>
      <c r="D4559" s="47">
        <f t="shared" si="71"/>
        <v>1506.4998399999999</v>
      </c>
    </row>
    <row r="4560" spans="1:4">
      <c r="A4560" s="122">
        <v>36452</v>
      </c>
      <c r="B4560" s="24">
        <v>0.64800000000000002</v>
      </c>
      <c r="C4560" s="24">
        <v>2327.6999999999998</v>
      </c>
      <c r="D4560" s="47">
        <f t="shared" si="71"/>
        <v>1508.3496</v>
      </c>
    </row>
    <row r="4561" spans="1:4">
      <c r="A4561" s="122">
        <v>36451</v>
      </c>
      <c r="B4561" s="24">
        <v>0.64349999999999996</v>
      </c>
      <c r="C4561" s="24">
        <v>2309.3000000000002</v>
      </c>
      <c r="D4561" s="47">
        <f t="shared" si="71"/>
        <v>1486.0345500000001</v>
      </c>
    </row>
    <row r="4562" spans="1:4">
      <c r="A4562" s="122">
        <v>36448</v>
      </c>
      <c r="B4562" s="24">
        <v>0.64649999999999996</v>
      </c>
      <c r="C4562" s="24">
        <v>2307.6</v>
      </c>
      <c r="D4562" s="47">
        <f t="shared" si="71"/>
        <v>1491.8634</v>
      </c>
    </row>
    <row r="4563" spans="1:4">
      <c r="A4563" s="122">
        <v>36447</v>
      </c>
      <c r="B4563" s="24">
        <v>0.64829999999999999</v>
      </c>
      <c r="C4563" s="24">
        <v>2310.9</v>
      </c>
      <c r="D4563" s="47">
        <f t="shared" si="71"/>
        <v>1498.1564700000001</v>
      </c>
    </row>
    <row r="4564" spans="1:4">
      <c r="A4564" s="122">
        <v>36446</v>
      </c>
      <c r="B4564" s="24">
        <v>0.64749999999999996</v>
      </c>
      <c r="C4564" s="24">
        <v>2302.9</v>
      </c>
      <c r="D4564" s="47">
        <f t="shared" si="71"/>
        <v>1491.1277499999999</v>
      </c>
    </row>
    <row r="4565" spans="1:4">
      <c r="A4565" s="122">
        <v>36445</v>
      </c>
      <c r="B4565" s="24">
        <v>0.65569999999999995</v>
      </c>
      <c r="C4565" s="24">
        <v>2295.9</v>
      </c>
      <c r="D4565" s="47">
        <f t="shared" si="71"/>
        <v>1505.4216300000001</v>
      </c>
    </row>
    <row r="4566" spans="1:4">
      <c r="A4566" s="122">
        <v>36444</v>
      </c>
      <c r="B4566" s="24">
        <v>0.65429999999999999</v>
      </c>
      <c r="C4566" s="24">
        <v>2293.8000000000002</v>
      </c>
      <c r="D4566" s="47">
        <f t="shared" si="71"/>
        <v>1500.8333400000001</v>
      </c>
    </row>
    <row r="4567" spans="1:4">
      <c r="A4567" s="122">
        <v>36441</v>
      </c>
      <c r="B4567" s="24">
        <v>0.65500000000000003</v>
      </c>
      <c r="C4567" s="24">
        <v>2360.5</v>
      </c>
      <c r="D4567" s="47">
        <f t="shared" si="71"/>
        <v>1546.1275000000001</v>
      </c>
    </row>
    <row r="4568" spans="1:4">
      <c r="A4568" s="122">
        <v>36440</v>
      </c>
      <c r="B4568" s="24">
        <v>0.65849999999999997</v>
      </c>
      <c r="C4568" s="24">
        <v>2344.1</v>
      </c>
      <c r="D4568" s="47">
        <f t="shared" si="71"/>
        <v>1543.5898499999998</v>
      </c>
    </row>
    <row r="4569" spans="1:4">
      <c r="A4569" s="122">
        <v>36439</v>
      </c>
      <c r="B4569" s="24">
        <v>0.66090000000000004</v>
      </c>
      <c r="C4569" s="24">
        <v>2342.6</v>
      </c>
      <c r="D4569" s="47">
        <f t="shared" si="71"/>
        <v>1548.22434</v>
      </c>
    </row>
    <row r="4570" spans="1:4">
      <c r="A4570" s="122">
        <v>36438</v>
      </c>
      <c r="B4570" s="24">
        <v>0.66290000000000004</v>
      </c>
      <c r="C4570" s="24">
        <v>2342.6</v>
      </c>
      <c r="D4570" s="47">
        <f t="shared" si="71"/>
        <v>1552.9095400000001</v>
      </c>
    </row>
    <row r="4571" spans="1:4">
      <c r="A4571" s="122">
        <v>36437</v>
      </c>
      <c r="B4571" s="24">
        <v>0.66249999999999998</v>
      </c>
      <c r="C4571" s="24">
        <v>2325.6999999999998</v>
      </c>
      <c r="D4571" s="47">
        <f t="shared" si="71"/>
        <v>1540.7762499999999</v>
      </c>
    </row>
    <row r="4572" spans="1:4">
      <c r="A4572" s="122">
        <v>36434</v>
      </c>
      <c r="B4572" s="24">
        <v>0.65600000000000003</v>
      </c>
      <c r="C4572" s="24">
        <v>2328.8000000000002</v>
      </c>
      <c r="D4572" s="47">
        <f t="shared" si="71"/>
        <v>1527.6928000000003</v>
      </c>
    </row>
    <row r="4573" spans="1:4">
      <c r="A4573" s="122">
        <v>36433</v>
      </c>
      <c r="B4573" s="24">
        <v>0.65249999999999997</v>
      </c>
      <c r="C4573" s="24">
        <v>2321.1999999999998</v>
      </c>
      <c r="D4573" s="47">
        <f t="shared" si="71"/>
        <v>1514.5829999999999</v>
      </c>
    </row>
    <row r="4574" spans="1:4">
      <c r="A4574" s="122">
        <v>36432</v>
      </c>
      <c r="B4574" s="24">
        <v>0.65239999999999998</v>
      </c>
      <c r="C4574" s="24">
        <v>2339.6</v>
      </c>
      <c r="D4574" s="47">
        <f t="shared" si="71"/>
        <v>1526.3550399999999</v>
      </c>
    </row>
    <row r="4575" spans="1:4">
      <c r="A4575" s="122">
        <v>36431</v>
      </c>
      <c r="B4575" s="24">
        <v>0.6573</v>
      </c>
      <c r="C4575" s="24">
        <v>2363.6</v>
      </c>
      <c r="D4575" s="47">
        <f t="shared" si="71"/>
        <v>1553.59428</v>
      </c>
    </row>
    <row r="4576" spans="1:4">
      <c r="A4576" s="122">
        <v>36430</v>
      </c>
      <c r="B4576" s="24">
        <v>0.65300000000000002</v>
      </c>
      <c r="C4576" s="24">
        <v>2360.1999999999998</v>
      </c>
      <c r="D4576" s="47">
        <f t="shared" si="71"/>
        <v>1541.2105999999999</v>
      </c>
    </row>
    <row r="4577" spans="1:4">
      <c r="A4577" s="122">
        <v>36427</v>
      </c>
      <c r="B4577" s="24">
        <v>0.65110000000000001</v>
      </c>
      <c r="C4577" s="24">
        <v>2388.6</v>
      </c>
      <c r="D4577" s="47">
        <f t="shared" si="71"/>
        <v>1555.2174600000001</v>
      </c>
    </row>
    <row r="4578" spans="1:4">
      <c r="A4578" s="122">
        <v>36426</v>
      </c>
      <c r="B4578" s="24">
        <v>0.64910000000000001</v>
      </c>
      <c r="C4578" s="24">
        <v>2390</v>
      </c>
      <c r="D4578" s="47">
        <f t="shared" si="71"/>
        <v>1551.3489999999999</v>
      </c>
    </row>
    <row r="4579" spans="1:4">
      <c r="A4579" s="122">
        <v>36425</v>
      </c>
      <c r="B4579" s="24">
        <v>0.65069999999999995</v>
      </c>
      <c r="C4579" s="24">
        <v>2404.9</v>
      </c>
      <c r="D4579" s="47">
        <f t="shared" si="71"/>
        <v>1564.86843</v>
      </c>
    </row>
    <row r="4580" spans="1:4">
      <c r="A4580" s="122">
        <v>36424</v>
      </c>
      <c r="B4580" s="24">
        <v>0.64770000000000005</v>
      </c>
      <c r="C4580" s="24">
        <v>2399.1</v>
      </c>
      <c r="D4580" s="47">
        <f t="shared" si="71"/>
        <v>1553.89707</v>
      </c>
    </row>
    <row r="4581" spans="1:4">
      <c r="A4581" s="122">
        <v>36423</v>
      </c>
      <c r="B4581" s="24">
        <v>0.64119999999999999</v>
      </c>
      <c r="C4581" s="24">
        <v>2376.1999999999998</v>
      </c>
      <c r="D4581" s="47">
        <f t="shared" si="71"/>
        <v>1523.6194399999999</v>
      </c>
    </row>
    <row r="4582" spans="1:4">
      <c r="A4582" s="122">
        <v>36420</v>
      </c>
      <c r="B4582" s="24">
        <v>0.64749999999999996</v>
      </c>
      <c r="C4582" s="24">
        <v>2385.3000000000002</v>
      </c>
      <c r="D4582" s="47">
        <f t="shared" si="71"/>
        <v>1544.4817499999999</v>
      </c>
    </row>
    <row r="4583" spans="1:4">
      <c r="A4583" s="122">
        <v>36419</v>
      </c>
      <c r="B4583" s="24">
        <v>0.64600000000000002</v>
      </c>
      <c r="C4583" s="24">
        <v>2371</v>
      </c>
      <c r="D4583" s="47">
        <f t="shared" si="71"/>
        <v>1531.6659999999999</v>
      </c>
    </row>
    <row r="4584" spans="1:4">
      <c r="A4584" s="122">
        <v>36418</v>
      </c>
      <c r="B4584" s="24">
        <v>0.64849999999999997</v>
      </c>
      <c r="C4584" s="24">
        <v>2369.1</v>
      </c>
      <c r="D4584" s="47">
        <f t="shared" si="71"/>
        <v>1536.3613499999999</v>
      </c>
    </row>
    <row r="4585" spans="1:4">
      <c r="A4585" s="122">
        <v>36417</v>
      </c>
      <c r="B4585" s="24">
        <v>0.65169999999999995</v>
      </c>
      <c r="C4585" s="24">
        <v>2357.8000000000002</v>
      </c>
      <c r="D4585" s="47">
        <f t="shared" si="71"/>
        <v>1536.57826</v>
      </c>
    </row>
    <row r="4586" spans="1:4">
      <c r="A4586" s="122">
        <v>36416</v>
      </c>
      <c r="B4586" s="24">
        <v>0.65629999999999999</v>
      </c>
      <c r="C4586" s="24">
        <v>2386</v>
      </c>
      <c r="D4586" s="47">
        <f t="shared" si="71"/>
        <v>1565.9318000000001</v>
      </c>
    </row>
    <row r="4587" spans="1:4">
      <c r="A4587" s="122">
        <v>36413</v>
      </c>
      <c r="B4587" s="24">
        <v>0.65139999999999998</v>
      </c>
      <c r="C4587" s="24">
        <v>2402.8000000000002</v>
      </c>
      <c r="D4587" s="47">
        <f t="shared" si="71"/>
        <v>1565.1839200000002</v>
      </c>
    </row>
    <row r="4588" spans="1:4">
      <c r="A4588" s="122">
        <v>36412</v>
      </c>
      <c r="B4588" s="24">
        <v>0.65290000000000004</v>
      </c>
      <c r="C4588" s="24">
        <v>2422.6</v>
      </c>
      <c r="D4588" s="47">
        <f t="shared" si="71"/>
        <v>1581.7155399999999</v>
      </c>
    </row>
    <row r="4589" spans="1:4">
      <c r="A4589" s="122">
        <v>36411</v>
      </c>
      <c r="B4589" s="24">
        <v>0.64759999999999995</v>
      </c>
      <c r="C4589" s="24">
        <v>2441.1999999999998</v>
      </c>
      <c r="D4589" s="47">
        <f t="shared" si="71"/>
        <v>1580.9211199999997</v>
      </c>
    </row>
    <row r="4590" spans="1:4">
      <c r="A4590" s="122">
        <v>36410</v>
      </c>
      <c r="B4590" s="24">
        <v>0.64900000000000002</v>
      </c>
      <c r="C4590" s="24">
        <v>2422.4</v>
      </c>
      <c r="D4590" s="47">
        <f t="shared" si="71"/>
        <v>1572.1376</v>
      </c>
    </row>
    <row r="4591" spans="1:4">
      <c r="A4591" s="122">
        <v>36409</v>
      </c>
      <c r="B4591" s="24">
        <v>0.64480000000000004</v>
      </c>
      <c r="C4591" s="24">
        <v>2413.3000000000002</v>
      </c>
      <c r="D4591" s="47">
        <f t="shared" si="71"/>
        <v>1556.0958400000002</v>
      </c>
    </row>
    <row r="4592" spans="1:4">
      <c r="A4592" s="122">
        <v>36406</v>
      </c>
      <c r="B4592" s="24">
        <v>0.64670000000000005</v>
      </c>
      <c r="C4592" s="24">
        <v>2415.1999999999998</v>
      </c>
      <c r="D4592" s="47">
        <f t="shared" si="71"/>
        <v>1561.90984</v>
      </c>
    </row>
    <row r="4593" spans="1:4">
      <c r="A4593" s="122">
        <v>36405</v>
      </c>
      <c r="B4593" s="24">
        <v>0.64459999999999995</v>
      </c>
      <c r="C4593" s="24">
        <v>2431.1</v>
      </c>
      <c r="D4593" s="47">
        <f t="shared" si="71"/>
        <v>1567.0870599999998</v>
      </c>
    </row>
    <row r="4594" spans="1:4">
      <c r="A4594" s="122">
        <v>36404</v>
      </c>
      <c r="B4594" s="24">
        <v>0.63839999999999997</v>
      </c>
      <c r="C4594" s="24">
        <v>2444</v>
      </c>
      <c r="D4594" s="47">
        <f t="shared" si="71"/>
        <v>1560.2495999999999</v>
      </c>
    </row>
    <row r="4595" spans="1:4">
      <c r="A4595" s="122">
        <v>36403</v>
      </c>
      <c r="B4595" s="24">
        <v>0.63949999999999996</v>
      </c>
      <c r="C4595" s="24">
        <v>2435.8000000000002</v>
      </c>
      <c r="D4595" s="47">
        <f t="shared" si="71"/>
        <v>1557.6940999999999</v>
      </c>
    </row>
    <row r="4596" spans="1:4">
      <c r="A4596" s="122">
        <v>36402</v>
      </c>
      <c r="B4596" s="24">
        <v>0.63380000000000003</v>
      </c>
      <c r="C4596" s="24">
        <v>2424.4</v>
      </c>
      <c r="D4596" s="47">
        <f t="shared" si="71"/>
        <v>1536.5847200000001</v>
      </c>
    </row>
    <row r="4597" spans="1:4">
      <c r="A4597" s="122">
        <v>36399</v>
      </c>
      <c r="B4597" s="24">
        <v>0.63200000000000001</v>
      </c>
      <c r="C4597" s="24">
        <v>2438.3000000000002</v>
      </c>
      <c r="D4597" s="47">
        <f t="shared" si="71"/>
        <v>1541.0056000000002</v>
      </c>
    </row>
    <row r="4598" spans="1:4">
      <c r="A4598" s="122">
        <v>36398</v>
      </c>
      <c r="B4598" s="24">
        <v>0.63049999999999995</v>
      </c>
      <c r="C4598" s="24">
        <v>2417.1999999999998</v>
      </c>
      <c r="D4598" s="47">
        <f t="shared" si="71"/>
        <v>1524.0445999999997</v>
      </c>
    </row>
    <row r="4599" spans="1:4">
      <c r="A4599" s="122">
        <v>36397</v>
      </c>
      <c r="B4599" s="24">
        <v>0.6321</v>
      </c>
      <c r="C4599" s="24">
        <v>2391.3000000000002</v>
      </c>
      <c r="D4599" s="47">
        <f t="shared" si="71"/>
        <v>1511.5407300000002</v>
      </c>
    </row>
    <row r="4600" spans="1:4">
      <c r="A4600" s="122">
        <v>36396</v>
      </c>
      <c r="B4600" s="24">
        <v>0.63600000000000001</v>
      </c>
      <c r="C4600" s="24">
        <v>2388.8000000000002</v>
      </c>
      <c r="D4600" s="47">
        <f t="shared" si="71"/>
        <v>1519.2768000000001</v>
      </c>
    </row>
    <row r="4601" spans="1:4">
      <c r="A4601" s="122">
        <v>36395</v>
      </c>
      <c r="B4601" s="24">
        <v>0.63500000000000001</v>
      </c>
      <c r="C4601" s="24">
        <v>2390</v>
      </c>
      <c r="D4601" s="47">
        <f t="shared" si="71"/>
        <v>1517.65</v>
      </c>
    </row>
    <row r="4602" spans="1:4">
      <c r="A4602" s="122">
        <v>36392</v>
      </c>
      <c r="B4602" s="24">
        <v>0.63649999999999995</v>
      </c>
      <c r="C4602" s="24">
        <v>2380</v>
      </c>
      <c r="D4602" s="47">
        <f t="shared" si="71"/>
        <v>1514.87</v>
      </c>
    </row>
    <row r="4603" spans="1:4">
      <c r="A4603" s="122">
        <v>36391</v>
      </c>
      <c r="B4603" s="24">
        <v>0.63429999999999997</v>
      </c>
      <c r="C4603" s="24">
        <v>2382.6</v>
      </c>
      <c r="D4603" s="47">
        <f t="shared" si="71"/>
        <v>1511.2831799999999</v>
      </c>
    </row>
    <row r="4604" spans="1:4">
      <c r="A4604" s="122">
        <v>36390</v>
      </c>
      <c r="B4604" s="24">
        <v>0.64680000000000004</v>
      </c>
      <c r="C4604" s="24">
        <v>2355.9</v>
      </c>
      <c r="D4604" s="47">
        <f t="shared" si="71"/>
        <v>1523.7961200000002</v>
      </c>
    </row>
    <row r="4605" spans="1:4">
      <c r="A4605" s="122">
        <v>36389</v>
      </c>
      <c r="B4605" s="24">
        <v>0.64959999999999996</v>
      </c>
      <c r="C4605" s="24">
        <v>2375.1999999999998</v>
      </c>
      <c r="D4605" s="47">
        <f t="shared" si="71"/>
        <v>1542.9299199999998</v>
      </c>
    </row>
    <row r="4606" spans="1:4">
      <c r="A4606" s="122">
        <v>36388</v>
      </c>
      <c r="B4606" s="24">
        <v>0.64949999999999997</v>
      </c>
      <c r="C4606" s="24">
        <v>2370.6999999999998</v>
      </c>
      <c r="D4606" s="47">
        <f t="shared" si="71"/>
        <v>1539.7696499999997</v>
      </c>
    </row>
    <row r="4607" spans="1:4">
      <c r="A4607" s="122">
        <v>36385</v>
      </c>
      <c r="B4607" s="24">
        <v>0.6522</v>
      </c>
      <c r="C4607" s="24">
        <v>2365.1</v>
      </c>
      <c r="D4607" s="47">
        <f t="shared" si="71"/>
        <v>1542.5182199999999</v>
      </c>
    </row>
    <row r="4608" spans="1:4">
      <c r="A4608" s="122">
        <v>36384</v>
      </c>
      <c r="B4608" s="24">
        <v>0.64939999999999998</v>
      </c>
      <c r="C4608" s="24">
        <v>2361.9</v>
      </c>
      <c r="D4608" s="47">
        <f t="shared" si="71"/>
        <v>1533.8178600000001</v>
      </c>
    </row>
    <row r="4609" spans="1:4">
      <c r="A4609" s="122">
        <v>36383</v>
      </c>
      <c r="B4609" s="24">
        <v>0.64910000000000001</v>
      </c>
      <c r="C4609" s="24">
        <v>2351.6999999999998</v>
      </c>
      <c r="D4609" s="47">
        <f t="shared" si="71"/>
        <v>1526.48847</v>
      </c>
    </row>
    <row r="4610" spans="1:4">
      <c r="A4610" s="122">
        <v>36382</v>
      </c>
      <c r="B4610" s="24">
        <v>0.65069999999999995</v>
      </c>
      <c r="C4610" s="24">
        <v>2369.5</v>
      </c>
      <c r="D4610" s="47">
        <f t="shared" si="71"/>
        <v>1541.8336499999998</v>
      </c>
    </row>
    <row r="4611" spans="1:4">
      <c r="A4611" s="122">
        <v>36381</v>
      </c>
      <c r="B4611" s="24">
        <v>0.65349999999999997</v>
      </c>
      <c r="C4611" s="24">
        <v>2379.1</v>
      </c>
      <c r="D4611" s="47">
        <f t="shared" ref="D4611:D4674" si="72">C4611*B4611</f>
        <v>1554.7418499999999</v>
      </c>
    </row>
    <row r="4612" spans="1:4">
      <c r="A4612" s="122">
        <v>36378</v>
      </c>
      <c r="B4612" s="24">
        <v>0.65249999999999997</v>
      </c>
      <c r="C4612" s="24">
        <v>2377.4</v>
      </c>
      <c r="D4612" s="47">
        <f t="shared" si="72"/>
        <v>1551.2535</v>
      </c>
    </row>
    <row r="4613" spans="1:4">
      <c r="A4613" s="122">
        <v>36377</v>
      </c>
      <c r="B4613" s="24">
        <v>0.65429999999999999</v>
      </c>
      <c r="C4613" s="24">
        <v>2374</v>
      </c>
      <c r="D4613" s="47">
        <f t="shared" si="72"/>
        <v>1553.3081999999999</v>
      </c>
    </row>
    <row r="4614" spans="1:4">
      <c r="A4614" s="122">
        <v>36376</v>
      </c>
      <c r="B4614" s="24">
        <v>0.65869999999999995</v>
      </c>
      <c r="C4614" s="24">
        <v>2388.5</v>
      </c>
      <c r="D4614" s="47">
        <f t="shared" si="72"/>
        <v>1573.30495</v>
      </c>
    </row>
    <row r="4615" spans="1:4">
      <c r="A4615" s="122">
        <v>36375</v>
      </c>
      <c r="B4615" s="24">
        <v>0.65369999999999995</v>
      </c>
      <c r="C4615" s="24">
        <v>2380.6999999999998</v>
      </c>
      <c r="D4615" s="47">
        <f t="shared" si="72"/>
        <v>1556.2635899999998</v>
      </c>
    </row>
    <row r="4616" spans="1:4">
      <c r="A4616" s="122">
        <v>36374</v>
      </c>
      <c r="B4616" s="24">
        <v>0.65</v>
      </c>
      <c r="C4616" s="24">
        <v>2382.1</v>
      </c>
      <c r="D4616" s="47">
        <f t="shared" si="72"/>
        <v>1548.365</v>
      </c>
    </row>
    <row r="4617" spans="1:4">
      <c r="A4617" s="122">
        <v>36371</v>
      </c>
      <c r="B4617" s="24">
        <v>0.65100000000000002</v>
      </c>
      <c r="C4617" s="24">
        <v>2382.8000000000002</v>
      </c>
      <c r="D4617" s="47">
        <f t="shared" si="72"/>
        <v>1551.2028000000003</v>
      </c>
    </row>
    <row r="4618" spans="1:4">
      <c r="A4618" s="122">
        <v>36370</v>
      </c>
      <c r="B4618" s="24">
        <v>0.65</v>
      </c>
      <c r="C4618" s="24">
        <v>2363.8000000000002</v>
      </c>
      <c r="D4618" s="47">
        <f t="shared" si="72"/>
        <v>1536.4700000000003</v>
      </c>
    </row>
    <row r="4619" spans="1:4">
      <c r="A4619" s="122">
        <v>36369</v>
      </c>
      <c r="B4619" s="24">
        <v>0.64600000000000002</v>
      </c>
      <c r="C4619" s="24">
        <v>2367.6</v>
      </c>
      <c r="D4619" s="47">
        <f t="shared" si="72"/>
        <v>1529.4695999999999</v>
      </c>
    </row>
    <row r="4620" spans="1:4">
      <c r="A4620" s="122">
        <v>36368</v>
      </c>
      <c r="B4620" s="24">
        <v>0.64449999999999996</v>
      </c>
      <c r="C4620" s="24">
        <v>2364.1</v>
      </c>
      <c r="D4620" s="47">
        <f t="shared" si="72"/>
        <v>1523.6624499999998</v>
      </c>
    </row>
    <row r="4621" spans="1:4">
      <c r="A4621" s="122">
        <v>36367</v>
      </c>
      <c r="B4621" s="24">
        <v>0.64710000000000001</v>
      </c>
      <c r="C4621" s="24">
        <v>2370.6</v>
      </c>
      <c r="D4621" s="47">
        <f t="shared" si="72"/>
        <v>1534.0152599999999</v>
      </c>
    </row>
    <row r="4622" spans="1:4">
      <c r="A4622" s="122">
        <v>36364</v>
      </c>
      <c r="B4622" s="24">
        <v>0.64800000000000002</v>
      </c>
      <c r="C4622" s="24">
        <v>2362.1999999999998</v>
      </c>
      <c r="D4622" s="47">
        <f t="shared" si="72"/>
        <v>1530.7056</v>
      </c>
    </row>
    <row r="4623" spans="1:4">
      <c r="A4623" s="122">
        <v>36363</v>
      </c>
      <c r="B4623" s="24">
        <v>0.6472</v>
      </c>
      <c r="C4623" s="24">
        <v>2347.4</v>
      </c>
      <c r="D4623" s="47">
        <f t="shared" si="72"/>
        <v>1519.2372800000001</v>
      </c>
    </row>
    <row r="4624" spans="1:4">
      <c r="A4624" s="122">
        <v>36362</v>
      </c>
      <c r="B4624" s="24">
        <v>0.64549999999999996</v>
      </c>
      <c r="C4624" s="24">
        <v>2356.1999999999998</v>
      </c>
      <c r="D4624" s="47">
        <f t="shared" si="72"/>
        <v>1520.9270999999999</v>
      </c>
    </row>
    <row r="4625" spans="1:4">
      <c r="A4625" s="122">
        <v>36361</v>
      </c>
      <c r="B4625" s="24">
        <v>0.64390000000000003</v>
      </c>
      <c r="C4625" s="24">
        <v>2344.8000000000002</v>
      </c>
      <c r="D4625" s="47">
        <f t="shared" si="72"/>
        <v>1509.8167200000003</v>
      </c>
    </row>
    <row r="4626" spans="1:4">
      <c r="A4626" s="122">
        <v>36360</v>
      </c>
      <c r="B4626" s="24">
        <v>0.64929999999999999</v>
      </c>
      <c r="C4626" s="24">
        <v>2355.4</v>
      </c>
      <c r="D4626" s="47">
        <f t="shared" si="72"/>
        <v>1529.36122</v>
      </c>
    </row>
    <row r="4627" spans="1:4">
      <c r="A4627" s="122">
        <v>36357</v>
      </c>
      <c r="B4627" s="24">
        <v>0.66049999999999998</v>
      </c>
      <c r="C4627" s="24">
        <v>2367.8000000000002</v>
      </c>
      <c r="D4627" s="47">
        <f t="shared" si="72"/>
        <v>1563.9319</v>
      </c>
    </row>
    <row r="4628" spans="1:4">
      <c r="A4628" s="122">
        <v>36356</v>
      </c>
      <c r="B4628" s="24">
        <v>0.66049999999999998</v>
      </c>
      <c r="C4628" s="24">
        <v>2357.8000000000002</v>
      </c>
      <c r="D4628" s="47">
        <f t="shared" si="72"/>
        <v>1557.3269</v>
      </c>
    </row>
    <row r="4629" spans="1:4">
      <c r="A4629" s="122">
        <v>36355</v>
      </c>
      <c r="B4629" s="24">
        <v>0.65749999999999997</v>
      </c>
      <c r="C4629" s="24">
        <v>2340.3000000000002</v>
      </c>
      <c r="D4629" s="47">
        <f t="shared" si="72"/>
        <v>1538.7472500000001</v>
      </c>
    </row>
    <row r="4630" spans="1:4">
      <c r="A4630" s="122">
        <v>36354</v>
      </c>
      <c r="B4630" s="24">
        <v>0.65849999999999997</v>
      </c>
      <c r="C4630" s="24">
        <v>2326.6</v>
      </c>
      <c r="D4630" s="47">
        <f t="shared" si="72"/>
        <v>1532.0660999999998</v>
      </c>
    </row>
    <row r="4631" spans="1:4">
      <c r="A4631" s="122">
        <v>36353</v>
      </c>
      <c r="B4631" s="24">
        <v>0.66159999999999997</v>
      </c>
      <c r="C4631" s="24">
        <v>2327.3000000000002</v>
      </c>
      <c r="D4631" s="47">
        <f t="shared" si="72"/>
        <v>1539.7416800000001</v>
      </c>
    </row>
    <row r="4632" spans="1:4">
      <c r="A4632" s="122">
        <v>36350</v>
      </c>
      <c r="B4632" s="24">
        <v>0.66520000000000001</v>
      </c>
      <c r="C4632" s="24">
        <v>2321.4</v>
      </c>
      <c r="D4632" s="47">
        <f t="shared" si="72"/>
        <v>1544.1952800000001</v>
      </c>
    </row>
    <row r="4633" spans="1:4">
      <c r="A4633" s="122">
        <v>36349</v>
      </c>
      <c r="B4633" s="24">
        <v>0.66639999999999999</v>
      </c>
      <c r="C4633" s="24">
        <v>2276.6999999999998</v>
      </c>
      <c r="D4633" s="47">
        <f t="shared" si="72"/>
        <v>1517.1928799999998</v>
      </c>
    </row>
    <row r="4634" spans="1:4">
      <c r="A4634" s="122">
        <v>36348</v>
      </c>
      <c r="B4634" s="24">
        <v>0.66739999999999999</v>
      </c>
      <c r="C4634" s="24">
        <v>2268.1999999999998</v>
      </c>
      <c r="D4634" s="47">
        <f t="shared" si="72"/>
        <v>1513.7966799999999</v>
      </c>
    </row>
    <row r="4635" spans="1:4">
      <c r="A4635" s="122">
        <v>36347</v>
      </c>
      <c r="B4635" s="24">
        <v>0.66149999999999998</v>
      </c>
      <c r="C4635" s="24">
        <v>2260</v>
      </c>
      <c r="D4635" s="47">
        <f t="shared" si="72"/>
        <v>1494.99</v>
      </c>
    </row>
    <row r="4636" spans="1:4">
      <c r="A4636" s="122">
        <v>36346</v>
      </c>
      <c r="B4636" s="24">
        <v>0.66549999999999998</v>
      </c>
      <c r="C4636" s="24">
        <v>2281.9</v>
      </c>
      <c r="D4636" s="47">
        <f t="shared" si="72"/>
        <v>1518.60445</v>
      </c>
    </row>
    <row r="4637" spans="1:4">
      <c r="A4637" s="122">
        <v>36343</v>
      </c>
      <c r="B4637" s="24">
        <v>0.66879999999999995</v>
      </c>
      <c r="C4637" s="24">
        <v>2259.9</v>
      </c>
      <c r="D4637" s="47">
        <f t="shared" si="72"/>
        <v>1511.42112</v>
      </c>
    </row>
    <row r="4638" spans="1:4">
      <c r="A4638" s="122">
        <v>36342</v>
      </c>
      <c r="B4638" s="24">
        <v>0.66610000000000003</v>
      </c>
      <c r="C4638" s="24">
        <v>2284.1</v>
      </c>
      <c r="D4638" s="47">
        <f t="shared" si="72"/>
        <v>1521.4390100000001</v>
      </c>
    </row>
    <row r="4639" spans="1:4">
      <c r="A4639" s="122">
        <v>36341</v>
      </c>
      <c r="B4639" s="24">
        <v>0.66679999999999995</v>
      </c>
      <c r="C4639" s="24">
        <v>2303.6999999999998</v>
      </c>
      <c r="D4639" s="47">
        <f t="shared" si="72"/>
        <v>1536.1071599999998</v>
      </c>
    </row>
    <row r="4640" spans="1:4">
      <c r="A4640" s="122">
        <v>36340</v>
      </c>
      <c r="B4640" s="24">
        <v>0.65629999999999999</v>
      </c>
      <c r="C4640" s="24">
        <v>2306.9</v>
      </c>
      <c r="D4640" s="47">
        <f t="shared" si="72"/>
        <v>1514.01847</v>
      </c>
    </row>
    <row r="4641" spans="1:4">
      <c r="A4641" s="122">
        <v>36339</v>
      </c>
      <c r="B4641" s="24">
        <v>0.65780000000000005</v>
      </c>
      <c r="C4641" s="24">
        <v>2282.5</v>
      </c>
      <c r="D4641" s="47">
        <f t="shared" si="72"/>
        <v>1501.4285000000002</v>
      </c>
    </row>
    <row r="4642" spans="1:4">
      <c r="A4642" s="122">
        <v>36336</v>
      </c>
      <c r="B4642" s="24">
        <v>0.66120000000000001</v>
      </c>
      <c r="C4642" s="24">
        <v>2255.4</v>
      </c>
      <c r="D4642" s="47">
        <f t="shared" si="72"/>
        <v>1491.2704800000001</v>
      </c>
    </row>
    <row r="4643" spans="1:4">
      <c r="A4643" s="122">
        <v>36335</v>
      </c>
      <c r="B4643" s="24">
        <v>0.65890000000000004</v>
      </c>
      <c r="C4643" s="24">
        <v>2322.6</v>
      </c>
      <c r="D4643" s="47">
        <f t="shared" si="72"/>
        <v>1530.36114</v>
      </c>
    </row>
    <row r="4644" spans="1:4">
      <c r="A4644" s="122">
        <v>36334</v>
      </c>
      <c r="B4644" s="24">
        <v>0.65800000000000003</v>
      </c>
      <c r="C4644" s="24">
        <v>2309.6999999999998</v>
      </c>
      <c r="D4644" s="47">
        <f t="shared" si="72"/>
        <v>1519.7826</v>
      </c>
    </row>
    <row r="4645" spans="1:4">
      <c r="A4645" s="122">
        <v>36333</v>
      </c>
      <c r="B4645" s="24">
        <v>0.65349999999999997</v>
      </c>
      <c r="C4645" s="24">
        <v>2318.3000000000002</v>
      </c>
      <c r="D4645" s="47">
        <f t="shared" si="72"/>
        <v>1515.0090500000001</v>
      </c>
    </row>
    <row r="4646" spans="1:4">
      <c r="A4646" s="122">
        <v>36332</v>
      </c>
      <c r="B4646" s="24">
        <v>0.64949999999999997</v>
      </c>
      <c r="C4646" s="24">
        <v>2322.8000000000002</v>
      </c>
      <c r="D4646" s="47">
        <f t="shared" si="72"/>
        <v>1508.6586</v>
      </c>
    </row>
    <row r="4647" spans="1:4">
      <c r="A4647" s="122">
        <v>36329</v>
      </c>
      <c r="B4647" s="24">
        <v>0.65180000000000005</v>
      </c>
      <c r="C4647" s="24">
        <v>2325.9</v>
      </c>
      <c r="D4647" s="47">
        <f t="shared" si="72"/>
        <v>1516.0216200000002</v>
      </c>
    </row>
    <row r="4648" spans="1:4">
      <c r="A4648" s="122">
        <v>36328</v>
      </c>
      <c r="B4648" s="24">
        <v>0.6573</v>
      </c>
      <c r="C4648" s="24">
        <v>2323.4</v>
      </c>
      <c r="D4648" s="47">
        <f t="shared" si="72"/>
        <v>1527.17082</v>
      </c>
    </row>
    <row r="4649" spans="1:4">
      <c r="A4649" s="122">
        <v>36327</v>
      </c>
      <c r="B4649" s="24">
        <v>0.65700000000000003</v>
      </c>
      <c r="C4649" s="24">
        <v>2313.9</v>
      </c>
      <c r="D4649" s="47">
        <f t="shared" si="72"/>
        <v>1520.2323000000001</v>
      </c>
    </row>
    <row r="4650" spans="1:4">
      <c r="A4650" s="122">
        <v>36326</v>
      </c>
      <c r="B4650" s="24">
        <v>0.65749999999999997</v>
      </c>
      <c r="C4650" s="24">
        <v>2318.6999999999998</v>
      </c>
      <c r="D4650" s="47">
        <f t="shared" si="72"/>
        <v>1524.5452499999999</v>
      </c>
    </row>
    <row r="4651" spans="1:4">
      <c r="A4651" s="122">
        <v>36325</v>
      </c>
      <c r="B4651" s="24">
        <v>0.66379999999999995</v>
      </c>
      <c r="C4651" s="24">
        <v>2327.9</v>
      </c>
      <c r="D4651" s="47">
        <f t="shared" si="72"/>
        <v>1545.2600199999999</v>
      </c>
    </row>
    <row r="4652" spans="1:4">
      <c r="A4652" s="122">
        <v>36322</v>
      </c>
      <c r="B4652" s="24">
        <v>0.66459999999999997</v>
      </c>
      <c r="C4652" s="24">
        <v>2316.8000000000002</v>
      </c>
      <c r="D4652" s="47">
        <f t="shared" si="72"/>
        <v>1539.7452800000001</v>
      </c>
    </row>
    <row r="4653" spans="1:4">
      <c r="A4653" s="122">
        <v>36321</v>
      </c>
      <c r="B4653" s="24">
        <v>0.66049999999999998</v>
      </c>
      <c r="C4653" s="24">
        <v>2324.1999999999998</v>
      </c>
      <c r="D4653" s="47">
        <f t="shared" si="72"/>
        <v>1535.1340999999998</v>
      </c>
    </row>
    <row r="4654" spans="1:4">
      <c r="A4654" s="122">
        <v>36320</v>
      </c>
      <c r="B4654" s="24">
        <v>0.65839999999999999</v>
      </c>
      <c r="C4654" s="24">
        <v>2323.1999999999998</v>
      </c>
      <c r="D4654" s="47">
        <f t="shared" si="72"/>
        <v>1529.5948799999999</v>
      </c>
    </row>
    <row r="4655" spans="1:4">
      <c r="A4655" s="122">
        <v>36319</v>
      </c>
      <c r="B4655" s="24">
        <v>0.65649999999999997</v>
      </c>
      <c r="C4655" s="24">
        <v>2295.1999999999998</v>
      </c>
      <c r="D4655" s="47">
        <f t="shared" si="72"/>
        <v>1506.7987999999998</v>
      </c>
    </row>
    <row r="4656" spans="1:4">
      <c r="A4656" s="122">
        <v>36318</v>
      </c>
      <c r="B4656" s="24">
        <v>0.65949999999999998</v>
      </c>
      <c r="C4656" s="24">
        <v>2312.1999999999998</v>
      </c>
      <c r="D4656" s="47">
        <f t="shared" si="72"/>
        <v>1524.8958999999998</v>
      </c>
    </row>
    <row r="4657" spans="1:4">
      <c r="A4657" s="122">
        <v>36315</v>
      </c>
      <c r="B4657" s="24">
        <v>0.65800000000000003</v>
      </c>
      <c r="C4657" s="24">
        <v>2315.8000000000002</v>
      </c>
      <c r="D4657" s="47">
        <f t="shared" si="72"/>
        <v>1523.7964000000002</v>
      </c>
    </row>
    <row r="4658" spans="1:4">
      <c r="A4658" s="122">
        <v>36314</v>
      </c>
      <c r="B4658" s="24">
        <v>0.64859999999999995</v>
      </c>
      <c r="C4658" s="24">
        <v>2291.4</v>
      </c>
      <c r="D4658" s="47">
        <f t="shared" si="72"/>
        <v>1486.2020399999999</v>
      </c>
    </row>
    <row r="4659" spans="1:4">
      <c r="A4659" s="122">
        <v>36313</v>
      </c>
      <c r="B4659" s="24">
        <v>0.64400000000000002</v>
      </c>
      <c r="C4659" s="24">
        <v>2276.9</v>
      </c>
      <c r="D4659" s="47">
        <f t="shared" si="72"/>
        <v>1466.3236000000002</v>
      </c>
    </row>
    <row r="4660" spans="1:4">
      <c r="A4660" s="122">
        <v>36312</v>
      </c>
      <c r="B4660" s="24">
        <v>0.64290000000000003</v>
      </c>
      <c r="C4660" s="24">
        <v>2273.6</v>
      </c>
      <c r="D4660" s="47">
        <f t="shared" si="72"/>
        <v>1461.6974399999999</v>
      </c>
    </row>
    <row r="4661" spans="1:4">
      <c r="A4661" s="122">
        <v>36311</v>
      </c>
      <c r="B4661" s="24">
        <v>0.64870000000000005</v>
      </c>
      <c r="C4661" s="24">
        <v>2289.3000000000002</v>
      </c>
      <c r="D4661" s="47">
        <f t="shared" si="72"/>
        <v>1485.0689100000002</v>
      </c>
    </row>
    <row r="4662" spans="1:4">
      <c r="A4662" s="122">
        <v>36308</v>
      </c>
      <c r="B4662" s="24">
        <v>0.65200000000000002</v>
      </c>
      <c r="C4662" s="24">
        <v>2294.1999999999998</v>
      </c>
      <c r="D4662" s="47">
        <f t="shared" si="72"/>
        <v>1495.8183999999999</v>
      </c>
    </row>
    <row r="4663" spans="1:4">
      <c r="A4663" s="122">
        <v>36307</v>
      </c>
      <c r="B4663" s="24">
        <v>0.64990000000000003</v>
      </c>
      <c r="C4663" s="24">
        <v>2278.4</v>
      </c>
      <c r="D4663" s="47">
        <f t="shared" si="72"/>
        <v>1480.73216</v>
      </c>
    </row>
    <row r="4664" spans="1:4">
      <c r="A4664" s="122">
        <v>36306</v>
      </c>
      <c r="B4664" s="24">
        <v>0.64900000000000002</v>
      </c>
      <c r="C4664" s="24">
        <v>2294</v>
      </c>
      <c r="D4664" s="47">
        <f t="shared" si="72"/>
        <v>1488.806</v>
      </c>
    </row>
    <row r="4665" spans="1:4">
      <c r="A4665" s="122">
        <v>36305</v>
      </c>
      <c r="B4665" s="24">
        <v>0.64870000000000005</v>
      </c>
      <c r="C4665" s="24">
        <v>2296.8000000000002</v>
      </c>
      <c r="D4665" s="47">
        <f t="shared" si="72"/>
        <v>1489.9341600000002</v>
      </c>
    </row>
    <row r="4666" spans="1:4">
      <c r="A4666" s="122">
        <v>36304</v>
      </c>
      <c r="B4666" s="24">
        <v>0.6593</v>
      </c>
      <c r="C4666" s="24">
        <v>2293.9</v>
      </c>
      <c r="D4666" s="47">
        <f t="shared" si="72"/>
        <v>1512.3682700000002</v>
      </c>
    </row>
    <row r="4667" spans="1:4">
      <c r="A4667" s="122">
        <v>36301</v>
      </c>
      <c r="B4667" s="24">
        <v>0.65739999999999998</v>
      </c>
      <c r="C4667" s="24">
        <v>2276.1</v>
      </c>
      <c r="D4667" s="47">
        <f t="shared" si="72"/>
        <v>1496.3081399999999</v>
      </c>
    </row>
    <row r="4668" spans="1:4">
      <c r="A4668" s="122">
        <v>36300</v>
      </c>
      <c r="B4668" s="24">
        <v>0.66</v>
      </c>
      <c r="C4668" s="24">
        <v>2286.1999999999998</v>
      </c>
      <c r="D4668" s="47">
        <f t="shared" si="72"/>
        <v>1508.8920000000001</v>
      </c>
    </row>
    <row r="4669" spans="1:4">
      <c r="A4669" s="122">
        <v>36299</v>
      </c>
      <c r="B4669" s="24">
        <v>0.6593</v>
      </c>
      <c r="C4669" s="24">
        <v>2272.6</v>
      </c>
      <c r="D4669" s="47">
        <f t="shared" si="72"/>
        <v>1498.32518</v>
      </c>
    </row>
    <row r="4670" spans="1:4">
      <c r="A4670" s="122">
        <v>36298</v>
      </c>
      <c r="B4670" s="24">
        <v>0.66700000000000004</v>
      </c>
      <c r="C4670" s="24">
        <v>2260</v>
      </c>
      <c r="D4670" s="47">
        <f t="shared" si="72"/>
        <v>1507.42</v>
      </c>
    </row>
    <row r="4671" spans="1:4">
      <c r="A4671" s="122">
        <v>36297</v>
      </c>
      <c r="B4671" s="24">
        <v>0.66510000000000002</v>
      </c>
      <c r="C4671" s="24">
        <v>2270.1999999999998</v>
      </c>
      <c r="D4671" s="47">
        <f t="shared" si="72"/>
        <v>1509.91002</v>
      </c>
    </row>
    <row r="4672" spans="1:4">
      <c r="A4672" s="122">
        <v>36294</v>
      </c>
      <c r="B4672" s="24">
        <v>0.66420000000000001</v>
      </c>
      <c r="C4672" s="24">
        <v>2271.1</v>
      </c>
      <c r="D4672" s="47">
        <f t="shared" si="72"/>
        <v>1508.46462</v>
      </c>
    </row>
    <row r="4673" spans="1:4">
      <c r="A4673" s="122">
        <v>36293</v>
      </c>
      <c r="B4673" s="24">
        <v>0.66700000000000004</v>
      </c>
      <c r="C4673" s="24">
        <v>2312.8000000000002</v>
      </c>
      <c r="D4673" s="47">
        <f t="shared" si="72"/>
        <v>1542.6376000000002</v>
      </c>
    </row>
    <row r="4674" spans="1:4">
      <c r="A4674" s="122">
        <v>36292</v>
      </c>
      <c r="B4674" s="24">
        <v>0.6663</v>
      </c>
      <c r="C4674" s="24">
        <v>2280.1999999999998</v>
      </c>
      <c r="D4674" s="47">
        <f t="shared" si="72"/>
        <v>1519.2972599999998</v>
      </c>
    </row>
    <row r="4675" spans="1:4">
      <c r="A4675" s="122">
        <v>36291</v>
      </c>
      <c r="B4675" s="24">
        <v>0.66820000000000002</v>
      </c>
      <c r="C4675" s="24">
        <v>2286.1</v>
      </c>
      <c r="D4675" s="47">
        <f t="shared" ref="D4675:D4738" si="73">C4675*B4675</f>
        <v>1527.5720200000001</v>
      </c>
    </row>
    <row r="4676" spans="1:4">
      <c r="A4676" s="122">
        <v>36290</v>
      </c>
      <c r="B4676" s="24">
        <v>0.66639999999999999</v>
      </c>
      <c r="C4676" s="24">
        <v>2295.1</v>
      </c>
      <c r="D4676" s="47">
        <f t="shared" si="73"/>
        <v>1529.4546399999999</v>
      </c>
    </row>
    <row r="4677" spans="1:4">
      <c r="A4677" s="122">
        <v>36287</v>
      </c>
      <c r="B4677" s="24">
        <v>0.67149999999999999</v>
      </c>
      <c r="C4677" s="24">
        <v>2285.9</v>
      </c>
      <c r="D4677" s="47">
        <f t="shared" si="73"/>
        <v>1534.9818500000001</v>
      </c>
    </row>
    <row r="4678" spans="1:4">
      <c r="A4678" s="122">
        <v>36286</v>
      </c>
      <c r="B4678" s="24">
        <v>0.67020000000000002</v>
      </c>
      <c r="C4678" s="24">
        <v>2286</v>
      </c>
      <c r="D4678" s="47">
        <f t="shared" si="73"/>
        <v>1532.0771999999999</v>
      </c>
    </row>
    <row r="4679" spans="1:4">
      <c r="A4679" s="122">
        <v>36285</v>
      </c>
      <c r="B4679" s="24">
        <v>0.66400000000000003</v>
      </c>
      <c r="C4679" s="24">
        <v>2296.9</v>
      </c>
      <c r="D4679" s="47">
        <f t="shared" si="73"/>
        <v>1525.1416000000002</v>
      </c>
    </row>
    <row r="4680" spans="1:4">
      <c r="A4680" s="122">
        <v>36284</v>
      </c>
      <c r="B4680" s="24">
        <v>0.65949999999999998</v>
      </c>
      <c r="C4680" s="24">
        <v>2298.3000000000002</v>
      </c>
      <c r="D4680" s="47">
        <f t="shared" si="73"/>
        <v>1515.72885</v>
      </c>
    </row>
    <row r="4681" spans="1:4">
      <c r="A4681" s="122">
        <v>36283</v>
      </c>
      <c r="B4681" s="24">
        <v>0.6643</v>
      </c>
      <c r="C4681" s="24">
        <v>2294.1999999999998</v>
      </c>
      <c r="D4681" s="47">
        <f t="shared" si="73"/>
        <v>1524.0370599999999</v>
      </c>
    </row>
    <row r="4682" spans="1:4">
      <c r="A4682" s="122">
        <v>36280</v>
      </c>
      <c r="B4682" s="24">
        <v>0.66120000000000001</v>
      </c>
      <c r="C4682" s="24">
        <v>2266.1</v>
      </c>
      <c r="D4682" s="47">
        <f t="shared" si="73"/>
        <v>1498.3453199999999</v>
      </c>
    </row>
    <row r="4683" spans="1:4">
      <c r="A4683" s="122">
        <v>36279</v>
      </c>
      <c r="B4683" s="24">
        <v>0.65949999999999998</v>
      </c>
      <c r="C4683" s="24">
        <v>2254.1</v>
      </c>
      <c r="D4683" s="47">
        <f t="shared" si="73"/>
        <v>1486.5789499999998</v>
      </c>
    </row>
    <row r="4684" spans="1:4">
      <c r="A4684" s="122">
        <v>36278</v>
      </c>
      <c r="B4684" s="24">
        <v>0.65390000000000004</v>
      </c>
      <c r="C4684" s="24">
        <v>2241.1999999999998</v>
      </c>
      <c r="D4684" s="47">
        <f t="shared" si="73"/>
        <v>1465.5206799999999</v>
      </c>
    </row>
    <row r="4685" spans="1:4">
      <c r="A4685" s="122">
        <v>36277</v>
      </c>
      <c r="B4685" s="24">
        <v>0.64929999999999999</v>
      </c>
      <c r="C4685" s="24">
        <v>2263.9</v>
      </c>
      <c r="D4685" s="47">
        <f t="shared" si="73"/>
        <v>1469.95027</v>
      </c>
    </row>
    <row r="4686" spans="1:4">
      <c r="A4686" s="122">
        <v>36276</v>
      </c>
      <c r="B4686" s="24">
        <v>0.6492</v>
      </c>
      <c r="C4686" s="24">
        <v>2272.5</v>
      </c>
      <c r="D4686" s="47">
        <f t="shared" si="73"/>
        <v>1475.307</v>
      </c>
    </row>
    <row r="4687" spans="1:4">
      <c r="A4687" s="122">
        <v>36273</v>
      </c>
      <c r="B4687" s="24">
        <v>0.65180000000000005</v>
      </c>
      <c r="C4687" s="24">
        <v>2246</v>
      </c>
      <c r="D4687" s="47">
        <f t="shared" si="73"/>
        <v>1463.9428</v>
      </c>
    </row>
    <row r="4688" spans="1:4">
      <c r="A4688" s="122">
        <v>36272</v>
      </c>
      <c r="B4688" s="24">
        <v>0.65110000000000001</v>
      </c>
      <c r="C4688" s="24">
        <v>2243.6999999999998</v>
      </c>
      <c r="D4688" s="47">
        <f t="shared" si="73"/>
        <v>1460.8730699999999</v>
      </c>
    </row>
    <row r="4689" spans="1:4">
      <c r="A4689" s="122">
        <v>36271</v>
      </c>
      <c r="B4689" s="24">
        <v>0.64649999999999996</v>
      </c>
      <c r="C4689" s="24">
        <v>2244.1999999999998</v>
      </c>
      <c r="D4689" s="47">
        <f t="shared" si="73"/>
        <v>1450.8752999999997</v>
      </c>
    </row>
    <row r="4690" spans="1:4">
      <c r="A4690" s="122">
        <v>36270</v>
      </c>
      <c r="B4690" s="24">
        <v>0.64570000000000005</v>
      </c>
      <c r="C4690" s="24">
        <v>2214.9</v>
      </c>
      <c r="D4690" s="47">
        <f t="shared" si="73"/>
        <v>1430.1609300000002</v>
      </c>
    </row>
    <row r="4691" spans="1:4">
      <c r="A4691" s="122">
        <v>36269</v>
      </c>
      <c r="B4691" s="24">
        <v>0.6512</v>
      </c>
      <c r="C4691" s="24">
        <v>2218.6</v>
      </c>
      <c r="D4691" s="47">
        <f t="shared" si="73"/>
        <v>1444.7523200000001</v>
      </c>
    </row>
    <row r="4692" spans="1:4">
      <c r="A4692" s="122">
        <v>36266</v>
      </c>
      <c r="B4692" s="24">
        <v>0.64690000000000003</v>
      </c>
      <c r="C4692" s="24">
        <v>2213.6999999999998</v>
      </c>
      <c r="D4692" s="47">
        <f t="shared" si="73"/>
        <v>1432.0425299999999</v>
      </c>
    </row>
    <row r="4693" spans="1:4">
      <c r="A4693" s="122">
        <v>36265</v>
      </c>
      <c r="B4693" s="24">
        <v>0.64329999999999998</v>
      </c>
      <c r="C4693" s="24">
        <v>2204.6</v>
      </c>
      <c r="D4693" s="47">
        <f t="shared" si="73"/>
        <v>1418.2191799999998</v>
      </c>
    </row>
    <row r="4694" spans="1:4">
      <c r="A4694" s="122">
        <v>36264</v>
      </c>
      <c r="B4694" s="24">
        <v>0.63329999999999997</v>
      </c>
      <c r="C4694" s="24">
        <v>2184.6</v>
      </c>
      <c r="D4694" s="47">
        <f t="shared" si="73"/>
        <v>1383.5071799999998</v>
      </c>
    </row>
    <row r="4695" spans="1:4">
      <c r="A4695" s="122">
        <v>36263</v>
      </c>
      <c r="B4695" s="24">
        <v>0.63600000000000001</v>
      </c>
      <c r="C4695" s="24">
        <v>2158.5</v>
      </c>
      <c r="D4695" s="47">
        <f t="shared" si="73"/>
        <v>1372.806</v>
      </c>
    </row>
    <row r="4696" spans="1:4">
      <c r="A4696" s="122">
        <v>36262</v>
      </c>
      <c r="B4696" s="24">
        <v>0.63549999999999995</v>
      </c>
      <c r="C4696" s="24">
        <v>2148.6</v>
      </c>
      <c r="D4696" s="47">
        <f t="shared" si="73"/>
        <v>1365.4352999999999</v>
      </c>
    </row>
    <row r="4697" spans="1:4">
      <c r="A4697" s="122">
        <v>36259</v>
      </c>
      <c r="B4697" s="24">
        <v>0.63060000000000005</v>
      </c>
      <c r="C4697" s="24">
        <v>2170.6999999999998</v>
      </c>
      <c r="D4697" s="47">
        <f t="shared" si="73"/>
        <v>1368.8434199999999</v>
      </c>
    </row>
    <row r="4698" spans="1:4">
      <c r="A4698" s="122">
        <v>36258</v>
      </c>
      <c r="B4698" s="24">
        <v>0.62560000000000004</v>
      </c>
      <c r="C4698" s="24">
        <v>2177</v>
      </c>
      <c r="D4698" s="47">
        <f t="shared" si="73"/>
        <v>1361.9312</v>
      </c>
    </row>
    <row r="4699" spans="1:4">
      <c r="A4699" s="122">
        <v>36257</v>
      </c>
      <c r="B4699" s="24">
        <v>0.62780000000000002</v>
      </c>
      <c r="C4699" s="24">
        <v>2162.8000000000002</v>
      </c>
      <c r="D4699" s="47">
        <f t="shared" si="73"/>
        <v>1357.8058400000002</v>
      </c>
    </row>
    <row r="4700" spans="1:4">
      <c r="A4700" s="122">
        <v>36256</v>
      </c>
      <c r="B4700" s="24">
        <v>0.62960000000000005</v>
      </c>
      <c r="C4700" s="24">
        <v>2182.1</v>
      </c>
      <c r="D4700" s="47">
        <f t="shared" si="73"/>
        <v>1373.85016</v>
      </c>
    </row>
    <row r="4701" spans="1:4">
      <c r="A4701" s="122">
        <v>36255</v>
      </c>
      <c r="B4701" s="24">
        <v>0.63090000000000002</v>
      </c>
      <c r="C4701" s="24">
        <v>2195.5</v>
      </c>
      <c r="D4701" s="47">
        <f t="shared" si="73"/>
        <v>1385.14095</v>
      </c>
    </row>
    <row r="4702" spans="1:4">
      <c r="A4702" s="122">
        <v>36252</v>
      </c>
      <c r="B4702" s="24">
        <v>0.6341</v>
      </c>
      <c r="C4702" s="24">
        <v>2181</v>
      </c>
      <c r="D4702" s="47">
        <f t="shared" si="73"/>
        <v>1382.9721</v>
      </c>
    </row>
    <row r="4703" spans="1:4">
      <c r="A4703" s="122">
        <v>36251</v>
      </c>
      <c r="B4703" s="24">
        <v>0.63490000000000002</v>
      </c>
      <c r="C4703" s="24">
        <v>2164.6999999999998</v>
      </c>
      <c r="D4703" s="47">
        <f t="shared" si="73"/>
        <v>1374.3680299999999</v>
      </c>
    </row>
    <row r="4704" spans="1:4">
      <c r="A4704" s="122">
        <v>36250</v>
      </c>
      <c r="B4704" s="24">
        <v>0.63419999999999999</v>
      </c>
      <c r="C4704" s="24">
        <v>2174</v>
      </c>
      <c r="D4704" s="47">
        <f t="shared" si="73"/>
        <v>1378.7508</v>
      </c>
    </row>
    <row r="4705" spans="1:4">
      <c r="A4705" s="122">
        <v>36249</v>
      </c>
      <c r="B4705" s="24">
        <v>0.62639999999999996</v>
      </c>
      <c r="C4705" s="24">
        <v>2184</v>
      </c>
      <c r="D4705" s="47">
        <f t="shared" si="73"/>
        <v>1368.0575999999999</v>
      </c>
    </row>
    <row r="4706" spans="1:4">
      <c r="A4706" s="122">
        <v>36248</v>
      </c>
      <c r="B4706" s="24">
        <v>0.63129999999999997</v>
      </c>
      <c r="C4706" s="24">
        <v>2179</v>
      </c>
      <c r="D4706" s="47">
        <f t="shared" si="73"/>
        <v>1375.6026999999999</v>
      </c>
    </row>
    <row r="4707" spans="1:4">
      <c r="A4707" s="122">
        <v>36245</v>
      </c>
      <c r="B4707" s="24">
        <v>0.63470000000000004</v>
      </c>
      <c r="C4707" s="24">
        <v>2166.6</v>
      </c>
      <c r="D4707" s="47">
        <f t="shared" si="73"/>
        <v>1375.14102</v>
      </c>
    </row>
    <row r="4708" spans="1:4">
      <c r="A4708" s="122">
        <v>36244</v>
      </c>
      <c r="B4708" s="24">
        <v>0.63739999999999997</v>
      </c>
      <c r="C4708" s="24">
        <v>2185.9</v>
      </c>
      <c r="D4708" s="47">
        <f t="shared" si="73"/>
        <v>1393.2926600000001</v>
      </c>
    </row>
    <row r="4709" spans="1:4">
      <c r="A4709" s="122">
        <v>36243</v>
      </c>
      <c r="B4709" s="24">
        <v>0.63719999999999999</v>
      </c>
      <c r="C4709" s="24">
        <v>2188.6999999999998</v>
      </c>
      <c r="D4709" s="47">
        <f t="shared" si="73"/>
        <v>1394.6396399999999</v>
      </c>
    </row>
    <row r="4710" spans="1:4">
      <c r="A4710" s="122">
        <v>36242</v>
      </c>
      <c r="B4710" s="24">
        <v>0.63990000000000002</v>
      </c>
      <c r="C4710" s="24">
        <v>2173.5</v>
      </c>
      <c r="D4710" s="47">
        <f t="shared" si="73"/>
        <v>1390.8226500000001</v>
      </c>
    </row>
    <row r="4711" spans="1:4">
      <c r="A4711" s="122">
        <v>36241</v>
      </c>
      <c r="B4711" s="24">
        <v>0.63649999999999995</v>
      </c>
      <c r="C4711" s="24">
        <v>2185.6</v>
      </c>
      <c r="D4711" s="47">
        <f t="shared" si="73"/>
        <v>1391.1343999999999</v>
      </c>
    </row>
    <row r="4712" spans="1:4">
      <c r="A4712" s="122">
        <v>36238</v>
      </c>
      <c r="B4712" s="24">
        <v>0.62970000000000004</v>
      </c>
      <c r="C4712" s="24">
        <v>2196.1</v>
      </c>
      <c r="D4712" s="47">
        <f t="shared" si="73"/>
        <v>1382.88417</v>
      </c>
    </row>
    <row r="4713" spans="1:4">
      <c r="A4713" s="122">
        <v>36237</v>
      </c>
      <c r="B4713" s="24">
        <v>0.62829999999999997</v>
      </c>
      <c r="C4713" s="24">
        <v>2207.5</v>
      </c>
      <c r="D4713" s="47">
        <f t="shared" si="73"/>
        <v>1386.97225</v>
      </c>
    </row>
    <row r="4714" spans="1:4">
      <c r="A4714" s="122">
        <v>36236</v>
      </c>
      <c r="B4714" s="24">
        <v>0.62670000000000003</v>
      </c>
      <c r="C4714" s="24">
        <v>2212.3000000000002</v>
      </c>
      <c r="D4714" s="47">
        <f t="shared" si="73"/>
        <v>1386.4484100000002</v>
      </c>
    </row>
    <row r="4715" spans="1:4">
      <c r="A4715" s="122">
        <v>36235</v>
      </c>
      <c r="B4715" s="24">
        <v>0.62629999999999997</v>
      </c>
      <c r="C4715" s="24">
        <v>2190.1999999999998</v>
      </c>
      <c r="D4715" s="47">
        <f t="shared" si="73"/>
        <v>1371.7222599999998</v>
      </c>
    </row>
    <row r="4716" spans="1:4">
      <c r="A4716" s="122">
        <v>36234</v>
      </c>
      <c r="B4716" s="24">
        <v>0.62849999999999995</v>
      </c>
      <c r="C4716" s="24">
        <v>2210.1999999999998</v>
      </c>
      <c r="D4716" s="47">
        <f t="shared" si="73"/>
        <v>1389.1106999999997</v>
      </c>
    </row>
    <row r="4717" spans="1:4">
      <c r="A4717" s="122">
        <v>36231</v>
      </c>
      <c r="B4717" s="24">
        <v>0.63649999999999995</v>
      </c>
      <c r="C4717" s="24">
        <v>2220.5</v>
      </c>
      <c r="D4717" s="47">
        <f t="shared" si="73"/>
        <v>1413.34825</v>
      </c>
    </row>
    <row r="4718" spans="1:4">
      <c r="A4718" s="122">
        <v>36230</v>
      </c>
      <c r="B4718" s="24">
        <v>0.63739999999999997</v>
      </c>
      <c r="C4718" s="24">
        <v>2200.1</v>
      </c>
      <c r="D4718" s="47">
        <f t="shared" si="73"/>
        <v>1402.3437399999998</v>
      </c>
    </row>
    <row r="4719" spans="1:4">
      <c r="A4719" s="122">
        <v>36229</v>
      </c>
      <c r="B4719" s="24">
        <v>0.63690000000000002</v>
      </c>
      <c r="C4719" s="24">
        <v>2211.6999999999998</v>
      </c>
      <c r="D4719" s="47">
        <f t="shared" si="73"/>
        <v>1408.6317299999998</v>
      </c>
    </row>
    <row r="4720" spans="1:4">
      <c r="A4720" s="122">
        <v>36228</v>
      </c>
      <c r="B4720" s="24">
        <v>0.63519999999999999</v>
      </c>
      <c r="C4720" s="24">
        <v>2191.1</v>
      </c>
      <c r="D4720" s="47">
        <f t="shared" si="73"/>
        <v>1391.7867199999998</v>
      </c>
    </row>
    <row r="4721" spans="1:4">
      <c r="A4721" s="122">
        <v>36227</v>
      </c>
      <c r="B4721" s="24">
        <v>0.63160000000000005</v>
      </c>
      <c r="C4721" s="24">
        <v>2190</v>
      </c>
      <c r="D4721" s="47">
        <f t="shared" si="73"/>
        <v>1383.2040000000002</v>
      </c>
    </row>
    <row r="4722" spans="1:4">
      <c r="A4722" s="122">
        <v>36224</v>
      </c>
      <c r="B4722" s="24">
        <v>0.62819999999999998</v>
      </c>
      <c r="C4722" s="24">
        <v>2161.1999999999998</v>
      </c>
      <c r="D4722" s="47">
        <f t="shared" si="73"/>
        <v>1357.6658399999999</v>
      </c>
    </row>
    <row r="4723" spans="1:4">
      <c r="A4723" s="122">
        <v>36223</v>
      </c>
      <c r="B4723" s="24">
        <v>0.62549999999999994</v>
      </c>
      <c r="C4723" s="24">
        <v>2154.6999999999998</v>
      </c>
      <c r="D4723" s="47">
        <f t="shared" si="73"/>
        <v>1347.7648499999998</v>
      </c>
    </row>
    <row r="4724" spans="1:4">
      <c r="A4724" s="122">
        <v>36222</v>
      </c>
      <c r="B4724" s="24">
        <v>0.62160000000000004</v>
      </c>
      <c r="C4724" s="24">
        <v>2149.8000000000002</v>
      </c>
      <c r="D4724" s="47">
        <f t="shared" si="73"/>
        <v>1336.3156800000002</v>
      </c>
    </row>
    <row r="4725" spans="1:4">
      <c r="A4725" s="122">
        <v>36221</v>
      </c>
      <c r="B4725" s="24">
        <v>0.62060000000000004</v>
      </c>
      <c r="C4725" s="24">
        <v>2157.5</v>
      </c>
      <c r="D4725" s="47">
        <f t="shared" si="73"/>
        <v>1338.9445000000001</v>
      </c>
    </row>
    <row r="4726" spans="1:4">
      <c r="A4726" s="122">
        <v>36220</v>
      </c>
      <c r="B4726" s="24">
        <v>0.61899999999999999</v>
      </c>
      <c r="C4726" s="24">
        <v>2146.5</v>
      </c>
      <c r="D4726" s="47">
        <f t="shared" si="73"/>
        <v>1328.6835000000001</v>
      </c>
    </row>
    <row r="4727" spans="1:4">
      <c r="A4727" s="122">
        <v>36217</v>
      </c>
      <c r="B4727" s="24">
        <v>0.61850000000000005</v>
      </c>
      <c r="C4727" s="24">
        <v>2147.5</v>
      </c>
      <c r="D4727" s="47">
        <f t="shared" si="73"/>
        <v>1328.2287500000002</v>
      </c>
    </row>
    <row r="4728" spans="1:4">
      <c r="A4728" s="122">
        <v>36216</v>
      </c>
      <c r="B4728" s="24">
        <v>0.626</v>
      </c>
      <c r="C4728" s="24">
        <v>2153.6</v>
      </c>
      <c r="D4728" s="47">
        <f t="shared" si="73"/>
        <v>1348.1535999999999</v>
      </c>
    </row>
    <row r="4729" spans="1:4">
      <c r="A4729" s="122">
        <v>36215</v>
      </c>
      <c r="B4729" s="24">
        <v>0.63200000000000001</v>
      </c>
      <c r="C4729" s="24">
        <v>2148.8000000000002</v>
      </c>
      <c r="D4729" s="47">
        <f t="shared" si="73"/>
        <v>1358.0416</v>
      </c>
    </row>
    <row r="4730" spans="1:4">
      <c r="A4730" s="122">
        <v>36214</v>
      </c>
      <c r="B4730" s="24">
        <v>0.64049999999999996</v>
      </c>
      <c r="C4730" s="24">
        <v>2148.8000000000002</v>
      </c>
      <c r="D4730" s="47">
        <f t="shared" si="73"/>
        <v>1376.3063999999999</v>
      </c>
    </row>
    <row r="4731" spans="1:4">
      <c r="A4731" s="122">
        <v>36213</v>
      </c>
      <c r="B4731" s="24">
        <v>0.64019999999999999</v>
      </c>
      <c r="C4731" s="24">
        <v>2160.3000000000002</v>
      </c>
      <c r="D4731" s="47">
        <f t="shared" si="73"/>
        <v>1383.0240600000002</v>
      </c>
    </row>
    <row r="4732" spans="1:4">
      <c r="A4732" s="122">
        <v>36210</v>
      </c>
      <c r="B4732" s="24">
        <v>0.63949999999999996</v>
      </c>
      <c r="C4732" s="24">
        <v>2137.5</v>
      </c>
      <c r="D4732" s="47">
        <f t="shared" si="73"/>
        <v>1366.9312499999999</v>
      </c>
    </row>
    <row r="4733" spans="1:4">
      <c r="A4733" s="122">
        <v>36209</v>
      </c>
      <c r="B4733" s="24">
        <v>0.63519999999999999</v>
      </c>
      <c r="C4733" s="24">
        <v>2121.4</v>
      </c>
      <c r="D4733" s="47">
        <f t="shared" si="73"/>
        <v>1347.5132800000001</v>
      </c>
    </row>
    <row r="4734" spans="1:4">
      <c r="A4734" s="122">
        <v>36208</v>
      </c>
      <c r="B4734" s="24">
        <v>0.63480000000000003</v>
      </c>
      <c r="C4734" s="24">
        <v>2114.1</v>
      </c>
      <c r="D4734" s="47">
        <f t="shared" si="73"/>
        <v>1342.0306800000001</v>
      </c>
    </row>
    <row r="4735" spans="1:4">
      <c r="A4735" s="122">
        <v>36207</v>
      </c>
      <c r="B4735" s="24">
        <v>0.63549999999999995</v>
      </c>
      <c r="C4735" s="24">
        <v>2064.9</v>
      </c>
      <c r="D4735" s="47">
        <f t="shared" si="73"/>
        <v>1312.24395</v>
      </c>
    </row>
    <row r="4736" spans="1:4">
      <c r="A4736" s="122">
        <v>36206</v>
      </c>
      <c r="B4736" s="24">
        <v>0.64600000000000002</v>
      </c>
      <c r="C4736" s="24">
        <v>2069.5</v>
      </c>
      <c r="D4736" s="47">
        <f t="shared" si="73"/>
        <v>1336.8969999999999</v>
      </c>
    </row>
    <row r="4737" spans="1:4">
      <c r="A4737" s="122">
        <v>36203</v>
      </c>
      <c r="B4737" s="24">
        <v>0.64559999999999995</v>
      </c>
      <c r="C4737" s="24">
        <v>2076.8000000000002</v>
      </c>
      <c r="D4737" s="47">
        <f t="shared" si="73"/>
        <v>1340.78208</v>
      </c>
    </row>
    <row r="4738" spans="1:4">
      <c r="A4738" s="122">
        <v>36202</v>
      </c>
      <c r="B4738" s="24">
        <v>0.64749999999999996</v>
      </c>
      <c r="C4738" s="24">
        <v>2046.8</v>
      </c>
      <c r="D4738" s="47">
        <f t="shared" si="73"/>
        <v>1325.3029999999999</v>
      </c>
    </row>
    <row r="4739" spans="1:4">
      <c r="A4739" s="122">
        <v>36201</v>
      </c>
      <c r="B4739" s="24">
        <v>0.64639999999999997</v>
      </c>
      <c r="C4739" s="24">
        <v>2045.3</v>
      </c>
      <c r="D4739" s="47">
        <f t="shared" ref="D4739:D4802" si="74">C4739*B4739</f>
        <v>1322.0819199999999</v>
      </c>
    </row>
    <row r="4740" spans="1:4">
      <c r="A4740" s="122">
        <v>36200</v>
      </c>
      <c r="B4740" s="24">
        <v>0.64590000000000003</v>
      </c>
      <c r="C4740" s="24">
        <v>2068.6999999999998</v>
      </c>
      <c r="D4740" s="47">
        <f t="shared" si="74"/>
        <v>1336.1733299999999</v>
      </c>
    </row>
    <row r="4741" spans="1:4">
      <c r="A4741" s="122">
        <v>36199</v>
      </c>
      <c r="B4741" s="24">
        <v>0.65</v>
      </c>
      <c r="C4741" s="24">
        <v>2085.1</v>
      </c>
      <c r="D4741" s="47">
        <f t="shared" si="74"/>
        <v>1355.3150000000001</v>
      </c>
    </row>
    <row r="4742" spans="1:4">
      <c r="A4742" s="122">
        <v>36196</v>
      </c>
      <c r="B4742" s="24">
        <v>0.65080000000000005</v>
      </c>
      <c r="C4742" s="24">
        <v>2089.6</v>
      </c>
      <c r="D4742" s="47">
        <f t="shared" si="74"/>
        <v>1359.9116799999999</v>
      </c>
    </row>
    <row r="4743" spans="1:4">
      <c r="A4743" s="122">
        <v>36195</v>
      </c>
      <c r="B4743" s="24">
        <v>0.64800000000000002</v>
      </c>
      <c r="C4743" s="24">
        <v>2052.9</v>
      </c>
      <c r="D4743" s="47">
        <f t="shared" si="74"/>
        <v>1330.2792000000002</v>
      </c>
    </row>
    <row r="4744" spans="1:4">
      <c r="A4744" s="122">
        <v>36194</v>
      </c>
      <c r="B4744" s="24">
        <v>0.6411</v>
      </c>
      <c r="C4744" s="24">
        <v>2030.4</v>
      </c>
      <c r="D4744" s="47">
        <f t="shared" si="74"/>
        <v>1301.6894400000001</v>
      </c>
    </row>
    <row r="4745" spans="1:4">
      <c r="A4745" s="122">
        <v>36193</v>
      </c>
      <c r="B4745" s="24">
        <v>0.63829999999999998</v>
      </c>
      <c r="C4745" s="24">
        <v>2035.9</v>
      </c>
      <c r="D4745" s="47">
        <f t="shared" si="74"/>
        <v>1299.5149699999999</v>
      </c>
    </row>
    <row r="4746" spans="1:4">
      <c r="A4746" s="122">
        <v>36192</v>
      </c>
      <c r="B4746" s="24">
        <v>0.63560000000000005</v>
      </c>
      <c r="C4746" s="24">
        <v>2078.8000000000002</v>
      </c>
      <c r="D4746" s="47">
        <f t="shared" si="74"/>
        <v>1321.2852800000003</v>
      </c>
    </row>
    <row r="4747" spans="1:4">
      <c r="A4747" s="122">
        <v>36189</v>
      </c>
      <c r="B4747" s="24">
        <v>0.63009999999999999</v>
      </c>
      <c r="C4747" s="24">
        <v>2091.5</v>
      </c>
      <c r="D4747" s="47">
        <f t="shared" si="74"/>
        <v>1317.8541499999999</v>
      </c>
    </row>
    <row r="4748" spans="1:4">
      <c r="A4748" s="122">
        <v>36188</v>
      </c>
      <c r="B4748" s="24">
        <v>0.62780000000000002</v>
      </c>
      <c r="C4748" s="24">
        <v>2115.9</v>
      </c>
      <c r="D4748" s="47">
        <f t="shared" si="74"/>
        <v>1328.36202</v>
      </c>
    </row>
    <row r="4749" spans="1:4">
      <c r="A4749" s="122">
        <v>36187</v>
      </c>
      <c r="B4749" s="24">
        <v>0.62770000000000004</v>
      </c>
      <c r="C4749" s="24">
        <v>2133</v>
      </c>
      <c r="D4749" s="47">
        <f t="shared" si="74"/>
        <v>1338.8841</v>
      </c>
    </row>
    <row r="4750" spans="1:4">
      <c r="A4750" s="122">
        <v>36186</v>
      </c>
      <c r="B4750" s="24">
        <v>0.629</v>
      </c>
      <c r="C4750" s="24">
        <v>2127.8000000000002</v>
      </c>
      <c r="D4750" s="47">
        <f t="shared" si="74"/>
        <v>1338.3862000000001</v>
      </c>
    </row>
    <row r="4751" spans="1:4">
      <c r="A4751" s="122">
        <v>36185</v>
      </c>
      <c r="B4751" s="24">
        <v>0.63090000000000002</v>
      </c>
      <c r="C4751" s="24">
        <v>2123</v>
      </c>
      <c r="D4751" s="47">
        <f t="shared" si="74"/>
        <v>1339.4007000000001</v>
      </c>
    </row>
    <row r="4752" spans="1:4">
      <c r="A4752" s="122">
        <v>36182</v>
      </c>
      <c r="B4752" s="24">
        <v>0.63249999999999995</v>
      </c>
      <c r="C4752" s="24">
        <v>2160.5</v>
      </c>
      <c r="D4752" s="47">
        <f t="shared" si="74"/>
        <v>1366.5162499999999</v>
      </c>
    </row>
    <row r="4753" spans="1:4">
      <c r="A4753" s="122">
        <v>36181</v>
      </c>
      <c r="B4753" s="24">
        <v>0.6431</v>
      </c>
      <c r="C4753" s="24">
        <v>2155.1999999999998</v>
      </c>
      <c r="D4753" s="47">
        <f t="shared" si="74"/>
        <v>1386.0091199999999</v>
      </c>
    </row>
    <row r="4754" spans="1:4">
      <c r="A4754" s="122">
        <v>36180</v>
      </c>
      <c r="B4754" s="24">
        <v>0.63980000000000004</v>
      </c>
      <c r="C4754" s="24">
        <v>2165</v>
      </c>
      <c r="D4754" s="47">
        <f t="shared" si="74"/>
        <v>1385.1670000000001</v>
      </c>
    </row>
    <row r="4755" spans="1:4">
      <c r="A4755" s="122">
        <v>36179</v>
      </c>
      <c r="B4755" s="24">
        <v>0.6381</v>
      </c>
      <c r="C4755" s="24">
        <v>2187.1</v>
      </c>
      <c r="D4755" s="47">
        <f t="shared" si="74"/>
        <v>1395.58851</v>
      </c>
    </row>
    <row r="4756" spans="1:4">
      <c r="A4756" s="122">
        <v>36178</v>
      </c>
      <c r="B4756" s="24">
        <v>0.63339999999999996</v>
      </c>
      <c r="C4756" s="24">
        <v>2175.6999999999998</v>
      </c>
      <c r="D4756" s="47">
        <f t="shared" si="74"/>
        <v>1378.0883799999999</v>
      </c>
    </row>
    <row r="4757" spans="1:4">
      <c r="A4757" s="122">
        <v>36175</v>
      </c>
      <c r="B4757" s="24">
        <v>0.63300000000000001</v>
      </c>
      <c r="C4757" s="24">
        <v>2171.8000000000002</v>
      </c>
      <c r="D4757" s="47">
        <f t="shared" si="74"/>
        <v>1374.7494000000002</v>
      </c>
    </row>
    <row r="4758" spans="1:4">
      <c r="A4758" s="122">
        <v>36174</v>
      </c>
      <c r="B4758" s="24">
        <v>0.63</v>
      </c>
      <c r="C4758" s="24">
        <v>2172.6</v>
      </c>
      <c r="D4758" s="47">
        <f t="shared" si="74"/>
        <v>1368.7380000000001</v>
      </c>
    </row>
    <row r="4759" spans="1:4">
      <c r="A4759" s="122">
        <v>36173</v>
      </c>
      <c r="B4759" s="24">
        <v>0.63170000000000004</v>
      </c>
      <c r="C4759" s="24">
        <v>2183.8000000000002</v>
      </c>
      <c r="D4759" s="47">
        <f t="shared" si="74"/>
        <v>1379.5064600000003</v>
      </c>
    </row>
    <row r="4760" spans="1:4">
      <c r="A4760" s="122">
        <v>36172</v>
      </c>
      <c r="B4760" s="24">
        <v>0.63739999999999997</v>
      </c>
      <c r="C4760" s="24">
        <v>2184.3000000000002</v>
      </c>
      <c r="D4760" s="47">
        <f t="shared" si="74"/>
        <v>1392.2728200000001</v>
      </c>
    </row>
    <row r="4761" spans="1:4">
      <c r="A4761" s="122">
        <v>36171</v>
      </c>
      <c r="B4761" s="24">
        <v>0.6401</v>
      </c>
      <c r="C4761" s="24">
        <v>2189.5</v>
      </c>
      <c r="D4761" s="47">
        <f t="shared" si="74"/>
        <v>1401.4989499999999</v>
      </c>
    </row>
    <row r="4762" spans="1:4">
      <c r="A4762" s="122">
        <v>36168</v>
      </c>
      <c r="B4762" s="24">
        <v>0.63449999999999995</v>
      </c>
      <c r="C4762" s="24">
        <v>2186.6</v>
      </c>
      <c r="D4762" s="47">
        <f t="shared" si="74"/>
        <v>1387.3976999999998</v>
      </c>
    </row>
    <row r="4763" spans="1:4">
      <c r="A4763" s="122">
        <v>36167</v>
      </c>
      <c r="B4763" s="24">
        <v>0.63539999999999996</v>
      </c>
      <c r="C4763" s="24">
        <v>2180.6999999999998</v>
      </c>
      <c r="D4763" s="47">
        <f t="shared" si="74"/>
        <v>1385.6167799999998</v>
      </c>
    </row>
    <row r="4764" spans="1:4">
      <c r="A4764" s="122">
        <v>36166</v>
      </c>
      <c r="B4764" s="24">
        <v>0.62870000000000004</v>
      </c>
      <c r="C4764" s="24">
        <v>2165.3000000000002</v>
      </c>
      <c r="D4764" s="47">
        <f t="shared" si="74"/>
        <v>1361.3241100000002</v>
      </c>
    </row>
    <row r="4765" spans="1:4">
      <c r="A4765" s="122">
        <v>36165</v>
      </c>
      <c r="B4765" s="24">
        <v>0.62229999999999996</v>
      </c>
      <c r="C4765" s="24">
        <v>2160.8000000000002</v>
      </c>
      <c r="D4765" s="47">
        <f t="shared" si="74"/>
        <v>1344.6658400000001</v>
      </c>
    </row>
    <row r="4766" spans="1:4">
      <c r="A4766" s="122">
        <v>36164</v>
      </c>
      <c r="B4766" s="24">
        <v>0.62119999999999997</v>
      </c>
      <c r="C4766" s="24">
        <v>2140.3000000000002</v>
      </c>
      <c r="D4766" s="47">
        <f t="shared" si="74"/>
        <v>1329.5543600000001</v>
      </c>
    </row>
    <row r="4767" spans="1:4">
      <c r="A4767" s="122">
        <v>36161</v>
      </c>
      <c r="B4767" s="24">
        <v>0.61229999999999996</v>
      </c>
      <c r="C4767" s="24">
        <v>2149.6</v>
      </c>
      <c r="D4767" s="47">
        <f t="shared" si="74"/>
        <v>1316.2000799999998</v>
      </c>
    </row>
    <row r="4768" spans="1:4">
      <c r="A4768" s="122">
        <v>36160</v>
      </c>
      <c r="B4768" s="24">
        <v>0.61009999999999998</v>
      </c>
      <c r="C4768" s="24">
        <v>2134</v>
      </c>
      <c r="D4768" s="47">
        <f t="shared" si="74"/>
        <v>1301.9533999999999</v>
      </c>
    </row>
    <row r="4769" spans="1:4">
      <c r="A4769" s="122">
        <v>36159</v>
      </c>
      <c r="B4769" s="24">
        <v>0.61119999999999997</v>
      </c>
      <c r="C4769" s="24">
        <v>2145.3000000000002</v>
      </c>
      <c r="D4769" s="47">
        <f t="shared" si="74"/>
        <v>1311.2073600000001</v>
      </c>
    </row>
    <row r="4770" spans="1:4">
      <c r="A4770" s="122">
        <v>36158</v>
      </c>
      <c r="B4770" s="24">
        <v>0.61160000000000003</v>
      </c>
      <c r="C4770" s="24">
        <v>2155</v>
      </c>
      <c r="D4770" s="47">
        <f t="shared" si="74"/>
        <v>1317.998</v>
      </c>
    </row>
    <row r="4771" spans="1:4">
      <c r="A4771" s="122">
        <v>36157</v>
      </c>
      <c r="B4771" s="24">
        <v>0.60650000000000004</v>
      </c>
      <c r="C4771" s="24">
        <v>2153.1999999999998</v>
      </c>
      <c r="D4771" s="47">
        <f t="shared" si="74"/>
        <v>1305.9158</v>
      </c>
    </row>
    <row r="4772" spans="1:4">
      <c r="A4772" s="122">
        <v>36154</v>
      </c>
      <c r="B4772" s="24">
        <v>0.60880000000000001</v>
      </c>
      <c r="C4772" s="24">
        <v>2146.9</v>
      </c>
      <c r="D4772" s="47">
        <f t="shared" si="74"/>
        <v>1307.0327200000002</v>
      </c>
    </row>
    <row r="4773" spans="1:4">
      <c r="A4773" s="122">
        <v>36153</v>
      </c>
      <c r="B4773" s="24">
        <v>0.60980000000000001</v>
      </c>
      <c r="C4773" s="24">
        <v>2160.9</v>
      </c>
      <c r="D4773" s="47">
        <f t="shared" si="74"/>
        <v>1317.7168200000001</v>
      </c>
    </row>
    <row r="4774" spans="1:4">
      <c r="A4774" s="122">
        <v>36152</v>
      </c>
      <c r="B4774" s="24">
        <v>0.61</v>
      </c>
      <c r="C4774" s="24">
        <v>2167.1</v>
      </c>
      <c r="D4774" s="47">
        <f t="shared" si="74"/>
        <v>1321.9309999999998</v>
      </c>
    </row>
    <row r="4775" spans="1:4">
      <c r="A4775" s="122">
        <v>36151</v>
      </c>
      <c r="B4775" s="24">
        <v>0.61250000000000004</v>
      </c>
      <c r="C4775" s="24">
        <v>2161.4</v>
      </c>
      <c r="D4775" s="47">
        <f t="shared" si="74"/>
        <v>1323.8575000000001</v>
      </c>
    </row>
    <row r="4776" spans="1:4">
      <c r="A4776" s="122">
        <v>36150</v>
      </c>
      <c r="B4776" s="24">
        <v>0.61619999999999997</v>
      </c>
      <c r="C4776" s="24">
        <v>2198</v>
      </c>
      <c r="D4776" s="47">
        <f t="shared" si="74"/>
        <v>1354.4076</v>
      </c>
    </row>
    <row r="4777" spans="1:4">
      <c r="A4777" s="122">
        <v>36147</v>
      </c>
      <c r="B4777" s="24">
        <v>0.62</v>
      </c>
      <c r="C4777" s="24">
        <v>2187.8000000000002</v>
      </c>
      <c r="D4777" s="47">
        <f t="shared" si="74"/>
        <v>1356.4360000000001</v>
      </c>
    </row>
    <row r="4778" spans="1:4">
      <c r="A4778" s="122">
        <v>36146</v>
      </c>
      <c r="B4778" s="24">
        <v>0.62090000000000001</v>
      </c>
      <c r="C4778" s="24">
        <v>2199.6999999999998</v>
      </c>
      <c r="D4778" s="47">
        <f t="shared" si="74"/>
        <v>1365.7937299999999</v>
      </c>
    </row>
    <row r="4779" spans="1:4">
      <c r="A4779" s="122">
        <v>36145</v>
      </c>
      <c r="B4779" s="24">
        <v>0.62219999999999998</v>
      </c>
      <c r="C4779" s="24">
        <v>2198.3000000000002</v>
      </c>
      <c r="D4779" s="47">
        <f t="shared" si="74"/>
        <v>1367.78226</v>
      </c>
    </row>
    <row r="4780" spans="1:4">
      <c r="A4780" s="122">
        <v>36144</v>
      </c>
      <c r="B4780" s="24">
        <v>0.62350000000000005</v>
      </c>
      <c r="C4780" s="24">
        <v>2198.5</v>
      </c>
      <c r="D4780" s="47">
        <f t="shared" si="74"/>
        <v>1370.76475</v>
      </c>
    </row>
    <row r="4781" spans="1:4">
      <c r="A4781" s="122">
        <v>36143</v>
      </c>
      <c r="B4781" s="24">
        <v>0.61899999999999999</v>
      </c>
      <c r="C4781" s="24">
        <v>2191.6</v>
      </c>
      <c r="D4781" s="47">
        <f t="shared" si="74"/>
        <v>1356.6004</v>
      </c>
    </row>
    <row r="4782" spans="1:4">
      <c r="A4782" s="122">
        <v>36140</v>
      </c>
      <c r="B4782" s="24">
        <v>0.62039999999999995</v>
      </c>
      <c r="C4782" s="24">
        <v>2194.8000000000002</v>
      </c>
      <c r="D4782" s="47">
        <f t="shared" si="74"/>
        <v>1361.65392</v>
      </c>
    </row>
    <row r="4783" spans="1:4">
      <c r="A4783" s="122">
        <v>36139</v>
      </c>
      <c r="B4783" s="24">
        <v>0.61899999999999999</v>
      </c>
      <c r="C4783" s="24">
        <v>2181.8000000000002</v>
      </c>
      <c r="D4783" s="47">
        <f t="shared" si="74"/>
        <v>1350.5342000000001</v>
      </c>
    </row>
    <row r="4784" spans="1:4">
      <c r="A4784" s="122">
        <v>36138</v>
      </c>
      <c r="B4784" s="24">
        <v>0.61509999999999998</v>
      </c>
      <c r="C4784" s="24">
        <v>2179.4</v>
      </c>
      <c r="D4784" s="47">
        <f t="shared" si="74"/>
        <v>1340.5489399999999</v>
      </c>
    </row>
    <row r="4785" spans="1:4">
      <c r="A4785" s="122">
        <v>36137</v>
      </c>
      <c r="B4785" s="24">
        <v>0.61499999999999999</v>
      </c>
      <c r="C4785" s="24">
        <v>2186.4</v>
      </c>
      <c r="D4785" s="47">
        <f t="shared" si="74"/>
        <v>1344.636</v>
      </c>
    </row>
    <row r="4786" spans="1:4">
      <c r="A4786" s="122">
        <v>36136</v>
      </c>
      <c r="B4786" s="24">
        <v>0.61970000000000003</v>
      </c>
      <c r="C4786" s="24">
        <v>2187</v>
      </c>
      <c r="D4786" s="47">
        <f t="shared" si="74"/>
        <v>1355.2839000000001</v>
      </c>
    </row>
    <row r="4787" spans="1:4">
      <c r="A4787" s="122">
        <v>36133</v>
      </c>
      <c r="B4787" s="24">
        <v>0.61680000000000001</v>
      </c>
      <c r="C4787" s="24">
        <v>2179.6999999999998</v>
      </c>
      <c r="D4787" s="47">
        <f t="shared" si="74"/>
        <v>1344.43896</v>
      </c>
    </row>
    <row r="4788" spans="1:4">
      <c r="A4788" s="122">
        <v>36132</v>
      </c>
      <c r="B4788" s="24">
        <v>0.62360000000000004</v>
      </c>
      <c r="C4788" s="24">
        <v>2194.1</v>
      </c>
      <c r="D4788" s="47">
        <f t="shared" si="74"/>
        <v>1368.2407600000001</v>
      </c>
    </row>
    <row r="4789" spans="1:4">
      <c r="A4789" s="122">
        <v>36131</v>
      </c>
      <c r="B4789" s="24">
        <v>0.629</v>
      </c>
      <c r="C4789" s="24">
        <v>2196.4</v>
      </c>
      <c r="D4789" s="47">
        <f t="shared" si="74"/>
        <v>1381.5356000000002</v>
      </c>
    </row>
    <row r="4790" spans="1:4">
      <c r="A4790" s="122">
        <v>36130</v>
      </c>
      <c r="B4790" s="24">
        <v>0.63249999999999995</v>
      </c>
      <c r="C4790" s="24">
        <v>2190.6999999999998</v>
      </c>
      <c r="D4790" s="47">
        <f t="shared" si="74"/>
        <v>1385.6177499999999</v>
      </c>
    </row>
    <row r="4791" spans="1:4">
      <c r="A4791" s="122">
        <v>36129</v>
      </c>
      <c r="B4791" s="24">
        <v>0.62770000000000004</v>
      </c>
      <c r="C4791" s="24">
        <v>2189</v>
      </c>
      <c r="D4791" s="47">
        <f t="shared" si="74"/>
        <v>1374.0353</v>
      </c>
    </row>
    <row r="4792" spans="1:4">
      <c r="A4792" s="122">
        <v>36126</v>
      </c>
      <c r="B4792" s="24">
        <v>0.63300000000000001</v>
      </c>
      <c r="C4792" s="24">
        <v>2211.9</v>
      </c>
      <c r="D4792" s="47">
        <f t="shared" si="74"/>
        <v>1400.1327000000001</v>
      </c>
    </row>
    <row r="4793" spans="1:4">
      <c r="A4793" s="122">
        <v>36125</v>
      </c>
      <c r="B4793" s="24">
        <v>0.63519999999999999</v>
      </c>
      <c r="C4793" s="24">
        <v>2230.1</v>
      </c>
      <c r="D4793" s="47">
        <f t="shared" si="74"/>
        <v>1416.55952</v>
      </c>
    </row>
    <row r="4794" spans="1:4">
      <c r="A4794" s="122">
        <v>36124</v>
      </c>
      <c r="B4794" s="24">
        <v>0.63929999999999998</v>
      </c>
      <c r="C4794" s="24">
        <v>2240.9</v>
      </c>
      <c r="D4794" s="47">
        <f t="shared" si="74"/>
        <v>1432.6073699999999</v>
      </c>
    </row>
    <row r="4795" spans="1:4">
      <c r="A4795" s="122">
        <v>36123</v>
      </c>
      <c r="B4795" s="24">
        <v>0.64149999999999996</v>
      </c>
      <c r="C4795" s="24">
        <v>2230</v>
      </c>
      <c r="D4795" s="47">
        <f t="shared" si="74"/>
        <v>1430.5449999999998</v>
      </c>
    </row>
    <row r="4796" spans="1:4">
      <c r="A4796" s="122">
        <v>36122</v>
      </c>
      <c r="B4796" s="24">
        <v>0.63900000000000001</v>
      </c>
      <c r="C4796" s="24">
        <v>2231.1</v>
      </c>
      <c r="D4796" s="47">
        <f t="shared" si="74"/>
        <v>1425.6729</v>
      </c>
    </row>
    <row r="4797" spans="1:4">
      <c r="A4797" s="122">
        <v>36119</v>
      </c>
      <c r="B4797" s="24">
        <v>0.64300000000000002</v>
      </c>
      <c r="C4797" s="24">
        <v>2256</v>
      </c>
      <c r="D4797" s="47">
        <f t="shared" si="74"/>
        <v>1450.6079999999999</v>
      </c>
    </row>
    <row r="4798" spans="1:4">
      <c r="A4798" s="122">
        <v>36118</v>
      </c>
      <c r="B4798" s="24">
        <v>0.64239999999999997</v>
      </c>
      <c r="C4798" s="24">
        <v>2247.1999999999998</v>
      </c>
      <c r="D4798" s="47">
        <f t="shared" si="74"/>
        <v>1443.6012799999999</v>
      </c>
    </row>
    <row r="4799" spans="1:4">
      <c r="A4799" s="122">
        <v>36117</v>
      </c>
      <c r="B4799" s="24">
        <v>0.64410000000000001</v>
      </c>
      <c r="C4799" s="24">
        <v>2248.6999999999998</v>
      </c>
      <c r="D4799" s="47">
        <f t="shared" si="74"/>
        <v>1448.3876699999998</v>
      </c>
    </row>
    <row r="4800" spans="1:4">
      <c r="A4800" s="122">
        <v>36116</v>
      </c>
      <c r="B4800" s="24">
        <v>0.63270000000000004</v>
      </c>
      <c r="C4800" s="24">
        <v>2251.8000000000002</v>
      </c>
      <c r="D4800" s="47">
        <f t="shared" si="74"/>
        <v>1424.7138600000003</v>
      </c>
    </row>
    <row r="4801" spans="1:4">
      <c r="A4801" s="122">
        <v>36115</v>
      </c>
      <c r="B4801" s="24">
        <v>0.6371</v>
      </c>
      <c r="C4801" s="24">
        <v>2258.8000000000002</v>
      </c>
      <c r="D4801" s="47">
        <f t="shared" si="74"/>
        <v>1439.0814800000001</v>
      </c>
    </row>
    <row r="4802" spans="1:4">
      <c r="A4802" s="122">
        <v>36112</v>
      </c>
      <c r="B4802" s="24">
        <v>0.63619999999999999</v>
      </c>
      <c r="C4802" s="24">
        <v>2249.1</v>
      </c>
      <c r="D4802" s="47">
        <f t="shared" si="74"/>
        <v>1430.8774199999998</v>
      </c>
    </row>
    <row r="4803" spans="1:4">
      <c r="A4803" s="122">
        <v>36111</v>
      </c>
      <c r="B4803" s="24">
        <v>0.63800000000000001</v>
      </c>
      <c r="C4803" s="24">
        <v>2233.6</v>
      </c>
      <c r="D4803" s="47">
        <f t="shared" ref="D4803:D4866" si="75">C4803*B4803</f>
        <v>1425.0367999999999</v>
      </c>
    </row>
    <row r="4804" spans="1:4">
      <c r="A4804" s="122">
        <v>36110</v>
      </c>
      <c r="B4804" s="24">
        <v>0.63119999999999998</v>
      </c>
      <c r="C4804" s="24">
        <v>2201.6999999999998</v>
      </c>
      <c r="D4804" s="47">
        <f t="shared" si="75"/>
        <v>1389.7130399999999</v>
      </c>
    </row>
    <row r="4805" spans="1:4">
      <c r="A4805" s="122">
        <v>36109</v>
      </c>
      <c r="B4805" s="24">
        <v>0.62660000000000005</v>
      </c>
      <c r="C4805" s="24">
        <v>2200.6999999999998</v>
      </c>
      <c r="D4805" s="47">
        <f t="shared" si="75"/>
        <v>1378.9586199999999</v>
      </c>
    </row>
    <row r="4806" spans="1:4">
      <c r="A4806" s="122">
        <v>36108</v>
      </c>
      <c r="B4806" s="24">
        <v>0.63649999999999995</v>
      </c>
      <c r="C4806" s="24">
        <v>2191</v>
      </c>
      <c r="D4806" s="47">
        <f t="shared" si="75"/>
        <v>1394.5714999999998</v>
      </c>
    </row>
    <row r="4807" spans="1:4">
      <c r="A4807" s="122">
        <v>36105</v>
      </c>
      <c r="B4807" s="24">
        <v>0.63529999999999998</v>
      </c>
      <c r="C4807" s="24">
        <v>2201.9</v>
      </c>
      <c r="D4807" s="47">
        <f t="shared" si="75"/>
        <v>1398.86707</v>
      </c>
    </row>
    <row r="4808" spans="1:4">
      <c r="A4808" s="122">
        <v>36104</v>
      </c>
      <c r="B4808" s="24">
        <v>0.63170000000000004</v>
      </c>
      <c r="C4808" s="24">
        <v>2193.9</v>
      </c>
      <c r="D4808" s="47">
        <f t="shared" si="75"/>
        <v>1385.8866300000002</v>
      </c>
    </row>
    <row r="4809" spans="1:4">
      <c r="A4809" s="122">
        <v>36103</v>
      </c>
      <c r="B4809" s="24">
        <v>0.62990000000000002</v>
      </c>
      <c r="C4809" s="24">
        <v>2198.3000000000002</v>
      </c>
      <c r="D4809" s="47">
        <f t="shared" si="75"/>
        <v>1384.7091700000001</v>
      </c>
    </row>
    <row r="4810" spans="1:4">
      <c r="A4810" s="122">
        <v>36102</v>
      </c>
      <c r="B4810" s="24">
        <v>0.62350000000000005</v>
      </c>
      <c r="C4810" s="24">
        <v>2181.3000000000002</v>
      </c>
      <c r="D4810" s="47">
        <f t="shared" si="75"/>
        <v>1360.0405500000002</v>
      </c>
    </row>
    <row r="4811" spans="1:4">
      <c r="A4811" s="122">
        <v>36101</v>
      </c>
      <c r="B4811" s="24">
        <v>0.62460000000000004</v>
      </c>
      <c r="C4811" s="24">
        <v>2168.6</v>
      </c>
      <c r="D4811" s="47">
        <f t="shared" si="75"/>
        <v>1354.50756</v>
      </c>
    </row>
    <row r="4812" spans="1:4">
      <c r="A4812" s="122">
        <v>36098</v>
      </c>
      <c r="B4812" s="24">
        <v>0.62409999999999999</v>
      </c>
      <c r="C4812" s="24">
        <v>2160.1</v>
      </c>
      <c r="D4812" s="47">
        <f t="shared" si="75"/>
        <v>1348.1184099999998</v>
      </c>
    </row>
    <row r="4813" spans="1:4">
      <c r="A4813" s="122">
        <v>36097</v>
      </c>
      <c r="B4813" s="24">
        <v>0.62339999999999995</v>
      </c>
      <c r="C4813" s="24">
        <v>2155</v>
      </c>
      <c r="D4813" s="47">
        <f t="shared" si="75"/>
        <v>1343.4269999999999</v>
      </c>
    </row>
    <row r="4814" spans="1:4">
      <c r="A4814" s="122">
        <v>36096</v>
      </c>
      <c r="B4814" s="24">
        <v>0.61699999999999999</v>
      </c>
      <c r="C4814" s="24">
        <v>2156.9</v>
      </c>
      <c r="D4814" s="47">
        <f t="shared" si="75"/>
        <v>1330.8072999999999</v>
      </c>
    </row>
    <row r="4815" spans="1:4">
      <c r="A4815" s="122">
        <v>36095</v>
      </c>
      <c r="B4815" s="24">
        <v>0.61729999999999996</v>
      </c>
      <c r="C4815" s="24">
        <v>2169.3000000000002</v>
      </c>
      <c r="D4815" s="47">
        <f t="shared" si="75"/>
        <v>1339.10889</v>
      </c>
    </row>
    <row r="4816" spans="1:4">
      <c r="A4816" s="122">
        <v>36094</v>
      </c>
      <c r="B4816" s="24">
        <v>0.61599999999999999</v>
      </c>
      <c r="C4816" s="24">
        <v>2173.6999999999998</v>
      </c>
      <c r="D4816" s="47">
        <f t="shared" si="75"/>
        <v>1338.9992</v>
      </c>
    </row>
    <row r="4817" spans="1:4">
      <c r="A4817" s="122">
        <v>36091</v>
      </c>
      <c r="B4817" s="24">
        <v>0.61829999999999996</v>
      </c>
      <c r="C4817" s="24">
        <v>2166.8000000000002</v>
      </c>
      <c r="D4817" s="47">
        <f t="shared" si="75"/>
        <v>1339.73244</v>
      </c>
    </row>
    <row r="4818" spans="1:4">
      <c r="A4818" s="122">
        <v>36090</v>
      </c>
      <c r="B4818" s="24">
        <v>0.62490000000000001</v>
      </c>
      <c r="C4818" s="24">
        <v>2164</v>
      </c>
      <c r="D4818" s="47">
        <f t="shared" si="75"/>
        <v>1352.2836</v>
      </c>
    </row>
    <row r="4819" spans="1:4">
      <c r="A4819" s="122">
        <v>36089</v>
      </c>
      <c r="B4819" s="24">
        <v>0.62560000000000004</v>
      </c>
      <c r="C4819" s="24">
        <v>2172.1999999999998</v>
      </c>
      <c r="D4819" s="47">
        <f t="shared" si="75"/>
        <v>1358.92832</v>
      </c>
    </row>
    <row r="4820" spans="1:4">
      <c r="A4820" s="122">
        <v>36088</v>
      </c>
      <c r="B4820" s="24">
        <v>0.63139999999999996</v>
      </c>
      <c r="C4820" s="24">
        <v>2196.3000000000002</v>
      </c>
      <c r="D4820" s="47">
        <f t="shared" si="75"/>
        <v>1386.7438200000001</v>
      </c>
    </row>
    <row r="4821" spans="1:4">
      <c r="A4821" s="122">
        <v>36087</v>
      </c>
      <c r="B4821" s="24">
        <v>0.63239999999999996</v>
      </c>
      <c r="C4821" s="24">
        <v>2197.5</v>
      </c>
      <c r="D4821" s="47">
        <f t="shared" si="75"/>
        <v>1389.6989999999998</v>
      </c>
    </row>
    <row r="4822" spans="1:4">
      <c r="A4822" s="122">
        <v>36084</v>
      </c>
      <c r="B4822" s="24">
        <v>0.63400000000000001</v>
      </c>
      <c r="C4822" s="24">
        <v>2189.9</v>
      </c>
      <c r="D4822" s="47">
        <f t="shared" si="75"/>
        <v>1388.3966</v>
      </c>
    </row>
    <row r="4823" spans="1:4">
      <c r="A4823" s="122">
        <v>36083</v>
      </c>
      <c r="B4823" s="24">
        <v>0.63729999999999998</v>
      </c>
      <c r="C4823" s="24">
        <v>2179.1999999999998</v>
      </c>
      <c r="D4823" s="47">
        <f t="shared" si="75"/>
        <v>1388.8041599999999</v>
      </c>
    </row>
    <row r="4824" spans="1:4">
      <c r="A4824" s="122">
        <v>36082</v>
      </c>
      <c r="B4824" s="24">
        <v>0.63349999999999995</v>
      </c>
      <c r="C4824" s="24">
        <v>2198.3000000000002</v>
      </c>
      <c r="D4824" s="47">
        <f t="shared" si="75"/>
        <v>1392.6230499999999</v>
      </c>
    </row>
    <row r="4825" spans="1:4">
      <c r="A4825" s="122">
        <v>36081</v>
      </c>
      <c r="B4825" s="24">
        <v>0.62490000000000001</v>
      </c>
      <c r="C4825" s="24">
        <v>2184.9</v>
      </c>
      <c r="D4825" s="47">
        <f t="shared" si="75"/>
        <v>1365.34401</v>
      </c>
    </row>
    <row r="4826" spans="1:4">
      <c r="A4826" s="122">
        <v>36080</v>
      </c>
      <c r="B4826" s="24">
        <v>0.62319999999999998</v>
      </c>
      <c r="C4826" s="24">
        <v>2192.1</v>
      </c>
      <c r="D4826" s="47">
        <f t="shared" si="75"/>
        <v>1366.11672</v>
      </c>
    </row>
    <row r="4827" spans="1:4">
      <c r="A4827" s="122">
        <v>36077</v>
      </c>
      <c r="B4827" s="24">
        <v>0.61380000000000001</v>
      </c>
      <c r="C4827" s="24">
        <v>2171.3000000000002</v>
      </c>
      <c r="D4827" s="47">
        <f t="shared" si="75"/>
        <v>1332.7439400000001</v>
      </c>
    </row>
    <row r="4828" spans="1:4">
      <c r="A4828" s="122">
        <v>36076</v>
      </c>
      <c r="B4828" s="24">
        <v>0.61599999999999999</v>
      </c>
      <c r="C4828" s="24">
        <v>2170.5</v>
      </c>
      <c r="D4828" s="47">
        <f t="shared" si="75"/>
        <v>1337.028</v>
      </c>
    </row>
    <row r="4829" spans="1:4">
      <c r="A4829" s="122">
        <v>36075</v>
      </c>
      <c r="B4829" s="24">
        <v>0.622</v>
      </c>
      <c r="C4829" s="24">
        <v>2145.5</v>
      </c>
      <c r="D4829" s="47">
        <f t="shared" si="75"/>
        <v>1334.501</v>
      </c>
    </row>
    <row r="4830" spans="1:4">
      <c r="A4830" s="122">
        <v>36074</v>
      </c>
      <c r="B4830" s="24">
        <v>0.59219999999999995</v>
      </c>
      <c r="C4830" s="24">
        <v>2143.5</v>
      </c>
      <c r="D4830" s="47">
        <f t="shared" si="75"/>
        <v>1269.3806999999999</v>
      </c>
    </row>
    <row r="4831" spans="1:4">
      <c r="A4831" s="122">
        <v>36073</v>
      </c>
      <c r="B4831" s="24">
        <v>0.59379999999999999</v>
      </c>
      <c r="C4831" s="24">
        <v>2163</v>
      </c>
      <c r="D4831" s="47">
        <f t="shared" si="75"/>
        <v>1284.3894</v>
      </c>
    </row>
    <row r="4832" spans="1:4">
      <c r="A4832" s="122">
        <v>36070</v>
      </c>
      <c r="B4832" s="24">
        <v>0.59489999999999998</v>
      </c>
      <c r="C4832" s="24">
        <v>2122.1999999999998</v>
      </c>
      <c r="D4832" s="47">
        <f t="shared" si="75"/>
        <v>1262.4967799999999</v>
      </c>
    </row>
    <row r="4833" spans="1:4">
      <c r="A4833" s="122">
        <v>36069</v>
      </c>
      <c r="B4833" s="24">
        <v>0.59799999999999998</v>
      </c>
      <c r="C4833" s="24">
        <v>2201.1</v>
      </c>
      <c r="D4833" s="47">
        <f t="shared" si="75"/>
        <v>1316.2577999999999</v>
      </c>
    </row>
    <row r="4834" spans="1:4">
      <c r="A4834" s="122">
        <v>36068</v>
      </c>
      <c r="B4834" s="24">
        <v>0.59399999999999997</v>
      </c>
      <c r="C4834" s="24">
        <v>2203.8000000000002</v>
      </c>
      <c r="D4834" s="47">
        <f t="shared" si="75"/>
        <v>1309.0572</v>
      </c>
    </row>
    <row r="4835" spans="1:4">
      <c r="A4835" s="122">
        <v>36067</v>
      </c>
      <c r="B4835" s="24">
        <v>0.5968</v>
      </c>
      <c r="C4835" s="24">
        <v>2237</v>
      </c>
      <c r="D4835" s="47">
        <f t="shared" si="75"/>
        <v>1335.0416</v>
      </c>
    </row>
    <row r="4836" spans="1:4">
      <c r="A4836" s="122">
        <v>36066</v>
      </c>
      <c r="B4836" s="24">
        <v>0.59</v>
      </c>
      <c r="C4836" s="24">
        <v>2244</v>
      </c>
      <c r="D4836" s="47">
        <f t="shared" si="75"/>
        <v>1323.96</v>
      </c>
    </row>
    <row r="4837" spans="1:4">
      <c r="A4837" s="122">
        <v>36063</v>
      </c>
      <c r="B4837" s="24">
        <v>0.58699999999999997</v>
      </c>
      <c r="C4837" s="24">
        <v>2258.4</v>
      </c>
      <c r="D4837" s="47">
        <f t="shared" si="75"/>
        <v>1325.6808000000001</v>
      </c>
    </row>
    <row r="4838" spans="1:4">
      <c r="A4838" s="122">
        <v>36062</v>
      </c>
      <c r="B4838" s="24">
        <v>0.58450000000000002</v>
      </c>
      <c r="C4838" s="24">
        <v>2249.8000000000002</v>
      </c>
      <c r="D4838" s="47">
        <f t="shared" si="75"/>
        <v>1315.0081000000002</v>
      </c>
    </row>
    <row r="4839" spans="1:4">
      <c r="A4839" s="122">
        <v>36061</v>
      </c>
      <c r="B4839" s="24">
        <v>0.57969999999999999</v>
      </c>
      <c r="C4839" s="24">
        <v>2228.1999999999998</v>
      </c>
      <c r="D4839" s="47">
        <f t="shared" si="75"/>
        <v>1291.6875399999999</v>
      </c>
    </row>
    <row r="4840" spans="1:4">
      <c r="A4840" s="122">
        <v>36060</v>
      </c>
      <c r="B4840" s="24">
        <v>0.58120000000000005</v>
      </c>
      <c r="C4840" s="24">
        <v>2206.5</v>
      </c>
      <c r="D4840" s="47">
        <f t="shared" si="75"/>
        <v>1282.4178000000002</v>
      </c>
    </row>
    <row r="4841" spans="1:4">
      <c r="A4841" s="122">
        <v>36059</v>
      </c>
      <c r="B4841" s="24">
        <v>0.58320000000000005</v>
      </c>
      <c r="C4841" s="24">
        <v>2199.6</v>
      </c>
      <c r="D4841" s="47">
        <f t="shared" si="75"/>
        <v>1282.80672</v>
      </c>
    </row>
    <row r="4842" spans="1:4">
      <c r="A4842" s="122">
        <v>36056</v>
      </c>
      <c r="B4842" s="24">
        <v>0.58919999999999995</v>
      </c>
      <c r="C4842" s="24">
        <v>2206.1</v>
      </c>
      <c r="D4842" s="47">
        <f t="shared" si="75"/>
        <v>1299.8341199999998</v>
      </c>
    </row>
    <row r="4843" spans="1:4">
      <c r="A4843" s="122">
        <v>36055</v>
      </c>
      <c r="B4843" s="24">
        <v>0.59330000000000005</v>
      </c>
      <c r="C4843" s="24">
        <v>2203.3000000000002</v>
      </c>
      <c r="D4843" s="47">
        <f t="shared" si="75"/>
        <v>1307.2178900000001</v>
      </c>
    </row>
    <row r="4844" spans="1:4">
      <c r="A4844" s="122">
        <v>36054</v>
      </c>
      <c r="B4844" s="24">
        <v>0.5897</v>
      </c>
      <c r="C4844" s="24">
        <v>2195.4</v>
      </c>
      <c r="D4844" s="47">
        <f t="shared" si="75"/>
        <v>1294.6273800000001</v>
      </c>
    </row>
    <row r="4845" spans="1:4">
      <c r="A4845" s="122">
        <v>36053</v>
      </c>
      <c r="B4845" s="24">
        <v>0.59499999999999997</v>
      </c>
      <c r="C4845" s="24">
        <v>2178.9</v>
      </c>
      <c r="D4845" s="47">
        <f t="shared" si="75"/>
        <v>1296.4455</v>
      </c>
    </row>
    <row r="4846" spans="1:4">
      <c r="A4846" s="122">
        <v>36052</v>
      </c>
      <c r="B4846" s="24">
        <v>0.59450000000000003</v>
      </c>
      <c r="C4846" s="24">
        <v>2182.9</v>
      </c>
      <c r="D4846" s="47">
        <f t="shared" si="75"/>
        <v>1297.73405</v>
      </c>
    </row>
    <row r="4847" spans="1:4">
      <c r="A4847" s="122">
        <v>36049</v>
      </c>
      <c r="B4847" s="24">
        <v>0.59919999999999995</v>
      </c>
      <c r="C4847" s="24">
        <v>2204.6999999999998</v>
      </c>
      <c r="D4847" s="47">
        <f t="shared" si="75"/>
        <v>1321.0562399999999</v>
      </c>
    </row>
    <row r="4848" spans="1:4">
      <c r="A4848" s="122">
        <v>36048</v>
      </c>
      <c r="B4848" s="24">
        <v>0.59760000000000002</v>
      </c>
      <c r="C4848" s="24">
        <v>2236.9</v>
      </c>
      <c r="D4848" s="47">
        <f t="shared" si="75"/>
        <v>1336.7714400000002</v>
      </c>
    </row>
    <row r="4849" spans="1:4">
      <c r="A4849" s="122">
        <v>36047</v>
      </c>
      <c r="B4849" s="24">
        <v>0.58540000000000003</v>
      </c>
      <c r="C4849" s="24">
        <v>2238.1999999999998</v>
      </c>
      <c r="D4849" s="47">
        <f t="shared" si="75"/>
        <v>1310.2422799999999</v>
      </c>
    </row>
    <row r="4850" spans="1:4">
      <c r="A4850" s="122">
        <v>36046</v>
      </c>
      <c r="B4850" s="24">
        <v>0.59179999999999999</v>
      </c>
      <c r="C4850" s="24">
        <v>2240.4</v>
      </c>
      <c r="D4850" s="47">
        <f t="shared" si="75"/>
        <v>1325.8687199999999</v>
      </c>
    </row>
    <row r="4851" spans="1:4">
      <c r="A4851" s="122">
        <v>36045</v>
      </c>
      <c r="B4851" s="24">
        <v>0.59019999999999995</v>
      </c>
      <c r="C4851" s="24">
        <v>2229.8000000000002</v>
      </c>
      <c r="D4851" s="47">
        <f t="shared" si="75"/>
        <v>1316.0279599999999</v>
      </c>
    </row>
    <row r="4852" spans="1:4">
      <c r="A4852" s="122">
        <v>36042</v>
      </c>
      <c r="B4852" s="24">
        <v>0.58650000000000002</v>
      </c>
      <c r="C4852" s="24">
        <v>2202</v>
      </c>
      <c r="D4852" s="47">
        <f t="shared" si="75"/>
        <v>1291.473</v>
      </c>
    </row>
    <row r="4853" spans="1:4">
      <c r="A4853" s="122">
        <v>36041</v>
      </c>
      <c r="B4853" s="24">
        <v>0.58450000000000002</v>
      </c>
      <c r="C4853" s="24">
        <v>2210.5</v>
      </c>
      <c r="D4853" s="47">
        <f t="shared" si="75"/>
        <v>1292.0372500000001</v>
      </c>
    </row>
    <row r="4854" spans="1:4">
      <c r="A4854" s="122">
        <v>36040</v>
      </c>
      <c r="B4854" s="24">
        <v>0.58540000000000003</v>
      </c>
      <c r="C4854" s="24">
        <v>2215.6999999999998</v>
      </c>
      <c r="D4854" s="47">
        <f t="shared" si="75"/>
        <v>1297.07078</v>
      </c>
    </row>
    <row r="4855" spans="1:4">
      <c r="A4855" s="122">
        <v>36039</v>
      </c>
      <c r="B4855" s="24">
        <v>0.58289999999999997</v>
      </c>
      <c r="C4855" s="24">
        <v>2212.1999999999998</v>
      </c>
      <c r="D4855" s="47">
        <f t="shared" si="75"/>
        <v>1289.4913799999999</v>
      </c>
    </row>
    <row r="4856" spans="1:4">
      <c r="A4856" s="122">
        <v>36038</v>
      </c>
      <c r="B4856" s="24">
        <v>0.56899999999999995</v>
      </c>
      <c r="C4856" s="24">
        <v>2208.8000000000002</v>
      </c>
      <c r="D4856" s="47">
        <f t="shared" si="75"/>
        <v>1256.8072</v>
      </c>
    </row>
    <row r="4857" spans="1:4">
      <c r="A4857" s="122">
        <v>36035</v>
      </c>
      <c r="B4857" s="24">
        <v>0.56699999999999995</v>
      </c>
      <c r="C4857" s="24">
        <v>2210.5</v>
      </c>
      <c r="D4857" s="47">
        <f t="shared" si="75"/>
        <v>1253.3534999999999</v>
      </c>
    </row>
    <row r="4858" spans="1:4">
      <c r="A4858" s="122">
        <v>36034</v>
      </c>
      <c r="B4858" s="24">
        <v>0.55689999999999995</v>
      </c>
      <c r="C4858" s="24">
        <v>2231.4</v>
      </c>
      <c r="D4858" s="47">
        <f t="shared" si="75"/>
        <v>1242.6666599999999</v>
      </c>
    </row>
    <row r="4859" spans="1:4">
      <c r="A4859" s="122">
        <v>36033</v>
      </c>
      <c r="B4859" s="24">
        <v>0.56459999999999999</v>
      </c>
      <c r="C4859" s="24">
        <v>2224.4</v>
      </c>
      <c r="D4859" s="47">
        <f t="shared" si="75"/>
        <v>1255.89624</v>
      </c>
    </row>
    <row r="4860" spans="1:4">
      <c r="A4860" s="122">
        <v>36032</v>
      </c>
      <c r="B4860" s="24">
        <v>0.57620000000000005</v>
      </c>
      <c r="C4860" s="24">
        <v>2227.8000000000002</v>
      </c>
      <c r="D4860" s="47">
        <f t="shared" si="75"/>
        <v>1283.6583600000001</v>
      </c>
    </row>
    <row r="4861" spans="1:4">
      <c r="A4861" s="122">
        <v>36031</v>
      </c>
      <c r="B4861" s="24">
        <v>0.58040000000000003</v>
      </c>
      <c r="C4861" s="24">
        <v>2205.4</v>
      </c>
      <c r="D4861" s="47">
        <f t="shared" si="75"/>
        <v>1280.0141600000002</v>
      </c>
    </row>
    <row r="4862" spans="1:4">
      <c r="A4862" s="122">
        <v>36028</v>
      </c>
      <c r="B4862" s="24">
        <v>0.58109999999999995</v>
      </c>
      <c r="C4862" s="24">
        <v>2217.8000000000002</v>
      </c>
      <c r="D4862" s="47">
        <f t="shared" si="75"/>
        <v>1288.76358</v>
      </c>
    </row>
    <row r="4863" spans="1:4">
      <c r="A4863" s="122">
        <v>36027</v>
      </c>
      <c r="B4863" s="24">
        <v>0.58630000000000004</v>
      </c>
      <c r="C4863" s="24">
        <v>2193.1999999999998</v>
      </c>
      <c r="D4863" s="47">
        <f t="shared" si="75"/>
        <v>1285.8731600000001</v>
      </c>
    </row>
    <row r="4864" spans="1:4">
      <c r="A4864" s="122">
        <v>36026</v>
      </c>
      <c r="B4864" s="24">
        <v>0.59130000000000005</v>
      </c>
      <c r="C4864" s="24">
        <v>2174.3000000000002</v>
      </c>
      <c r="D4864" s="47">
        <f t="shared" si="75"/>
        <v>1285.6635900000001</v>
      </c>
    </row>
    <row r="4865" spans="1:4">
      <c r="A4865" s="122">
        <v>36025</v>
      </c>
      <c r="B4865" s="24">
        <v>0.59509999999999996</v>
      </c>
      <c r="C4865" s="24">
        <v>2185.8000000000002</v>
      </c>
      <c r="D4865" s="47">
        <f t="shared" si="75"/>
        <v>1300.7695800000001</v>
      </c>
    </row>
    <row r="4866" spans="1:4">
      <c r="A4866" s="122">
        <v>36024</v>
      </c>
      <c r="B4866" s="24">
        <v>0.59179999999999999</v>
      </c>
      <c r="C4866" s="24">
        <v>2202.1</v>
      </c>
      <c r="D4866" s="47">
        <f t="shared" si="75"/>
        <v>1303.2027799999998</v>
      </c>
    </row>
    <row r="4867" spans="1:4">
      <c r="A4867" s="122">
        <v>36021</v>
      </c>
      <c r="B4867" s="24">
        <v>0.59330000000000005</v>
      </c>
      <c r="C4867" s="24">
        <v>2189.1999999999998</v>
      </c>
      <c r="D4867" s="47">
        <f t="shared" ref="D4867:D4930" si="76">C4867*B4867</f>
        <v>1298.8523600000001</v>
      </c>
    </row>
    <row r="4868" spans="1:4">
      <c r="A4868" s="122">
        <v>36020</v>
      </c>
      <c r="B4868" s="24">
        <v>0.59640000000000004</v>
      </c>
      <c r="C4868" s="24">
        <v>2193.1</v>
      </c>
      <c r="D4868" s="47">
        <f t="shared" si="76"/>
        <v>1307.9648400000001</v>
      </c>
    </row>
    <row r="4869" spans="1:4">
      <c r="A4869" s="122">
        <v>36019</v>
      </c>
      <c r="B4869" s="24">
        <v>0.59370000000000001</v>
      </c>
      <c r="C4869" s="24">
        <v>2193.8000000000002</v>
      </c>
      <c r="D4869" s="47">
        <f t="shared" si="76"/>
        <v>1302.4590600000001</v>
      </c>
    </row>
    <row r="4870" spans="1:4">
      <c r="A4870" s="122">
        <v>36018</v>
      </c>
      <c r="B4870" s="24">
        <v>0.59279999999999999</v>
      </c>
      <c r="C4870" s="24">
        <v>2189</v>
      </c>
      <c r="D4870" s="47">
        <f t="shared" si="76"/>
        <v>1297.6392000000001</v>
      </c>
    </row>
    <row r="4871" spans="1:4">
      <c r="A4871" s="122">
        <v>36017</v>
      </c>
      <c r="B4871" s="24">
        <v>0.60050000000000003</v>
      </c>
      <c r="C4871" s="24">
        <v>2177.4</v>
      </c>
      <c r="D4871" s="47">
        <f t="shared" si="76"/>
        <v>1307.5287000000001</v>
      </c>
    </row>
    <row r="4872" spans="1:4">
      <c r="A4872" s="122">
        <v>36014</v>
      </c>
      <c r="B4872" s="24">
        <v>0.59970000000000001</v>
      </c>
      <c r="C4872" s="24">
        <v>2183.5</v>
      </c>
      <c r="D4872" s="47">
        <f t="shared" si="76"/>
        <v>1309.4449500000001</v>
      </c>
    </row>
    <row r="4873" spans="1:4">
      <c r="A4873" s="122">
        <v>36013</v>
      </c>
      <c r="B4873" s="24">
        <v>0.60509999999999997</v>
      </c>
      <c r="C4873" s="24">
        <v>2194.1</v>
      </c>
      <c r="D4873" s="47">
        <f t="shared" si="76"/>
        <v>1327.6499099999999</v>
      </c>
    </row>
    <row r="4874" spans="1:4">
      <c r="A4874" s="122">
        <v>36012</v>
      </c>
      <c r="B4874" s="24">
        <v>0.60860000000000003</v>
      </c>
      <c r="C4874" s="24">
        <v>2184.4</v>
      </c>
      <c r="D4874" s="47">
        <f t="shared" si="76"/>
        <v>1329.4258400000001</v>
      </c>
    </row>
    <row r="4875" spans="1:4">
      <c r="A4875" s="122">
        <v>36011</v>
      </c>
      <c r="B4875" s="24">
        <v>0.60429999999999995</v>
      </c>
      <c r="C4875" s="24">
        <v>2209.3000000000002</v>
      </c>
      <c r="D4875" s="47">
        <f t="shared" si="76"/>
        <v>1335.07999</v>
      </c>
    </row>
    <row r="4876" spans="1:4">
      <c r="A4876" s="122">
        <v>36010</v>
      </c>
      <c r="B4876" s="24">
        <v>0.60189999999999999</v>
      </c>
      <c r="C4876" s="24">
        <v>2221.6</v>
      </c>
      <c r="D4876" s="47">
        <f t="shared" si="76"/>
        <v>1337.1810399999999</v>
      </c>
    </row>
    <row r="4877" spans="1:4">
      <c r="A4877" s="122">
        <v>36007</v>
      </c>
      <c r="B4877" s="24">
        <v>0.60599999999999998</v>
      </c>
      <c r="C4877" s="24">
        <v>2209.8000000000002</v>
      </c>
      <c r="D4877" s="47">
        <f t="shared" si="76"/>
        <v>1339.1388000000002</v>
      </c>
    </row>
    <row r="4878" spans="1:4">
      <c r="A4878" s="122">
        <v>36006</v>
      </c>
      <c r="B4878" s="24">
        <v>0.60950000000000004</v>
      </c>
      <c r="C4878" s="24">
        <v>2208.6</v>
      </c>
      <c r="D4878" s="47">
        <f t="shared" si="76"/>
        <v>1346.1417000000001</v>
      </c>
    </row>
    <row r="4879" spans="1:4">
      <c r="A4879" s="122">
        <v>36005</v>
      </c>
      <c r="B4879" s="24">
        <v>0.61150000000000004</v>
      </c>
      <c r="C4879" s="24">
        <v>2210.1</v>
      </c>
      <c r="D4879" s="47">
        <f t="shared" si="76"/>
        <v>1351.47615</v>
      </c>
    </row>
    <row r="4880" spans="1:4">
      <c r="A4880" s="122">
        <v>36004</v>
      </c>
      <c r="B4880" s="24">
        <v>0.61329999999999996</v>
      </c>
      <c r="C4880" s="24">
        <v>2178.6</v>
      </c>
      <c r="D4880" s="47">
        <f t="shared" si="76"/>
        <v>1336.1353799999999</v>
      </c>
    </row>
    <row r="4881" spans="1:4">
      <c r="A4881" s="122">
        <v>36003</v>
      </c>
      <c r="B4881" s="24">
        <v>0.60880000000000001</v>
      </c>
      <c r="C4881" s="24">
        <v>2154.9</v>
      </c>
      <c r="D4881" s="47">
        <f t="shared" si="76"/>
        <v>1311.9031200000002</v>
      </c>
    </row>
    <row r="4882" spans="1:4">
      <c r="A4882" s="122">
        <v>36000</v>
      </c>
      <c r="B4882" s="24">
        <v>0.61660000000000004</v>
      </c>
      <c r="C4882" s="24">
        <v>2153.1999999999998</v>
      </c>
      <c r="D4882" s="47">
        <f t="shared" si="76"/>
        <v>1327.6631199999999</v>
      </c>
    </row>
    <row r="4883" spans="1:4">
      <c r="A4883" s="122">
        <v>35999</v>
      </c>
      <c r="B4883" s="24">
        <v>0.62029999999999996</v>
      </c>
      <c r="C4883" s="24">
        <v>2154.5</v>
      </c>
      <c r="D4883" s="47">
        <f t="shared" si="76"/>
        <v>1336.4363499999999</v>
      </c>
    </row>
    <row r="4884" spans="1:4">
      <c r="A4884" s="122">
        <v>35998</v>
      </c>
      <c r="B4884" s="24">
        <v>0.62250000000000005</v>
      </c>
      <c r="C4884" s="24">
        <v>2160.1999999999998</v>
      </c>
      <c r="D4884" s="47">
        <f t="shared" si="76"/>
        <v>1344.7245</v>
      </c>
    </row>
    <row r="4885" spans="1:4">
      <c r="A4885" s="122">
        <v>35997</v>
      </c>
      <c r="B4885" s="24">
        <v>0.62619999999999998</v>
      </c>
      <c r="C4885" s="24">
        <v>2157.1999999999998</v>
      </c>
      <c r="D4885" s="47">
        <f t="shared" si="76"/>
        <v>1350.8386399999999</v>
      </c>
    </row>
    <row r="4886" spans="1:4">
      <c r="A4886" s="122">
        <v>35996</v>
      </c>
      <c r="B4886" s="24">
        <v>0.63149999999999995</v>
      </c>
      <c r="C4886" s="24">
        <v>2154.5</v>
      </c>
      <c r="D4886" s="47">
        <f t="shared" si="76"/>
        <v>1360.56675</v>
      </c>
    </row>
    <row r="4887" spans="1:4">
      <c r="A4887" s="122">
        <v>35993</v>
      </c>
      <c r="B4887" s="24">
        <v>0.62849999999999995</v>
      </c>
      <c r="C4887" s="24">
        <v>2137.3000000000002</v>
      </c>
      <c r="D4887" s="47">
        <f t="shared" si="76"/>
        <v>1343.29305</v>
      </c>
    </row>
    <row r="4888" spans="1:4">
      <c r="A4888" s="122">
        <v>35992</v>
      </c>
      <c r="B4888" s="24">
        <v>0.63170000000000004</v>
      </c>
      <c r="C4888" s="24">
        <v>2162.6</v>
      </c>
      <c r="D4888" s="47">
        <f t="shared" si="76"/>
        <v>1366.1144200000001</v>
      </c>
    </row>
    <row r="4889" spans="1:4">
      <c r="A4889" s="122">
        <v>35991</v>
      </c>
      <c r="B4889" s="24">
        <v>0.623</v>
      </c>
      <c r="C4889" s="24">
        <v>2176.5</v>
      </c>
      <c r="D4889" s="47">
        <f t="shared" si="76"/>
        <v>1355.9594999999999</v>
      </c>
    </row>
    <row r="4890" spans="1:4">
      <c r="A4890" s="122">
        <v>35990</v>
      </c>
      <c r="B4890" s="24">
        <v>0.62260000000000004</v>
      </c>
      <c r="C4890" s="24">
        <v>2179.6999999999998</v>
      </c>
      <c r="D4890" s="47">
        <f t="shared" si="76"/>
        <v>1357.08122</v>
      </c>
    </row>
    <row r="4891" spans="1:4">
      <c r="A4891" s="122">
        <v>35989</v>
      </c>
      <c r="B4891" s="24">
        <v>0.61729999999999996</v>
      </c>
      <c r="C4891" s="24">
        <v>2182.1</v>
      </c>
      <c r="D4891" s="47">
        <f t="shared" si="76"/>
        <v>1347.0103299999998</v>
      </c>
    </row>
    <row r="4892" spans="1:4">
      <c r="A4892" s="122">
        <v>35986</v>
      </c>
      <c r="B4892" s="24">
        <v>0.61599999999999999</v>
      </c>
      <c r="C4892" s="24">
        <v>2171.1999999999998</v>
      </c>
      <c r="D4892" s="47">
        <f t="shared" si="76"/>
        <v>1337.4591999999998</v>
      </c>
    </row>
    <row r="4893" spans="1:4">
      <c r="A4893" s="122">
        <v>35985</v>
      </c>
      <c r="B4893" s="24">
        <v>0.61319999999999997</v>
      </c>
      <c r="C4893" s="24">
        <v>2161.5</v>
      </c>
      <c r="D4893" s="47">
        <f t="shared" si="76"/>
        <v>1325.4317999999998</v>
      </c>
    </row>
    <row r="4894" spans="1:4">
      <c r="A4894" s="122">
        <v>35984</v>
      </c>
      <c r="B4894" s="24">
        <v>0.61750000000000005</v>
      </c>
      <c r="C4894" s="24">
        <v>2142.6999999999998</v>
      </c>
      <c r="D4894" s="47">
        <f t="shared" si="76"/>
        <v>1323.11725</v>
      </c>
    </row>
    <row r="4895" spans="1:4">
      <c r="A4895" s="122">
        <v>35983</v>
      </c>
      <c r="B4895" s="24">
        <v>0.61980000000000002</v>
      </c>
      <c r="C4895" s="24">
        <v>2155.5</v>
      </c>
      <c r="D4895" s="47">
        <f t="shared" si="76"/>
        <v>1335.9789000000001</v>
      </c>
    </row>
    <row r="4896" spans="1:4">
      <c r="A4896" s="122">
        <v>35982</v>
      </c>
      <c r="B4896" s="24">
        <v>0.61550000000000005</v>
      </c>
      <c r="C4896" s="24">
        <v>2155.4</v>
      </c>
      <c r="D4896" s="47">
        <f t="shared" si="76"/>
        <v>1326.6487000000002</v>
      </c>
    </row>
    <row r="4897" spans="1:4">
      <c r="A4897" s="122">
        <v>35979</v>
      </c>
      <c r="B4897" s="24">
        <v>0.61780000000000002</v>
      </c>
      <c r="C4897" s="24">
        <v>2160.9</v>
      </c>
      <c r="D4897" s="47">
        <f t="shared" si="76"/>
        <v>1335.0040200000001</v>
      </c>
    </row>
    <row r="4898" spans="1:4">
      <c r="A4898" s="122">
        <v>35978</v>
      </c>
      <c r="B4898" s="24">
        <v>0.61399999999999999</v>
      </c>
      <c r="C4898" s="24">
        <v>2160.8000000000002</v>
      </c>
      <c r="D4898" s="47">
        <f t="shared" si="76"/>
        <v>1326.7312000000002</v>
      </c>
    </row>
    <row r="4899" spans="1:4">
      <c r="A4899" s="122">
        <v>35977</v>
      </c>
      <c r="B4899" s="24">
        <v>0.62</v>
      </c>
      <c r="C4899" s="24">
        <v>2119.1</v>
      </c>
      <c r="D4899" s="47">
        <f t="shared" si="76"/>
        <v>1313.8419999999999</v>
      </c>
    </row>
    <row r="4900" spans="1:4">
      <c r="A4900" s="122">
        <v>35976</v>
      </c>
      <c r="B4900" s="24">
        <v>0.61839999999999995</v>
      </c>
      <c r="C4900" s="24">
        <v>2113.1999999999998</v>
      </c>
      <c r="D4900" s="47">
        <f t="shared" si="76"/>
        <v>1306.8028799999997</v>
      </c>
    </row>
    <row r="4901" spans="1:4">
      <c r="A4901" s="122">
        <v>35975</v>
      </c>
      <c r="B4901" s="24">
        <v>0.60770000000000002</v>
      </c>
      <c r="C4901" s="24">
        <v>2115</v>
      </c>
      <c r="D4901" s="47">
        <f t="shared" si="76"/>
        <v>1285.2855</v>
      </c>
    </row>
    <row r="4902" spans="1:4">
      <c r="A4902" s="122">
        <v>35972</v>
      </c>
      <c r="B4902" s="24">
        <v>0.60150000000000003</v>
      </c>
      <c r="C4902" s="24">
        <v>2110.1</v>
      </c>
      <c r="D4902" s="47">
        <f t="shared" si="76"/>
        <v>1269.22515</v>
      </c>
    </row>
    <row r="4903" spans="1:4">
      <c r="A4903" s="122">
        <v>35971</v>
      </c>
      <c r="B4903" s="24">
        <v>0.60519999999999996</v>
      </c>
      <c r="C4903" s="24">
        <v>2112.8000000000002</v>
      </c>
      <c r="D4903" s="47">
        <f t="shared" si="76"/>
        <v>1278.6665600000001</v>
      </c>
    </row>
    <row r="4904" spans="1:4">
      <c r="A4904" s="122">
        <v>35970</v>
      </c>
      <c r="B4904" s="24">
        <v>0.60450000000000004</v>
      </c>
      <c r="C4904" s="24">
        <v>2106</v>
      </c>
      <c r="D4904" s="47">
        <f t="shared" si="76"/>
        <v>1273.077</v>
      </c>
    </row>
    <row r="4905" spans="1:4">
      <c r="A4905" s="122">
        <v>35969</v>
      </c>
      <c r="B4905" s="24">
        <v>0.60819999999999996</v>
      </c>
      <c r="C4905" s="24">
        <v>2105.1</v>
      </c>
      <c r="D4905" s="47">
        <f t="shared" si="76"/>
        <v>1280.3218199999999</v>
      </c>
    </row>
    <row r="4906" spans="1:4">
      <c r="A4906" s="122">
        <v>35968</v>
      </c>
      <c r="B4906" s="24">
        <v>0.60850000000000004</v>
      </c>
      <c r="C4906" s="24">
        <v>2101.3000000000002</v>
      </c>
      <c r="D4906" s="47">
        <f t="shared" si="76"/>
        <v>1278.6410500000002</v>
      </c>
    </row>
    <row r="4907" spans="1:4">
      <c r="A4907" s="122">
        <v>35965</v>
      </c>
      <c r="B4907" s="24">
        <v>0.61609999999999998</v>
      </c>
      <c r="C4907" s="24">
        <v>2092.9</v>
      </c>
      <c r="D4907" s="47">
        <f t="shared" si="76"/>
        <v>1289.43569</v>
      </c>
    </row>
    <row r="4908" spans="1:4">
      <c r="A4908" s="122">
        <v>35964</v>
      </c>
      <c r="B4908" s="24">
        <v>0.60840000000000005</v>
      </c>
      <c r="C4908" s="24">
        <v>2078.3000000000002</v>
      </c>
      <c r="D4908" s="47">
        <f t="shared" si="76"/>
        <v>1264.4377200000001</v>
      </c>
    </row>
    <row r="4909" spans="1:4">
      <c r="A4909" s="122">
        <v>35963</v>
      </c>
      <c r="B4909" s="24">
        <v>0.61299999999999999</v>
      </c>
      <c r="C4909" s="24">
        <v>2072</v>
      </c>
      <c r="D4909" s="47">
        <f t="shared" si="76"/>
        <v>1270.136</v>
      </c>
    </row>
    <row r="4910" spans="1:4">
      <c r="A4910" s="122">
        <v>35962</v>
      </c>
      <c r="B4910" s="24">
        <v>0.59199999999999997</v>
      </c>
      <c r="C4910" s="24">
        <v>2059.5</v>
      </c>
      <c r="D4910" s="47">
        <f t="shared" si="76"/>
        <v>1219.2239999999999</v>
      </c>
    </row>
    <row r="4911" spans="1:4">
      <c r="A4911" s="122">
        <v>35961</v>
      </c>
      <c r="B4911" s="24">
        <v>0.58899999999999997</v>
      </c>
      <c r="C4911" s="24">
        <v>2062.9</v>
      </c>
      <c r="D4911" s="47">
        <f t="shared" si="76"/>
        <v>1215.0481</v>
      </c>
    </row>
    <row r="4912" spans="1:4">
      <c r="A4912" s="122">
        <v>35958</v>
      </c>
      <c r="B4912" s="24">
        <v>0.58699999999999997</v>
      </c>
      <c r="C4912" s="24">
        <v>2077.5</v>
      </c>
      <c r="D4912" s="47">
        <f t="shared" si="76"/>
        <v>1219.4924999999998</v>
      </c>
    </row>
    <row r="4913" spans="1:4">
      <c r="A4913" s="122">
        <v>35957</v>
      </c>
      <c r="B4913" s="24">
        <v>0.58599999999999997</v>
      </c>
      <c r="C4913" s="24">
        <v>2074.1999999999998</v>
      </c>
      <c r="D4913" s="47">
        <f t="shared" si="76"/>
        <v>1215.4811999999997</v>
      </c>
    </row>
    <row r="4914" spans="1:4">
      <c r="A4914" s="122">
        <v>35956</v>
      </c>
      <c r="B4914" s="24">
        <v>0.58799999999999997</v>
      </c>
      <c r="C4914" s="24">
        <v>2078.6999999999998</v>
      </c>
      <c r="D4914" s="47">
        <f t="shared" si="76"/>
        <v>1222.2755999999997</v>
      </c>
    </row>
    <row r="4915" spans="1:4">
      <c r="A4915" s="122">
        <v>35955</v>
      </c>
      <c r="B4915" s="24">
        <v>0.59399999999999997</v>
      </c>
      <c r="C4915" s="24">
        <v>2085.5</v>
      </c>
      <c r="D4915" s="47">
        <f t="shared" si="76"/>
        <v>1238.787</v>
      </c>
    </row>
    <row r="4916" spans="1:4">
      <c r="A4916" s="122">
        <v>35954</v>
      </c>
      <c r="B4916" s="24">
        <v>0.6</v>
      </c>
      <c r="C4916" s="24">
        <v>2065.4</v>
      </c>
      <c r="D4916" s="47">
        <f t="shared" si="76"/>
        <v>1239.24</v>
      </c>
    </row>
    <row r="4917" spans="1:4">
      <c r="A4917" s="122">
        <v>35951</v>
      </c>
      <c r="B4917" s="24">
        <v>0.6</v>
      </c>
      <c r="C4917" s="24">
        <v>2065.4</v>
      </c>
      <c r="D4917" s="47">
        <f t="shared" si="76"/>
        <v>1239.24</v>
      </c>
    </row>
    <row r="4918" spans="1:4">
      <c r="A4918" s="122">
        <v>35950</v>
      </c>
      <c r="B4918" s="24">
        <v>0.61</v>
      </c>
      <c r="C4918" s="24">
        <v>2062.1999999999998</v>
      </c>
      <c r="D4918" s="47">
        <f t="shared" si="76"/>
        <v>1257.9419999999998</v>
      </c>
    </row>
    <row r="4919" spans="1:4">
      <c r="A4919" s="122">
        <v>35949</v>
      </c>
      <c r="B4919" s="24">
        <v>0.60899999999999999</v>
      </c>
      <c r="C4919" s="24">
        <v>2046.5</v>
      </c>
      <c r="D4919" s="47">
        <f t="shared" si="76"/>
        <v>1246.3184999999999</v>
      </c>
    </row>
    <row r="4920" spans="1:4">
      <c r="A4920" s="122">
        <v>35948</v>
      </c>
      <c r="B4920" s="24">
        <v>0.61499999999999999</v>
      </c>
      <c r="C4920" s="24">
        <v>2013.4</v>
      </c>
      <c r="D4920" s="47">
        <f t="shared" si="76"/>
        <v>1238.241</v>
      </c>
    </row>
    <row r="4921" spans="1:4">
      <c r="A4921" s="122">
        <v>35947</v>
      </c>
      <c r="B4921" s="24">
        <v>0.61499999999999999</v>
      </c>
      <c r="C4921" s="24">
        <v>2010.6</v>
      </c>
      <c r="D4921" s="47">
        <f t="shared" si="76"/>
        <v>1236.519</v>
      </c>
    </row>
    <row r="4922" spans="1:4">
      <c r="A4922" s="122">
        <v>35944</v>
      </c>
      <c r="B4922" s="24">
        <v>0.623</v>
      </c>
      <c r="C4922" s="24">
        <v>2029.7</v>
      </c>
      <c r="D4922" s="47">
        <f t="shared" si="76"/>
        <v>1264.5031000000001</v>
      </c>
    </row>
    <row r="4923" spans="1:4">
      <c r="A4923" s="122">
        <v>35943</v>
      </c>
      <c r="B4923" s="24">
        <v>0.62190000000000001</v>
      </c>
      <c r="C4923" s="24">
        <v>2024</v>
      </c>
      <c r="D4923" s="47">
        <f t="shared" si="76"/>
        <v>1258.7256</v>
      </c>
    </row>
    <row r="4924" spans="1:4">
      <c r="A4924" s="122">
        <v>35942</v>
      </c>
      <c r="B4924" s="24">
        <v>0.62029999999999996</v>
      </c>
      <c r="C4924" s="24">
        <v>2024.4</v>
      </c>
      <c r="D4924" s="47">
        <f t="shared" si="76"/>
        <v>1255.73532</v>
      </c>
    </row>
    <row r="4925" spans="1:4">
      <c r="A4925" s="122">
        <v>35941</v>
      </c>
      <c r="B4925" s="24">
        <v>0.62119999999999997</v>
      </c>
      <c r="C4925" s="24">
        <v>2043.3</v>
      </c>
      <c r="D4925" s="47">
        <f t="shared" si="76"/>
        <v>1269.2979599999999</v>
      </c>
    </row>
    <row r="4926" spans="1:4">
      <c r="A4926" s="122">
        <v>35940</v>
      </c>
      <c r="B4926" s="24">
        <v>0.62560000000000004</v>
      </c>
      <c r="C4926" s="24">
        <v>2048.4</v>
      </c>
      <c r="D4926" s="47">
        <f t="shared" si="76"/>
        <v>1281.4790400000002</v>
      </c>
    </row>
    <row r="4927" spans="1:4">
      <c r="A4927" s="122">
        <v>35937</v>
      </c>
      <c r="B4927" s="24">
        <v>0.62680000000000002</v>
      </c>
      <c r="C4927" s="24">
        <v>2037.7</v>
      </c>
      <c r="D4927" s="47">
        <f t="shared" si="76"/>
        <v>1277.23036</v>
      </c>
    </row>
    <row r="4928" spans="1:4">
      <c r="A4928" s="122">
        <v>35936</v>
      </c>
      <c r="B4928" s="24">
        <v>0.63349999999999995</v>
      </c>
      <c r="C4928" s="24">
        <v>2044.9</v>
      </c>
      <c r="D4928" s="47">
        <f t="shared" si="76"/>
        <v>1295.44415</v>
      </c>
    </row>
    <row r="4929" spans="1:4">
      <c r="A4929" s="122">
        <v>35935</v>
      </c>
      <c r="B4929" s="24">
        <v>0.62539999999999996</v>
      </c>
      <c r="C4929" s="24">
        <v>2062.4</v>
      </c>
      <c r="D4929" s="47">
        <f t="shared" si="76"/>
        <v>1289.8249599999999</v>
      </c>
    </row>
    <row r="4930" spans="1:4">
      <c r="A4930" s="122">
        <v>35934</v>
      </c>
      <c r="B4930" s="24">
        <v>0.62239999999999995</v>
      </c>
      <c r="C4930" s="24">
        <v>2068.4</v>
      </c>
      <c r="D4930" s="47">
        <f t="shared" si="76"/>
        <v>1287.3721599999999</v>
      </c>
    </row>
    <row r="4931" spans="1:4">
      <c r="A4931" s="122">
        <v>35933</v>
      </c>
      <c r="B4931" s="24">
        <v>0.61850000000000005</v>
      </c>
      <c r="C4931" s="24">
        <v>2067.1</v>
      </c>
      <c r="D4931" s="47">
        <f t="shared" ref="D4931:D4994" si="77">C4931*B4931</f>
        <v>1278.50135</v>
      </c>
    </row>
    <row r="4932" spans="1:4">
      <c r="A4932" s="122">
        <v>35930</v>
      </c>
      <c r="B4932" s="24">
        <v>0.62709999999999999</v>
      </c>
      <c r="C4932" s="24">
        <v>2064.9</v>
      </c>
      <c r="D4932" s="47">
        <f t="shared" si="77"/>
        <v>1294.89879</v>
      </c>
    </row>
    <row r="4933" spans="1:4">
      <c r="A4933" s="122">
        <v>35929</v>
      </c>
      <c r="B4933" s="24">
        <v>0.62870000000000004</v>
      </c>
      <c r="C4933" s="24">
        <v>2067</v>
      </c>
      <c r="D4933" s="47">
        <f t="shared" si="77"/>
        <v>1299.5229000000002</v>
      </c>
    </row>
    <row r="4934" spans="1:4">
      <c r="A4934" s="122">
        <v>35928</v>
      </c>
      <c r="B4934" s="24">
        <v>0.628</v>
      </c>
      <c r="C4934" s="24">
        <v>2055.5</v>
      </c>
      <c r="D4934" s="47">
        <f t="shared" si="77"/>
        <v>1290.854</v>
      </c>
    </row>
    <row r="4935" spans="1:4">
      <c r="A4935" s="122">
        <v>35927</v>
      </c>
      <c r="B4935" s="24">
        <v>0.63109999999999999</v>
      </c>
      <c r="C4935" s="24">
        <v>2033.7</v>
      </c>
      <c r="D4935" s="47">
        <f t="shared" si="77"/>
        <v>1283.4680700000001</v>
      </c>
    </row>
    <row r="4936" spans="1:4">
      <c r="A4936" s="122">
        <v>35926</v>
      </c>
      <c r="B4936" s="24">
        <v>0.63570000000000004</v>
      </c>
      <c r="C4936" s="24">
        <v>2024.2</v>
      </c>
      <c r="D4936" s="47">
        <f t="shared" si="77"/>
        <v>1286.78394</v>
      </c>
    </row>
    <row r="4937" spans="1:4">
      <c r="A4937" s="122">
        <v>35923</v>
      </c>
      <c r="B4937" s="24">
        <v>0.63480000000000003</v>
      </c>
      <c r="C4937" s="24">
        <v>2018.2</v>
      </c>
      <c r="D4937" s="47">
        <f t="shared" si="77"/>
        <v>1281.15336</v>
      </c>
    </row>
    <row r="4938" spans="1:4">
      <c r="A4938" s="122">
        <v>35922</v>
      </c>
      <c r="B4938" s="24">
        <v>0.63749999999999996</v>
      </c>
      <c r="C4938" s="24">
        <v>2047.2</v>
      </c>
      <c r="D4938" s="47">
        <f t="shared" si="77"/>
        <v>1305.0899999999999</v>
      </c>
    </row>
    <row r="4939" spans="1:4">
      <c r="A4939" s="122">
        <v>35921</v>
      </c>
      <c r="B4939" s="24">
        <v>0.63700000000000001</v>
      </c>
      <c r="C4939" s="24">
        <v>2054.1</v>
      </c>
      <c r="D4939" s="47">
        <f t="shared" si="77"/>
        <v>1308.4617000000001</v>
      </c>
    </row>
    <row r="4940" spans="1:4">
      <c r="A4940" s="122">
        <v>35920</v>
      </c>
      <c r="B4940" s="24">
        <v>0.6401</v>
      </c>
      <c r="C4940" s="24">
        <v>2059.3000000000002</v>
      </c>
      <c r="D4940" s="47">
        <f t="shared" si="77"/>
        <v>1318.1579300000001</v>
      </c>
    </row>
    <row r="4941" spans="1:4">
      <c r="A4941" s="122">
        <v>35919</v>
      </c>
      <c r="B4941" s="24">
        <v>0.64649999999999996</v>
      </c>
      <c r="C4941" s="24">
        <v>2059.9</v>
      </c>
      <c r="D4941" s="47">
        <f t="shared" si="77"/>
        <v>1331.7253499999999</v>
      </c>
    </row>
    <row r="4942" spans="1:4">
      <c r="A4942" s="122">
        <v>35916</v>
      </c>
      <c r="B4942" s="24">
        <v>0.64839999999999998</v>
      </c>
      <c r="C4942" s="24">
        <v>2088.4</v>
      </c>
      <c r="D4942" s="47">
        <f t="shared" si="77"/>
        <v>1354.1185600000001</v>
      </c>
    </row>
    <row r="4943" spans="1:4">
      <c r="A4943" s="122">
        <v>35915</v>
      </c>
      <c r="B4943" s="24">
        <v>0.64970000000000006</v>
      </c>
      <c r="C4943" s="24">
        <v>2094.3000000000002</v>
      </c>
      <c r="D4943" s="47">
        <f t="shared" si="77"/>
        <v>1360.6667100000002</v>
      </c>
    </row>
    <row r="4944" spans="1:4">
      <c r="A4944" s="122">
        <v>35914</v>
      </c>
      <c r="B4944" s="24">
        <v>0.64910000000000001</v>
      </c>
      <c r="C4944" s="24">
        <v>2091.3000000000002</v>
      </c>
      <c r="D4944" s="47">
        <f t="shared" si="77"/>
        <v>1357.4628300000002</v>
      </c>
    </row>
    <row r="4945" spans="1:4">
      <c r="A4945" s="122">
        <v>35913</v>
      </c>
      <c r="B4945" s="24">
        <v>0.64449999999999996</v>
      </c>
      <c r="C4945" s="24">
        <v>2075.1</v>
      </c>
      <c r="D4945" s="47">
        <f t="shared" si="77"/>
        <v>1337.4019499999999</v>
      </c>
    </row>
    <row r="4946" spans="1:4">
      <c r="A4946" s="122">
        <v>35912</v>
      </c>
      <c r="B4946" s="24">
        <v>0.64639999999999997</v>
      </c>
      <c r="C4946" s="24">
        <v>2083.6999999999998</v>
      </c>
      <c r="D4946" s="47">
        <f t="shared" si="77"/>
        <v>1346.9036799999999</v>
      </c>
    </row>
    <row r="4947" spans="1:4">
      <c r="A4947" s="122">
        <v>35909</v>
      </c>
      <c r="B4947" s="24">
        <v>0.65039999999999998</v>
      </c>
      <c r="C4947" s="24">
        <v>2085.6</v>
      </c>
      <c r="D4947" s="47">
        <f t="shared" si="77"/>
        <v>1356.47424</v>
      </c>
    </row>
    <row r="4948" spans="1:4">
      <c r="A4948" s="122">
        <v>35908</v>
      </c>
      <c r="B4948" s="24">
        <v>0.6532</v>
      </c>
      <c r="C4948" s="24">
        <v>2088.1</v>
      </c>
      <c r="D4948" s="47">
        <f t="shared" si="77"/>
        <v>1363.9469199999999</v>
      </c>
    </row>
    <row r="4949" spans="1:4">
      <c r="A4949" s="122">
        <v>35907</v>
      </c>
      <c r="B4949" s="24">
        <v>0.65169999999999995</v>
      </c>
      <c r="C4949" s="24">
        <v>2096.3000000000002</v>
      </c>
      <c r="D4949" s="47">
        <f t="shared" si="77"/>
        <v>1366.1587099999999</v>
      </c>
    </row>
    <row r="4950" spans="1:4">
      <c r="A4950" s="122">
        <v>35906</v>
      </c>
      <c r="B4950" s="24">
        <v>0.65149999999999997</v>
      </c>
      <c r="C4950" s="24">
        <v>2105.8000000000002</v>
      </c>
      <c r="D4950" s="47">
        <f t="shared" si="77"/>
        <v>1371.9287000000002</v>
      </c>
    </row>
    <row r="4951" spans="1:4">
      <c r="A4951" s="122">
        <v>35905</v>
      </c>
      <c r="B4951" s="24">
        <v>0.64639999999999997</v>
      </c>
      <c r="C4951" s="24">
        <v>2120</v>
      </c>
      <c r="D4951" s="47">
        <f t="shared" si="77"/>
        <v>1370.3679999999999</v>
      </c>
    </row>
    <row r="4952" spans="1:4">
      <c r="A4952" s="122">
        <v>35902</v>
      </c>
      <c r="B4952" s="24">
        <v>0.64970000000000006</v>
      </c>
      <c r="C4952" s="24">
        <v>2121.4</v>
      </c>
      <c r="D4952" s="47">
        <f t="shared" si="77"/>
        <v>1378.2735800000003</v>
      </c>
    </row>
    <row r="4953" spans="1:4">
      <c r="A4953" s="122">
        <v>35901</v>
      </c>
      <c r="B4953" s="24">
        <v>0.65100000000000002</v>
      </c>
      <c r="C4953" s="24">
        <v>2123.6</v>
      </c>
      <c r="D4953" s="47">
        <f t="shared" si="77"/>
        <v>1382.4636</v>
      </c>
    </row>
    <row r="4954" spans="1:4">
      <c r="A4954" s="122">
        <v>35900</v>
      </c>
      <c r="B4954" s="24">
        <v>0.64939999999999998</v>
      </c>
      <c r="C4954" s="24">
        <v>2124.1</v>
      </c>
      <c r="D4954" s="47">
        <f t="shared" si="77"/>
        <v>1379.3905399999999</v>
      </c>
    </row>
    <row r="4955" spans="1:4">
      <c r="A4955" s="122">
        <v>35899</v>
      </c>
      <c r="B4955" s="24">
        <v>0.64690000000000003</v>
      </c>
      <c r="C4955" s="24">
        <v>2109.6999999999998</v>
      </c>
      <c r="D4955" s="47">
        <f t="shared" si="77"/>
        <v>1364.76493</v>
      </c>
    </row>
    <row r="4956" spans="1:4">
      <c r="A4956" s="122">
        <v>35898</v>
      </c>
      <c r="B4956" s="24">
        <v>0.6552</v>
      </c>
      <c r="C4956" s="24">
        <v>2121.6999999999998</v>
      </c>
      <c r="D4956" s="47">
        <f t="shared" si="77"/>
        <v>1390.1378399999999</v>
      </c>
    </row>
    <row r="4957" spans="1:4">
      <c r="A4957" s="122">
        <v>35895</v>
      </c>
      <c r="B4957" s="24">
        <v>0.65620000000000001</v>
      </c>
      <c r="C4957" s="24">
        <v>2104.4</v>
      </c>
      <c r="D4957" s="47">
        <f t="shared" si="77"/>
        <v>1380.9072800000001</v>
      </c>
    </row>
    <row r="4958" spans="1:4">
      <c r="A4958" s="122">
        <v>35894</v>
      </c>
      <c r="B4958" s="24">
        <v>0.65300000000000002</v>
      </c>
      <c r="C4958" s="24">
        <v>2103</v>
      </c>
      <c r="D4958" s="47">
        <f t="shared" si="77"/>
        <v>1373.259</v>
      </c>
    </row>
    <row r="4959" spans="1:4">
      <c r="A4959" s="122">
        <v>35893</v>
      </c>
      <c r="B4959" s="24">
        <v>0.66059999999999997</v>
      </c>
      <c r="C4959" s="24">
        <v>2098.5</v>
      </c>
      <c r="D4959" s="47">
        <f t="shared" si="77"/>
        <v>1386.2691</v>
      </c>
    </row>
    <row r="4960" spans="1:4">
      <c r="A4960" s="122">
        <v>35892</v>
      </c>
      <c r="B4960" s="24">
        <v>0.65780000000000005</v>
      </c>
      <c r="C4960" s="24">
        <v>2101.9</v>
      </c>
      <c r="D4960" s="47">
        <f t="shared" si="77"/>
        <v>1382.6298200000001</v>
      </c>
    </row>
    <row r="4961" spans="1:4">
      <c r="A4961" s="122">
        <v>35891</v>
      </c>
      <c r="B4961" s="24">
        <v>0.65849999999999997</v>
      </c>
      <c r="C4961" s="24">
        <v>2107.8000000000002</v>
      </c>
      <c r="D4961" s="47">
        <f t="shared" si="77"/>
        <v>1387.9863</v>
      </c>
    </row>
    <row r="4962" spans="1:4">
      <c r="A4962" s="122">
        <v>35888</v>
      </c>
      <c r="B4962" s="24">
        <v>0.65600000000000003</v>
      </c>
      <c r="C4962" s="24">
        <v>2083.9</v>
      </c>
      <c r="D4962" s="47">
        <f t="shared" si="77"/>
        <v>1367.0384000000001</v>
      </c>
    </row>
    <row r="4963" spans="1:4">
      <c r="A4963" s="122">
        <v>35887</v>
      </c>
      <c r="B4963" s="24">
        <v>0.65500000000000003</v>
      </c>
      <c r="C4963" s="24">
        <v>2084</v>
      </c>
      <c r="D4963" s="47">
        <f t="shared" si="77"/>
        <v>1365.02</v>
      </c>
    </row>
    <row r="4964" spans="1:4">
      <c r="A4964" s="122">
        <v>35886</v>
      </c>
      <c r="B4964" s="24">
        <v>0.65680000000000005</v>
      </c>
      <c r="C4964" s="24">
        <v>2094.4</v>
      </c>
      <c r="D4964" s="47">
        <f t="shared" si="77"/>
        <v>1375.6019200000001</v>
      </c>
    </row>
    <row r="4965" spans="1:4">
      <c r="A4965" s="122">
        <v>35885</v>
      </c>
      <c r="B4965" s="24">
        <v>0.66190000000000004</v>
      </c>
      <c r="C4965" s="24">
        <v>2094.3000000000002</v>
      </c>
      <c r="D4965" s="47">
        <f t="shared" si="77"/>
        <v>1386.2171700000001</v>
      </c>
    </row>
    <row r="4966" spans="1:4">
      <c r="A4966" s="122">
        <v>35884</v>
      </c>
      <c r="B4966" s="24">
        <v>0.6633</v>
      </c>
      <c r="C4966" s="24">
        <v>2094.9</v>
      </c>
      <c r="D4966" s="47">
        <f t="shared" si="77"/>
        <v>1389.5471700000001</v>
      </c>
    </row>
    <row r="4967" spans="1:4">
      <c r="A4967" s="122">
        <v>35881</v>
      </c>
      <c r="B4967" s="24">
        <v>0.6724</v>
      </c>
      <c r="C4967" s="24">
        <v>2087.1</v>
      </c>
      <c r="D4967" s="47">
        <f t="shared" si="77"/>
        <v>1403.3660399999999</v>
      </c>
    </row>
    <row r="4968" spans="1:4">
      <c r="A4968" s="122">
        <v>35880</v>
      </c>
      <c r="B4968" s="24">
        <v>0.67620000000000002</v>
      </c>
      <c r="C4968" s="24">
        <v>2090</v>
      </c>
      <c r="D4968" s="47">
        <f t="shared" si="77"/>
        <v>1413.258</v>
      </c>
    </row>
    <row r="4969" spans="1:4">
      <c r="A4969" s="122">
        <v>35879</v>
      </c>
      <c r="B4969" s="24">
        <v>0.66849999999999998</v>
      </c>
      <c r="C4969" s="24">
        <v>2078.6999999999998</v>
      </c>
      <c r="D4969" s="47">
        <f t="shared" si="77"/>
        <v>1389.6109499999998</v>
      </c>
    </row>
    <row r="4970" spans="1:4">
      <c r="A4970" s="122">
        <v>35878</v>
      </c>
      <c r="B4970" s="24">
        <v>0.67130000000000001</v>
      </c>
      <c r="C4970" s="24">
        <v>2074.1999999999998</v>
      </c>
      <c r="D4970" s="47">
        <f t="shared" si="77"/>
        <v>1392.4104599999998</v>
      </c>
    </row>
    <row r="4971" spans="1:4">
      <c r="A4971" s="122">
        <v>35877</v>
      </c>
      <c r="B4971" s="24">
        <v>0.67010000000000003</v>
      </c>
      <c r="C4971" s="24">
        <v>2063.6</v>
      </c>
      <c r="D4971" s="47">
        <f t="shared" si="77"/>
        <v>1382.81836</v>
      </c>
    </row>
    <row r="4972" spans="1:4">
      <c r="A4972" s="122">
        <v>35874</v>
      </c>
      <c r="B4972" s="24">
        <v>0.66449999999999998</v>
      </c>
      <c r="C4972" s="24">
        <v>2067.5</v>
      </c>
      <c r="D4972" s="47">
        <f t="shared" si="77"/>
        <v>1373.85375</v>
      </c>
    </row>
    <row r="4973" spans="1:4">
      <c r="A4973" s="122">
        <v>35873</v>
      </c>
      <c r="B4973" s="24">
        <v>0.66090000000000004</v>
      </c>
      <c r="C4973" s="24">
        <v>2071.1999999999998</v>
      </c>
      <c r="D4973" s="47">
        <f t="shared" si="77"/>
        <v>1368.85608</v>
      </c>
    </row>
    <row r="4974" spans="1:4">
      <c r="A4974" s="122">
        <v>35872</v>
      </c>
      <c r="B4974" s="24">
        <v>0.66159999999999997</v>
      </c>
      <c r="C4974" s="24">
        <v>2064.1999999999998</v>
      </c>
      <c r="D4974" s="47">
        <f t="shared" si="77"/>
        <v>1365.6747199999998</v>
      </c>
    </row>
    <row r="4975" spans="1:4">
      <c r="A4975" s="122">
        <v>35871</v>
      </c>
      <c r="B4975" s="24">
        <v>0.67100000000000004</v>
      </c>
      <c r="C4975" s="24">
        <v>2075.1999999999998</v>
      </c>
      <c r="D4975" s="47">
        <f t="shared" si="77"/>
        <v>1392.4592</v>
      </c>
    </row>
    <row r="4976" spans="1:4">
      <c r="A4976" s="122">
        <v>35870</v>
      </c>
      <c r="B4976" s="24">
        <v>0.66869999999999996</v>
      </c>
      <c r="C4976" s="24">
        <v>2089.8000000000002</v>
      </c>
      <c r="D4976" s="47">
        <f t="shared" si="77"/>
        <v>1397.4492600000001</v>
      </c>
    </row>
    <row r="4977" spans="1:4">
      <c r="A4977" s="122">
        <v>35867</v>
      </c>
      <c r="B4977" s="24">
        <v>0.67530000000000001</v>
      </c>
      <c r="C4977" s="24">
        <v>2098.9</v>
      </c>
      <c r="D4977" s="47">
        <f t="shared" si="77"/>
        <v>1417.3871700000002</v>
      </c>
    </row>
    <row r="4978" spans="1:4">
      <c r="A4978" s="122">
        <v>35866</v>
      </c>
      <c r="B4978" s="24">
        <v>0.67149999999999999</v>
      </c>
      <c r="C4978" s="24">
        <v>2083.6</v>
      </c>
      <c r="D4978" s="47">
        <f t="shared" si="77"/>
        <v>1399.1373999999998</v>
      </c>
    </row>
    <row r="4979" spans="1:4">
      <c r="A4979" s="122">
        <v>35865</v>
      </c>
      <c r="B4979" s="24">
        <v>0.66600000000000004</v>
      </c>
      <c r="C4979" s="24">
        <v>2094.6999999999998</v>
      </c>
      <c r="D4979" s="47">
        <f t="shared" si="77"/>
        <v>1395.0701999999999</v>
      </c>
    </row>
    <row r="4980" spans="1:4">
      <c r="A4980" s="122">
        <v>35864</v>
      </c>
      <c r="B4980" s="24">
        <v>0.66900000000000004</v>
      </c>
      <c r="C4980" s="24">
        <v>2105.6</v>
      </c>
      <c r="D4980" s="47">
        <f t="shared" si="77"/>
        <v>1408.6464000000001</v>
      </c>
    </row>
    <row r="4981" spans="1:4">
      <c r="A4981" s="122">
        <v>35863</v>
      </c>
      <c r="B4981" s="24">
        <v>0.66700000000000004</v>
      </c>
      <c r="C4981" s="24">
        <v>2116.5</v>
      </c>
      <c r="D4981" s="47">
        <f t="shared" si="77"/>
        <v>1411.7055</v>
      </c>
    </row>
    <row r="4982" spans="1:4">
      <c r="A4982" s="122">
        <v>35860</v>
      </c>
      <c r="B4982" s="24">
        <v>0.66800000000000004</v>
      </c>
      <c r="C4982" s="24">
        <v>2112.9</v>
      </c>
      <c r="D4982" s="47">
        <f t="shared" si="77"/>
        <v>1411.4172000000001</v>
      </c>
    </row>
    <row r="4983" spans="1:4">
      <c r="A4983" s="122">
        <v>35859</v>
      </c>
      <c r="B4983" s="24">
        <v>0.66700000000000004</v>
      </c>
      <c r="C4983" s="24">
        <v>2118.6999999999998</v>
      </c>
      <c r="D4983" s="47">
        <f t="shared" si="77"/>
        <v>1413.1729</v>
      </c>
    </row>
    <row r="4984" spans="1:4">
      <c r="A4984" s="122">
        <v>35858</v>
      </c>
      <c r="B4984" s="24">
        <v>0.67400000000000004</v>
      </c>
      <c r="C4984" s="24">
        <v>2119.9</v>
      </c>
      <c r="D4984" s="47">
        <f t="shared" si="77"/>
        <v>1428.8126000000002</v>
      </c>
    </row>
    <row r="4985" spans="1:4">
      <c r="A4985" s="122">
        <v>35857</v>
      </c>
      <c r="B4985" s="24">
        <v>0.67900000000000005</v>
      </c>
      <c r="C4985" s="24">
        <v>2108.1999999999998</v>
      </c>
      <c r="D4985" s="47">
        <f t="shared" si="77"/>
        <v>1431.4677999999999</v>
      </c>
    </row>
    <row r="4986" spans="1:4">
      <c r="A4986" s="122">
        <v>35856</v>
      </c>
      <c r="B4986" s="24">
        <v>0.68300000000000005</v>
      </c>
      <c r="C4986" s="24">
        <v>2107</v>
      </c>
      <c r="D4986" s="47">
        <f t="shared" si="77"/>
        <v>1439.0810000000001</v>
      </c>
    </row>
    <row r="4987" spans="1:4">
      <c r="A4987" s="122">
        <v>35853</v>
      </c>
      <c r="B4987" s="24">
        <v>0.67900000000000005</v>
      </c>
      <c r="C4987" s="24">
        <v>2087.6</v>
      </c>
      <c r="D4987" s="47">
        <f t="shared" si="77"/>
        <v>1417.4804000000001</v>
      </c>
    </row>
    <row r="4988" spans="1:4">
      <c r="A4988" s="122">
        <v>35852</v>
      </c>
      <c r="B4988" s="24">
        <v>0.67200000000000004</v>
      </c>
      <c r="C4988" s="24">
        <v>2083.3000000000002</v>
      </c>
      <c r="D4988" s="47">
        <f t="shared" si="77"/>
        <v>1399.9776000000002</v>
      </c>
    </row>
    <row r="4989" spans="1:4">
      <c r="A4989" s="122">
        <v>35851</v>
      </c>
      <c r="B4989" s="24">
        <v>0.66500000000000004</v>
      </c>
      <c r="C4989" s="24">
        <v>2087.8000000000002</v>
      </c>
      <c r="D4989" s="47">
        <f t="shared" si="77"/>
        <v>1388.3870000000002</v>
      </c>
    </row>
    <row r="4990" spans="1:4">
      <c r="A4990" s="122">
        <v>35850</v>
      </c>
      <c r="B4990" s="24">
        <v>0.66600000000000004</v>
      </c>
      <c r="C4990" s="24">
        <v>2088</v>
      </c>
      <c r="D4990" s="47">
        <f t="shared" si="77"/>
        <v>1390.6080000000002</v>
      </c>
    </row>
    <row r="4991" spans="1:4">
      <c r="A4991" s="122">
        <v>35849</v>
      </c>
      <c r="B4991" s="24">
        <v>0.66600000000000004</v>
      </c>
      <c r="C4991" s="24">
        <v>2104</v>
      </c>
      <c r="D4991" s="47">
        <f t="shared" si="77"/>
        <v>1401.2640000000001</v>
      </c>
    </row>
    <row r="4992" spans="1:4">
      <c r="A4992" s="122">
        <v>35846</v>
      </c>
      <c r="B4992" s="24">
        <v>0.66900000000000004</v>
      </c>
      <c r="C4992" s="24">
        <v>2087.5</v>
      </c>
      <c r="D4992" s="47">
        <f t="shared" si="77"/>
        <v>1396.5375000000001</v>
      </c>
    </row>
    <row r="4993" spans="1:4">
      <c r="A4993" s="122">
        <v>35845</v>
      </c>
      <c r="B4993" s="24">
        <v>0.67500000000000004</v>
      </c>
      <c r="C4993" s="24">
        <v>2090.8000000000002</v>
      </c>
      <c r="D4993" s="47">
        <f t="shared" si="77"/>
        <v>1411.2900000000002</v>
      </c>
    </row>
    <row r="4994" spans="1:4">
      <c r="A4994" s="122">
        <v>35844</v>
      </c>
      <c r="B4994" s="24">
        <v>0.66800000000000004</v>
      </c>
      <c r="C4994" s="24">
        <v>2092.5</v>
      </c>
      <c r="D4994" s="47">
        <f t="shared" si="77"/>
        <v>1397.7900000000002</v>
      </c>
    </row>
    <row r="4995" spans="1:4">
      <c r="A4995" s="122">
        <v>35843</v>
      </c>
      <c r="B4995" s="24">
        <v>0.66900000000000004</v>
      </c>
      <c r="C4995" s="24">
        <v>2045.3</v>
      </c>
      <c r="D4995" s="47">
        <f t="shared" ref="D4995:D5058" si="78">C4995*B4995</f>
        <v>1368.3057000000001</v>
      </c>
    </row>
    <row r="4996" spans="1:4">
      <c r="A4996" s="122">
        <v>35842</v>
      </c>
      <c r="B4996" s="24">
        <v>0.66400000000000003</v>
      </c>
      <c r="C4996" s="24">
        <v>2058</v>
      </c>
      <c r="D4996" s="47">
        <f t="shared" si="78"/>
        <v>1366.5120000000002</v>
      </c>
    </row>
    <row r="4997" spans="1:4">
      <c r="A4997" s="122">
        <v>35839</v>
      </c>
      <c r="B4997" s="24">
        <v>0.67300000000000004</v>
      </c>
      <c r="C4997" s="24">
        <v>2078</v>
      </c>
      <c r="D4997" s="47">
        <f t="shared" si="78"/>
        <v>1398.4940000000001</v>
      </c>
    </row>
    <row r="4998" spans="1:4">
      <c r="A4998" s="122">
        <v>35838</v>
      </c>
      <c r="B4998" s="24">
        <v>0.67300000000000004</v>
      </c>
      <c r="C4998" s="24">
        <v>2070.6999999999998</v>
      </c>
      <c r="D4998" s="47">
        <f t="shared" si="78"/>
        <v>1393.5810999999999</v>
      </c>
    </row>
    <row r="4999" spans="1:4">
      <c r="A4999" s="122">
        <v>35837</v>
      </c>
      <c r="B4999" s="24">
        <v>0.67800000000000005</v>
      </c>
      <c r="C4999" s="24">
        <v>2081.1</v>
      </c>
      <c r="D4999" s="47">
        <f t="shared" si="78"/>
        <v>1410.9857999999999</v>
      </c>
    </row>
    <row r="5000" spans="1:4">
      <c r="A5000" s="122">
        <v>35836</v>
      </c>
      <c r="B5000" s="24">
        <v>0.67800000000000005</v>
      </c>
      <c r="C5000" s="24">
        <v>2089</v>
      </c>
      <c r="D5000" s="47">
        <f t="shared" si="78"/>
        <v>1416.3420000000001</v>
      </c>
    </row>
    <row r="5001" spans="1:4">
      <c r="A5001" s="122">
        <v>35835</v>
      </c>
      <c r="B5001" s="24">
        <v>0.67400000000000004</v>
      </c>
      <c r="C5001" s="24">
        <v>2063.1</v>
      </c>
      <c r="D5001" s="47">
        <f t="shared" si="78"/>
        <v>1390.5294000000001</v>
      </c>
    </row>
    <row r="5002" spans="1:4">
      <c r="A5002" s="122">
        <v>35832</v>
      </c>
      <c r="B5002" s="24">
        <v>0.67200000000000004</v>
      </c>
      <c r="C5002" s="24">
        <v>2059.9</v>
      </c>
      <c r="D5002" s="47">
        <f t="shared" si="78"/>
        <v>1384.2528000000002</v>
      </c>
    </row>
    <row r="5003" spans="1:4">
      <c r="A5003" s="122">
        <v>35831</v>
      </c>
      <c r="B5003" s="24">
        <v>0.67700000000000005</v>
      </c>
      <c r="C5003" s="24">
        <v>2048.6999999999998</v>
      </c>
      <c r="D5003" s="47">
        <f t="shared" si="78"/>
        <v>1386.9699000000001</v>
      </c>
    </row>
    <row r="5004" spans="1:4">
      <c r="A5004" s="122">
        <v>35830</v>
      </c>
      <c r="B5004" s="24">
        <v>0.68100000000000005</v>
      </c>
      <c r="C5004" s="24">
        <v>2014.4</v>
      </c>
      <c r="D5004" s="47">
        <f t="shared" si="78"/>
        <v>1371.8064000000002</v>
      </c>
    </row>
    <row r="5005" spans="1:4">
      <c r="A5005" s="122">
        <v>35829</v>
      </c>
      <c r="B5005" s="24">
        <v>0.68</v>
      </c>
      <c r="C5005" s="24">
        <v>1989.1</v>
      </c>
      <c r="D5005" s="47">
        <f t="shared" si="78"/>
        <v>1352.588</v>
      </c>
    </row>
    <row r="5006" spans="1:4">
      <c r="A5006" s="122">
        <v>35828</v>
      </c>
      <c r="B5006" s="24">
        <v>0.68400000000000005</v>
      </c>
      <c r="C5006" s="24">
        <v>1990.5</v>
      </c>
      <c r="D5006" s="47">
        <f t="shared" si="78"/>
        <v>1361.5020000000002</v>
      </c>
    </row>
    <row r="5007" spans="1:4">
      <c r="A5007" s="122">
        <v>35825</v>
      </c>
      <c r="B5007" s="24">
        <v>0.68600000000000005</v>
      </c>
      <c r="C5007" s="24">
        <v>1980</v>
      </c>
      <c r="D5007" s="47">
        <f t="shared" si="78"/>
        <v>1358.2800000000002</v>
      </c>
    </row>
    <row r="5008" spans="1:4">
      <c r="A5008" s="122">
        <v>35824</v>
      </c>
      <c r="B5008" s="24">
        <v>0.67400000000000004</v>
      </c>
      <c r="C5008" s="24">
        <v>1970.1</v>
      </c>
      <c r="D5008" s="47">
        <f t="shared" si="78"/>
        <v>1327.8474000000001</v>
      </c>
    </row>
    <row r="5009" spans="1:4">
      <c r="A5009" s="122">
        <v>35823</v>
      </c>
      <c r="B5009" s="24">
        <v>0.68100000000000005</v>
      </c>
      <c r="C5009" s="24">
        <v>1981</v>
      </c>
      <c r="D5009" s="47">
        <f t="shared" si="78"/>
        <v>1349.0610000000001</v>
      </c>
    </row>
    <row r="5010" spans="1:4">
      <c r="A5010" s="122">
        <v>35822</v>
      </c>
      <c r="B5010" s="24">
        <v>0.67700000000000005</v>
      </c>
      <c r="C5010" s="24">
        <v>1999.2</v>
      </c>
      <c r="D5010" s="47">
        <f t="shared" si="78"/>
        <v>1353.4584000000002</v>
      </c>
    </row>
    <row r="5011" spans="1:4">
      <c r="A5011" s="122">
        <v>35821</v>
      </c>
      <c r="B5011" s="24">
        <v>0.66800000000000004</v>
      </c>
      <c r="C5011" s="24">
        <v>2000.5</v>
      </c>
      <c r="D5011" s="47">
        <f t="shared" si="78"/>
        <v>1336.3340000000001</v>
      </c>
    </row>
    <row r="5012" spans="1:4">
      <c r="A5012" s="122">
        <v>35818</v>
      </c>
      <c r="B5012" s="24">
        <v>0.66500000000000004</v>
      </c>
      <c r="C5012" s="24">
        <v>1991.9</v>
      </c>
      <c r="D5012" s="47">
        <f t="shared" si="78"/>
        <v>1324.6135000000002</v>
      </c>
    </row>
    <row r="5013" spans="1:4">
      <c r="A5013" s="122">
        <v>35817</v>
      </c>
      <c r="B5013" s="24">
        <v>0.65900000000000003</v>
      </c>
      <c r="C5013" s="24">
        <v>1999.3</v>
      </c>
      <c r="D5013" s="47">
        <f t="shared" si="78"/>
        <v>1317.5387000000001</v>
      </c>
    </row>
    <row r="5014" spans="1:4">
      <c r="A5014" s="122">
        <v>35816</v>
      </c>
      <c r="B5014" s="24">
        <v>0.66300000000000003</v>
      </c>
      <c r="C5014" s="24">
        <v>1992.4</v>
      </c>
      <c r="D5014" s="47">
        <f t="shared" si="78"/>
        <v>1320.9612000000002</v>
      </c>
    </row>
    <row r="5015" spans="1:4">
      <c r="A5015" s="122">
        <v>35815</v>
      </c>
      <c r="B5015" s="24">
        <v>0.66800000000000004</v>
      </c>
      <c r="C5015" s="24">
        <v>1954.3</v>
      </c>
      <c r="D5015" s="47">
        <f t="shared" si="78"/>
        <v>1305.4724000000001</v>
      </c>
    </row>
    <row r="5016" spans="1:4">
      <c r="A5016" s="122">
        <v>35814</v>
      </c>
      <c r="B5016" s="24">
        <v>0.66600000000000004</v>
      </c>
      <c r="C5016" s="24">
        <v>1939.6</v>
      </c>
      <c r="D5016" s="47">
        <f t="shared" si="78"/>
        <v>1291.7736</v>
      </c>
    </row>
    <row r="5017" spans="1:4">
      <c r="A5017" s="122">
        <v>35811</v>
      </c>
      <c r="B5017" s="24">
        <v>0.66500000000000004</v>
      </c>
      <c r="C5017" s="24">
        <v>1934</v>
      </c>
      <c r="D5017" s="47">
        <f t="shared" si="78"/>
        <v>1286.1100000000001</v>
      </c>
    </row>
    <row r="5018" spans="1:4">
      <c r="A5018" s="122">
        <v>35810</v>
      </c>
      <c r="B5018" s="24">
        <v>0.65200000000000002</v>
      </c>
      <c r="C5018" s="24">
        <v>1938.7</v>
      </c>
      <c r="D5018" s="47">
        <f t="shared" si="78"/>
        <v>1264.0324000000001</v>
      </c>
    </row>
    <row r="5019" spans="1:4">
      <c r="A5019" s="122">
        <v>35809</v>
      </c>
      <c r="B5019" s="24">
        <v>0.64800000000000002</v>
      </c>
      <c r="C5019" s="24">
        <v>1940.2</v>
      </c>
      <c r="D5019" s="47">
        <f t="shared" si="78"/>
        <v>1257.2496000000001</v>
      </c>
    </row>
    <row r="5020" spans="1:4">
      <c r="A5020" s="122">
        <v>35808</v>
      </c>
      <c r="B5020" s="24">
        <v>0.64900000000000002</v>
      </c>
      <c r="C5020" s="24">
        <v>1928.3</v>
      </c>
      <c r="D5020" s="47">
        <f t="shared" si="78"/>
        <v>1251.4666999999999</v>
      </c>
    </row>
    <row r="5021" spans="1:4">
      <c r="A5021" s="122">
        <v>35807</v>
      </c>
      <c r="B5021" s="24">
        <v>0.64300000000000002</v>
      </c>
      <c r="C5021" s="24">
        <v>1933.7</v>
      </c>
      <c r="D5021" s="47">
        <f t="shared" si="78"/>
        <v>1243.3691000000001</v>
      </c>
    </row>
    <row r="5022" spans="1:4">
      <c r="A5022" s="122">
        <v>35804</v>
      </c>
      <c r="B5022" s="24">
        <v>0.64400000000000002</v>
      </c>
      <c r="C5022" s="24">
        <v>1945.7</v>
      </c>
      <c r="D5022" s="47">
        <f t="shared" si="78"/>
        <v>1253.0308</v>
      </c>
    </row>
    <row r="5023" spans="1:4">
      <c r="A5023" s="122">
        <v>35803</v>
      </c>
      <c r="B5023" s="24">
        <v>0.63400000000000001</v>
      </c>
      <c r="C5023" s="24">
        <v>1951</v>
      </c>
      <c r="D5023" s="47">
        <f t="shared" si="78"/>
        <v>1236.934</v>
      </c>
    </row>
    <row r="5024" spans="1:4">
      <c r="A5024" s="122">
        <v>35802</v>
      </c>
      <c r="B5024" s="24">
        <v>0.64300000000000002</v>
      </c>
      <c r="C5024" s="24">
        <v>1964.2</v>
      </c>
      <c r="D5024" s="47">
        <f t="shared" si="78"/>
        <v>1262.9806000000001</v>
      </c>
    </row>
    <row r="5025" spans="1:4">
      <c r="A5025" s="122">
        <v>35801</v>
      </c>
      <c r="B5025" s="24">
        <v>0.63600000000000001</v>
      </c>
      <c r="C5025" s="24">
        <v>1982.1</v>
      </c>
      <c r="D5025" s="47">
        <f t="shared" si="78"/>
        <v>1260.6155999999999</v>
      </c>
    </row>
    <row r="5026" spans="1:4">
      <c r="A5026" s="122">
        <v>35800</v>
      </c>
      <c r="B5026" s="24">
        <v>0.64</v>
      </c>
      <c r="C5026" s="24">
        <v>1986.2</v>
      </c>
      <c r="D5026" s="47">
        <f t="shared" si="78"/>
        <v>1271.1680000000001</v>
      </c>
    </row>
    <row r="5027" spans="1:4">
      <c r="A5027" s="122">
        <v>35797</v>
      </c>
      <c r="B5027" s="24">
        <v>0.65</v>
      </c>
      <c r="C5027" s="24">
        <v>1976.4</v>
      </c>
      <c r="D5027" s="47">
        <f t="shared" si="78"/>
        <v>1284.6600000000001</v>
      </c>
    </row>
    <row r="5028" spans="1:4">
      <c r="A5028" s="122">
        <v>35796</v>
      </c>
      <c r="B5028" s="24">
        <v>0.65100000000000002</v>
      </c>
      <c r="C5028" s="24">
        <v>1968.9</v>
      </c>
      <c r="D5028" s="47">
        <f t="shared" si="78"/>
        <v>1281.7539000000002</v>
      </c>
    </row>
    <row r="5029" spans="1:4">
      <c r="A5029" s="122">
        <v>35795</v>
      </c>
      <c r="B5029" s="24">
        <v>0.65100000000000002</v>
      </c>
      <c r="C5029" s="24">
        <v>1983.2</v>
      </c>
      <c r="D5029" s="47">
        <f t="shared" si="78"/>
        <v>1291.0632000000001</v>
      </c>
    </row>
    <row r="5030" spans="1:4">
      <c r="A5030" s="122">
        <v>35794</v>
      </c>
      <c r="B5030" s="24">
        <v>0.65200000000000002</v>
      </c>
      <c r="C5030" s="24">
        <v>1981.4</v>
      </c>
      <c r="D5030" s="47">
        <f t="shared" si="78"/>
        <v>1291.8728000000001</v>
      </c>
    </row>
    <row r="5031" spans="1:4">
      <c r="A5031" s="122">
        <v>35793</v>
      </c>
      <c r="B5031" s="24">
        <v>0.65500000000000003</v>
      </c>
      <c r="C5031" s="24">
        <v>1983.3</v>
      </c>
      <c r="D5031" s="47">
        <f t="shared" si="78"/>
        <v>1299.0615</v>
      </c>
    </row>
    <row r="5032" spans="1:4">
      <c r="A5032" s="122">
        <v>35790</v>
      </c>
      <c r="B5032" s="24">
        <v>0.65600000000000003</v>
      </c>
      <c r="C5032" s="24">
        <v>1976.1</v>
      </c>
      <c r="D5032" s="47">
        <f t="shared" si="78"/>
        <v>1296.3216</v>
      </c>
    </row>
    <row r="5033" spans="1:4">
      <c r="A5033" s="122">
        <v>35789</v>
      </c>
      <c r="B5033" s="24">
        <v>0.65500000000000003</v>
      </c>
      <c r="C5033" s="24">
        <v>1985.7</v>
      </c>
      <c r="D5033" s="47">
        <f t="shared" si="78"/>
        <v>1300.6335000000001</v>
      </c>
    </row>
    <row r="5034" spans="1:4">
      <c r="A5034" s="122">
        <v>35788</v>
      </c>
      <c r="B5034" s="24">
        <v>0.65600000000000003</v>
      </c>
      <c r="C5034" s="24">
        <v>2008.9</v>
      </c>
      <c r="D5034" s="47">
        <f t="shared" si="78"/>
        <v>1317.8384000000001</v>
      </c>
    </row>
    <row r="5035" spans="1:4">
      <c r="A5035" s="122">
        <v>35787</v>
      </c>
      <c r="B5035" s="24">
        <v>0.65500000000000003</v>
      </c>
      <c r="C5035" s="24">
        <v>2001.1</v>
      </c>
      <c r="D5035" s="47">
        <f t="shared" si="78"/>
        <v>1310.7204999999999</v>
      </c>
    </row>
    <row r="5036" spans="1:4">
      <c r="A5036" s="122">
        <v>35786</v>
      </c>
      <c r="B5036" s="24">
        <v>0.65200000000000002</v>
      </c>
      <c r="C5036" s="24">
        <v>1997.3</v>
      </c>
      <c r="D5036" s="47">
        <f t="shared" si="78"/>
        <v>1302.2396000000001</v>
      </c>
    </row>
    <row r="5037" spans="1:4">
      <c r="A5037" s="122">
        <v>35783</v>
      </c>
      <c r="B5037" s="24">
        <v>0.65200000000000002</v>
      </c>
      <c r="C5037" s="24">
        <v>1971.1</v>
      </c>
      <c r="D5037" s="47">
        <f t="shared" si="78"/>
        <v>1285.1571999999999</v>
      </c>
    </row>
    <row r="5038" spans="1:4">
      <c r="A5038" s="122">
        <v>35782</v>
      </c>
      <c r="B5038" s="24">
        <v>0.65100000000000002</v>
      </c>
      <c r="C5038" s="24">
        <v>1957.1</v>
      </c>
      <c r="D5038" s="47">
        <f t="shared" si="78"/>
        <v>1274.0721000000001</v>
      </c>
    </row>
    <row r="5039" spans="1:4">
      <c r="A5039" s="122">
        <v>35781</v>
      </c>
      <c r="B5039" s="24">
        <v>0.66100000000000003</v>
      </c>
      <c r="C5039" s="24">
        <v>1981.1</v>
      </c>
      <c r="D5039" s="47">
        <f t="shared" si="78"/>
        <v>1309.5071</v>
      </c>
    </row>
    <row r="5040" spans="1:4">
      <c r="A5040" s="122">
        <v>35780</v>
      </c>
      <c r="B5040" s="24">
        <v>0.64800000000000002</v>
      </c>
      <c r="C5040" s="24">
        <v>2002.9</v>
      </c>
      <c r="D5040" s="47">
        <f t="shared" si="78"/>
        <v>1297.8792000000001</v>
      </c>
    </row>
    <row r="5041" spans="1:4">
      <c r="A5041" s="122">
        <v>35779</v>
      </c>
      <c r="B5041" s="24">
        <v>0.65500000000000003</v>
      </c>
      <c r="C5041" s="24">
        <v>2004.7</v>
      </c>
      <c r="D5041" s="47">
        <f t="shared" si="78"/>
        <v>1313.0785000000001</v>
      </c>
    </row>
    <row r="5042" spans="1:4">
      <c r="A5042" s="122">
        <v>35776</v>
      </c>
      <c r="B5042" s="24">
        <v>0.66100000000000003</v>
      </c>
      <c r="C5042" s="24">
        <v>2009.5</v>
      </c>
      <c r="D5042" s="47">
        <f t="shared" si="78"/>
        <v>1328.2795000000001</v>
      </c>
    </row>
    <row r="5043" spans="1:4">
      <c r="A5043" s="122">
        <v>35775</v>
      </c>
      <c r="B5043" s="24">
        <v>0.66400000000000003</v>
      </c>
      <c r="C5043" s="24">
        <v>1999</v>
      </c>
      <c r="D5043" s="47">
        <f t="shared" si="78"/>
        <v>1327.336</v>
      </c>
    </row>
    <row r="5044" spans="1:4">
      <c r="A5044" s="122">
        <v>35774</v>
      </c>
      <c r="B5044" s="24">
        <v>0.66800000000000004</v>
      </c>
      <c r="C5044" s="24">
        <v>1997.1</v>
      </c>
      <c r="D5044" s="47">
        <f t="shared" si="78"/>
        <v>1334.0627999999999</v>
      </c>
    </row>
    <row r="5045" spans="1:4">
      <c r="A5045" s="122">
        <v>35773</v>
      </c>
      <c r="B5045" s="24">
        <v>0.66900000000000004</v>
      </c>
      <c r="C5045" s="24">
        <v>2016.2</v>
      </c>
      <c r="D5045" s="47">
        <f t="shared" si="78"/>
        <v>1348.8378</v>
      </c>
    </row>
    <row r="5046" spans="1:4">
      <c r="A5046" s="122">
        <v>35772</v>
      </c>
      <c r="B5046" s="24">
        <v>0.67100000000000004</v>
      </c>
      <c r="C5046" s="24">
        <v>2037.6</v>
      </c>
      <c r="D5046" s="47">
        <f t="shared" si="78"/>
        <v>1367.2296000000001</v>
      </c>
    </row>
    <row r="5047" spans="1:4">
      <c r="A5047" s="122">
        <v>35769</v>
      </c>
      <c r="B5047" s="24">
        <v>0.67200000000000004</v>
      </c>
      <c r="C5047" s="24">
        <v>2025.3</v>
      </c>
      <c r="D5047" s="47">
        <f t="shared" si="78"/>
        <v>1361.0016000000001</v>
      </c>
    </row>
    <row r="5048" spans="1:4">
      <c r="A5048" s="122">
        <v>35768</v>
      </c>
      <c r="B5048" s="24">
        <v>0.67100000000000004</v>
      </c>
      <c r="C5048" s="24">
        <v>2024.4</v>
      </c>
      <c r="D5048" s="47">
        <f t="shared" si="78"/>
        <v>1358.3724000000002</v>
      </c>
    </row>
    <row r="5049" spans="1:4">
      <c r="A5049" s="122">
        <v>35767</v>
      </c>
      <c r="B5049" s="24">
        <v>0.67700000000000005</v>
      </c>
      <c r="C5049" s="24">
        <v>2024.5</v>
      </c>
      <c r="D5049" s="47">
        <f t="shared" si="78"/>
        <v>1370.5865000000001</v>
      </c>
    </row>
    <row r="5050" spans="1:4">
      <c r="A5050" s="122">
        <v>35766</v>
      </c>
      <c r="B5050" s="24">
        <v>0.67700000000000005</v>
      </c>
      <c r="C5050" s="24">
        <v>1995.8</v>
      </c>
      <c r="D5050" s="47">
        <f t="shared" si="78"/>
        <v>1351.1566</v>
      </c>
    </row>
    <row r="5051" spans="1:4">
      <c r="A5051" s="122">
        <v>35765</v>
      </c>
      <c r="B5051" s="24">
        <v>0.67500000000000004</v>
      </c>
      <c r="C5051" s="24">
        <v>1983.3</v>
      </c>
      <c r="D5051" s="47">
        <f t="shared" si="78"/>
        <v>1338.7275</v>
      </c>
    </row>
    <row r="5052" spans="1:4">
      <c r="A5052" s="122">
        <v>35762</v>
      </c>
      <c r="B5052" s="24">
        <v>0.68100000000000005</v>
      </c>
      <c r="C5052" s="24">
        <v>1997.4</v>
      </c>
      <c r="D5052" s="47">
        <f t="shared" si="78"/>
        <v>1360.2294000000002</v>
      </c>
    </row>
    <row r="5053" spans="1:4">
      <c r="A5053" s="122">
        <v>35761</v>
      </c>
      <c r="B5053" s="24">
        <v>0.67900000000000005</v>
      </c>
      <c r="C5053" s="24">
        <v>2006.5</v>
      </c>
      <c r="D5053" s="47">
        <f t="shared" si="78"/>
        <v>1362.4135000000001</v>
      </c>
    </row>
    <row r="5054" spans="1:4">
      <c r="A5054" s="122">
        <v>35760</v>
      </c>
      <c r="B5054" s="24">
        <v>0.68600000000000005</v>
      </c>
      <c r="C5054" s="24">
        <v>1989</v>
      </c>
      <c r="D5054" s="47">
        <f t="shared" si="78"/>
        <v>1364.4540000000002</v>
      </c>
    </row>
    <row r="5055" spans="1:4">
      <c r="A5055" s="122">
        <v>35759</v>
      </c>
      <c r="B5055" s="24">
        <v>0.68600000000000005</v>
      </c>
      <c r="C5055" s="24">
        <v>1965.2</v>
      </c>
      <c r="D5055" s="47">
        <f t="shared" si="78"/>
        <v>1348.1272000000001</v>
      </c>
    </row>
    <row r="5056" spans="1:4">
      <c r="A5056" s="122">
        <v>35758</v>
      </c>
      <c r="B5056" s="24">
        <v>0.69299999999999995</v>
      </c>
      <c r="C5056" s="24">
        <v>1955.1</v>
      </c>
      <c r="D5056" s="47">
        <f t="shared" si="78"/>
        <v>1354.8842999999999</v>
      </c>
    </row>
    <row r="5057" spans="1:4">
      <c r="A5057" s="122">
        <v>35755</v>
      </c>
      <c r="B5057" s="24">
        <v>0.69299999999999995</v>
      </c>
      <c r="C5057" s="24">
        <v>1957.9</v>
      </c>
      <c r="D5057" s="47">
        <f t="shared" si="78"/>
        <v>1356.8246999999999</v>
      </c>
    </row>
    <row r="5058" spans="1:4">
      <c r="A5058" s="122">
        <v>35754</v>
      </c>
      <c r="B5058" s="24">
        <v>0.69</v>
      </c>
      <c r="C5058" s="24">
        <v>1984</v>
      </c>
      <c r="D5058" s="47">
        <f t="shared" si="78"/>
        <v>1368.9599999999998</v>
      </c>
    </row>
    <row r="5059" spans="1:4">
      <c r="A5059" s="122">
        <v>35753</v>
      </c>
      <c r="B5059" s="24">
        <v>0.69</v>
      </c>
      <c r="C5059" s="24">
        <v>1999.5</v>
      </c>
      <c r="D5059" s="47">
        <f t="shared" ref="D5059:D5122" si="79">C5059*B5059</f>
        <v>1379.655</v>
      </c>
    </row>
    <row r="5060" spans="1:4">
      <c r="A5060" s="122">
        <v>35752</v>
      </c>
      <c r="B5060" s="24">
        <v>0.69799999999999995</v>
      </c>
      <c r="C5060" s="24">
        <v>2000.2</v>
      </c>
      <c r="D5060" s="47">
        <f t="shared" si="79"/>
        <v>1396.1396</v>
      </c>
    </row>
    <row r="5061" spans="1:4">
      <c r="A5061" s="122">
        <v>35751</v>
      </c>
      <c r="B5061" s="24">
        <v>0.69899999999999995</v>
      </c>
      <c r="C5061" s="24">
        <v>1980.6</v>
      </c>
      <c r="D5061" s="47">
        <f t="shared" si="79"/>
        <v>1384.4393999999998</v>
      </c>
    </row>
    <row r="5062" spans="1:4">
      <c r="A5062" s="122">
        <v>35748</v>
      </c>
      <c r="B5062" s="24">
        <v>0.69699999999999995</v>
      </c>
      <c r="C5062" s="24">
        <v>1971.6</v>
      </c>
      <c r="D5062" s="47">
        <f t="shared" si="79"/>
        <v>1374.2051999999999</v>
      </c>
    </row>
    <row r="5063" spans="1:4">
      <c r="A5063" s="122">
        <v>35747</v>
      </c>
      <c r="B5063" s="24">
        <v>0.69699999999999995</v>
      </c>
      <c r="C5063" s="24">
        <v>1953.7</v>
      </c>
      <c r="D5063" s="47">
        <f t="shared" si="79"/>
        <v>1361.7288999999998</v>
      </c>
    </row>
    <row r="5064" spans="1:4">
      <c r="A5064" s="122">
        <v>35746</v>
      </c>
      <c r="B5064" s="24">
        <v>0.69099999999999995</v>
      </c>
      <c r="C5064" s="24">
        <v>1943.4</v>
      </c>
      <c r="D5064" s="47">
        <f t="shared" si="79"/>
        <v>1342.8894</v>
      </c>
    </row>
    <row r="5065" spans="1:4">
      <c r="A5065" s="122">
        <v>35745</v>
      </c>
      <c r="B5065" s="24">
        <v>0.69699999999999995</v>
      </c>
      <c r="C5065" s="24">
        <v>1943.6</v>
      </c>
      <c r="D5065" s="47">
        <f t="shared" si="79"/>
        <v>1354.6891999999998</v>
      </c>
    </row>
    <row r="5066" spans="1:4">
      <c r="A5066" s="122">
        <v>35744</v>
      </c>
      <c r="B5066" s="24">
        <v>0.69599999999999995</v>
      </c>
      <c r="C5066" s="24">
        <v>1939.1</v>
      </c>
      <c r="D5066" s="47">
        <f t="shared" si="79"/>
        <v>1349.6135999999999</v>
      </c>
    </row>
    <row r="5067" spans="1:4">
      <c r="A5067" s="122">
        <v>35741</v>
      </c>
      <c r="B5067" s="24">
        <v>0.69299999999999995</v>
      </c>
      <c r="C5067" s="24">
        <v>1940.9</v>
      </c>
      <c r="D5067" s="47">
        <f t="shared" si="79"/>
        <v>1345.0436999999999</v>
      </c>
    </row>
    <row r="5068" spans="1:4">
      <c r="A5068" s="122">
        <v>35740</v>
      </c>
      <c r="B5068" s="24">
        <v>0.69699999999999995</v>
      </c>
      <c r="C5068" s="24">
        <v>1896.3</v>
      </c>
      <c r="D5068" s="47">
        <f t="shared" si="79"/>
        <v>1321.7211</v>
      </c>
    </row>
    <row r="5069" spans="1:4">
      <c r="A5069" s="122">
        <v>35739</v>
      </c>
      <c r="B5069" s="24">
        <v>0.70299999999999996</v>
      </c>
      <c r="C5069" s="24">
        <v>1859.1</v>
      </c>
      <c r="D5069" s="47">
        <f t="shared" si="79"/>
        <v>1306.9472999999998</v>
      </c>
    </row>
    <row r="5070" spans="1:4">
      <c r="A5070" s="122">
        <v>35738</v>
      </c>
      <c r="B5070" s="24">
        <v>0.70299999999999996</v>
      </c>
      <c r="C5070" s="24">
        <v>1867.1</v>
      </c>
      <c r="D5070" s="47">
        <f t="shared" si="79"/>
        <v>1312.5712999999998</v>
      </c>
    </row>
    <row r="5071" spans="1:4">
      <c r="A5071" s="122">
        <v>35737</v>
      </c>
      <c r="B5071" s="24">
        <v>0.71199999999999997</v>
      </c>
      <c r="C5071" s="24">
        <v>1847.2</v>
      </c>
      <c r="D5071" s="47">
        <f t="shared" si="79"/>
        <v>1315.2064</v>
      </c>
    </row>
    <row r="5072" spans="1:4">
      <c r="A5072" s="122">
        <v>35734</v>
      </c>
      <c r="B5072" s="24">
        <v>0.70099999999999996</v>
      </c>
      <c r="C5072" s="24">
        <v>1855.4</v>
      </c>
      <c r="D5072" s="47">
        <f t="shared" si="79"/>
        <v>1300.6353999999999</v>
      </c>
    </row>
    <row r="5073" spans="1:4">
      <c r="A5073" s="122">
        <v>35733</v>
      </c>
      <c r="B5073" s="24">
        <v>0.70199999999999996</v>
      </c>
      <c r="C5073" s="24">
        <v>1861.3</v>
      </c>
      <c r="D5073" s="47">
        <f t="shared" si="79"/>
        <v>1306.6325999999999</v>
      </c>
    </row>
    <row r="5074" spans="1:4">
      <c r="A5074" s="122">
        <v>35732</v>
      </c>
      <c r="B5074" s="24">
        <v>0.69799999999999995</v>
      </c>
      <c r="C5074" s="24">
        <v>1869.7</v>
      </c>
      <c r="D5074" s="47">
        <f t="shared" si="79"/>
        <v>1305.0506</v>
      </c>
    </row>
    <row r="5075" spans="1:4">
      <c r="A5075" s="122">
        <v>35731</v>
      </c>
      <c r="B5075" s="24">
        <v>0.70599999999999996</v>
      </c>
      <c r="C5075" s="24">
        <v>1857.5</v>
      </c>
      <c r="D5075" s="47">
        <f t="shared" si="79"/>
        <v>1311.395</v>
      </c>
    </row>
    <row r="5076" spans="1:4">
      <c r="A5076" s="122">
        <v>35730</v>
      </c>
      <c r="B5076" s="24">
        <v>0.68799999999999994</v>
      </c>
      <c r="C5076" s="24">
        <v>1851.3</v>
      </c>
      <c r="D5076" s="47">
        <f t="shared" si="79"/>
        <v>1273.6943999999999</v>
      </c>
    </row>
    <row r="5077" spans="1:4">
      <c r="A5077" s="122">
        <v>35727</v>
      </c>
      <c r="B5077" s="24">
        <v>0.68799999999999994</v>
      </c>
      <c r="C5077" s="24">
        <v>1852.1</v>
      </c>
      <c r="D5077" s="47">
        <f t="shared" si="79"/>
        <v>1274.2447999999999</v>
      </c>
    </row>
    <row r="5078" spans="1:4">
      <c r="A5078" s="122">
        <v>35726</v>
      </c>
      <c r="B5078" s="24">
        <v>0.70399999999999996</v>
      </c>
      <c r="C5078" s="24">
        <v>1874.5</v>
      </c>
      <c r="D5078" s="47">
        <f t="shared" si="79"/>
        <v>1319.6479999999999</v>
      </c>
    </row>
    <row r="5079" spans="1:4">
      <c r="A5079" s="122">
        <v>35725</v>
      </c>
      <c r="B5079" s="24">
        <v>0.70499999999999996</v>
      </c>
      <c r="C5079" s="24">
        <v>1864</v>
      </c>
      <c r="D5079" s="47">
        <f t="shared" si="79"/>
        <v>1314.12</v>
      </c>
    </row>
    <row r="5080" spans="1:4">
      <c r="A5080" s="122">
        <v>35724</v>
      </c>
      <c r="B5080" s="24">
        <v>0.71899999999999997</v>
      </c>
      <c r="C5080" s="24">
        <v>1880</v>
      </c>
      <c r="D5080" s="47">
        <f t="shared" si="79"/>
        <v>1351.72</v>
      </c>
    </row>
    <row r="5081" spans="1:4">
      <c r="A5081" s="122">
        <v>35723</v>
      </c>
      <c r="B5081" s="24">
        <v>0.72899999999999998</v>
      </c>
      <c r="C5081" s="24">
        <v>1868.2</v>
      </c>
      <c r="D5081" s="47">
        <f t="shared" si="79"/>
        <v>1361.9177999999999</v>
      </c>
    </row>
    <row r="5082" spans="1:4">
      <c r="A5082" s="122">
        <v>35720</v>
      </c>
      <c r="B5082" s="24">
        <v>0.73199999999999998</v>
      </c>
      <c r="C5082" s="24">
        <v>1863.4</v>
      </c>
      <c r="D5082" s="47">
        <f t="shared" si="79"/>
        <v>1364.0088000000001</v>
      </c>
    </row>
    <row r="5083" spans="1:4">
      <c r="A5083" s="122">
        <v>35719</v>
      </c>
      <c r="B5083" s="24">
        <v>0.73899999999999999</v>
      </c>
      <c r="C5083" s="24">
        <v>1843.6</v>
      </c>
      <c r="D5083" s="47">
        <f t="shared" si="79"/>
        <v>1362.4204</v>
      </c>
    </row>
    <row r="5084" spans="1:4">
      <c r="A5084" s="122">
        <v>35718</v>
      </c>
      <c r="B5084" s="24">
        <v>0.73399999999999999</v>
      </c>
      <c r="C5084" s="24">
        <v>1843.3</v>
      </c>
      <c r="D5084" s="47">
        <f t="shared" si="79"/>
        <v>1352.9821999999999</v>
      </c>
    </row>
    <row r="5085" spans="1:4">
      <c r="A5085" s="122">
        <v>35717</v>
      </c>
      <c r="B5085" s="24">
        <v>0.73599999999999999</v>
      </c>
      <c r="C5085" s="24">
        <v>1827.1</v>
      </c>
      <c r="D5085" s="47">
        <f t="shared" si="79"/>
        <v>1344.7456</v>
      </c>
    </row>
    <row r="5086" spans="1:4">
      <c r="A5086" s="122">
        <v>35716</v>
      </c>
      <c r="B5086" s="24">
        <v>0.74</v>
      </c>
      <c r="C5086" s="24">
        <v>1835.2</v>
      </c>
      <c r="D5086" s="47">
        <f t="shared" si="79"/>
        <v>1358.048</v>
      </c>
    </row>
    <row r="5087" spans="1:4">
      <c r="A5087" s="122">
        <v>35713</v>
      </c>
      <c r="B5087" s="24">
        <v>0.73799999999999999</v>
      </c>
      <c r="C5087" s="24">
        <v>1840.8</v>
      </c>
      <c r="D5087" s="47">
        <f t="shared" si="79"/>
        <v>1358.5103999999999</v>
      </c>
    </row>
    <row r="5088" spans="1:4">
      <c r="A5088" s="122">
        <v>35712</v>
      </c>
      <c r="B5088" s="24">
        <v>0.73399999999999999</v>
      </c>
      <c r="C5088" s="24">
        <v>1850.4</v>
      </c>
      <c r="D5088" s="47">
        <f t="shared" si="79"/>
        <v>1358.1936000000001</v>
      </c>
    </row>
    <row r="5089" spans="1:4">
      <c r="A5089" s="122">
        <v>35711</v>
      </c>
      <c r="B5089" s="24">
        <v>0.72799999999999998</v>
      </c>
      <c r="C5089" s="24">
        <v>1851.1</v>
      </c>
      <c r="D5089" s="47">
        <f t="shared" si="79"/>
        <v>1347.6007999999999</v>
      </c>
    </row>
    <row r="5090" spans="1:4">
      <c r="A5090" s="122">
        <v>35710</v>
      </c>
      <c r="B5090" s="24">
        <v>0.72399999999999998</v>
      </c>
      <c r="C5090" s="24">
        <v>1862.5</v>
      </c>
      <c r="D5090" s="47">
        <f t="shared" si="79"/>
        <v>1348.45</v>
      </c>
    </row>
    <row r="5091" spans="1:4">
      <c r="A5091" s="122">
        <v>35709</v>
      </c>
      <c r="B5091" s="24">
        <v>0.72399999999999998</v>
      </c>
      <c r="C5091" s="24">
        <v>1876.9</v>
      </c>
      <c r="D5091" s="47">
        <f t="shared" si="79"/>
        <v>1358.8756000000001</v>
      </c>
    </row>
    <row r="5092" spans="1:4">
      <c r="A5092" s="122">
        <v>35706</v>
      </c>
      <c r="B5092" s="24">
        <v>0.72899999999999998</v>
      </c>
      <c r="C5092" s="24">
        <v>1878.1</v>
      </c>
      <c r="D5092" s="47">
        <f t="shared" si="79"/>
        <v>1369.1348999999998</v>
      </c>
    </row>
    <row r="5093" spans="1:4">
      <c r="A5093" s="122">
        <v>35705</v>
      </c>
      <c r="B5093" s="24">
        <v>0.72799999999999998</v>
      </c>
      <c r="C5093" s="24">
        <v>1881.1</v>
      </c>
      <c r="D5093" s="47">
        <f t="shared" si="79"/>
        <v>1369.4407999999999</v>
      </c>
    </row>
    <row r="5094" spans="1:4">
      <c r="A5094" s="122">
        <v>35704</v>
      </c>
      <c r="B5094" s="24">
        <v>0.72699999999999998</v>
      </c>
      <c r="C5094" s="24">
        <v>1853.8</v>
      </c>
      <c r="D5094" s="47">
        <f t="shared" si="79"/>
        <v>1347.7125999999998</v>
      </c>
    </row>
    <row r="5095" spans="1:4">
      <c r="A5095" s="122">
        <v>35703</v>
      </c>
      <c r="B5095" s="24">
        <v>0.72599999999999998</v>
      </c>
      <c r="C5095" s="24">
        <v>1872.2</v>
      </c>
      <c r="D5095" s="47">
        <f t="shared" si="79"/>
        <v>1359.2172</v>
      </c>
    </row>
    <row r="5096" spans="1:4">
      <c r="A5096" s="122">
        <v>35702</v>
      </c>
      <c r="B5096" s="24">
        <v>0.71899999999999997</v>
      </c>
      <c r="C5096" s="24">
        <v>1855.4</v>
      </c>
      <c r="D5096" s="47">
        <f t="shared" si="79"/>
        <v>1334.0326</v>
      </c>
    </row>
    <row r="5097" spans="1:4">
      <c r="A5097" s="122">
        <v>35699</v>
      </c>
      <c r="B5097" s="24">
        <v>0.72099999999999997</v>
      </c>
      <c r="C5097" s="24">
        <v>1841.2</v>
      </c>
      <c r="D5097" s="47">
        <f t="shared" si="79"/>
        <v>1327.5052000000001</v>
      </c>
    </row>
    <row r="5098" spans="1:4">
      <c r="A5098" s="122">
        <v>35698</v>
      </c>
      <c r="B5098" s="24">
        <v>0.72499999999999998</v>
      </c>
      <c r="C5098" s="24">
        <v>1817.4</v>
      </c>
      <c r="D5098" s="47">
        <f t="shared" si="79"/>
        <v>1317.615</v>
      </c>
    </row>
    <row r="5099" spans="1:4">
      <c r="A5099" s="122">
        <v>35697</v>
      </c>
      <c r="B5099" s="24">
        <v>0.72399999999999998</v>
      </c>
      <c r="C5099" s="24">
        <v>1813.6</v>
      </c>
      <c r="D5099" s="47">
        <f t="shared" si="79"/>
        <v>1313.0463999999999</v>
      </c>
    </row>
    <row r="5100" spans="1:4">
      <c r="A5100" s="122">
        <v>35696</v>
      </c>
      <c r="B5100" s="24">
        <v>0.72</v>
      </c>
      <c r="C5100" s="24">
        <v>1817.1</v>
      </c>
      <c r="D5100" s="47">
        <f t="shared" si="79"/>
        <v>1308.3119999999999</v>
      </c>
    </row>
    <row r="5101" spans="1:4">
      <c r="A5101" s="122">
        <v>35695</v>
      </c>
      <c r="B5101" s="24">
        <v>0.72</v>
      </c>
      <c r="C5101" s="24">
        <v>1821.3</v>
      </c>
      <c r="D5101" s="47">
        <f t="shared" si="79"/>
        <v>1311.336</v>
      </c>
    </row>
    <row r="5102" spans="1:4">
      <c r="A5102" s="122">
        <v>35692</v>
      </c>
      <c r="B5102" s="24">
        <v>0.71699999999999997</v>
      </c>
      <c r="C5102" s="24">
        <v>1802.4</v>
      </c>
      <c r="D5102" s="47">
        <f t="shared" si="79"/>
        <v>1292.3208</v>
      </c>
    </row>
    <row r="5103" spans="1:4">
      <c r="A5103" s="122">
        <v>35691</v>
      </c>
      <c r="B5103" s="24">
        <v>0.71599999999999997</v>
      </c>
      <c r="C5103" s="24">
        <v>1793.6</v>
      </c>
      <c r="D5103" s="47">
        <f t="shared" si="79"/>
        <v>1284.2175999999999</v>
      </c>
    </row>
    <row r="5104" spans="1:4">
      <c r="A5104" s="122">
        <v>35690</v>
      </c>
      <c r="B5104" s="24">
        <v>0.71599999999999997</v>
      </c>
      <c r="C5104" s="24">
        <v>1805.6</v>
      </c>
      <c r="D5104" s="47">
        <f t="shared" si="79"/>
        <v>1292.8095999999998</v>
      </c>
    </row>
    <row r="5105" spans="1:4">
      <c r="A5105" s="122">
        <v>35689</v>
      </c>
      <c r="B5105" s="24">
        <v>0.71499999999999997</v>
      </c>
      <c r="C5105" s="24">
        <v>1805.1</v>
      </c>
      <c r="D5105" s="47">
        <f t="shared" si="79"/>
        <v>1290.6464999999998</v>
      </c>
    </row>
    <row r="5106" spans="1:4">
      <c r="A5106" s="122">
        <v>35688</v>
      </c>
      <c r="B5106" s="24">
        <v>0.72</v>
      </c>
      <c r="C5106" s="24">
        <v>1792.6</v>
      </c>
      <c r="D5106" s="47">
        <f t="shared" si="79"/>
        <v>1290.6719999999998</v>
      </c>
    </row>
    <row r="5107" spans="1:4">
      <c r="A5107" s="122">
        <v>35685</v>
      </c>
      <c r="B5107" s="24">
        <v>0.72199999999999998</v>
      </c>
      <c r="C5107" s="24">
        <v>1782.3</v>
      </c>
      <c r="D5107" s="47">
        <f t="shared" si="79"/>
        <v>1286.8206</v>
      </c>
    </row>
    <row r="5108" spans="1:4">
      <c r="A5108" s="122">
        <v>35684</v>
      </c>
      <c r="B5108" s="24">
        <v>0.72</v>
      </c>
      <c r="C5108" s="24">
        <v>1803.7</v>
      </c>
      <c r="D5108" s="47">
        <f t="shared" si="79"/>
        <v>1298.664</v>
      </c>
    </row>
    <row r="5109" spans="1:4">
      <c r="A5109" s="122">
        <v>35683</v>
      </c>
      <c r="B5109" s="24">
        <v>0.72899999999999998</v>
      </c>
      <c r="C5109" s="24">
        <v>1821.4</v>
      </c>
      <c r="D5109" s="47">
        <f t="shared" si="79"/>
        <v>1327.8006</v>
      </c>
    </row>
    <row r="5110" spans="1:4">
      <c r="A5110" s="122">
        <v>35682</v>
      </c>
      <c r="B5110" s="24">
        <v>0.72799999999999998</v>
      </c>
      <c r="C5110" s="24">
        <v>1805.4</v>
      </c>
      <c r="D5110" s="47">
        <f t="shared" si="79"/>
        <v>1314.3312000000001</v>
      </c>
    </row>
    <row r="5111" spans="1:4">
      <c r="A5111" s="122">
        <v>35681</v>
      </c>
      <c r="B5111" s="24">
        <v>0.72899999999999998</v>
      </c>
      <c r="C5111" s="24">
        <v>1814.4</v>
      </c>
      <c r="D5111" s="47">
        <f t="shared" si="79"/>
        <v>1322.6976</v>
      </c>
    </row>
    <row r="5112" spans="1:4">
      <c r="A5112" s="122">
        <v>35678</v>
      </c>
      <c r="B5112" s="24">
        <v>0.73099999999999998</v>
      </c>
      <c r="C5112" s="24">
        <v>1789.7</v>
      </c>
      <c r="D5112" s="47">
        <f t="shared" si="79"/>
        <v>1308.2707</v>
      </c>
    </row>
    <row r="5113" spans="1:4">
      <c r="A5113" s="122">
        <v>35677</v>
      </c>
      <c r="B5113" s="24">
        <v>0.73199999999999998</v>
      </c>
      <c r="C5113" s="24">
        <v>1784.7</v>
      </c>
      <c r="D5113" s="47">
        <f t="shared" si="79"/>
        <v>1306.4004</v>
      </c>
    </row>
    <row r="5114" spans="1:4">
      <c r="A5114" s="122">
        <v>35676</v>
      </c>
      <c r="B5114" s="24">
        <v>0.72799999999999998</v>
      </c>
      <c r="C5114" s="24">
        <v>1810.7</v>
      </c>
      <c r="D5114" s="47">
        <f t="shared" si="79"/>
        <v>1318.1895999999999</v>
      </c>
    </row>
    <row r="5115" spans="1:4">
      <c r="A5115" s="122">
        <v>35675</v>
      </c>
      <c r="B5115" s="24">
        <v>0.72499999999999998</v>
      </c>
      <c r="C5115" s="24">
        <v>1814.8</v>
      </c>
      <c r="D5115" s="47">
        <f t="shared" si="79"/>
        <v>1315.73</v>
      </c>
    </row>
    <row r="5116" spans="1:4">
      <c r="A5116" s="122">
        <v>35674</v>
      </c>
      <c r="B5116" s="24">
        <v>0.73</v>
      </c>
      <c r="C5116" s="24">
        <v>1802.2</v>
      </c>
      <c r="D5116" s="47">
        <f t="shared" si="79"/>
        <v>1315.606</v>
      </c>
    </row>
    <row r="5117" spans="1:4">
      <c r="A5117" s="122">
        <v>35671</v>
      </c>
      <c r="B5117" s="24">
        <v>0.73099999999999998</v>
      </c>
      <c r="C5117" s="24">
        <v>1813.4</v>
      </c>
      <c r="D5117" s="47">
        <f t="shared" si="79"/>
        <v>1325.5953999999999</v>
      </c>
    </row>
    <row r="5118" spans="1:4">
      <c r="A5118" s="122">
        <v>35670</v>
      </c>
      <c r="B5118" s="24">
        <v>0.73699999999999999</v>
      </c>
      <c r="C5118" s="24">
        <v>1810.7</v>
      </c>
      <c r="D5118" s="47">
        <f t="shared" si="79"/>
        <v>1334.4858999999999</v>
      </c>
    </row>
    <row r="5119" spans="1:4">
      <c r="A5119" s="122">
        <v>35669</v>
      </c>
      <c r="B5119" s="24">
        <v>0.74199999999999999</v>
      </c>
      <c r="C5119" s="24">
        <v>1827</v>
      </c>
      <c r="D5119" s="47">
        <f t="shared" si="79"/>
        <v>1355.634</v>
      </c>
    </row>
    <row r="5120" spans="1:4">
      <c r="A5120" s="122">
        <v>35668</v>
      </c>
      <c r="B5120" s="24">
        <v>0.748</v>
      </c>
      <c r="C5120" s="24">
        <v>1844.1</v>
      </c>
      <c r="D5120" s="47">
        <f t="shared" si="79"/>
        <v>1379.3868</v>
      </c>
    </row>
    <row r="5121" spans="1:4">
      <c r="A5121" s="122">
        <v>35667</v>
      </c>
      <c r="B5121" s="24">
        <v>0.746</v>
      </c>
      <c r="C5121" s="24">
        <v>1838.2</v>
      </c>
      <c r="D5121" s="47">
        <f t="shared" si="79"/>
        <v>1371.2972</v>
      </c>
    </row>
    <row r="5122" spans="1:4">
      <c r="A5122" s="122">
        <v>35664</v>
      </c>
      <c r="B5122" s="24">
        <v>0.747</v>
      </c>
      <c r="C5122" s="24">
        <v>1829.5</v>
      </c>
      <c r="D5122" s="47">
        <f t="shared" si="79"/>
        <v>1366.6365000000001</v>
      </c>
    </row>
    <row r="5123" spans="1:4">
      <c r="A5123" s="122">
        <v>35663</v>
      </c>
      <c r="B5123" s="24">
        <v>0.751</v>
      </c>
      <c r="C5123" s="24">
        <v>1827.8</v>
      </c>
      <c r="D5123" s="47">
        <f t="shared" ref="D5123:D5186" si="80">C5123*B5123</f>
        <v>1372.6777999999999</v>
      </c>
    </row>
    <row r="5124" spans="1:4">
      <c r="A5124" s="122">
        <v>35662</v>
      </c>
      <c r="B5124" s="24">
        <v>0.746</v>
      </c>
      <c r="C5124" s="24">
        <v>1806.5</v>
      </c>
      <c r="D5124" s="47">
        <f t="shared" si="80"/>
        <v>1347.6489999999999</v>
      </c>
    </row>
    <row r="5125" spans="1:4">
      <c r="A5125" s="122">
        <v>35661</v>
      </c>
      <c r="B5125" s="24">
        <v>0.74199999999999999</v>
      </c>
      <c r="C5125" s="24">
        <v>1810.9</v>
      </c>
      <c r="D5125" s="47">
        <f t="shared" si="80"/>
        <v>1343.6878000000002</v>
      </c>
    </row>
    <row r="5126" spans="1:4">
      <c r="A5126" s="122">
        <v>35660</v>
      </c>
      <c r="B5126" s="24">
        <v>0.73799999999999999</v>
      </c>
      <c r="C5126" s="24">
        <v>1808.3</v>
      </c>
      <c r="D5126" s="47">
        <f t="shared" si="80"/>
        <v>1334.5254</v>
      </c>
    </row>
    <row r="5127" spans="1:4">
      <c r="A5127" s="122">
        <v>35657</v>
      </c>
      <c r="B5127" s="24">
        <v>0.74199999999999999</v>
      </c>
      <c r="C5127" s="24">
        <v>1804.1</v>
      </c>
      <c r="D5127" s="47">
        <f t="shared" si="80"/>
        <v>1338.6422</v>
      </c>
    </row>
    <row r="5128" spans="1:4">
      <c r="A5128" s="122">
        <v>35656</v>
      </c>
      <c r="B5128" s="24">
        <v>0.74199999999999999</v>
      </c>
      <c r="C5128" s="24">
        <v>1805.4</v>
      </c>
      <c r="D5128" s="47">
        <f t="shared" si="80"/>
        <v>1339.6068</v>
      </c>
    </row>
    <row r="5129" spans="1:4">
      <c r="A5129" s="122">
        <v>35655</v>
      </c>
      <c r="B5129" s="24">
        <v>0.74399999999999999</v>
      </c>
      <c r="C5129" s="24">
        <v>1813.3</v>
      </c>
      <c r="D5129" s="47">
        <f t="shared" si="80"/>
        <v>1349.0952</v>
      </c>
    </row>
    <row r="5130" spans="1:4">
      <c r="A5130" s="122">
        <v>35654</v>
      </c>
      <c r="B5130" s="24">
        <v>0.73899999999999999</v>
      </c>
      <c r="C5130" s="24">
        <v>1814.8</v>
      </c>
      <c r="D5130" s="47">
        <f t="shared" si="80"/>
        <v>1341.1371999999999</v>
      </c>
    </row>
    <row r="5131" spans="1:4">
      <c r="A5131" s="122">
        <v>35653</v>
      </c>
      <c r="B5131" s="24">
        <v>0.73799999999999999</v>
      </c>
      <c r="C5131" s="24">
        <v>1830</v>
      </c>
      <c r="D5131" s="47">
        <f t="shared" si="80"/>
        <v>1350.54</v>
      </c>
    </row>
    <row r="5132" spans="1:4">
      <c r="A5132" s="122">
        <v>35650</v>
      </c>
      <c r="B5132" s="24">
        <v>0.73399999999999999</v>
      </c>
      <c r="C5132" s="24">
        <v>1849.1</v>
      </c>
      <c r="D5132" s="47">
        <f t="shared" si="80"/>
        <v>1357.2393999999999</v>
      </c>
    </row>
    <row r="5133" spans="1:4">
      <c r="A5133" s="122">
        <v>35649</v>
      </c>
      <c r="B5133" s="24">
        <v>0.72899999999999998</v>
      </c>
      <c r="C5133" s="24">
        <v>1857.4</v>
      </c>
      <c r="D5133" s="47">
        <f t="shared" si="80"/>
        <v>1354.0445999999999</v>
      </c>
    </row>
    <row r="5134" spans="1:4">
      <c r="A5134" s="122">
        <v>35648</v>
      </c>
      <c r="B5134" s="24">
        <v>0.73599999999999999</v>
      </c>
      <c r="C5134" s="24">
        <v>1879.6</v>
      </c>
      <c r="D5134" s="47">
        <f t="shared" si="80"/>
        <v>1383.3855999999998</v>
      </c>
    </row>
    <row r="5135" spans="1:4">
      <c r="A5135" s="122">
        <v>35647</v>
      </c>
      <c r="B5135" s="24">
        <v>0.73799999999999999</v>
      </c>
      <c r="C5135" s="24">
        <v>1884</v>
      </c>
      <c r="D5135" s="47">
        <f t="shared" si="80"/>
        <v>1390.3920000000001</v>
      </c>
    </row>
    <row r="5136" spans="1:4">
      <c r="A5136" s="122">
        <v>35646</v>
      </c>
      <c r="B5136" s="24">
        <v>0.74099999999999999</v>
      </c>
      <c r="C5136" s="24">
        <v>1856.7</v>
      </c>
      <c r="D5136" s="47">
        <f t="shared" si="80"/>
        <v>1375.8147000000001</v>
      </c>
    </row>
    <row r="5137" spans="1:4">
      <c r="A5137" s="122">
        <v>35643</v>
      </c>
      <c r="B5137" s="24">
        <v>0.73899999999999999</v>
      </c>
      <c r="C5137" s="24">
        <v>1854.8</v>
      </c>
      <c r="D5137" s="47">
        <f t="shared" si="80"/>
        <v>1370.6971999999998</v>
      </c>
    </row>
    <row r="5138" spans="1:4">
      <c r="A5138" s="122">
        <v>35642</v>
      </c>
      <c r="B5138" s="24">
        <v>0.748</v>
      </c>
      <c r="C5138" s="24">
        <v>1852.9</v>
      </c>
      <c r="D5138" s="47">
        <f t="shared" si="80"/>
        <v>1385.9692</v>
      </c>
    </row>
    <row r="5139" spans="1:4">
      <c r="A5139" s="122">
        <v>35641</v>
      </c>
      <c r="B5139" s="24">
        <v>0.74399999999999999</v>
      </c>
      <c r="C5139" s="24">
        <v>1846.2</v>
      </c>
      <c r="D5139" s="47">
        <f t="shared" si="80"/>
        <v>1373.5727999999999</v>
      </c>
    </row>
    <row r="5140" spans="1:4">
      <c r="A5140" s="122">
        <v>35640</v>
      </c>
      <c r="B5140" s="24">
        <v>0.746</v>
      </c>
      <c r="C5140" s="24">
        <v>1847.5</v>
      </c>
      <c r="D5140" s="47">
        <f t="shared" si="80"/>
        <v>1378.2349999999999</v>
      </c>
    </row>
    <row r="5141" spans="1:4">
      <c r="A5141" s="122">
        <v>35639</v>
      </c>
      <c r="B5141" s="24">
        <v>0.73799999999999999</v>
      </c>
      <c r="C5141" s="24">
        <v>1844.8</v>
      </c>
      <c r="D5141" s="47">
        <f t="shared" si="80"/>
        <v>1361.4623999999999</v>
      </c>
    </row>
    <row r="5142" spans="1:4">
      <c r="A5142" s="122">
        <v>35636</v>
      </c>
      <c r="B5142" s="24">
        <v>0.73699999999999999</v>
      </c>
      <c r="C5142" s="24">
        <v>1841.3</v>
      </c>
      <c r="D5142" s="47">
        <f t="shared" si="80"/>
        <v>1357.0381</v>
      </c>
    </row>
    <row r="5143" spans="1:4">
      <c r="A5143" s="122">
        <v>35635</v>
      </c>
      <c r="B5143" s="24">
        <v>0.73599999999999999</v>
      </c>
      <c r="C5143" s="24">
        <v>1811</v>
      </c>
      <c r="D5143" s="47">
        <f t="shared" si="80"/>
        <v>1332.896</v>
      </c>
    </row>
    <row r="5144" spans="1:4">
      <c r="A5144" s="122">
        <v>35634</v>
      </c>
      <c r="B5144" s="24">
        <v>0.73699999999999999</v>
      </c>
      <c r="C5144" s="24">
        <v>1801.4</v>
      </c>
      <c r="D5144" s="47">
        <f t="shared" si="80"/>
        <v>1327.6318000000001</v>
      </c>
    </row>
    <row r="5145" spans="1:4">
      <c r="A5145" s="122">
        <v>35633</v>
      </c>
      <c r="B5145" s="24">
        <v>0.74</v>
      </c>
      <c r="C5145" s="24">
        <v>1790.4</v>
      </c>
      <c r="D5145" s="47">
        <f t="shared" si="80"/>
        <v>1324.896</v>
      </c>
    </row>
    <row r="5146" spans="1:4">
      <c r="A5146" s="122">
        <v>35632</v>
      </c>
      <c r="B5146" s="24">
        <v>0.74099999999999999</v>
      </c>
      <c r="C5146" s="24">
        <v>1800.3</v>
      </c>
      <c r="D5146" s="47">
        <f t="shared" si="80"/>
        <v>1334.0222999999999</v>
      </c>
    </row>
    <row r="5147" spans="1:4">
      <c r="A5147" s="122">
        <v>35629</v>
      </c>
      <c r="B5147" s="24">
        <v>0.74099999999999999</v>
      </c>
      <c r="C5147" s="24">
        <v>1823.9</v>
      </c>
      <c r="D5147" s="47">
        <f t="shared" si="80"/>
        <v>1351.5099</v>
      </c>
    </row>
    <row r="5148" spans="1:4">
      <c r="A5148" s="122">
        <v>35628</v>
      </c>
      <c r="B5148" s="24">
        <v>0.73699999999999999</v>
      </c>
      <c r="C5148" s="24">
        <v>1817.3</v>
      </c>
      <c r="D5148" s="47">
        <f t="shared" si="80"/>
        <v>1339.3500999999999</v>
      </c>
    </row>
    <row r="5149" spans="1:4">
      <c r="A5149" s="122">
        <v>35627</v>
      </c>
      <c r="B5149" s="24">
        <v>0.73699999999999999</v>
      </c>
      <c r="C5149" s="24">
        <v>1839.4</v>
      </c>
      <c r="D5149" s="47">
        <f t="shared" si="80"/>
        <v>1355.6378</v>
      </c>
    </row>
    <row r="5150" spans="1:4">
      <c r="A5150" s="122">
        <v>35626</v>
      </c>
      <c r="B5150" s="24">
        <v>0.73399999999999999</v>
      </c>
      <c r="C5150" s="24">
        <v>1844.2</v>
      </c>
      <c r="D5150" s="47">
        <f t="shared" si="80"/>
        <v>1353.6428000000001</v>
      </c>
    </row>
    <row r="5151" spans="1:4">
      <c r="A5151" s="122">
        <v>35625</v>
      </c>
      <c r="B5151" s="24">
        <v>0.73699999999999999</v>
      </c>
      <c r="C5151" s="24">
        <v>1824.4</v>
      </c>
      <c r="D5151" s="47">
        <f t="shared" si="80"/>
        <v>1344.5828000000001</v>
      </c>
    </row>
    <row r="5152" spans="1:4">
      <c r="A5152" s="122">
        <v>35622</v>
      </c>
      <c r="B5152" s="24">
        <v>0.74</v>
      </c>
      <c r="C5152" s="24">
        <v>1845.3</v>
      </c>
      <c r="D5152" s="47">
        <f t="shared" si="80"/>
        <v>1365.5219999999999</v>
      </c>
    </row>
    <row r="5153" spans="1:4">
      <c r="A5153" s="122">
        <v>35621</v>
      </c>
      <c r="B5153" s="24">
        <v>0.74199999999999999</v>
      </c>
      <c r="C5153" s="24">
        <v>1833.8</v>
      </c>
      <c r="D5153" s="47">
        <f t="shared" si="80"/>
        <v>1360.6795999999999</v>
      </c>
    </row>
    <row r="5154" spans="1:4">
      <c r="A5154" s="122">
        <v>35620</v>
      </c>
      <c r="B5154" s="24">
        <v>0.74399999999999999</v>
      </c>
      <c r="C5154" s="24">
        <v>1834.2</v>
      </c>
      <c r="D5154" s="47">
        <f t="shared" si="80"/>
        <v>1364.6448</v>
      </c>
    </row>
    <row r="5155" spans="1:4">
      <c r="A5155" s="122">
        <v>35619</v>
      </c>
      <c r="B5155" s="24">
        <v>0.746</v>
      </c>
      <c r="C5155" s="24">
        <v>1854.8</v>
      </c>
      <c r="D5155" s="47">
        <f t="shared" si="80"/>
        <v>1383.6807999999999</v>
      </c>
    </row>
    <row r="5156" spans="1:4">
      <c r="A5156" s="122">
        <v>35618</v>
      </c>
      <c r="B5156" s="24">
        <v>0.74399999999999999</v>
      </c>
      <c r="C5156" s="24">
        <v>1854.2</v>
      </c>
      <c r="D5156" s="47">
        <f t="shared" si="80"/>
        <v>1379.5247999999999</v>
      </c>
    </row>
    <row r="5157" spans="1:4">
      <c r="A5157" s="122">
        <v>35615</v>
      </c>
      <c r="B5157" s="24">
        <v>0.748</v>
      </c>
      <c r="C5157" s="24">
        <v>1829.1</v>
      </c>
      <c r="D5157" s="47">
        <f t="shared" si="80"/>
        <v>1368.1668</v>
      </c>
    </row>
    <row r="5158" spans="1:4">
      <c r="A5158" s="122">
        <v>35614</v>
      </c>
      <c r="B5158" s="24">
        <v>0.752</v>
      </c>
      <c r="C5158" s="24">
        <v>1800.7</v>
      </c>
      <c r="D5158" s="47">
        <f t="shared" si="80"/>
        <v>1354.1264000000001</v>
      </c>
    </row>
    <row r="5159" spans="1:4">
      <c r="A5159" s="122">
        <v>35613</v>
      </c>
      <c r="B5159" s="24">
        <v>0.752</v>
      </c>
      <c r="C5159" s="24">
        <v>1818.8</v>
      </c>
      <c r="D5159" s="47">
        <f t="shared" si="80"/>
        <v>1367.7375999999999</v>
      </c>
    </row>
    <row r="5160" spans="1:4">
      <c r="A5160" s="122">
        <v>35612</v>
      </c>
      <c r="B5160" s="24">
        <v>0.751</v>
      </c>
      <c r="C5160" s="24">
        <v>1849.8</v>
      </c>
      <c r="D5160" s="47">
        <f t="shared" si="80"/>
        <v>1389.1997999999999</v>
      </c>
    </row>
    <row r="5161" spans="1:4">
      <c r="A5161" s="122">
        <v>35611</v>
      </c>
      <c r="B5161" s="24">
        <v>0.754</v>
      </c>
      <c r="C5161" s="24">
        <v>1862.6</v>
      </c>
      <c r="D5161" s="47">
        <f t="shared" si="80"/>
        <v>1404.4004</v>
      </c>
    </row>
    <row r="5162" spans="1:4">
      <c r="A5162" s="122">
        <v>35608</v>
      </c>
      <c r="B5162" s="24">
        <v>0.746</v>
      </c>
      <c r="C5162" s="24">
        <v>1860.4</v>
      </c>
      <c r="D5162" s="47">
        <f t="shared" si="80"/>
        <v>1387.8584000000001</v>
      </c>
    </row>
    <row r="5163" spans="1:4">
      <c r="A5163" s="122">
        <v>35607</v>
      </c>
      <c r="B5163" s="24">
        <v>0.75</v>
      </c>
      <c r="C5163" s="24">
        <v>1877.9</v>
      </c>
      <c r="D5163" s="47">
        <f t="shared" si="80"/>
        <v>1408.4250000000002</v>
      </c>
    </row>
    <row r="5164" spans="1:4">
      <c r="A5164" s="122">
        <v>35606</v>
      </c>
      <c r="B5164" s="24">
        <v>0.751</v>
      </c>
      <c r="C5164" s="24">
        <v>1879.3</v>
      </c>
      <c r="D5164" s="47">
        <f t="shared" si="80"/>
        <v>1411.3543</v>
      </c>
    </row>
    <row r="5165" spans="1:4">
      <c r="A5165" s="122">
        <v>35605</v>
      </c>
      <c r="B5165" s="24">
        <v>0.751</v>
      </c>
      <c r="C5165" s="24">
        <v>1864.8</v>
      </c>
      <c r="D5165" s="47">
        <f t="shared" si="80"/>
        <v>1400.4648</v>
      </c>
    </row>
    <row r="5166" spans="1:4">
      <c r="A5166" s="122">
        <v>35604</v>
      </c>
      <c r="B5166" s="24">
        <v>0.752</v>
      </c>
      <c r="C5166" s="24">
        <v>1890.5</v>
      </c>
      <c r="D5166" s="47">
        <f t="shared" si="80"/>
        <v>1421.6559999999999</v>
      </c>
    </row>
    <row r="5167" spans="1:4">
      <c r="A5167" s="122">
        <v>35601</v>
      </c>
      <c r="B5167" s="24">
        <v>0.751</v>
      </c>
      <c r="C5167" s="24">
        <v>1909.8</v>
      </c>
      <c r="D5167" s="47">
        <f t="shared" si="80"/>
        <v>1434.2598</v>
      </c>
    </row>
    <row r="5168" spans="1:4">
      <c r="A5168" s="122">
        <v>35600</v>
      </c>
      <c r="B5168" s="24">
        <v>0.75</v>
      </c>
      <c r="C5168" s="24">
        <v>1921.1</v>
      </c>
      <c r="D5168" s="47">
        <f t="shared" si="80"/>
        <v>1440.8249999999998</v>
      </c>
    </row>
    <row r="5169" spans="1:4">
      <c r="A5169" s="122">
        <v>35599</v>
      </c>
      <c r="B5169" s="24">
        <v>0.749</v>
      </c>
      <c r="C5169" s="24">
        <v>1905.1</v>
      </c>
      <c r="D5169" s="47">
        <f t="shared" si="80"/>
        <v>1426.9198999999999</v>
      </c>
    </row>
    <row r="5170" spans="1:4">
      <c r="A5170" s="122">
        <v>35598</v>
      </c>
      <c r="B5170" s="24">
        <v>0.751</v>
      </c>
      <c r="C5170" s="24">
        <v>1916.9</v>
      </c>
      <c r="D5170" s="47">
        <f t="shared" si="80"/>
        <v>1439.5919000000001</v>
      </c>
    </row>
    <row r="5171" spans="1:4">
      <c r="A5171" s="122">
        <v>35597</v>
      </c>
      <c r="B5171" s="24">
        <v>0.748</v>
      </c>
      <c r="C5171" s="24">
        <v>1938.3</v>
      </c>
      <c r="D5171" s="47">
        <f t="shared" si="80"/>
        <v>1449.8483999999999</v>
      </c>
    </row>
    <row r="5172" spans="1:4">
      <c r="A5172" s="122">
        <v>35594</v>
      </c>
      <c r="B5172" s="24">
        <v>0.75</v>
      </c>
      <c r="C5172" s="24">
        <v>1947.7</v>
      </c>
      <c r="D5172" s="47">
        <f t="shared" si="80"/>
        <v>1460.7750000000001</v>
      </c>
    </row>
    <row r="5173" spans="1:4">
      <c r="A5173" s="122">
        <v>35593</v>
      </c>
      <c r="B5173" s="24">
        <v>0.752</v>
      </c>
      <c r="C5173" s="24">
        <v>1949.6</v>
      </c>
      <c r="D5173" s="47">
        <f t="shared" si="80"/>
        <v>1466.0991999999999</v>
      </c>
    </row>
    <row r="5174" spans="1:4">
      <c r="A5174" s="122">
        <v>35592</v>
      </c>
      <c r="B5174" s="24">
        <v>0.75600000000000001</v>
      </c>
      <c r="C5174" s="24">
        <v>1965.2</v>
      </c>
      <c r="D5174" s="47">
        <f t="shared" si="80"/>
        <v>1485.6912</v>
      </c>
    </row>
    <row r="5175" spans="1:4">
      <c r="A5175" s="122">
        <v>35591</v>
      </c>
      <c r="B5175" s="24">
        <v>0.76200000000000001</v>
      </c>
      <c r="C5175" s="24">
        <v>1980.9</v>
      </c>
      <c r="D5175" s="47">
        <f t="shared" si="80"/>
        <v>1509.4458000000002</v>
      </c>
    </row>
    <row r="5176" spans="1:4">
      <c r="A5176" s="122">
        <v>35590</v>
      </c>
      <c r="B5176" s="24">
        <v>0.76100000000000001</v>
      </c>
      <c r="C5176" s="24">
        <v>1957.4</v>
      </c>
      <c r="D5176" s="47">
        <f t="shared" si="80"/>
        <v>1489.5814</v>
      </c>
    </row>
    <row r="5177" spans="1:4">
      <c r="A5177" s="122">
        <v>35587</v>
      </c>
      <c r="B5177" s="24">
        <v>0.76200000000000001</v>
      </c>
      <c r="C5177" s="24">
        <v>1967.2</v>
      </c>
      <c r="D5177" s="47">
        <f t="shared" si="80"/>
        <v>1499.0064</v>
      </c>
    </row>
    <row r="5178" spans="1:4">
      <c r="A5178" s="122">
        <v>35586</v>
      </c>
      <c r="B5178" s="24">
        <v>0.75900000000000001</v>
      </c>
      <c r="C5178" s="24">
        <v>1952</v>
      </c>
      <c r="D5178" s="47">
        <f t="shared" si="80"/>
        <v>1481.568</v>
      </c>
    </row>
    <row r="5179" spans="1:4">
      <c r="A5179" s="122">
        <v>35585</v>
      </c>
      <c r="B5179" s="24">
        <v>0.75700000000000001</v>
      </c>
      <c r="C5179" s="24">
        <v>1956.6</v>
      </c>
      <c r="D5179" s="47">
        <f t="shared" si="80"/>
        <v>1481.1461999999999</v>
      </c>
    </row>
    <row r="5180" spans="1:4">
      <c r="A5180" s="122">
        <v>35584</v>
      </c>
      <c r="B5180" s="24">
        <v>0.76200000000000001</v>
      </c>
      <c r="C5180" s="24">
        <v>1972.1</v>
      </c>
      <c r="D5180" s="47">
        <f t="shared" si="80"/>
        <v>1502.7402</v>
      </c>
    </row>
    <row r="5181" spans="1:4">
      <c r="A5181" s="122">
        <v>35583</v>
      </c>
      <c r="B5181" s="24">
        <v>0.75700000000000001</v>
      </c>
      <c r="C5181" s="24">
        <v>1969.7</v>
      </c>
      <c r="D5181" s="47">
        <f t="shared" si="80"/>
        <v>1491.0629000000001</v>
      </c>
    </row>
    <row r="5182" spans="1:4">
      <c r="A5182" s="122">
        <v>35580</v>
      </c>
      <c r="B5182" s="24">
        <v>0.76</v>
      </c>
      <c r="C5182" s="24">
        <v>1951</v>
      </c>
      <c r="D5182" s="47">
        <f t="shared" si="80"/>
        <v>1482.76</v>
      </c>
    </row>
    <row r="5183" spans="1:4">
      <c r="A5183" s="122">
        <v>35579</v>
      </c>
      <c r="B5183" s="24">
        <v>0.76600000000000001</v>
      </c>
      <c r="C5183" s="24">
        <v>1948.7</v>
      </c>
      <c r="D5183" s="47">
        <f t="shared" si="80"/>
        <v>1492.7042000000001</v>
      </c>
    </row>
    <row r="5184" spans="1:4">
      <c r="A5184" s="122">
        <v>35578</v>
      </c>
      <c r="B5184" s="24">
        <v>0.76500000000000001</v>
      </c>
      <c r="C5184" s="24">
        <v>1937.4</v>
      </c>
      <c r="D5184" s="47">
        <f t="shared" si="80"/>
        <v>1482.1110000000001</v>
      </c>
    </row>
    <row r="5185" spans="1:4">
      <c r="A5185" s="122">
        <v>35577</v>
      </c>
      <c r="B5185" s="24">
        <v>0.76400000000000001</v>
      </c>
      <c r="C5185" s="24">
        <v>1947.7</v>
      </c>
      <c r="D5185" s="47">
        <f t="shared" si="80"/>
        <v>1488.0428000000002</v>
      </c>
    </row>
    <row r="5186" spans="1:4">
      <c r="A5186" s="122">
        <v>35576</v>
      </c>
      <c r="B5186" s="24">
        <v>0.76600000000000001</v>
      </c>
      <c r="C5186" s="24">
        <v>1938.4</v>
      </c>
      <c r="D5186" s="47">
        <f t="shared" si="80"/>
        <v>1484.8144000000002</v>
      </c>
    </row>
    <row r="5187" spans="1:4">
      <c r="A5187" s="122">
        <v>35573</v>
      </c>
      <c r="B5187" s="24">
        <v>0.76600000000000001</v>
      </c>
      <c r="C5187" s="24">
        <v>1931.2</v>
      </c>
      <c r="D5187" s="47">
        <f t="shared" ref="D5187:D5250" si="81">C5187*B5187</f>
        <v>1479.2992000000002</v>
      </c>
    </row>
    <row r="5188" spans="1:4">
      <c r="A5188" s="122">
        <v>35572</v>
      </c>
      <c r="B5188" s="24">
        <v>0.77700000000000002</v>
      </c>
      <c r="C5188" s="24">
        <v>1935.7</v>
      </c>
      <c r="D5188" s="47">
        <f t="shared" si="81"/>
        <v>1504.0389</v>
      </c>
    </row>
    <row r="5189" spans="1:4">
      <c r="A5189" s="122">
        <v>35571</v>
      </c>
      <c r="B5189" s="24">
        <v>0.78700000000000003</v>
      </c>
      <c r="C5189" s="24">
        <v>1936.2</v>
      </c>
      <c r="D5189" s="47">
        <f t="shared" si="81"/>
        <v>1523.7894000000001</v>
      </c>
    </row>
    <row r="5190" spans="1:4">
      <c r="A5190" s="122">
        <v>35570</v>
      </c>
      <c r="B5190" s="24">
        <v>0.77500000000000002</v>
      </c>
      <c r="C5190" s="24">
        <v>1928.8</v>
      </c>
      <c r="D5190" s="47">
        <f t="shared" si="81"/>
        <v>1494.82</v>
      </c>
    </row>
    <row r="5191" spans="1:4">
      <c r="A5191" s="122">
        <v>35569</v>
      </c>
      <c r="B5191" s="24">
        <v>0.77500000000000002</v>
      </c>
      <c r="C5191" s="24">
        <v>1906.5</v>
      </c>
      <c r="D5191" s="47">
        <f t="shared" si="81"/>
        <v>1477.5375000000001</v>
      </c>
    </row>
    <row r="5192" spans="1:4">
      <c r="A5192" s="122">
        <v>35566</v>
      </c>
      <c r="B5192" s="24">
        <v>0.77600000000000002</v>
      </c>
      <c r="C5192" s="24">
        <v>1916.5</v>
      </c>
      <c r="D5192" s="47">
        <f t="shared" si="81"/>
        <v>1487.204</v>
      </c>
    </row>
    <row r="5193" spans="1:4">
      <c r="A5193" s="122">
        <v>35565</v>
      </c>
      <c r="B5193" s="24">
        <v>0.77700000000000002</v>
      </c>
      <c r="C5193" s="24">
        <v>1919.9</v>
      </c>
      <c r="D5193" s="47">
        <f t="shared" si="81"/>
        <v>1491.7623000000001</v>
      </c>
    </row>
    <row r="5194" spans="1:4">
      <c r="A5194" s="122">
        <v>35564</v>
      </c>
      <c r="B5194" s="24">
        <v>0.77600000000000002</v>
      </c>
      <c r="C5194" s="24">
        <v>1937.2</v>
      </c>
      <c r="D5194" s="47">
        <f t="shared" si="81"/>
        <v>1503.2672</v>
      </c>
    </row>
    <row r="5195" spans="1:4">
      <c r="A5195" s="122">
        <v>35563</v>
      </c>
      <c r="B5195" s="24">
        <v>0.77700000000000002</v>
      </c>
      <c r="C5195" s="24">
        <v>1970.7</v>
      </c>
      <c r="D5195" s="47">
        <f t="shared" si="81"/>
        <v>1531.2339000000002</v>
      </c>
    </row>
    <row r="5196" spans="1:4">
      <c r="A5196" s="122">
        <v>35562</v>
      </c>
      <c r="B5196" s="24">
        <v>0.77900000000000003</v>
      </c>
      <c r="C5196" s="24">
        <v>1967.7</v>
      </c>
      <c r="D5196" s="47">
        <f t="shared" si="81"/>
        <v>1532.8383000000001</v>
      </c>
    </row>
    <row r="5197" spans="1:4">
      <c r="A5197" s="122">
        <v>35559</v>
      </c>
      <c r="B5197" s="24">
        <v>0.77700000000000002</v>
      </c>
      <c r="C5197" s="24">
        <v>1970.6</v>
      </c>
      <c r="D5197" s="47">
        <f t="shared" si="81"/>
        <v>1531.1561999999999</v>
      </c>
    </row>
    <row r="5198" spans="1:4">
      <c r="A5198" s="122">
        <v>35558</v>
      </c>
      <c r="B5198" s="24">
        <v>0.77900000000000003</v>
      </c>
      <c r="C5198" s="24">
        <v>1953.1</v>
      </c>
      <c r="D5198" s="47">
        <f t="shared" si="81"/>
        <v>1521.4648999999999</v>
      </c>
    </row>
    <row r="5199" spans="1:4">
      <c r="A5199" s="122">
        <v>35557</v>
      </c>
      <c r="B5199" s="24">
        <v>0.77600000000000002</v>
      </c>
      <c r="C5199" s="24">
        <v>1952.3</v>
      </c>
      <c r="D5199" s="47">
        <f t="shared" si="81"/>
        <v>1514.9848</v>
      </c>
    </row>
    <row r="5200" spans="1:4">
      <c r="A5200" s="122">
        <v>35556</v>
      </c>
      <c r="B5200" s="24">
        <v>0.77700000000000002</v>
      </c>
      <c r="C5200" s="24">
        <v>1968.2</v>
      </c>
      <c r="D5200" s="47">
        <f t="shared" si="81"/>
        <v>1529.2914000000001</v>
      </c>
    </row>
    <row r="5201" spans="1:4">
      <c r="A5201" s="122">
        <v>35555</v>
      </c>
      <c r="B5201" s="24">
        <v>0.78</v>
      </c>
      <c r="C5201" s="24">
        <v>1966.1</v>
      </c>
      <c r="D5201" s="47">
        <f t="shared" si="81"/>
        <v>1533.558</v>
      </c>
    </row>
    <row r="5202" spans="1:4">
      <c r="A5202" s="122">
        <v>35552</v>
      </c>
      <c r="B5202" s="24">
        <v>0.78300000000000003</v>
      </c>
      <c r="C5202" s="24">
        <v>1967.8</v>
      </c>
      <c r="D5202" s="47">
        <f t="shared" si="81"/>
        <v>1540.7873999999999</v>
      </c>
    </row>
    <row r="5203" spans="1:4">
      <c r="A5203" s="122">
        <v>35551</v>
      </c>
      <c r="B5203" s="24">
        <v>0.78300000000000003</v>
      </c>
      <c r="C5203" s="24">
        <v>1966.7</v>
      </c>
      <c r="D5203" s="47">
        <f t="shared" si="81"/>
        <v>1539.9261000000001</v>
      </c>
    </row>
    <row r="5204" spans="1:4">
      <c r="A5204" s="122">
        <v>35550</v>
      </c>
      <c r="B5204" s="24">
        <v>0.78200000000000003</v>
      </c>
      <c r="C5204" s="24">
        <v>1986.4</v>
      </c>
      <c r="D5204" s="47">
        <f t="shared" si="81"/>
        <v>1553.3648000000001</v>
      </c>
    </row>
    <row r="5205" spans="1:4">
      <c r="A5205" s="122">
        <v>35549</v>
      </c>
      <c r="B5205" s="24">
        <v>0.78200000000000003</v>
      </c>
      <c r="C5205" s="24">
        <v>1991.4</v>
      </c>
      <c r="D5205" s="47">
        <f t="shared" si="81"/>
        <v>1557.2748000000001</v>
      </c>
    </row>
    <row r="5206" spans="1:4">
      <c r="A5206" s="122">
        <v>35548</v>
      </c>
      <c r="B5206" s="24">
        <v>0.78</v>
      </c>
      <c r="C5206" s="24">
        <v>2001.9</v>
      </c>
      <c r="D5206" s="47">
        <f t="shared" si="81"/>
        <v>1561.4820000000002</v>
      </c>
    </row>
    <row r="5207" spans="1:4">
      <c r="A5207" s="122">
        <v>35545</v>
      </c>
      <c r="B5207" s="24">
        <v>0.77600000000000002</v>
      </c>
      <c r="C5207" s="24">
        <v>1992.7</v>
      </c>
      <c r="D5207" s="47">
        <f t="shared" si="81"/>
        <v>1546.3352</v>
      </c>
    </row>
    <row r="5208" spans="1:4">
      <c r="A5208" s="122">
        <v>35544</v>
      </c>
      <c r="B5208" s="24">
        <v>0.77600000000000002</v>
      </c>
      <c r="C5208" s="24">
        <v>1990.8</v>
      </c>
      <c r="D5208" s="47">
        <f t="shared" si="81"/>
        <v>1544.8607999999999</v>
      </c>
    </row>
    <row r="5209" spans="1:4">
      <c r="A5209" s="122">
        <v>35543</v>
      </c>
      <c r="B5209" s="24">
        <v>0.77600000000000002</v>
      </c>
      <c r="C5209" s="24">
        <v>1983.5</v>
      </c>
      <c r="D5209" s="47">
        <f t="shared" si="81"/>
        <v>1539.1960000000001</v>
      </c>
    </row>
    <row r="5210" spans="1:4">
      <c r="A5210" s="122">
        <v>35542</v>
      </c>
      <c r="B5210" s="24">
        <v>0.77700000000000002</v>
      </c>
      <c r="C5210" s="24">
        <v>1970.3</v>
      </c>
      <c r="D5210" s="47">
        <f t="shared" si="81"/>
        <v>1530.9231</v>
      </c>
    </row>
    <row r="5211" spans="1:4">
      <c r="A5211" s="122">
        <v>35541</v>
      </c>
      <c r="B5211" s="24">
        <v>0.77800000000000002</v>
      </c>
      <c r="C5211" s="24">
        <v>2007.8</v>
      </c>
      <c r="D5211" s="47">
        <f t="shared" si="81"/>
        <v>1562.0684000000001</v>
      </c>
    </row>
    <row r="5212" spans="1:4">
      <c r="A5212" s="122">
        <v>35538</v>
      </c>
      <c r="B5212" s="24">
        <v>0.77300000000000002</v>
      </c>
      <c r="C5212" s="24">
        <v>2027.2</v>
      </c>
      <c r="D5212" s="47">
        <f t="shared" si="81"/>
        <v>1567.0256000000002</v>
      </c>
    </row>
    <row r="5213" spans="1:4">
      <c r="A5213" s="122">
        <v>35537</v>
      </c>
      <c r="B5213" s="24">
        <v>0.77700000000000002</v>
      </c>
      <c r="C5213" s="24">
        <v>2043.3</v>
      </c>
      <c r="D5213" s="47">
        <f t="shared" si="81"/>
        <v>1587.6441</v>
      </c>
    </row>
    <row r="5214" spans="1:4">
      <c r="A5214" s="122">
        <v>35536</v>
      </c>
      <c r="B5214" s="24">
        <v>0.77300000000000002</v>
      </c>
      <c r="C5214" s="24">
        <v>2044.7</v>
      </c>
      <c r="D5214" s="47">
        <f t="shared" si="81"/>
        <v>1580.5531000000001</v>
      </c>
    </row>
    <row r="5215" spans="1:4">
      <c r="A5215" s="122">
        <v>35535</v>
      </c>
      <c r="B5215" s="24">
        <v>0.77400000000000002</v>
      </c>
      <c r="C5215" s="24">
        <v>2036.5</v>
      </c>
      <c r="D5215" s="47">
        <f t="shared" si="81"/>
        <v>1576.251</v>
      </c>
    </row>
    <row r="5216" spans="1:4">
      <c r="A5216" s="122">
        <v>35534</v>
      </c>
      <c r="B5216" s="24">
        <v>0.77900000000000003</v>
      </c>
      <c r="C5216" s="24">
        <v>2049.1999999999998</v>
      </c>
      <c r="D5216" s="47">
        <f t="shared" si="81"/>
        <v>1596.3267999999998</v>
      </c>
    </row>
    <row r="5217" spans="1:4">
      <c r="A5217" s="122">
        <v>35531</v>
      </c>
      <c r="B5217" s="24">
        <v>0.78800000000000003</v>
      </c>
      <c r="C5217" s="24">
        <v>2047.6</v>
      </c>
      <c r="D5217" s="47">
        <f t="shared" si="81"/>
        <v>1613.5088000000001</v>
      </c>
    </row>
    <row r="5218" spans="1:4">
      <c r="A5218" s="122">
        <v>35530</v>
      </c>
      <c r="B5218" s="24">
        <v>0.78500000000000003</v>
      </c>
      <c r="C5218" s="24">
        <v>2063.9</v>
      </c>
      <c r="D5218" s="47">
        <f t="shared" si="81"/>
        <v>1620.1615000000002</v>
      </c>
    </row>
    <row r="5219" spans="1:4">
      <c r="A5219" s="122">
        <v>35529</v>
      </c>
      <c r="B5219" s="24">
        <v>0.78500000000000003</v>
      </c>
      <c r="C5219" s="24">
        <v>2059.8000000000002</v>
      </c>
      <c r="D5219" s="47">
        <f t="shared" si="81"/>
        <v>1616.9430000000002</v>
      </c>
    </row>
    <row r="5220" spans="1:4">
      <c r="A5220" s="122">
        <v>35528</v>
      </c>
      <c r="B5220" s="24">
        <v>0.78</v>
      </c>
      <c r="C5220" s="24">
        <v>2057.5</v>
      </c>
      <c r="D5220" s="47">
        <f t="shared" si="81"/>
        <v>1604.8500000000001</v>
      </c>
    </row>
    <row r="5221" spans="1:4">
      <c r="A5221" s="122">
        <v>35527</v>
      </c>
      <c r="B5221" s="24">
        <v>0.77600000000000002</v>
      </c>
      <c r="C5221" s="24">
        <v>2021.6</v>
      </c>
      <c r="D5221" s="47">
        <f t="shared" si="81"/>
        <v>1568.7616</v>
      </c>
    </row>
    <row r="5222" spans="1:4">
      <c r="A5222" s="122">
        <v>35524</v>
      </c>
      <c r="B5222" s="24">
        <v>0.77600000000000002</v>
      </c>
      <c r="C5222" s="24">
        <v>2022.5</v>
      </c>
      <c r="D5222" s="47">
        <f t="shared" si="81"/>
        <v>1569.46</v>
      </c>
    </row>
    <row r="5223" spans="1:4">
      <c r="A5223" s="122">
        <v>35523</v>
      </c>
      <c r="B5223" s="24">
        <v>0.77700000000000002</v>
      </c>
      <c r="C5223" s="24">
        <v>2005.5</v>
      </c>
      <c r="D5223" s="47">
        <f t="shared" si="81"/>
        <v>1558.2735</v>
      </c>
    </row>
    <row r="5224" spans="1:4">
      <c r="A5224" s="122">
        <v>35522</v>
      </c>
      <c r="B5224" s="24">
        <v>0.78300000000000003</v>
      </c>
      <c r="C5224" s="24">
        <v>1995</v>
      </c>
      <c r="D5224" s="47">
        <f t="shared" si="81"/>
        <v>1562.085</v>
      </c>
    </row>
    <row r="5225" spans="1:4">
      <c r="A5225" s="122">
        <v>35521</v>
      </c>
      <c r="B5225" s="24">
        <v>0.78600000000000003</v>
      </c>
      <c r="C5225" s="24">
        <v>2007.4</v>
      </c>
      <c r="D5225" s="47">
        <f t="shared" si="81"/>
        <v>1577.8164000000002</v>
      </c>
    </row>
    <row r="5226" spans="1:4">
      <c r="A5226" s="122">
        <v>35520</v>
      </c>
      <c r="B5226" s="24">
        <v>0.78600000000000003</v>
      </c>
      <c r="C5226" s="24">
        <v>2004.6</v>
      </c>
      <c r="D5226" s="47">
        <f t="shared" si="81"/>
        <v>1575.6156000000001</v>
      </c>
    </row>
    <row r="5227" spans="1:4">
      <c r="A5227" s="122">
        <v>35517</v>
      </c>
      <c r="B5227" s="24">
        <v>0.78400000000000003</v>
      </c>
      <c r="C5227" s="24">
        <v>2011.1</v>
      </c>
      <c r="D5227" s="47">
        <f t="shared" si="81"/>
        <v>1576.7023999999999</v>
      </c>
    </row>
    <row r="5228" spans="1:4">
      <c r="A5228" s="122">
        <v>35516</v>
      </c>
      <c r="B5228" s="24">
        <v>0.78500000000000003</v>
      </c>
      <c r="C5228" s="24">
        <v>2003.5</v>
      </c>
      <c r="D5228" s="47">
        <f t="shared" si="81"/>
        <v>1572.7475000000002</v>
      </c>
    </row>
    <row r="5229" spans="1:4">
      <c r="A5229" s="122">
        <v>35515</v>
      </c>
      <c r="B5229" s="24">
        <v>0.78500000000000003</v>
      </c>
      <c r="C5229" s="24">
        <v>1983.5</v>
      </c>
      <c r="D5229" s="47">
        <f t="shared" si="81"/>
        <v>1557.0475000000001</v>
      </c>
    </row>
    <row r="5230" spans="1:4">
      <c r="A5230" s="122">
        <v>35514</v>
      </c>
      <c r="B5230" s="24">
        <v>0.78300000000000003</v>
      </c>
      <c r="C5230" s="24">
        <v>2000.2</v>
      </c>
      <c r="D5230" s="47">
        <f t="shared" si="81"/>
        <v>1566.1566</v>
      </c>
    </row>
    <row r="5231" spans="1:4">
      <c r="A5231" s="122">
        <v>35513</v>
      </c>
      <c r="B5231" s="24">
        <v>0.78900000000000003</v>
      </c>
      <c r="C5231" s="24">
        <v>1996.1</v>
      </c>
      <c r="D5231" s="47">
        <f t="shared" si="81"/>
        <v>1574.9229</v>
      </c>
    </row>
    <row r="5232" spans="1:4">
      <c r="A5232" s="122">
        <v>35510</v>
      </c>
      <c r="B5232" s="24">
        <v>0.78600000000000003</v>
      </c>
      <c r="C5232" s="24">
        <v>2006.9</v>
      </c>
      <c r="D5232" s="47">
        <f t="shared" si="81"/>
        <v>1577.4234000000001</v>
      </c>
    </row>
    <row r="5233" spans="1:4">
      <c r="A5233" s="122">
        <v>35509</v>
      </c>
      <c r="B5233" s="24">
        <v>0.78700000000000003</v>
      </c>
      <c r="C5233" s="24">
        <v>2021.7</v>
      </c>
      <c r="D5233" s="47">
        <f t="shared" si="81"/>
        <v>1591.0779</v>
      </c>
    </row>
    <row r="5234" spans="1:4">
      <c r="A5234" s="122">
        <v>35508</v>
      </c>
      <c r="B5234" s="24">
        <v>0.78700000000000003</v>
      </c>
      <c r="C5234" s="24">
        <v>2031.9</v>
      </c>
      <c r="D5234" s="47">
        <f t="shared" si="81"/>
        <v>1599.1053000000002</v>
      </c>
    </row>
    <row r="5235" spans="1:4">
      <c r="A5235" s="122">
        <v>35507</v>
      </c>
      <c r="B5235" s="24">
        <v>0.78800000000000003</v>
      </c>
      <c r="C5235" s="24">
        <v>2025.4</v>
      </c>
      <c r="D5235" s="47">
        <f t="shared" si="81"/>
        <v>1596.0152</v>
      </c>
    </row>
    <row r="5236" spans="1:4">
      <c r="A5236" s="122">
        <v>35506</v>
      </c>
      <c r="B5236" s="24">
        <v>0.79300000000000004</v>
      </c>
      <c r="C5236" s="24">
        <v>2037</v>
      </c>
      <c r="D5236" s="47">
        <f t="shared" si="81"/>
        <v>1615.3410000000001</v>
      </c>
    </row>
    <row r="5237" spans="1:4">
      <c r="A5237" s="122">
        <v>35503</v>
      </c>
      <c r="B5237" s="24">
        <v>0.8</v>
      </c>
      <c r="C5237" s="24">
        <v>2028.8</v>
      </c>
      <c r="D5237" s="47">
        <f t="shared" si="81"/>
        <v>1623.04</v>
      </c>
    </row>
    <row r="5238" spans="1:4">
      <c r="A5238" s="122">
        <v>35502</v>
      </c>
      <c r="B5238" s="24">
        <v>0.79400000000000004</v>
      </c>
      <c r="C5238" s="24">
        <v>2016.2</v>
      </c>
      <c r="D5238" s="47">
        <f t="shared" si="81"/>
        <v>1600.8628000000001</v>
      </c>
    </row>
    <row r="5239" spans="1:4">
      <c r="A5239" s="122">
        <v>35501</v>
      </c>
      <c r="B5239" s="24">
        <v>0.79500000000000004</v>
      </c>
      <c r="C5239" s="24">
        <v>2030.3</v>
      </c>
      <c r="D5239" s="47">
        <f t="shared" si="81"/>
        <v>1614.0885000000001</v>
      </c>
    </row>
    <row r="5240" spans="1:4">
      <c r="A5240" s="122">
        <v>35500</v>
      </c>
      <c r="B5240" s="24">
        <v>0.79300000000000004</v>
      </c>
      <c r="C5240" s="24">
        <v>2025.4</v>
      </c>
      <c r="D5240" s="47">
        <f t="shared" si="81"/>
        <v>1606.1422000000002</v>
      </c>
    </row>
    <row r="5241" spans="1:4">
      <c r="A5241" s="122">
        <v>35499</v>
      </c>
      <c r="B5241" s="24">
        <v>0.78900000000000003</v>
      </c>
      <c r="C5241" s="24">
        <v>2003.5</v>
      </c>
      <c r="D5241" s="47">
        <f t="shared" si="81"/>
        <v>1580.7615000000001</v>
      </c>
    </row>
    <row r="5242" spans="1:4">
      <c r="A5242" s="122">
        <v>35496</v>
      </c>
      <c r="B5242" s="24">
        <v>0.78700000000000003</v>
      </c>
      <c r="C5242" s="24">
        <v>1982.3</v>
      </c>
      <c r="D5242" s="47">
        <f t="shared" si="81"/>
        <v>1560.0701000000001</v>
      </c>
    </row>
    <row r="5243" spans="1:4">
      <c r="A5243" s="122">
        <v>35495</v>
      </c>
      <c r="B5243" s="24">
        <v>0.78600000000000003</v>
      </c>
      <c r="C5243" s="24">
        <v>1982.2</v>
      </c>
      <c r="D5243" s="47">
        <f t="shared" si="81"/>
        <v>1558.0092000000002</v>
      </c>
    </row>
    <row r="5244" spans="1:4">
      <c r="A5244" s="122">
        <v>35494</v>
      </c>
      <c r="B5244" s="24">
        <v>0.78400000000000003</v>
      </c>
      <c r="C5244" s="24">
        <v>1983.2</v>
      </c>
      <c r="D5244" s="47">
        <f t="shared" si="81"/>
        <v>1554.8288</v>
      </c>
    </row>
    <row r="5245" spans="1:4">
      <c r="A5245" s="122">
        <v>35493</v>
      </c>
      <c r="B5245" s="24">
        <v>0.78900000000000003</v>
      </c>
      <c r="C5245" s="24">
        <v>1990.7</v>
      </c>
      <c r="D5245" s="47">
        <f t="shared" si="81"/>
        <v>1570.6623000000002</v>
      </c>
    </row>
    <row r="5246" spans="1:4">
      <c r="A5246" s="122">
        <v>35492</v>
      </c>
      <c r="B5246" s="24">
        <v>0.78800000000000003</v>
      </c>
      <c r="C5246" s="24">
        <v>1994.1</v>
      </c>
      <c r="D5246" s="47">
        <f t="shared" si="81"/>
        <v>1571.3507999999999</v>
      </c>
    </row>
    <row r="5247" spans="1:4">
      <c r="A5247" s="122">
        <v>35489</v>
      </c>
      <c r="B5247" s="24">
        <v>0.77900000000000003</v>
      </c>
      <c r="C5247" s="24">
        <v>1991.2</v>
      </c>
      <c r="D5247" s="47">
        <f t="shared" si="81"/>
        <v>1551.1448</v>
      </c>
    </row>
    <row r="5248" spans="1:4">
      <c r="A5248" s="122">
        <v>35488</v>
      </c>
      <c r="B5248" s="24">
        <v>0.77500000000000002</v>
      </c>
      <c r="C5248" s="24">
        <v>2021.6</v>
      </c>
      <c r="D5248" s="47">
        <f t="shared" si="81"/>
        <v>1566.74</v>
      </c>
    </row>
    <row r="5249" spans="1:4">
      <c r="A5249" s="122">
        <v>35487</v>
      </c>
      <c r="B5249" s="24">
        <v>0.77600000000000002</v>
      </c>
      <c r="C5249" s="24">
        <v>2020.9</v>
      </c>
      <c r="D5249" s="47">
        <f t="shared" si="81"/>
        <v>1568.2184000000002</v>
      </c>
    </row>
    <row r="5250" spans="1:4">
      <c r="A5250" s="122">
        <v>35486</v>
      </c>
      <c r="B5250" s="24">
        <v>0.77600000000000002</v>
      </c>
      <c r="C5250" s="24">
        <v>2015.6</v>
      </c>
      <c r="D5250" s="47">
        <f t="shared" si="81"/>
        <v>1564.1055999999999</v>
      </c>
    </row>
    <row r="5251" spans="1:4">
      <c r="A5251" s="122">
        <v>35485</v>
      </c>
      <c r="B5251" s="24">
        <v>0.77700000000000002</v>
      </c>
      <c r="C5251" s="24">
        <v>2002</v>
      </c>
      <c r="D5251" s="47">
        <f t="shared" ref="D5251:D5314" si="82">C5251*B5251</f>
        <v>1555.5540000000001</v>
      </c>
    </row>
    <row r="5252" spans="1:4">
      <c r="A5252" s="122">
        <v>35482</v>
      </c>
      <c r="B5252" s="24">
        <v>0.77700000000000002</v>
      </c>
      <c r="C5252" s="24">
        <v>1951.8</v>
      </c>
      <c r="D5252" s="47">
        <f t="shared" si="82"/>
        <v>1516.5486000000001</v>
      </c>
    </row>
    <row r="5253" spans="1:4">
      <c r="A5253" s="122">
        <v>35481</v>
      </c>
      <c r="B5253" s="24">
        <v>0.77200000000000002</v>
      </c>
      <c r="C5253" s="24">
        <v>1921.1</v>
      </c>
      <c r="D5253" s="47">
        <f t="shared" si="82"/>
        <v>1483.0891999999999</v>
      </c>
    </row>
    <row r="5254" spans="1:4">
      <c r="A5254" s="122">
        <v>35480</v>
      </c>
      <c r="B5254" s="24">
        <v>0.76700000000000002</v>
      </c>
      <c r="C5254" s="24">
        <v>1915</v>
      </c>
      <c r="D5254" s="47">
        <f t="shared" si="82"/>
        <v>1468.8050000000001</v>
      </c>
    </row>
    <row r="5255" spans="1:4">
      <c r="A5255" s="122">
        <v>35479</v>
      </c>
      <c r="B5255" s="24">
        <v>0.76500000000000001</v>
      </c>
      <c r="C5255" s="24">
        <v>1902.2</v>
      </c>
      <c r="D5255" s="47">
        <f t="shared" si="82"/>
        <v>1455.183</v>
      </c>
    </row>
    <row r="5256" spans="1:4">
      <c r="A5256" s="122">
        <v>35478</v>
      </c>
      <c r="B5256" s="24">
        <v>0.76600000000000001</v>
      </c>
      <c r="C5256" s="24">
        <v>1905.5</v>
      </c>
      <c r="D5256" s="47">
        <f t="shared" si="82"/>
        <v>1459.6130000000001</v>
      </c>
    </row>
    <row r="5257" spans="1:4">
      <c r="A5257" s="122">
        <v>35475</v>
      </c>
      <c r="B5257" s="24">
        <v>0.76500000000000001</v>
      </c>
      <c r="C5257" s="24">
        <v>1902.3</v>
      </c>
      <c r="D5257" s="47">
        <f t="shared" si="82"/>
        <v>1455.2594999999999</v>
      </c>
    </row>
    <row r="5258" spans="1:4">
      <c r="A5258" s="122">
        <v>35474</v>
      </c>
      <c r="B5258" s="24">
        <v>0.76600000000000001</v>
      </c>
      <c r="C5258" s="24">
        <v>1931.7</v>
      </c>
      <c r="D5258" s="47">
        <f t="shared" si="82"/>
        <v>1479.6822</v>
      </c>
    </row>
    <row r="5259" spans="1:4">
      <c r="A5259" s="122">
        <v>35473</v>
      </c>
      <c r="B5259" s="24">
        <v>0.75900000000000001</v>
      </c>
      <c r="C5259" s="24">
        <v>1945.3</v>
      </c>
      <c r="D5259" s="47">
        <f t="shared" si="82"/>
        <v>1476.4827</v>
      </c>
    </row>
    <row r="5260" spans="1:4">
      <c r="A5260" s="122">
        <v>35472</v>
      </c>
      <c r="B5260" s="24">
        <v>0.75800000000000001</v>
      </c>
      <c r="C5260" s="24">
        <v>1929.9</v>
      </c>
      <c r="D5260" s="47">
        <f t="shared" si="82"/>
        <v>1462.8642</v>
      </c>
    </row>
    <row r="5261" spans="1:4">
      <c r="A5261" s="122">
        <v>35471</v>
      </c>
      <c r="B5261" s="24">
        <v>0.75800000000000001</v>
      </c>
      <c r="C5261" s="24">
        <v>1907.8</v>
      </c>
      <c r="D5261" s="47">
        <f t="shared" si="82"/>
        <v>1446.1124</v>
      </c>
    </row>
    <row r="5262" spans="1:4">
      <c r="A5262" s="122">
        <v>35468</v>
      </c>
      <c r="B5262" s="24">
        <v>0.76100000000000001</v>
      </c>
      <c r="C5262" s="24">
        <v>1931.1</v>
      </c>
      <c r="D5262" s="47">
        <f t="shared" si="82"/>
        <v>1469.5671</v>
      </c>
    </row>
    <row r="5263" spans="1:4">
      <c r="A5263" s="122">
        <v>35467</v>
      </c>
      <c r="B5263" s="24">
        <v>0.76500000000000001</v>
      </c>
      <c r="C5263" s="24">
        <v>1917.3</v>
      </c>
      <c r="D5263" s="47">
        <f t="shared" si="82"/>
        <v>1466.7345</v>
      </c>
    </row>
    <row r="5264" spans="1:4">
      <c r="A5264" s="122">
        <v>35466</v>
      </c>
      <c r="B5264" s="24">
        <v>0.76300000000000001</v>
      </c>
      <c r="C5264" s="24">
        <v>1916.8</v>
      </c>
      <c r="D5264" s="47">
        <f t="shared" si="82"/>
        <v>1462.5183999999999</v>
      </c>
    </row>
    <row r="5265" spans="1:4">
      <c r="A5265" s="122">
        <v>35465</v>
      </c>
      <c r="B5265" s="24">
        <v>0.76400000000000001</v>
      </c>
      <c r="C5265" s="24">
        <v>1901.3</v>
      </c>
      <c r="D5265" s="47">
        <f t="shared" si="82"/>
        <v>1452.5932</v>
      </c>
    </row>
    <row r="5266" spans="1:4">
      <c r="A5266" s="122">
        <v>35464</v>
      </c>
      <c r="B5266" s="24">
        <v>0.76500000000000001</v>
      </c>
      <c r="C5266" s="24">
        <v>1962</v>
      </c>
      <c r="D5266" s="47">
        <f t="shared" si="82"/>
        <v>1500.93</v>
      </c>
    </row>
    <row r="5267" spans="1:4">
      <c r="A5267" s="122">
        <v>35461</v>
      </c>
      <c r="B5267" s="24">
        <v>0.76200000000000001</v>
      </c>
      <c r="C5267" s="24">
        <v>1966.6</v>
      </c>
      <c r="D5267" s="47">
        <f t="shared" si="82"/>
        <v>1498.5491999999999</v>
      </c>
    </row>
    <row r="5268" spans="1:4">
      <c r="A5268" s="122">
        <v>35460</v>
      </c>
      <c r="B5268" s="24">
        <v>0.76500000000000001</v>
      </c>
      <c r="C5268" s="24">
        <v>1953.3</v>
      </c>
      <c r="D5268" s="47">
        <f t="shared" si="82"/>
        <v>1494.2745</v>
      </c>
    </row>
    <row r="5269" spans="1:4">
      <c r="A5269" s="122">
        <v>35459</v>
      </c>
      <c r="B5269" s="24">
        <v>0.77100000000000002</v>
      </c>
      <c r="C5269" s="24">
        <v>1934.9</v>
      </c>
      <c r="D5269" s="47">
        <f t="shared" si="82"/>
        <v>1491.8079</v>
      </c>
    </row>
    <row r="5270" spans="1:4">
      <c r="A5270" s="122">
        <v>35458</v>
      </c>
      <c r="B5270" s="24">
        <v>0.76800000000000002</v>
      </c>
      <c r="C5270" s="24">
        <v>1964.4</v>
      </c>
      <c r="D5270" s="47">
        <f t="shared" si="82"/>
        <v>1508.6592000000001</v>
      </c>
    </row>
    <row r="5271" spans="1:4">
      <c r="A5271" s="122">
        <v>35457</v>
      </c>
      <c r="B5271" s="24">
        <v>0.77200000000000002</v>
      </c>
      <c r="C5271" s="24">
        <v>1991.9</v>
      </c>
      <c r="D5271" s="47">
        <f t="shared" si="82"/>
        <v>1537.7468000000001</v>
      </c>
    </row>
    <row r="5272" spans="1:4">
      <c r="A5272" s="122">
        <v>35454</v>
      </c>
      <c r="B5272" s="24">
        <v>0.77100000000000002</v>
      </c>
      <c r="C5272" s="24">
        <v>1996.5</v>
      </c>
      <c r="D5272" s="47">
        <f t="shared" si="82"/>
        <v>1539.3015</v>
      </c>
    </row>
    <row r="5273" spans="1:4">
      <c r="A5273" s="122">
        <v>35453</v>
      </c>
      <c r="B5273" s="24">
        <v>0.77100000000000002</v>
      </c>
      <c r="C5273" s="24">
        <v>2015.4</v>
      </c>
      <c r="D5273" s="47">
        <f t="shared" si="82"/>
        <v>1553.8734000000002</v>
      </c>
    </row>
    <row r="5274" spans="1:4">
      <c r="A5274" s="122">
        <v>35452</v>
      </c>
      <c r="B5274" s="24">
        <v>0.77600000000000002</v>
      </c>
      <c r="C5274" s="24">
        <v>2017.8</v>
      </c>
      <c r="D5274" s="47">
        <f t="shared" si="82"/>
        <v>1565.8127999999999</v>
      </c>
    </row>
    <row r="5275" spans="1:4">
      <c r="A5275" s="122">
        <v>35451</v>
      </c>
      <c r="B5275" s="24">
        <v>0.77700000000000002</v>
      </c>
      <c r="C5275" s="24">
        <v>2009.9</v>
      </c>
      <c r="D5275" s="47">
        <f t="shared" si="82"/>
        <v>1561.6923000000002</v>
      </c>
    </row>
    <row r="5276" spans="1:4">
      <c r="A5276" s="122">
        <v>35450</v>
      </c>
      <c r="B5276" s="24">
        <v>0.77600000000000002</v>
      </c>
      <c r="C5276" s="24">
        <v>2015.6</v>
      </c>
      <c r="D5276" s="47">
        <f t="shared" si="82"/>
        <v>1564.1055999999999</v>
      </c>
    </row>
    <row r="5277" spans="1:4">
      <c r="A5277" s="122">
        <v>35447</v>
      </c>
      <c r="B5277" s="24">
        <v>0.78</v>
      </c>
      <c r="C5277" s="24">
        <v>2018.4</v>
      </c>
      <c r="D5277" s="47">
        <f t="shared" si="82"/>
        <v>1574.3520000000001</v>
      </c>
    </row>
    <row r="5278" spans="1:4">
      <c r="A5278" s="122">
        <v>35446</v>
      </c>
      <c r="B5278" s="24">
        <v>0.77900000000000003</v>
      </c>
      <c r="C5278" s="24">
        <v>2008.8</v>
      </c>
      <c r="D5278" s="47">
        <f t="shared" si="82"/>
        <v>1564.8552</v>
      </c>
    </row>
    <row r="5279" spans="1:4">
      <c r="A5279" s="122">
        <v>35445</v>
      </c>
      <c r="B5279" s="24">
        <v>0.77500000000000002</v>
      </c>
      <c r="C5279" s="24">
        <v>2011.2</v>
      </c>
      <c r="D5279" s="47">
        <f t="shared" si="82"/>
        <v>1558.68</v>
      </c>
    </row>
    <row r="5280" spans="1:4">
      <c r="A5280" s="122">
        <v>35444</v>
      </c>
      <c r="B5280" s="24">
        <v>0.78</v>
      </c>
      <c r="C5280" s="24">
        <v>2017.2</v>
      </c>
      <c r="D5280" s="47">
        <f t="shared" si="82"/>
        <v>1573.4160000000002</v>
      </c>
    </row>
    <row r="5281" spans="1:4">
      <c r="A5281" s="122">
        <v>35443</v>
      </c>
      <c r="B5281" s="24">
        <v>0.77800000000000002</v>
      </c>
      <c r="C5281" s="24">
        <v>2015.7</v>
      </c>
      <c r="D5281" s="47">
        <f t="shared" si="82"/>
        <v>1568.2146</v>
      </c>
    </row>
    <row r="5282" spans="1:4">
      <c r="A5282" s="122">
        <v>35440</v>
      </c>
      <c r="B5282" s="24">
        <v>0.78100000000000003</v>
      </c>
      <c r="C5282" s="24">
        <v>2036.5</v>
      </c>
      <c r="D5282" s="47">
        <f t="shared" si="82"/>
        <v>1590.5065</v>
      </c>
    </row>
    <row r="5283" spans="1:4">
      <c r="A5283" s="122">
        <v>35439</v>
      </c>
      <c r="B5283" s="24">
        <v>0.78100000000000003</v>
      </c>
      <c r="C5283" s="24">
        <v>2021.2</v>
      </c>
      <c r="D5283" s="47">
        <f t="shared" si="82"/>
        <v>1578.5572000000002</v>
      </c>
    </row>
    <row r="5284" spans="1:4">
      <c r="A5284" s="122">
        <v>35438</v>
      </c>
      <c r="B5284" s="24">
        <v>0.78100000000000003</v>
      </c>
      <c r="C5284" s="24">
        <v>2032.5</v>
      </c>
      <c r="D5284" s="47">
        <f t="shared" si="82"/>
        <v>1587.3825000000002</v>
      </c>
    </row>
    <row r="5285" spans="1:4">
      <c r="A5285" s="122">
        <v>35437</v>
      </c>
      <c r="B5285" s="24">
        <v>0.79</v>
      </c>
      <c r="C5285" s="24">
        <v>2041.9</v>
      </c>
      <c r="D5285" s="47">
        <f t="shared" si="82"/>
        <v>1613.1010000000001</v>
      </c>
    </row>
    <row r="5286" spans="1:4">
      <c r="A5286" s="122">
        <v>35436</v>
      </c>
      <c r="B5286" s="24">
        <v>0.78900000000000003</v>
      </c>
      <c r="C5286" s="24">
        <v>2035.4</v>
      </c>
      <c r="D5286" s="47">
        <f t="shared" si="82"/>
        <v>1605.9306000000001</v>
      </c>
    </row>
    <row r="5287" spans="1:4">
      <c r="A5287" s="122">
        <v>35433</v>
      </c>
      <c r="B5287" s="24">
        <v>0.79100000000000004</v>
      </c>
      <c r="C5287" s="24">
        <v>2045.4</v>
      </c>
      <c r="D5287" s="47">
        <f t="shared" si="82"/>
        <v>1617.9114000000002</v>
      </c>
    </row>
    <row r="5288" spans="1:4">
      <c r="A5288" s="122">
        <v>35432</v>
      </c>
      <c r="B5288" s="24">
        <v>0.79100000000000004</v>
      </c>
      <c r="C5288" s="24">
        <v>2072.1</v>
      </c>
      <c r="D5288" s="47">
        <f t="shared" si="82"/>
        <v>1639.0310999999999</v>
      </c>
    </row>
    <row r="5289" spans="1:4">
      <c r="A5289" s="122">
        <v>35431</v>
      </c>
      <c r="B5289" s="24">
        <v>0.79400000000000004</v>
      </c>
      <c r="C5289" s="24">
        <v>2060.6999999999998</v>
      </c>
      <c r="D5289" s="47">
        <f t="shared" si="82"/>
        <v>1636.1958</v>
      </c>
    </row>
    <row r="5290" spans="1:4">
      <c r="A5290" s="122">
        <v>35430</v>
      </c>
      <c r="B5290" s="24">
        <v>0.79400000000000004</v>
      </c>
      <c r="C5290" s="24">
        <v>2043.8</v>
      </c>
      <c r="D5290" s="47">
        <f t="shared" si="82"/>
        <v>1622.7772</v>
      </c>
    </row>
    <row r="5291" spans="1:4">
      <c r="A5291" s="122">
        <v>35429</v>
      </c>
      <c r="B5291" s="24">
        <v>0.79600000000000004</v>
      </c>
      <c r="C5291" s="24">
        <v>2032</v>
      </c>
      <c r="D5291" s="47">
        <f t="shared" si="82"/>
        <v>1617.472</v>
      </c>
    </row>
    <row r="5292" spans="1:4">
      <c r="A5292" s="122">
        <v>35426</v>
      </c>
      <c r="B5292" s="24">
        <v>0.79400000000000004</v>
      </c>
      <c r="C5292" s="24">
        <v>2047.4</v>
      </c>
      <c r="D5292" s="47">
        <f t="shared" si="82"/>
        <v>1625.6356000000001</v>
      </c>
    </row>
    <row r="5293" spans="1:4">
      <c r="A5293" s="122">
        <v>35425</v>
      </c>
      <c r="B5293" s="24">
        <v>0.79500000000000004</v>
      </c>
      <c r="C5293" s="24">
        <v>2036.2</v>
      </c>
      <c r="D5293" s="47">
        <f t="shared" si="82"/>
        <v>1618.7790000000002</v>
      </c>
    </row>
    <row r="5294" spans="1:4">
      <c r="A5294" s="122">
        <v>35424</v>
      </c>
      <c r="B5294" s="24">
        <v>0.79500000000000004</v>
      </c>
      <c r="C5294" s="24">
        <v>2051.8000000000002</v>
      </c>
      <c r="D5294" s="47">
        <f t="shared" si="82"/>
        <v>1631.1810000000003</v>
      </c>
    </row>
    <row r="5295" spans="1:4">
      <c r="A5295" s="122">
        <v>35423</v>
      </c>
      <c r="B5295" s="24">
        <v>0.79500000000000004</v>
      </c>
      <c r="C5295" s="24">
        <v>2010.8</v>
      </c>
      <c r="D5295" s="47">
        <f t="shared" si="82"/>
        <v>1598.586</v>
      </c>
    </row>
    <row r="5296" spans="1:4">
      <c r="A5296" s="122">
        <v>35422</v>
      </c>
      <c r="B5296" s="24">
        <v>0.79800000000000004</v>
      </c>
      <c r="C5296" s="24">
        <v>1981.8</v>
      </c>
      <c r="D5296" s="47">
        <f t="shared" si="82"/>
        <v>1581.4764</v>
      </c>
    </row>
    <row r="5297" spans="1:4">
      <c r="A5297" s="122">
        <v>35419</v>
      </c>
      <c r="B5297" s="24">
        <v>0.79600000000000004</v>
      </c>
      <c r="C5297" s="24">
        <v>1974.1</v>
      </c>
      <c r="D5297" s="47">
        <f t="shared" si="82"/>
        <v>1571.3836000000001</v>
      </c>
    </row>
    <row r="5298" spans="1:4">
      <c r="A5298" s="122">
        <v>35418</v>
      </c>
      <c r="B5298" s="24">
        <v>0.79400000000000004</v>
      </c>
      <c r="C5298" s="24">
        <v>1946.6</v>
      </c>
      <c r="D5298" s="47">
        <f t="shared" si="82"/>
        <v>1545.6004</v>
      </c>
    </row>
    <row r="5299" spans="1:4">
      <c r="A5299" s="122">
        <v>35417</v>
      </c>
      <c r="B5299" s="24">
        <v>0.79100000000000004</v>
      </c>
      <c r="C5299" s="24">
        <v>1948.3</v>
      </c>
      <c r="D5299" s="47">
        <f t="shared" si="82"/>
        <v>1541.1052999999999</v>
      </c>
    </row>
    <row r="5300" spans="1:4">
      <c r="A5300" s="122">
        <v>35416</v>
      </c>
      <c r="B5300" s="24">
        <v>0.79600000000000004</v>
      </c>
      <c r="C5300" s="24">
        <v>1944.8</v>
      </c>
      <c r="D5300" s="47">
        <f t="shared" si="82"/>
        <v>1548.0608</v>
      </c>
    </row>
    <row r="5301" spans="1:4">
      <c r="A5301" s="122">
        <v>35415</v>
      </c>
      <c r="B5301" s="24">
        <v>0.79200000000000004</v>
      </c>
      <c r="C5301" s="24">
        <v>1928.7</v>
      </c>
      <c r="D5301" s="47">
        <f t="shared" si="82"/>
        <v>1527.5304000000001</v>
      </c>
    </row>
    <row r="5302" spans="1:4">
      <c r="A5302" s="122">
        <v>35412</v>
      </c>
      <c r="B5302" s="24">
        <v>0.79100000000000004</v>
      </c>
      <c r="C5302" s="24">
        <v>1958.2</v>
      </c>
      <c r="D5302" s="47">
        <f t="shared" si="82"/>
        <v>1548.9362000000001</v>
      </c>
    </row>
    <row r="5303" spans="1:4">
      <c r="A5303" s="122">
        <v>35411</v>
      </c>
      <c r="B5303" s="24">
        <v>0.79300000000000004</v>
      </c>
      <c r="C5303" s="24">
        <v>1983.6</v>
      </c>
      <c r="D5303" s="47">
        <f t="shared" si="82"/>
        <v>1572.9947999999999</v>
      </c>
    </row>
    <row r="5304" spans="1:4">
      <c r="A5304" s="122">
        <v>35410</v>
      </c>
      <c r="B5304" s="24">
        <v>0.79</v>
      </c>
      <c r="C5304" s="24">
        <v>1986.3</v>
      </c>
      <c r="D5304" s="47">
        <f t="shared" si="82"/>
        <v>1569.1770000000001</v>
      </c>
    </row>
    <row r="5305" spans="1:4">
      <c r="A5305" s="122">
        <v>35409</v>
      </c>
      <c r="B5305" s="24">
        <v>0.80200000000000005</v>
      </c>
      <c r="C5305" s="24">
        <v>2004.2</v>
      </c>
      <c r="D5305" s="47">
        <f t="shared" si="82"/>
        <v>1607.3684000000001</v>
      </c>
    </row>
    <row r="5306" spans="1:4">
      <c r="A5306" s="122">
        <v>35408</v>
      </c>
      <c r="B5306" s="24">
        <v>0.80300000000000005</v>
      </c>
      <c r="C5306" s="24">
        <v>2007.9</v>
      </c>
      <c r="D5306" s="47">
        <f t="shared" si="82"/>
        <v>1612.3437000000001</v>
      </c>
    </row>
    <row r="5307" spans="1:4">
      <c r="A5307" s="122">
        <v>35405</v>
      </c>
      <c r="B5307" s="24">
        <v>0.79800000000000004</v>
      </c>
      <c r="C5307" s="24">
        <v>1997.8</v>
      </c>
      <c r="D5307" s="47">
        <f t="shared" si="82"/>
        <v>1594.2444</v>
      </c>
    </row>
    <row r="5308" spans="1:4">
      <c r="A5308" s="122">
        <v>35404</v>
      </c>
      <c r="B5308" s="24">
        <v>0.79900000000000004</v>
      </c>
      <c r="C5308" s="24">
        <v>2006.8</v>
      </c>
      <c r="D5308" s="47">
        <f t="shared" si="82"/>
        <v>1603.4331999999999</v>
      </c>
    </row>
    <row r="5309" spans="1:4">
      <c r="A5309" s="122">
        <v>35403</v>
      </c>
      <c r="B5309" s="24">
        <v>0.79900000000000004</v>
      </c>
      <c r="C5309" s="24">
        <v>1979.3</v>
      </c>
      <c r="D5309" s="47">
        <f t="shared" si="82"/>
        <v>1581.4607000000001</v>
      </c>
    </row>
    <row r="5310" spans="1:4">
      <c r="A5310" s="122">
        <v>35402</v>
      </c>
      <c r="B5310" s="24">
        <v>0.79500000000000004</v>
      </c>
      <c r="C5310" s="24">
        <v>1966.8</v>
      </c>
      <c r="D5310" s="47">
        <f t="shared" si="82"/>
        <v>1563.606</v>
      </c>
    </row>
    <row r="5311" spans="1:4">
      <c r="A5311" s="122">
        <v>35401</v>
      </c>
      <c r="B5311" s="24">
        <v>0.81699999999999995</v>
      </c>
      <c r="C5311" s="24">
        <v>1982.1</v>
      </c>
      <c r="D5311" s="47">
        <f t="shared" si="82"/>
        <v>1619.3756999999998</v>
      </c>
    </row>
    <row r="5312" spans="1:4">
      <c r="A5312" s="122">
        <v>35398</v>
      </c>
      <c r="B5312" s="24">
        <v>0.81599999999999995</v>
      </c>
      <c r="C5312" s="24">
        <v>1997</v>
      </c>
      <c r="D5312" s="47">
        <f t="shared" si="82"/>
        <v>1629.5519999999999</v>
      </c>
    </row>
    <row r="5313" spans="1:4">
      <c r="A5313" s="122">
        <v>35397</v>
      </c>
      <c r="B5313" s="24">
        <v>0.81</v>
      </c>
      <c r="C5313" s="24">
        <v>2030.8</v>
      </c>
      <c r="D5313" s="47">
        <f t="shared" si="82"/>
        <v>1644.9480000000001</v>
      </c>
    </row>
    <row r="5314" spans="1:4">
      <c r="A5314" s="122">
        <v>35396</v>
      </c>
      <c r="B5314" s="24">
        <v>0.81</v>
      </c>
      <c r="C5314" s="24">
        <v>2013.9</v>
      </c>
      <c r="D5314" s="47">
        <f t="shared" si="82"/>
        <v>1631.2590000000002</v>
      </c>
    </row>
    <row r="5315" spans="1:4">
      <c r="A5315" s="122">
        <v>35395</v>
      </c>
      <c r="B5315" s="24">
        <v>0.81</v>
      </c>
      <c r="C5315" s="24">
        <v>2027.9</v>
      </c>
      <c r="D5315" s="47">
        <f t="shared" ref="D5315:D5378" si="83">C5315*B5315</f>
        <v>1642.5990000000002</v>
      </c>
    </row>
    <row r="5316" spans="1:4">
      <c r="A5316" s="122">
        <v>35394</v>
      </c>
      <c r="B5316" s="24">
        <v>0.81</v>
      </c>
      <c r="C5316" s="24">
        <v>2048.1</v>
      </c>
      <c r="D5316" s="47">
        <f t="shared" si="83"/>
        <v>1658.961</v>
      </c>
    </row>
    <row r="5317" spans="1:4">
      <c r="A5317" s="122">
        <v>35391</v>
      </c>
      <c r="B5317" s="24">
        <v>0.81399999999999995</v>
      </c>
      <c r="C5317" s="24">
        <v>2026.8</v>
      </c>
      <c r="D5317" s="47">
        <f t="shared" si="83"/>
        <v>1649.8151999999998</v>
      </c>
    </row>
    <row r="5318" spans="1:4">
      <c r="A5318" s="122">
        <v>35390</v>
      </c>
      <c r="B5318" s="24">
        <v>0.81100000000000005</v>
      </c>
      <c r="C5318" s="24">
        <v>2005.7</v>
      </c>
      <c r="D5318" s="47">
        <f t="shared" si="83"/>
        <v>1626.6227000000001</v>
      </c>
    </row>
    <row r="5319" spans="1:4">
      <c r="A5319" s="122">
        <v>35389</v>
      </c>
      <c r="B5319" s="24">
        <v>0.8</v>
      </c>
      <c r="C5319" s="24">
        <v>2011.2</v>
      </c>
      <c r="D5319" s="47">
        <f t="shared" si="83"/>
        <v>1608.96</v>
      </c>
    </row>
    <row r="5320" spans="1:4">
      <c r="A5320" s="122">
        <v>35388</v>
      </c>
      <c r="B5320" s="24">
        <v>0.79400000000000004</v>
      </c>
      <c r="C5320" s="24">
        <v>2016.5</v>
      </c>
      <c r="D5320" s="47">
        <f t="shared" si="83"/>
        <v>1601.1010000000001</v>
      </c>
    </row>
    <row r="5321" spans="1:4">
      <c r="A5321" s="122">
        <v>35387</v>
      </c>
      <c r="B5321" s="24">
        <v>0.79300000000000004</v>
      </c>
      <c r="C5321" s="24">
        <v>2014.4</v>
      </c>
      <c r="D5321" s="47">
        <f t="shared" si="83"/>
        <v>1597.4192</v>
      </c>
    </row>
    <row r="5322" spans="1:4">
      <c r="A5322" s="122">
        <v>35384</v>
      </c>
      <c r="B5322" s="24">
        <v>0.79</v>
      </c>
      <c r="C5322" s="24">
        <v>1980.6</v>
      </c>
      <c r="D5322" s="47">
        <f t="shared" si="83"/>
        <v>1564.674</v>
      </c>
    </row>
    <row r="5323" spans="1:4">
      <c r="A5323" s="122">
        <v>35383</v>
      </c>
      <c r="B5323" s="24">
        <v>0.79</v>
      </c>
      <c r="C5323" s="24">
        <v>1980.1</v>
      </c>
      <c r="D5323" s="47">
        <f t="shared" si="83"/>
        <v>1564.279</v>
      </c>
    </row>
    <row r="5324" spans="1:4">
      <c r="A5324" s="122">
        <v>35382</v>
      </c>
      <c r="B5324" s="24">
        <v>0.78800000000000003</v>
      </c>
      <c r="C5324" s="24">
        <v>2021.5</v>
      </c>
      <c r="D5324" s="47">
        <f t="shared" si="83"/>
        <v>1592.942</v>
      </c>
    </row>
    <row r="5325" spans="1:4">
      <c r="A5325" s="122">
        <v>35381</v>
      </c>
      <c r="B5325" s="24">
        <v>0.78800000000000003</v>
      </c>
      <c r="C5325" s="24">
        <v>2027.8</v>
      </c>
      <c r="D5325" s="47">
        <f t="shared" si="83"/>
        <v>1597.9064000000001</v>
      </c>
    </row>
    <row r="5326" spans="1:4">
      <c r="A5326" s="122">
        <v>35380</v>
      </c>
      <c r="B5326" s="24">
        <v>0.78700000000000003</v>
      </c>
      <c r="C5326" s="24">
        <v>2035.7</v>
      </c>
      <c r="D5326" s="47">
        <f t="shared" si="83"/>
        <v>1602.0959</v>
      </c>
    </row>
    <row r="5327" spans="1:4">
      <c r="A5327" s="122">
        <v>35377</v>
      </c>
      <c r="B5327" s="24">
        <v>0.78700000000000003</v>
      </c>
      <c r="C5327" s="24">
        <v>2078.5</v>
      </c>
      <c r="D5327" s="47">
        <f t="shared" si="83"/>
        <v>1635.7795000000001</v>
      </c>
    </row>
    <row r="5328" spans="1:4">
      <c r="A5328" s="122">
        <v>35376</v>
      </c>
      <c r="B5328" s="24">
        <v>0.78300000000000003</v>
      </c>
      <c r="C5328" s="24">
        <v>2098.9</v>
      </c>
      <c r="D5328" s="47">
        <f t="shared" si="83"/>
        <v>1643.4387000000002</v>
      </c>
    </row>
    <row r="5329" spans="1:4">
      <c r="A5329" s="122">
        <v>35375</v>
      </c>
      <c r="B5329" s="24">
        <v>0.79100000000000004</v>
      </c>
      <c r="C5329" s="24">
        <v>2110.5</v>
      </c>
      <c r="D5329" s="47">
        <f t="shared" si="83"/>
        <v>1669.4055000000001</v>
      </c>
    </row>
    <row r="5330" spans="1:4">
      <c r="A5330" s="122">
        <v>35374</v>
      </c>
      <c r="B5330" s="24">
        <v>0.78600000000000003</v>
      </c>
      <c r="C5330" s="24">
        <v>2070.3000000000002</v>
      </c>
      <c r="D5330" s="47">
        <f t="shared" si="83"/>
        <v>1627.2558000000001</v>
      </c>
    </row>
    <row r="5331" spans="1:4">
      <c r="A5331" s="122">
        <v>35373</v>
      </c>
      <c r="B5331" s="24">
        <v>0.78800000000000003</v>
      </c>
      <c r="C5331" s="24">
        <v>2069.3000000000002</v>
      </c>
      <c r="D5331" s="47">
        <f t="shared" si="83"/>
        <v>1630.6084000000003</v>
      </c>
    </row>
    <row r="5332" spans="1:4">
      <c r="A5332" s="122">
        <v>35370</v>
      </c>
      <c r="B5332" s="24">
        <v>0.78900000000000003</v>
      </c>
      <c r="C5332" s="24">
        <v>2093.6999999999998</v>
      </c>
      <c r="D5332" s="47">
        <f t="shared" si="83"/>
        <v>1651.9293</v>
      </c>
    </row>
    <row r="5333" spans="1:4">
      <c r="A5333" s="122">
        <v>35369</v>
      </c>
      <c r="B5333" s="24">
        <v>0.79100000000000004</v>
      </c>
      <c r="C5333" s="24">
        <v>2095.5</v>
      </c>
      <c r="D5333" s="47">
        <f t="shared" si="83"/>
        <v>1657.5405000000001</v>
      </c>
    </row>
    <row r="5334" spans="1:4">
      <c r="A5334" s="122">
        <v>35368</v>
      </c>
      <c r="B5334" s="24">
        <v>0.79200000000000004</v>
      </c>
      <c r="C5334" s="24">
        <v>2104.3000000000002</v>
      </c>
      <c r="D5334" s="47">
        <f t="shared" si="83"/>
        <v>1666.6056000000003</v>
      </c>
    </row>
    <row r="5335" spans="1:4">
      <c r="A5335" s="122">
        <v>35367</v>
      </c>
      <c r="B5335" s="24">
        <v>0.79100000000000004</v>
      </c>
      <c r="C5335" s="24">
        <v>2102.6999999999998</v>
      </c>
      <c r="D5335" s="47">
        <f t="shared" si="83"/>
        <v>1663.2357</v>
      </c>
    </row>
    <row r="5336" spans="1:4">
      <c r="A5336" s="122">
        <v>35366</v>
      </c>
      <c r="B5336" s="24">
        <v>0.79100000000000004</v>
      </c>
      <c r="C5336" s="24">
        <v>2110.8000000000002</v>
      </c>
      <c r="D5336" s="47">
        <f t="shared" si="83"/>
        <v>1669.6428000000003</v>
      </c>
    </row>
    <row r="5337" spans="1:4">
      <c r="A5337" s="122">
        <v>35363</v>
      </c>
      <c r="B5337" s="24">
        <v>0.79</v>
      </c>
      <c r="C5337" s="24">
        <v>2084</v>
      </c>
      <c r="D5337" s="47">
        <f t="shared" si="83"/>
        <v>1646.3600000000001</v>
      </c>
    </row>
    <row r="5338" spans="1:4">
      <c r="A5338" s="122">
        <v>35362</v>
      </c>
      <c r="B5338" s="24">
        <v>0.79200000000000004</v>
      </c>
      <c r="C5338" s="24">
        <v>2088.1</v>
      </c>
      <c r="D5338" s="47">
        <f t="shared" si="83"/>
        <v>1653.7752</v>
      </c>
    </row>
    <row r="5339" spans="1:4">
      <c r="A5339" s="122">
        <v>35361</v>
      </c>
      <c r="B5339" s="24">
        <v>0.79400000000000004</v>
      </c>
      <c r="C5339" s="24">
        <v>2081.3000000000002</v>
      </c>
      <c r="D5339" s="47">
        <f t="shared" si="83"/>
        <v>1652.5522000000003</v>
      </c>
    </row>
    <row r="5340" spans="1:4">
      <c r="A5340" s="122">
        <v>35360</v>
      </c>
      <c r="B5340" s="24">
        <v>0.79400000000000004</v>
      </c>
      <c r="C5340" s="24">
        <v>2103.6</v>
      </c>
      <c r="D5340" s="47">
        <f t="shared" si="83"/>
        <v>1670.2583999999999</v>
      </c>
    </row>
    <row r="5341" spans="1:4">
      <c r="A5341" s="122">
        <v>35359</v>
      </c>
      <c r="B5341" s="24">
        <v>0.79700000000000004</v>
      </c>
      <c r="C5341" s="24">
        <v>2077</v>
      </c>
      <c r="D5341" s="47">
        <f t="shared" si="83"/>
        <v>1655.3690000000001</v>
      </c>
    </row>
    <row r="5342" spans="1:4">
      <c r="A5342" s="122">
        <v>35356</v>
      </c>
      <c r="B5342" s="24">
        <v>0.79500000000000004</v>
      </c>
      <c r="C5342" s="24">
        <v>2048.1</v>
      </c>
      <c r="D5342" s="47">
        <f t="shared" si="83"/>
        <v>1628.2394999999999</v>
      </c>
    </row>
    <row r="5343" spans="1:4">
      <c r="A5343" s="122">
        <v>35355</v>
      </c>
      <c r="B5343" s="24">
        <v>0.79300000000000004</v>
      </c>
      <c r="C5343" s="24">
        <v>2082.4</v>
      </c>
      <c r="D5343" s="47">
        <f t="shared" si="83"/>
        <v>1651.3432000000003</v>
      </c>
    </row>
    <row r="5344" spans="1:4">
      <c r="A5344" s="122">
        <v>35354</v>
      </c>
      <c r="B5344" s="24">
        <v>0.79100000000000004</v>
      </c>
      <c r="C5344" s="24">
        <v>2084.1999999999998</v>
      </c>
      <c r="D5344" s="47">
        <f t="shared" si="83"/>
        <v>1648.6022</v>
      </c>
    </row>
    <row r="5345" spans="1:4">
      <c r="A5345" s="122">
        <v>35353</v>
      </c>
      <c r="B5345" s="24">
        <v>0.79</v>
      </c>
      <c r="C5345" s="24">
        <v>2112</v>
      </c>
      <c r="D5345" s="47">
        <f t="shared" si="83"/>
        <v>1668.48</v>
      </c>
    </row>
    <row r="5346" spans="1:4">
      <c r="A5346" s="122">
        <v>35352</v>
      </c>
      <c r="B5346" s="24">
        <v>0.79100000000000004</v>
      </c>
      <c r="C5346" s="24">
        <v>2112</v>
      </c>
      <c r="D5346" s="47">
        <f t="shared" si="83"/>
        <v>1670.5920000000001</v>
      </c>
    </row>
    <row r="5347" spans="1:4">
      <c r="A5347" s="122">
        <v>35349</v>
      </c>
      <c r="B5347" s="24">
        <v>0.79</v>
      </c>
      <c r="C5347" s="24">
        <v>2079</v>
      </c>
      <c r="D5347" s="47">
        <f t="shared" si="83"/>
        <v>1642.41</v>
      </c>
    </row>
    <row r="5348" spans="1:4">
      <c r="A5348" s="122">
        <v>35348</v>
      </c>
      <c r="B5348" s="24">
        <v>0.79</v>
      </c>
      <c r="C5348" s="24">
        <v>2127.6999999999998</v>
      </c>
      <c r="D5348" s="47">
        <f t="shared" si="83"/>
        <v>1680.883</v>
      </c>
    </row>
    <row r="5349" spans="1:4">
      <c r="A5349" s="122">
        <v>35347</v>
      </c>
      <c r="B5349" s="24">
        <v>0.79</v>
      </c>
      <c r="C5349" s="24">
        <v>2150.3000000000002</v>
      </c>
      <c r="D5349" s="47">
        <f t="shared" si="83"/>
        <v>1698.7370000000003</v>
      </c>
    </row>
    <row r="5350" spans="1:4">
      <c r="A5350" s="122">
        <v>35346</v>
      </c>
      <c r="B5350" s="24">
        <v>0.79100000000000004</v>
      </c>
      <c r="C5350" s="24">
        <v>2134.1</v>
      </c>
      <c r="D5350" s="47">
        <f t="shared" si="83"/>
        <v>1688.0731000000001</v>
      </c>
    </row>
    <row r="5351" spans="1:4">
      <c r="A5351" s="122">
        <v>35345</v>
      </c>
      <c r="B5351" s="24">
        <v>0.78800000000000003</v>
      </c>
      <c r="C5351" s="24">
        <v>2108.6999999999998</v>
      </c>
      <c r="D5351" s="47">
        <f t="shared" si="83"/>
        <v>1661.6555999999998</v>
      </c>
    </row>
    <row r="5352" spans="1:4">
      <c r="A5352" s="122">
        <v>35342</v>
      </c>
      <c r="B5352" s="24">
        <v>0.78900000000000003</v>
      </c>
      <c r="C5352" s="24">
        <v>2152.6</v>
      </c>
      <c r="D5352" s="47">
        <f t="shared" si="83"/>
        <v>1698.4014</v>
      </c>
    </row>
    <row r="5353" spans="1:4">
      <c r="A5353" s="122">
        <v>35341</v>
      </c>
      <c r="B5353" s="24">
        <v>0.79100000000000004</v>
      </c>
      <c r="C5353" s="24">
        <v>2170.1</v>
      </c>
      <c r="D5353" s="47">
        <f t="shared" si="83"/>
        <v>1716.5491</v>
      </c>
    </row>
    <row r="5354" spans="1:4">
      <c r="A5354" s="122">
        <v>35340</v>
      </c>
      <c r="B5354" s="24">
        <v>0.79400000000000004</v>
      </c>
      <c r="C5354" s="24">
        <v>2179.1</v>
      </c>
      <c r="D5354" s="47">
        <f t="shared" si="83"/>
        <v>1730.2054000000001</v>
      </c>
    </row>
    <row r="5355" spans="1:4">
      <c r="A5355" s="122">
        <v>35339</v>
      </c>
      <c r="B5355" s="24">
        <v>0.79100000000000004</v>
      </c>
      <c r="C5355" s="24">
        <v>2165.6999999999998</v>
      </c>
      <c r="D5355" s="47">
        <f t="shared" si="83"/>
        <v>1713.0687</v>
      </c>
    </row>
    <row r="5356" spans="1:4">
      <c r="A5356" s="122">
        <v>35338</v>
      </c>
      <c r="B5356" s="24">
        <v>0.79100000000000004</v>
      </c>
      <c r="C5356" s="24">
        <v>2170.9</v>
      </c>
      <c r="D5356" s="47">
        <f t="shared" si="83"/>
        <v>1717.1819</v>
      </c>
    </row>
    <row r="5357" spans="1:4">
      <c r="A5357" s="122">
        <v>35335</v>
      </c>
      <c r="B5357" s="24">
        <v>0.79100000000000004</v>
      </c>
      <c r="C5357" s="24">
        <v>2173.1999999999998</v>
      </c>
      <c r="D5357" s="47">
        <f t="shared" si="83"/>
        <v>1719.0011999999999</v>
      </c>
    </row>
    <row r="5358" spans="1:4">
      <c r="A5358" s="122">
        <v>35334</v>
      </c>
      <c r="B5358" s="24">
        <v>0.79300000000000004</v>
      </c>
      <c r="C5358" s="24">
        <v>2166.1</v>
      </c>
      <c r="D5358" s="47">
        <f t="shared" si="83"/>
        <v>1717.7173</v>
      </c>
    </row>
    <row r="5359" spans="1:4">
      <c r="A5359" s="122">
        <v>35333</v>
      </c>
      <c r="B5359" s="24">
        <v>0.79100000000000004</v>
      </c>
      <c r="C5359" s="24">
        <v>2203</v>
      </c>
      <c r="D5359" s="47">
        <f t="shared" si="83"/>
        <v>1742.5730000000001</v>
      </c>
    </row>
    <row r="5360" spans="1:4">
      <c r="A5360" s="122">
        <v>35332</v>
      </c>
      <c r="B5360" s="24">
        <v>0.78600000000000003</v>
      </c>
      <c r="C5360" s="24">
        <v>2239</v>
      </c>
      <c r="D5360" s="47">
        <f t="shared" si="83"/>
        <v>1759.854</v>
      </c>
    </row>
    <row r="5361" spans="1:4">
      <c r="A5361" s="122">
        <v>35331</v>
      </c>
      <c r="B5361" s="24">
        <v>0.79200000000000004</v>
      </c>
      <c r="C5361" s="24">
        <v>2215.1999999999998</v>
      </c>
      <c r="D5361" s="47">
        <f t="shared" si="83"/>
        <v>1754.4384</v>
      </c>
    </row>
    <row r="5362" spans="1:4">
      <c r="A5362" s="122">
        <v>35328</v>
      </c>
      <c r="B5362" s="24">
        <v>0.79300000000000004</v>
      </c>
      <c r="C5362" s="24">
        <v>2266.3000000000002</v>
      </c>
      <c r="D5362" s="47">
        <f t="shared" si="83"/>
        <v>1797.1759000000002</v>
      </c>
    </row>
    <row r="5363" spans="1:4">
      <c r="A5363" s="122">
        <v>35327</v>
      </c>
      <c r="B5363" s="24">
        <v>0.79100000000000004</v>
      </c>
      <c r="C5363" s="24">
        <v>2275.6</v>
      </c>
      <c r="D5363" s="47">
        <f t="shared" si="83"/>
        <v>1799.9996000000001</v>
      </c>
    </row>
    <row r="5364" spans="1:4">
      <c r="A5364" s="122">
        <v>35326</v>
      </c>
      <c r="B5364" s="24">
        <v>0.78800000000000003</v>
      </c>
      <c r="C5364" s="24">
        <v>2245.1999999999998</v>
      </c>
      <c r="D5364" s="47">
        <f t="shared" si="83"/>
        <v>1769.2175999999999</v>
      </c>
    </row>
    <row r="5365" spans="1:4">
      <c r="A5365" s="122">
        <v>35325</v>
      </c>
      <c r="B5365" s="24">
        <v>0.79</v>
      </c>
      <c r="C5365" s="24">
        <v>2244.1999999999998</v>
      </c>
      <c r="D5365" s="47">
        <f t="shared" si="83"/>
        <v>1772.9179999999999</v>
      </c>
    </row>
    <row r="5366" spans="1:4">
      <c r="A5366" s="122">
        <v>35324</v>
      </c>
      <c r="B5366" s="24">
        <v>0.78900000000000003</v>
      </c>
      <c r="C5366" s="24">
        <v>2244.4</v>
      </c>
      <c r="D5366" s="47">
        <f t="shared" si="83"/>
        <v>1770.8316000000002</v>
      </c>
    </row>
    <row r="5367" spans="1:4">
      <c r="A5367" s="122">
        <v>35321</v>
      </c>
      <c r="B5367" s="24">
        <v>0.79</v>
      </c>
      <c r="C5367" s="24">
        <v>2191.6999999999998</v>
      </c>
      <c r="D5367" s="47">
        <f t="shared" si="83"/>
        <v>1731.443</v>
      </c>
    </row>
    <row r="5368" spans="1:4">
      <c r="A5368" s="122">
        <v>35320</v>
      </c>
      <c r="B5368" s="24">
        <v>0.79700000000000004</v>
      </c>
      <c r="C5368" s="24">
        <v>2181.4</v>
      </c>
      <c r="D5368" s="47">
        <f t="shared" si="83"/>
        <v>1738.5758000000001</v>
      </c>
    </row>
    <row r="5369" spans="1:4">
      <c r="A5369" s="122">
        <v>35319</v>
      </c>
      <c r="B5369" s="24">
        <v>0.79900000000000004</v>
      </c>
      <c r="C5369" s="24">
        <v>2154.1</v>
      </c>
      <c r="D5369" s="47">
        <f t="shared" si="83"/>
        <v>1721.1259</v>
      </c>
    </row>
    <row r="5370" spans="1:4">
      <c r="A5370" s="122">
        <v>35318</v>
      </c>
      <c r="B5370" s="24">
        <v>0.79900000000000004</v>
      </c>
      <c r="C5370" s="24">
        <v>2156.6999999999998</v>
      </c>
      <c r="D5370" s="47">
        <f t="shared" si="83"/>
        <v>1723.2032999999999</v>
      </c>
    </row>
    <row r="5371" spans="1:4">
      <c r="A5371" s="122">
        <v>35317</v>
      </c>
      <c r="B5371" s="24">
        <v>0.80100000000000005</v>
      </c>
      <c r="C5371" s="24">
        <v>2182.6999999999998</v>
      </c>
      <c r="D5371" s="47">
        <f t="shared" si="83"/>
        <v>1748.3426999999999</v>
      </c>
    </row>
    <row r="5372" spans="1:4">
      <c r="A5372" s="122">
        <v>35314</v>
      </c>
      <c r="B5372" s="24">
        <v>0.79900000000000004</v>
      </c>
      <c r="C5372" s="24">
        <v>2199.6</v>
      </c>
      <c r="D5372" s="47">
        <f t="shared" si="83"/>
        <v>1757.4803999999999</v>
      </c>
    </row>
    <row r="5373" spans="1:4">
      <c r="A5373" s="122">
        <v>35313</v>
      </c>
      <c r="B5373" s="24">
        <v>0.79400000000000004</v>
      </c>
      <c r="C5373" s="24">
        <v>2183.4</v>
      </c>
      <c r="D5373" s="47">
        <f t="shared" si="83"/>
        <v>1733.6196000000002</v>
      </c>
    </row>
    <row r="5374" spans="1:4">
      <c r="A5374" s="122">
        <v>35312</v>
      </c>
      <c r="B5374" s="24">
        <v>0.79100000000000004</v>
      </c>
      <c r="C5374" s="24">
        <v>2167.5</v>
      </c>
      <c r="D5374" s="47">
        <f t="shared" si="83"/>
        <v>1714.4925000000001</v>
      </c>
    </row>
    <row r="5375" spans="1:4">
      <c r="A5375" s="122">
        <v>35311</v>
      </c>
      <c r="B5375" s="24">
        <v>0.79100000000000004</v>
      </c>
      <c r="C5375" s="24">
        <v>2175.3000000000002</v>
      </c>
      <c r="D5375" s="47">
        <f t="shared" si="83"/>
        <v>1720.6623000000002</v>
      </c>
    </row>
    <row r="5376" spans="1:4">
      <c r="A5376" s="122">
        <v>35310</v>
      </c>
      <c r="B5376" s="24">
        <v>0.78900000000000003</v>
      </c>
      <c r="C5376" s="24">
        <v>2141.8000000000002</v>
      </c>
      <c r="D5376" s="47">
        <f t="shared" si="83"/>
        <v>1689.8802000000003</v>
      </c>
    </row>
    <row r="5377" spans="1:4">
      <c r="A5377" s="122">
        <v>35307</v>
      </c>
      <c r="B5377" s="24">
        <v>0.79</v>
      </c>
      <c r="C5377" s="24">
        <v>2112.8000000000002</v>
      </c>
      <c r="D5377" s="47">
        <f t="shared" si="83"/>
        <v>1669.1120000000003</v>
      </c>
    </row>
    <row r="5378" spans="1:4">
      <c r="A5378" s="122">
        <v>35306</v>
      </c>
      <c r="B5378" s="24">
        <v>0.79100000000000004</v>
      </c>
      <c r="C5378" s="24">
        <v>2131.1</v>
      </c>
      <c r="D5378" s="47">
        <f t="shared" si="83"/>
        <v>1685.7001</v>
      </c>
    </row>
    <row r="5379" spans="1:4">
      <c r="A5379" s="122">
        <v>35305</v>
      </c>
      <c r="B5379" s="24">
        <v>0.79100000000000004</v>
      </c>
      <c r="C5379" s="24">
        <v>2143.1999999999998</v>
      </c>
      <c r="D5379" s="47">
        <f t="shared" ref="D5379:D5442" si="84">C5379*B5379</f>
        <v>1695.2711999999999</v>
      </c>
    </row>
    <row r="5380" spans="1:4">
      <c r="A5380" s="122">
        <v>35304</v>
      </c>
      <c r="B5380" s="24">
        <v>0.78800000000000003</v>
      </c>
      <c r="C5380" s="24">
        <v>2135.8000000000002</v>
      </c>
      <c r="D5380" s="47">
        <f t="shared" si="84"/>
        <v>1683.0104000000001</v>
      </c>
    </row>
    <row r="5381" spans="1:4">
      <c r="A5381" s="122">
        <v>35303</v>
      </c>
      <c r="B5381" s="24">
        <v>0.79100000000000004</v>
      </c>
      <c r="C5381" s="24">
        <v>2124</v>
      </c>
      <c r="D5381" s="47">
        <f t="shared" si="84"/>
        <v>1680.0840000000001</v>
      </c>
    </row>
    <row r="5382" spans="1:4">
      <c r="A5382" s="122">
        <v>35300</v>
      </c>
      <c r="B5382" s="24">
        <v>0.79100000000000004</v>
      </c>
      <c r="C5382" s="24">
        <v>2138.6999999999998</v>
      </c>
      <c r="D5382" s="47">
        <f t="shared" si="84"/>
        <v>1691.7116999999998</v>
      </c>
    </row>
    <row r="5383" spans="1:4">
      <c r="A5383" s="122">
        <v>35299</v>
      </c>
      <c r="B5383" s="24">
        <v>0.79100000000000004</v>
      </c>
      <c r="C5383" s="24">
        <v>2132</v>
      </c>
      <c r="D5383" s="47">
        <f t="shared" si="84"/>
        <v>1686.412</v>
      </c>
    </row>
    <row r="5384" spans="1:4">
      <c r="A5384" s="122">
        <v>35298</v>
      </c>
      <c r="B5384" s="24">
        <v>0.79100000000000004</v>
      </c>
      <c r="C5384" s="24">
        <v>2115.4</v>
      </c>
      <c r="D5384" s="47">
        <f t="shared" si="84"/>
        <v>1673.2814000000001</v>
      </c>
    </row>
    <row r="5385" spans="1:4">
      <c r="A5385" s="122">
        <v>35297</v>
      </c>
      <c r="B5385" s="24">
        <v>0.78600000000000003</v>
      </c>
      <c r="C5385" s="24">
        <v>2113.6</v>
      </c>
      <c r="D5385" s="47">
        <f t="shared" si="84"/>
        <v>1661.2896000000001</v>
      </c>
    </row>
    <row r="5386" spans="1:4">
      <c r="A5386" s="122">
        <v>35296</v>
      </c>
      <c r="B5386" s="24">
        <v>0.79100000000000004</v>
      </c>
      <c r="C5386" s="24">
        <v>2095.8000000000002</v>
      </c>
      <c r="D5386" s="47">
        <f t="shared" si="84"/>
        <v>1657.7778000000003</v>
      </c>
    </row>
    <row r="5387" spans="1:4">
      <c r="A5387" s="122">
        <v>35293</v>
      </c>
      <c r="B5387" s="24">
        <v>0.78300000000000003</v>
      </c>
      <c r="C5387" s="24">
        <v>2069.8000000000002</v>
      </c>
      <c r="D5387" s="47">
        <f t="shared" si="84"/>
        <v>1620.6534000000001</v>
      </c>
    </row>
    <row r="5388" spans="1:4">
      <c r="A5388" s="122">
        <v>35292</v>
      </c>
      <c r="B5388" s="24">
        <v>0.78300000000000003</v>
      </c>
      <c r="C5388" s="24">
        <v>2031.4</v>
      </c>
      <c r="D5388" s="47">
        <f t="shared" si="84"/>
        <v>1590.5862000000002</v>
      </c>
    </row>
    <row r="5389" spans="1:4">
      <c r="A5389" s="122">
        <v>35291</v>
      </c>
      <c r="B5389" s="24">
        <v>0.78</v>
      </c>
      <c r="C5389" s="24">
        <v>2009.2</v>
      </c>
      <c r="D5389" s="47">
        <f t="shared" si="84"/>
        <v>1567.1760000000002</v>
      </c>
    </row>
    <row r="5390" spans="1:4">
      <c r="A5390" s="122">
        <v>35290</v>
      </c>
      <c r="B5390" s="24">
        <v>0.77900000000000003</v>
      </c>
      <c r="C5390" s="24">
        <v>1992.1</v>
      </c>
      <c r="D5390" s="47">
        <f t="shared" si="84"/>
        <v>1551.8459</v>
      </c>
    </row>
    <row r="5391" spans="1:4">
      <c r="A5391" s="122">
        <v>35289</v>
      </c>
      <c r="B5391" s="24">
        <v>0.77800000000000002</v>
      </c>
      <c r="C5391" s="24">
        <v>2007.5</v>
      </c>
      <c r="D5391" s="47">
        <f t="shared" si="84"/>
        <v>1561.835</v>
      </c>
    </row>
    <row r="5392" spans="1:4">
      <c r="A5392" s="122">
        <v>35286</v>
      </c>
      <c r="B5392" s="24">
        <v>0.77900000000000003</v>
      </c>
      <c r="C5392" s="24">
        <v>2018.7</v>
      </c>
      <c r="D5392" s="47">
        <f t="shared" si="84"/>
        <v>1572.5673000000002</v>
      </c>
    </row>
    <row r="5393" spans="1:4">
      <c r="A5393" s="122">
        <v>35285</v>
      </c>
      <c r="B5393" s="24">
        <v>0.77900000000000003</v>
      </c>
      <c r="C5393" s="24">
        <v>2023.7</v>
      </c>
      <c r="D5393" s="47">
        <f t="shared" si="84"/>
        <v>1576.4623000000001</v>
      </c>
    </row>
    <row r="5394" spans="1:4">
      <c r="A5394" s="122">
        <v>35284</v>
      </c>
      <c r="B5394" s="24">
        <v>0.77700000000000002</v>
      </c>
      <c r="C5394" s="24">
        <v>2016.9</v>
      </c>
      <c r="D5394" s="47">
        <f t="shared" si="84"/>
        <v>1567.1313</v>
      </c>
    </row>
    <row r="5395" spans="1:4">
      <c r="A5395" s="122">
        <v>35283</v>
      </c>
      <c r="B5395" s="24">
        <v>0.77500000000000002</v>
      </c>
      <c r="C5395" s="24">
        <v>2011.3</v>
      </c>
      <c r="D5395" s="47">
        <f t="shared" si="84"/>
        <v>1558.7574999999999</v>
      </c>
    </row>
    <row r="5396" spans="1:4">
      <c r="A5396" s="122">
        <v>35282</v>
      </c>
      <c r="B5396" s="24">
        <v>0.77200000000000002</v>
      </c>
      <c r="C5396" s="24">
        <v>2028.9</v>
      </c>
      <c r="D5396" s="47">
        <f t="shared" si="84"/>
        <v>1566.3108000000002</v>
      </c>
    </row>
    <row r="5397" spans="1:4">
      <c r="A5397" s="122">
        <v>35279</v>
      </c>
      <c r="B5397" s="24">
        <v>0.77400000000000002</v>
      </c>
      <c r="C5397" s="24">
        <v>2039.6</v>
      </c>
      <c r="D5397" s="47">
        <f t="shared" si="84"/>
        <v>1578.6504</v>
      </c>
    </row>
    <row r="5398" spans="1:4">
      <c r="A5398" s="122">
        <v>35278</v>
      </c>
      <c r="B5398" s="24">
        <v>0.77300000000000002</v>
      </c>
      <c r="C5398" s="24">
        <v>2030.9</v>
      </c>
      <c r="D5398" s="47">
        <f t="shared" si="84"/>
        <v>1569.8857</v>
      </c>
    </row>
    <row r="5399" spans="1:4">
      <c r="A5399" s="122">
        <v>35277</v>
      </c>
      <c r="B5399" s="24">
        <v>0.77400000000000002</v>
      </c>
      <c r="C5399" s="24">
        <v>2041.3</v>
      </c>
      <c r="D5399" s="47">
        <f t="shared" si="84"/>
        <v>1579.9662000000001</v>
      </c>
    </row>
    <row r="5400" spans="1:4">
      <c r="A5400" s="122">
        <v>35276</v>
      </c>
      <c r="B5400" s="24">
        <v>0.77900000000000003</v>
      </c>
      <c r="C5400" s="24">
        <v>2044.6</v>
      </c>
      <c r="D5400" s="47">
        <f t="shared" si="84"/>
        <v>1592.7434000000001</v>
      </c>
    </row>
    <row r="5401" spans="1:4">
      <c r="A5401" s="122">
        <v>35275</v>
      </c>
      <c r="B5401" s="24">
        <v>0.78700000000000003</v>
      </c>
      <c r="C5401" s="24">
        <v>2019.1</v>
      </c>
      <c r="D5401" s="47">
        <f t="shared" si="84"/>
        <v>1589.0317</v>
      </c>
    </row>
    <row r="5402" spans="1:4">
      <c r="A5402" s="122">
        <v>35272</v>
      </c>
      <c r="B5402" s="24">
        <v>0.78700000000000003</v>
      </c>
      <c r="C5402" s="24">
        <v>1998.9</v>
      </c>
      <c r="D5402" s="47">
        <f t="shared" si="84"/>
        <v>1573.1343000000002</v>
      </c>
    </row>
    <row r="5403" spans="1:4">
      <c r="A5403" s="122">
        <v>35271</v>
      </c>
      <c r="B5403" s="24">
        <v>0.78800000000000003</v>
      </c>
      <c r="C5403" s="24">
        <v>1991.9</v>
      </c>
      <c r="D5403" s="47">
        <f t="shared" si="84"/>
        <v>1569.6172000000001</v>
      </c>
    </row>
    <row r="5404" spans="1:4">
      <c r="A5404" s="122">
        <v>35270</v>
      </c>
      <c r="B5404" s="24">
        <v>0.79</v>
      </c>
      <c r="C5404" s="24">
        <v>1993.5</v>
      </c>
      <c r="D5404" s="47">
        <f t="shared" si="84"/>
        <v>1574.865</v>
      </c>
    </row>
    <row r="5405" spans="1:4">
      <c r="A5405" s="122">
        <v>35269</v>
      </c>
      <c r="B5405" s="24">
        <v>0.79</v>
      </c>
      <c r="C5405" s="24">
        <v>1949</v>
      </c>
      <c r="D5405" s="47">
        <f t="shared" si="84"/>
        <v>1539.71</v>
      </c>
    </row>
    <row r="5406" spans="1:4">
      <c r="A5406" s="122">
        <v>35268</v>
      </c>
      <c r="B5406" s="24">
        <v>0.79</v>
      </c>
      <c r="C5406" s="24">
        <v>1953.7</v>
      </c>
      <c r="D5406" s="47">
        <f t="shared" si="84"/>
        <v>1543.423</v>
      </c>
    </row>
    <row r="5407" spans="1:4">
      <c r="A5407" s="122">
        <v>35265</v>
      </c>
      <c r="B5407" s="24">
        <v>0.79200000000000004</v>
      </c>
      <c r="C5407" s="24">
        <v>1952.8</v>
      </c>
      <c r="D5407" s="47">
        <f t="shared" si="84"/>
        <v>1546.6176</v>
      </c>
    </row>
    <row r="5408" spans="1:4">
      <c r="A5408" s="122">
        <v>35264</v>
      </c>
      <c r="B5408" s="24">
        <v>0.79100000000000004</v>
      </c>
      <c r="C5408" s="24">
        <v>1986.1</v>
      </c>
      <c r="D5408" s="47">
        <f t="shared" si="84"/>
        <v>1571.0051000000001</v>
      </c>
    </row>
    <row r="5409" spans="1:4">
      <c r="A5409" s="122">
        <v>35263</v>
      </c>
      <c r="B5409" s="24">
        <v>0.78700000000000003</v>
      </c>
      <c r="C5409" s="24">
        <v>1982.6</v>
      </c>
      <c r="D5409" s="47">
        <f t="shared" si="84"/>
        <v>1560.3062</v>
      </c>
    </row>
    <row r="5410" spans="1:4">
      <c r="A5410" s="122">
        <v>35262</v>
      </c>
      <c r="B5410" s="24">
        <v>0.79</v>
      </c>
      <c r="C5410" s="24">
        <v>1972.6</v>
      </c>
      <c r="D5410" s="47">
        <f t="shared" si="84"/>
        <v>1558.354</v>
      </c>
    </row>
    <row r="5411" spans="1:4">
      <c r="A5411" s="122">
        <v>35261</v>
      </c>
      <c r="B5411" s="24">
        <v>0.79500000000000004</v>
      </c>
      <c r="C5411" s="24">
        <v>1950.2</v>
      </c>
      <c r="D5411" s="47">
        <f t="shared" si="84"/>
        <v>1550.4090000000001</v>
      </c>
    </row>
    <row r="5412" spans="1:4">
      <c r="A5412" s="122">
        <v>35258</v>
      </c>
      <c r="B5412" s="24">
        <v>0.79700000000000004</v>
      </c>
      <c r="C5412" s="24">
        <v>1988.9</v>
      </c>
      <c r="D5412" s="47">
        <f t="shared" si="84"/>
        <v>1585.1533000000002</v>
      </c>
    </row>
    <row r="5413" spans="1:4">
      <c r="A5413" s="122">
        <v>35257</v>
      </c>
      <c r="B5413" s="24">
        <v>0.79700000000000004</v>
      </c>
      <c r="C5413" s="24">
        <v>2022.9</v>
      </c>
      <c r="D5413" s="47">
        <f t="shared" si="84"/>
        <v>1612.2513000000001</v>
      </c>
    </row>
    <row r="5414" spans="1:4">
      <c r="A5414" s="122">
        <v>35256</v>
      </c>
      <c r="B5414" s="24">
        <v>0.79800000000000004</v>
      </c>
      <c r="C5414" s="24">
        <v>2048.6</v>
      </c>
      <c r="D5414" s="47">
        <f t="shared" si="84"/>
        <v>1634.7828</v>
      </c>
    </row>
    <row r="5415" spans="1:4">
      <c r="A5415" s="122">
        <v>35255</v>
      </c>
      <c r="B5415" s="24">
        <v>0.79300000000000004</v>
      </c>
      <c r="C5415" s="24">
        <v>2044.3</v>
      </c>
      <c r="D5415" s="47">
        <f t="shared" si="84"/>
        <v>1621.1299000000001</v>
      </c>
    </row>
    <row r="5416" spans="1:4">
      <c r="A5416" s="122">
        <v>35254</v>
      </c>
      <c r="B5416" s="24">
        <v>0.79300000000000004</v>
      </c>
      <c r="C5416" s="24">
        <v>2023</v>
      </c>
      <c r="D5416" s="47">
        <f t="shared" si="84"/>
        <v>1604.239</v>
      </c>
    </row>
    <row r="5417" spans="1:4">
      <c r="A5417" s="122">
        <v>35251</v>
      </c>
      <c r="B5417" s="24">
        <v>0.79500000000000004</v>
      </c>
      <c r="C5417" s="24">
        <v>2022.2</v>
      </c>
      <c r="D5417" s="47">
        <f t="shared" si="84"/>
        <v>1607.6490000000001</v>
      </c>
    </row>
    <row r="5418" spans="1:4">
      <c r="A5418" s="122">
        <v>35250</v>
      </c>
      <c r="B5418" s="24">
        <v>0.78400000000000003</v>
      </c>
      <c r="C5418" s="24">
        <v>2029.5</v>
      </c>
      <c r="D5418" s="47">
        <f t="shared" si="84"/>
        <v>1591.1280000000002</v>
      </c>
    </row>
    <row r="5419" spans="1:4">
      <c r="A5419" s="122">
        <v>35249</v>
      </c>
      <c r="B5419" s="24">
        <v>0.78300000000000003</v>
      </c>
      <c r="C5419" s="24">
        <v>2007.4</v>
      </c>
      <c r="D5419" s="47">
        <f t="shared" si="84"/>
        <v>1571.7942</v>
      </c>
    </row>
    <row r="5420" spans="1:4">
      <c r="A5420" s="122">
        <v>35248</v>
      </c>
      <c r="B5420" s="24">
        <v>0.78200000000000003</v>
      </c>
      <c r="C5420" s="24">
        <v>1997.5</v>
      </c>
      <c r="D5420" s="47">
        <f t="shared" si="84"/>
        <v>1562.0450000000001</v>
      </c>
    </row>
    <row r="5421" spans="1:4">
      <c r="A5421" s="122">
        <v>35247</v>
      </c>
      <c r="B5421" s="24">
        <v>0.78700000000000003</v>
      </c>
      <c r="C5421" s="24">
        <v>2005.5</v>
      </c>
      <c r="D5421" s="47">
        <f t="shared" si="84"/>
        <v>1578.3285000000001</v>
      </c>
    </row>
    <row r="5422" spans="1:4">
      <c r="A5422" s="122">
        <v>35244</v>
      </c>
      <c r="B5422" s="24">
        <v>0.78700000000000003</v>
      </c>
      <c r="C5422" s="24">
        <v>2009.7</v>
      </c>
      <c r="D5422" s="47">
        <f t="shared" si="84"/>
        <v>1581.6339</v>
      </c>
    </row>
    <row r="5423" spans="1:4">
      <c r="A5423" s="122">
        <v>35243</v>
      </c>
      <c r="B5423" s="24">
        <v>0.78800000000000003</v>
      </c>
      <c r="C5423" s="24">
        <v>2037.1</v>
      </c>
      <c r="D5423" s="47">
        <f t="shared" si="84"/>
        <v>1605.2348</v>
      </c>
    </row>
    <row r="5424" spans="1:4">
      <c r="A5424" s="122">
        <v>35242</v>
      </c>
      <c r="B5424" s="24">
        <v>0.79</v>
      </c>
      <c r="C5424" s="24">
        <v>2058.8000000000002</v>
      </c>
      <c r="D5424" s="47">
        <f t="shared" si="84"/>
        <v>1626.4520000000002</v>
      </c>
    </row>
    <row r="5425" spans="1:4">
      <c r="A5425" s="122">
        <v>35241</v>
      </c>
      <c r="B5425" s="24">
        <v>0.79</v>
      </c>
      <c r="C5425" s="24">
        <v>2065.6999999999998</v>
      </c>
      <c r="D5425" s="47">
        <f t="shared" si="84"/>
        <v>1631.903</v>
      </c>
    </row>
    <row r="5426" spans="1:4">
      <c r="A5426" s="122">
        <v>35240</v>
      </c>
      <c r="B5426" s="24">
        <v>0.79</v>
      </c>
      <c r="C5426" s="24">
        <v>2084.1</v>
      </c>
      <c r="D5426" s="47">
        <f t="shared" si="84"/>
        <v>1646.4390000000001</v>
      </c>
    </row>
    <row r="5427" spans="1:4">
      <c r="A5427" s="122">
        <v>35237</v>
      </c>
      <c r="B5427" s="24">
        <v>0.78900000000000003</v>
      </c>
      <c r="C5427" s="24">
        <v>2091.6999999999998</v>
      </c>
      <c r="D5427" s="47">
        <f t="shared" si="84"/>
        <v>1650.3513</v>
      </c>
    </row>
    <row r="5428" spans="1:4">
      <c r="A5428" s="122">
        <v>35236</v>
      </c>
      <c r="B5428" s="24">
        <v>0.78900000000000003</v>
      </c>
      <c r="C5428" s="24">
        <v>2070.6</v>
      </c>
      <c r="D5428" s="47">
        <f t="shared" si="84"/>
        <v>1633.7034000000001</v>
      </c>
    </row>
    <row r="5429" spans="1:4">
      <c r="A5429" s="122">
        <v>35235</v>
      </c>
      <c r="B5429" s="24">
        <v>0.78800000000000003</v>
      </c>
      <c r="C5429" s="24">
        <v>2033.9</v>
      </c>
      <c r="D5429" s="47">
        <f t="shared" si="84"/>
        <v>1602.7132000000001</v>
      </c>
    </row>
    <row r="5430" spans="1:4">
      <c r="A5430" s="122">
        <v>35234</v>
      </c>
      <c r="B5430" s="24">
        <v>0.78900000000000003</v>
      </c>
      <c r="C5430" s="24">
        <v>2025.6</v>
      </c>
      <c r="D5430" s="47">
        <f t="shared" si="84"/>
        <v>1598.1984</v>
      </c>
    </row>
    <row r="5431" spans="1:4">
      <c r="A5431" s="122">
        <v>35233</v>
      </c>
      <c r="B5431" s="24">
        <v>0.79100000000000004</v>
      </c>
      <c r="C5431" s="24">
        <v>2011.7</v>
      </c>
      <c r="D5431" s="47">
        <f t="shared" si="84"/>
        <v>1591.2547000000002</v>
      </c>
    </row>
    <row r="5432" spans="1:4">
      <c r="A5432" s="122">
        <v>35230</v>
      </c>
      <c r="B5432" s="24">
        <v>0.79300000000000004</v>
      </c>
      <c r="C5432" s="24">
        <v>2001.3</v>
      </c>
      <c r="D5432" s="47">
        <f t="shared" si="84"/>
        <v>1587.0309</v>
      </c>
    </row>
    <row r="5433" spans="1:4">
      <c r="A5433" s="122">
        <v>35229</v>
      </c>
      <c r="B5433" s="24">
        <v>0.79100000000000004</v>
      </c>
      <c r="C5433" s="24">
        <v>2015.4</v>
      </c>
      <c r="D5433" s="47">
        <f t="shared" si="84"/>
        <v>1594.1814000000002</v>
      </c>
    </row>
    <row r="5434" spans="1:4">
      <c r="A5434" s="122">
        <v>35228</v>
      </c>
      <c r="B5434" s="24">
        <v>0.79100000000000004</v>
      </c>
      <c r="C5434" s="24">
        <v>2014.1</v>
      </c>
      <c r="D5434" s="47">
        <f t="shared" si="84"/>
        <v>1593.1531</v>
      </c>
    </row>
    <row r="5435" spans="1:4">
      <c r="A5435" s="122">
        <v>35227</v>
      </c>
      <c r="B5435" s="24">
        <v>0.79100000000000004</v>
      </c>
      <c r="C5435" s="24">
        <v>2006.2</v>
      </c>
      <c r="D5435" s="47">
        <f t="shared" si="84"/>
        <v>1586.9042000000002</v>
      </c>
    </row>
    <row r="5436" spans="1:4">
      <c r="A5436" s="122">
        <v>35226</v>
      </c>
      <c r="B5436" s="24">
        <v>0.79400000000000004</v>
      </c>
      <c r="C5436" s="24">
        <v>2030.8</v>
      </c>
      <c r="D5436" s="47">
        <f t="shared" si="84"/>
        <v>1612.4552000000001</v>
      </c>
    </row>
    <row r="5437" spans="1:4">
      <c r="A5437" s="122">
        <v>35223</v>
      </c>
      <c r="B5437" s="24">
        <v>0.79200000000000004</v>
      </c>
      <c r="C5437" s="24">
        <v>2041.3</v>
      </c>
      <c r="D5437" s="47">
        <f t="shared" si="84"/>
        <v>1616.7096000000001</v>
      </c>
    </row>
    <row r="5438" spans="1:4">
      <c r="A5438" s="122">
        <v>35222</v>
      </c>
      <c r="B5438" s="24">
        <v>0.78600000000000003</v>
      </c>
      <c r="C5438" s="24">
        <v>2029.9</v>
      </c>
      <c r="D5438" s="47">
        <f t="shared" si="84"/>
        <v>1595.5014000000001</v>
      </c>
    </row>
    <row r="5439" spans="1:4">
      <c r="A5439" s="122">
        <v>35221</v>
      </c>
      <c r="B5439" s="24">
        <v>0.79200000000000004</v>
      </c>
      <c r="C5439" s="24">
        <v>2017.3</v>
      </c>
      <c r="D5439" s="47">
        <f t="shared" si="84"/>
        <v>1597.7016000000001</v>
      </c>
    </row>
    <row r="5440" spans="1:4">
      <c r="A5440" s="122">
        <v>35220</v>
      </c>
      <c r="B5440" s="24">
        <v>0.79700000000000004</v>
      </c>
      <c r="C5440" s="24">
        <v>1993</v>
      </c>
      <c r="D5440" s="47">
        <f t="shared" si="84"/>
        <v>1588.421</v>
      </c>
    </row>
    <row r="5441" spans="1:4">
      <c r="A5441" s="122">
        <v>35219</v>
      </c>
      <c r="B5441" s="24">
        <v>0.80200000000000005</v>
      </c>
      <c r="C5441" s="24">
        <v>1982</v>
      </c>
      <c r="D5441" s="47">
        <f t="shared" si="84"/>
        <v>1589.5640000000001</v>
      </c>
    </row>
    <row r="5442" spans="1:4">
      <c r="A5442" s="122">
        <v>35216</v>
      </c>
      <c r="B5442" s="24">
        <v>0.79800000000000004</v>
      </c>
      <c r="C5442" s="24">
        <v>1994.1</v>
      </c>
      <c r="D5442" s="47">
        <f t="shared" si="84"/>
        <v>1591.2918</v>
      </c>
    </row>
    <row r="5443" spans="1:4">
      <c r="A5443" s="122">
        <v>35215</v>
      </c>
      <c r="B5443" s="24">
        <v>0.79700000000000004</v>
      </c>
      <c r="C5443" s="24">
        <v>1981.4</v>
      </c>
      <c r="D5443" s="47">
        <f t="shared" ref="D5443:D5506" si="85">C5443*B5443</f>
        <v>1579.1758000000002</v>
      </c>
    </row>
    <row r="5444" spans="1:4">
      <c r="A5444" s="122">
        <v>35214</v>
      </c>
      <c r="B5444" s="24">
        <v>0.79800000000000004</v>
      </c>
      <c r="C5444" s="24">
        <v>1976.5</v>
      </c>
      <c r="D5444" s="47">
        <f t="shared" si="85"/>
        <v>1577.2470000000001</v>
      </c>
    </row>
    <row r="5445" spans="1:4">
      <c r="A5445" s="122">
        <v>35213</v>
      </c>
      <c r="B5445" s="24">
        <v>0.79400000000000004</v>
      </c>
      <c r="C5445" s="24">
        <v>1975.2</v>
      </c>
      <c r="D5445" s="47">
        <f t="shared" si="85"/>
        <v>1568.3088</v>
      </c>
    </row>
    <row r="5446" spans="1:4">
      <c r="A5446" s="122">
        <v>35212</v>
      </c>
      <c r="B5446" s="24">
        <v>0.79200000000000004</v>
      </c>
      <c r="C5446" s="24">
        <v>1955.6</v>
      </c>
      <c r="D5446" s="47">
        <f t="shared" si="85"/>
        <v>1548.8352</v>
      </c>
    </row>
    <row r="5447" spans="1:4">
      <c r="A5447" s="122">
        <v>35209</v>
      </c>
      <c r="B5447" s="24">
        <v>0.79100000000000004</v>
      </c>
      <c r="C5447" s="24">
        <v>1932.5</v>
      </c>
      <c r="D5447" s="47">
        <f t="shared" si="85"/>
        <v>1528.6075000000001</v>
      </c>
    </row>
    <row r="5448" spans="1:4">
      <c r="A5448" s="122">
        <v>35208</v>
      </c>
      <c r="B5448" s="24">
        <v>0.79400000000000004</v>
      </c>
      <c r="C5448" s="24">
        <v>1928.8</v>
      </c>
      <c r="D5448" s="47">
        <f t="shared" si="85"/>
        <v>1531.4672</v>
      </c>
    </row>
    <row r="5449" spans="1:4">
      <c r="A5449" s="122">
        <v>35207</v>
      </c>
      <c r="B5449" s="24">
        <v>0.79500000000000004</v>
      </c>
      <c r="C5449" s="24">
        <v>1919.8</v>
      </c>
      <c r="D5449" s="47">
        <f t="shared" si="85"/>
        <v>1526.241</v>
      </c>
    </row>
    <row r="5450" spans="1:4">
      <c r="A5450" s="122">
        <v>35206</v>
      </c>
      <c r="B5450" s="24">
        <v>0.79300000000000004</v>
      </c>
      <c r="C5450" s="24">
        <v>1906.8</v>
      </c>
      <c r="D5450" s="47">
        <f t="shared" si="85"/>
        <v>1512.0924</v>
      </c>
    </row>
    <row r="5451" spans="1:4">
      <c r="A5451" s="122">
        <v>35205</v>
      </c>
      <c r="B5451" s="24">
        <v>0.79400000000000004</v>
      </c>
      <c r="C5451" s="24">
        <v>1896.9</v>
      </c>
      <c r="D5451" s="47">
        <f t="shared" si="85"/>
        <v>1506.1386000000002</v>
      </c>
    </row>
    <row r="5452" spans="1:4">
      <c r="A5452" s="122">
        <v>35202</v>
      </c>
      <c r="B5452" s="24">
        <v>0.79900000000000004</v>
      </c>
      <c r="C5452" s="24">
        <v>1897.7</v>
      </c>
      <c r="D5452" s="47">
        <f t="shared" si="85"/>
        <v>1516.2623000000001</v>
      </c>
    </row>
    <row r="5453" spans="1:4">
      <c r="A5453" s="122">
        <v>35201</v>
      </c>
      <c r="B5453" s="24">
        <v>0.80100000000000005</v>
      </c>
      <c r="C5453" s="24">
        <v>1902.3</v>
      </c>
      <c r="D5453" s="47">
        <f t="shared" si="85"/>
        <v>1523.7423000000001</v>
      </c>
    </row>
    <row r="5454" spans="1:4">
      <c r="A5454" s="122">
        <v>35200</v>
      </c>
      <c r="B5454" s="24">
        <v>0.8</v>
      </c>
      <c r="C5454" s="24">
        <v>1884.5</v>
      </c>
      <c r="D5454" s="47">
        <f t="shared" si="85"/>
        <v>1507.6000000000001</v>
      </c>
    </row>
    <row r="5455" spans="1:4">
      <c r="A5455" s="122">
        <v>35199</v>
      </c>
      <c r="B5455" s="24">
        <v>0.80200000000000005</v>
      </c>
      <c r="C5455" s="24">
        <v>1874.7</v>
      </c>
      <c r="D5455" s="47">
        <f t="shared" si="85"/>
        <v>1503.5094000000001</v>
      </c>
    </row>
    <row r="5456" spans="1:4">
      <c r="A5456" s="122">
        <v>35198</v>
      </c>
      <c r="B5456" s="24">
        <v>0.80200000000000005</v>
      </c>
      <c r="C5456" s="24">
        <v>1880.7</v>
      </c>
      <c r="D5456" s="47">
        <f t="shared" si="85"/>
        <v>1508.3214</v>
      </c>
    </row>
    <row r="5457" spans="1:4">
      <c r="A5457" s="122">
        <v>35195</v>
      </c>
      <c r="B5457" s="24">
        <v>0.80200000000000005</v>
      </c>
      <c r="C5457" s="24">
        <v>1878.4</v>
      </c>
      <c r="D5457" s="47">
        <f t="shared" si="85"/>
        <v>1506.4768000000001</v>
      </c>
    </row>
    <row r="5458" spans="1:4">
      <c r="A5458" s="122">
        <v>35194</v>
      </c>
      <c r="B5458" s="24">
        <v>0.79800000000000004</v>
      </c>
      <c r="C5458" s="24">
        <v>1879.7</v>
      </c>
      <c r="D5458" s="47">
        <f t="shared" si="85"/>
        <v>1500.0006000000001</v>
      </c>
    </row>
    <row r="5459" spans="1:4">
      <c r="A5459" s="122">
        <v>35193</v>
      </c>
      <c r="B5459" s="24">
        <v>0.80100000000000005</v>
      </c>
      <c r="C5459" s="24">
        <v>1856.5</v>
      </c>
      <c r="D5459" s="47">
        <f t="shared" si="85"/>
        <v>1487.0565000000001</v>
      </c>
    </row>
    <row r="5460" spans="1:4">
      <c r="A5460" s="122">
        <v>35192</v>
      </c>
      <c r="B5460" s="24">
        <v>0.79900000000000004</v>
      </c>
      <c r="C5460" s="24">
        <v>1859.1</v>
      </c>
      <c r="D5460" s="47">
        <f t="shared" si="85"/>
        <v>1485.4209000000001</v>
      </c>
    </row>
    <row r="5461" spans="1:4">
      <c r="A5461" s="122">
        <v>35191</v>
      </c>
      <c r="B5461" s="24">
        <v>0.79700000000000004</v>
      </c>
      <c r="C5461" s="24">
        <v>1870.1</v>
      </c>
      <c r="D5461" s="47">
        <f t="shared" si="85"/>
        <v>1490.4697000000001</v>
      </c>
    </row>
    <row r="5462" spans="1:4">
      <c r="A5462" s="122">
        <v>35188</v>
      </c>
      <c r="B5462" s="24">
        <v>0.79600000000000004</v>
      </c>
      <c r="C5462" s="24">
        <v>1893.8</v>
      </c>
      <c r="D5462" s="47">
        <f t="shared" si="85"/>
        <v>1507.4648</v>
      </c>
    </row>
    <row r="5463" spans="1:4">
      <c r="A5463" s="122">
        <v>35187</v>
      </c>
      <c r="B5463" s="24">
        <v>0.79800000000000004</v>
      </c>
      <c r="C5463" s="24">
        <v>1896.6</v>
      </c>
      <c r="D5463" s="47">
        <f t="shared" si="85"/>
        <v>1513.4867999999999</v>
      </c>
    </row>
    <row r="5464" spans="1:4">
      <c r="A5464" s="122">
        <v>35186</v>
      </c>
      <c r="B5464" s="24">
        <v>0.79</v>
      </c>
      <c r="C5464" s="24">
        <v>1888.3</v>
      </c>
      <c r="D5464" s="47">
        <f t="shared" si="85"/>
        <v>1491.7570000000001</v>
      </c>
    </row>
    <row r="5465" spans="1:4">
      <c r="A5465" s="122">
        <v>35185</v>
      </c>
      <c r="B5465" s="24">
        <v>0.78700000000000003</v>
      </c>
      <c r="C5465" s="24">
        <v>1895.7</v>
      </c>
      <c r="D5465" s="47">
        <f t="shared" si="85"/>
        <v>1491.9159000000002</v>
      </c>
    </row>
    <row r="5466" spans="1:4">
      <c r="A5466" s="122">
        <v>35184</v>
      </c>
      <c r="B5466" s="24">
        <v>0.78700000000000003</v>
      </c>
      <c r="C5466" s="24">
        <v>1923.6</v>
      </c>
      <c r="D5466" s="47">
        <f t="shared" si="85"/>
        <v>1513.8732</v>
      </c>
    </row>
    <row r="5467" spans="1:4">
      <c r="A5467" s="122">
        <v>35181</v>
      </c>
      <c r="B5467" s="24">
        <v>0.79</v>
      </c>
      <c r="C5467" s="24">
        <v>1919.5</v>
      </c>
      <c r="D5467" s="47">
        <f t="shared" si="85"/>
        <v>1516.405</v>
      </c>
    </row>
    <row r="5468" spans="1:4">
      <c r="A5468" s="122">
        <v>35180</v>
      </c>
      <c r="B5468" s="24">
        <v>0.78900000000000003</v>
      </c>
      <c r="C5468" s="24">
        <v>1953</v>
      </c>
      <c r="D5468" s="47">
        <f t="shared" si="85"/>
        <v>1540.9170000000001</v>
      </c>
    </row>
    <row r="5469" spans="1:4">
      <c r="A5469" s="122">
        <v>35179</v>
      </c>
      <c r="B5469" s="24">
        <v>0.78500000000000003</v>
      </c>
      <c r="C5469" s="24">
        <v>1968.5</v>
      </c>
      <c r="D5469" s="47">
        <f t="shared" si="85"/>
        <v>1545.2725</v>
      </c>
    </row>
    <row r="5470" spans="1:4">
      <c r="A5470" s="122">
        <v>35178</v>
      </c>
      <c r="B5470" s="24">
        <v>0.79</v>
      </c>
      <c r="C5470" s="24">
        <v>1977.3</v>
      </c>
      <c r="D5470" s="47">
        <f t="shared" si="85"/>
        <v>1562.067</v>
      </c>
    </row>
    <row r="5471" spans="1:4">
      <c r="A5471" s="122">
        <v>35177</v>
      </c>
      <c r="B5471" s="24">
        <v>0.78600000000000003</v>
      </c>
      <c r="C5471" s="24">
        <v>1961.6</v>
      </c>
      <c r="D5471" s="47">
        <f t="shared" si="85"/>
        <v>1541.8176000000001</v>
      </c>
    </row>
    <row r="5472" spans="1:4">
      <c r="A5472" s="122">
        <v>35174</v>
      </c>
      <c r="B5472" s="24">
        <v>0.78300000000000003</v>
      </c>
      <c r="C5472" s="24">
        <v>1955</v>
      </c>
      <c r="D5472" s="47">
        <f t="shared" si="85"/>
        <v>1530.7650000000001</v>
      </c>
    </row>
    <row r="5473" spans="1:4">
      <c r="A5473" s="122">
        <v>35173</v>
      </c>
      <c r="B5473" s="24">
        <v>0.78300000000000003</v>
      </c>
      <c r="C5473" s="24">
        <v>1946.8</v>
      </c>
      <c r="D5473" s="47">
        <f t="shared" si="85"/>
        <v>1524.3444</v>
      </c>
    </row>
    <row r="5474" spans="1:4">
      <c r="A5474" s="122">
        <v>35172</v>
      </c>
      <c r="B5474" s="24">
        <v>0.78700000000000003</v>
      </c>
      <c r="C5474" s="24">
        <v>1937.4</v>
      </c>
      <c r="D5474" s="47">
        <f t="shared" si="85"/>
        <v>1524.7338000000002</v>
      </c>
    </row>
    <row r="5475" spans="1:4">
      <c r="A5475" s="122">
        <v>35171</v>
      </c>
      <c r="B5475" s="24">
        <v>0.78600000000000003</v>
      </c>
      <c r="C5475" s="24">
        <v>1916.9</v>
      </c>
      <c r="D5475" s="47">
        <f t="shared" si="85"/>
        <v>1506.6834000000001</v>
      </c>
    </row>
    <row r="5476" spans="1:4">
      <c r="A5476" s="122">
        <v>35170</v>
      </c>
      <c r="B5476" s="24">
        <v>0.78900000000000003</v>
      </c>
      <c r="C5476" s="24">
        <v>1919.5</v>
      </c>
      <c r="D5476" s="47">
        <f t="shared" si="85"/>
        <v>1514.4855</v>
      </c>
    </row>
    <row r="5477" spans="1:4">
      <c r="A5477" s="122">
        <v>35167</v>
      </c>
      <c r="B5477" s="24">
        <v>0.79100000000000004</v>
      </c>
      <c r="C5477" s="24">
        <v>1929.5</v>
      </c>
      <c r="D5477" s="47">
        <f t="shared" si="85"/>
        <v>1526.2345</v>
      </c>
    </row>
    <row r="5478" spans="1:4">
      <c r="A5478" s="122">
        <v>35166</v>
      </c>
      <c r="B5478" s="24">
        <v>0.79</v>
      </c>
      <c r="C5478" s="24">
        <v>1923.9</v>
      </c>
      <c r="D5478" s="47">
        <f t="shared" si="85"/>
        <v>1519.8810000000001</v>
      </c>
    </row>
    <row r="5479" spans="1:4">
      <c r="A5479" s="122">
        <v>35165</v>
      </c>
      <c r="B5479" s="24">
        <v>0.78800000000000003</v>
      </c>
      <c r="C5479" s="24">
        <v>1924</v>
      </c>
      <c r="D5479" s="47">
        <f t="shared" si="85"/>
        <v>1516.1120000000001</v>
      </c>
    </row>
    <row r="5480" spans="1:4">
      <c r="A5480" s="122">
        <v>35164</v>
      </c>
      <c r="B5480" s="24">
        <v>0.78600000000000003</v>
      </c>
      <c r="C5480" s="24">
        <v>1891.3</v>
      </c>
      <c r="D5480" s="47">
        <f t="shared" si="85"/>
        <v>1486.5617999999999</v>
      </c>
    </row>
    <row r="5481" spans="1:4">
      <c r="A5481" s="122">
        <v>35163</v>
      </c>
      <c r="B5481" s="24">
        <v>0.78400000000000003</v>
      </c>
      <c r="C5481" s="24">
        <v>1881.1</v>
      </c>
      <c r="D5481" s="47">
        <f t="shared" si="85"/>
        <v>1474.7824000000001</v>
      </c>
    </row>
    <row r="5482" spans="1:4">
      <c r="A5482" s="122">
        <v>35160</v>
      </c>
      <c r="B5482" s="24">
        <v>0.78300000000000003</v>
      </c>
      <c r="C5482" s="24">
        <v>1867.2</v>
      </c>
      <c r="D5482" s="47">
        <f t="shared" si="85"/>
        <v>1462.0176000000001</v>
      </c>
    </row>
    <row r="5483" spans="1:4">
      <c r="A5483" s="122">
        <v>35159</v>
      </c>
      <c r="B5483" s="24">
        <v>0.78100000000000003</v>
      </c>
      <c r="C5483" s="24">
        <v>1852.6</v>
      </c>
      <c r="D5483" s="47">
        <f t="shared" si="85"/>
        <v>1446.8806</v>
      </c>
    </row>
    <row r="5484" spans="1:4">
      <c r="A5484" s="122">
        <v>35158</v>
      </c>
      <c r="B5484" s="24">
        <v>0.78100000000000003</v>
      </c>
      <c r="C5484" s="24">
        <v>1868.2</v>
      </c>
      <c r="D5484" s="47">
        <f t="shared" si="85"/>
        <v>1459.0642</v>
      </c>
    </row>
    <row r="5485" spans="1:4">
      <c r="A5485" s="122">
        <v>35157</v>
      </c>
      <c r="B5485" s="24">
        <v>0.78200000000000003</v>
      </c>
      <c r="C5485" s="24">
        <v>1853.8</v>
      </c>
      <c r="D5485" s="47">
        <f t="shared" si="85"/>
        <v>1449.6716000000001</v>
      </c>
    </row>
    <row r="5486" spans="1:4">
      <c r="A5486" s="122">
        <v>35156</v>
      </c>
      <c r="B5486" s="24">
        <v>0.78500000000000003</v>
      </c>
      <c r="C5486" s="24">
        <v>1852.1</v>
      </c>
      <c r="D5486" s="47">
        <f t="shared" si="85"/>
        <v>1453.8985</v>
      </c>
    </row>
    <row r="5487" spans="1:4">
      <c r="A5487" s="122">
        <v>35153</v>
      </c>
      <c r="B5487" s="24">
        <v>0.78100000000000003</v>
      </c>
      <c r="C5487" s="24">
        <v>1837.2</v>
      </c>
      <c r="D5487" s="47">
        <f t="shared" si="85"/>
        <v>1434.8532</v>
      </c>
    </row>
    <row r="5488" spans="1:4">
      <c r="A5488" s="122">
        <v>35152</v>
      </c>
      <c r="B5488" s="24">
        <v>0.78100000000000003</v>
      </c>
      <c r="C5488" s="24">
        <v>1836</v>
      </c>
      <c r="D5488" s="47">
        <f t="shared" si="85"/>
        <v>1433.9159999999999</v>
      </c>
    </row>
    <row r="5489" spans="1:4">
      <c r="A5489" s="122">
        <v>35151</v>
      </c>
      <c r="B5489" s="24">
        <v>0.78</v>
      </c>
      <c r="C5489" s="24">
        <v>1857</v>
      </c>
      <c r="D5489" s="47">
        <f t="shared" si="85"/>
        <v>1448.46</v>
      </c>
    </row>
    <row r="5490" spans="1:4">
      <c r="A5490" s="122">
        <v>35150</v>
      </c>
      <c r="B5490" s="24">
        <v>0.77300000000000002</v>
      </c>
      <c r="C5490" s="24">
        <v>1853.2</v>
      </c>
      <c r="D5490" s="47">
        <f t="shared" si="85"/>
        <v>1432.5236</v>
      </c>
    </row>
    <row r="5491" spans="1:4">
      <c r="A5491" s="122">
        <v>35149</v>
      </c>
      <c r="B5491" s="24">
        <v>0.77300000000000002</v>
      </c>
      <c r="C5491" s="24">
        <v>1847.1</v>
      </c>
      <c r="D5491" s="47">
        <f t="shared" si="85"/>
        <v>1427.8082999999999</v>
      </c>
    </row>
    <row r="5492" spans="1:4">
      <c r="A5492" s="122">
        <v>35146</v>
      </c>
      <c r="B5492" s="24">
        <v>0.77600000000000002</v>
      </c>
      <c r="C5492" s="24">
        <v>1846.7</v>
      </c>
      <c r="D5492" s="47">
        <f t="shared" si="85"/>
        <v>1433.0392000000002</v>
      </c>
    </row>
    <row r="5493" spans="1:4">
      <c r="A5493" s="122">
        <v>35145</v>
      </c>
      <c r="B5493" s="24">
        <v>0.77800000000000002</v>
      </c>
      <c r="C5493" s="24">
        <v>1837.1</v>
      </c>
      <c r="D5493" s="47">
        <f t="shared" si="85"/>
        <v>1429.2637999999999</v>
      </c>
    </row>
    <row r="5494" spans="1:4">
      <c r="A5494" s="122">
        <v>35144</v>
      </c>
      <c r="B5494" s="24">
        <v>0.77600000000000002</v>
      </c>
      <c r="C5494" s="24">
        <v>1824.1</v>
      </c>
      <c r="D5494" s="47">
        <f t="shared" si="85"/>
        <v>1415.5016000000001</v>
      </c>
    </row>
    <row r="5495" spans="1:4">
      <c r="A5495" s="122">
        <v>35143</v>
      </c>
      <c r="B5495" s="24">
        <v>0.77300000000000002</v>
      </c>
      <c r="C5495" s="24">
        <v>1814.3</v>
      </c>
      <c r="D5495" s="47">
        <f t="shared" si="85"/>
        <v>1402.4539</v>
      </c>
    </row>
    <row r="5496" spans="1:4">
      <c r="A5496" s="122">
        <v>35142</v>
      </c>
      <c r="B5496" s="24">
        <v>0.77400000000000002</v>
      </c>
      <c r="C5496" s="24">
        <v>1810.3</v>
      </c>
      <c r="D5496" s="47">
        <f t="shared" si="85"/>
        <v>1401.1722</v>
      </c>
    </row>
    <row r="5497" spans="1:4">
      <c r="A5497" s="122">
        <v>35139</v>
      </c>
      <c r="B5497" s="24">
        <v>0.77400000000000002</v>
      </c>
      <c r="C5497" s="24">
        <v>1792.5</v>
      </c>
      <c r="D5497" s="47">
        <f t="shared" si="85"/>
        <v>1387.395</v>
      </c>
    </row>
    <row r="5498" spans="1:4">
      <c r="A5498" s="122">
        <v>35138</v>
      </c>
      <c r="B5498" s="24">
        <v>0.77400000000000002</v>
      </c>
      <c r="C5498" s="24">
        <v>1804.4</v>
      </c>
      <c r="D5498" s="47">
        <f t="shared" si="85"/>
        <v>1396.6056000000001</v>
      </c>
    </row>
    <row r="5499" spans="1:4">
      <c r="A5499" s="122">
        <v>35137</v>
      </c>
      <c r="B5499" s="24">
        <v>0.77400000000000002</v>
      </c>
      <c r="C5499" s="24">
        <v>1799.5</v>
      </c>
      <c r="D5499" s="47">
        <f t="shared" si="85"/>
        <v>1392.8130000000001</v>
      </c>
    </row>
    <row r="5500" spans="1:4">
      <c r="A5500" s="122">
        <v>35136</v>
      </c>
      <c r="B5500" s="24">
        <v>0.77</v>
      </c>
      <c r="C5500" s="24">
        <v>1815.4</v>
      </c>
      <c r="D5500" s="47">
        <f t="shared" si="85"/>
        <v>1397.8580000000002</v>
      </c>
    </row>
    <row r="5501" spans="1:4">
      <c r="A5501" s="122">
        <v>35135</v>
      </c>
      <c r="B5501" s="24">
        <v>0.76700000000000002</v>
      </c>
      <c r="C5501" s="24">
        <v>1803.8</v>
      </c>
      <c r="D5501" s="47">
        <f t="shared" si="85"/>
        <v>1383.5146</v>
      </c>
    </row>
    <row r="5502" spans="1:4">
      <c r="A5502" s="122">
        <v>35132</v>
      </c>
      <c r="B5502" s="24">
        <v>0.76700000000000002</v>
      </c>
      <c r="C5502" s="24">
        <v>1794.3</v>
      </c>
      <c r="D5502" s="47">
        <f t="shared" si="85"/>
        <v>1376.2281</v>
      </c>
    </row>
    <row r="5503" spans="1:4">
      <c r="A5503" s="122">
        <v>35131</v>
      </c>
      <c r="B5503" s="24">
        <v>0.76300000000000001</v>
      </c>
      <c r="C5503" s="24">
        <v>1796.8</v>
      </c>
      <c r="D5503" s="47">
        <f t="shared" si="85"/>
        <v>1370.9584</v>
      </c>
    </row>
    <row r="5504" spans="1:4">
      <c r="A5504" s="122">
        <v>35130</v>
      </c>
      <c r="B5504" s="24">
        <v>0.76400000000000001</v>
      </c>
      <c r="C5504" s="24">
        <v>1802.7</v>
      </c>
      <c r="D5504" s="47">
        <f t="shared" si="85"/>
        <v>1377.2628</v>
      </c>
    </row>
    <row r="5505" spans="1:4">
      <c r="A5505" s="122">
        <v>35129</v>
      </c>
      <c r="B5505" s="24">
        <v>0.76</v>
      </c>
      <c r="C5505" s="24">
        <v>1801.3</v>
      </c>
      <c r="D5505" s="47">
        <f t="shared" si="85"/>
        <v>1368.9880000000001</v>
      </c>
    </row>
    <row r="5506" spans="1:4">
      <c r="A5506" s="122">
        <v>35128</v>
      </c>
      <c r="B5506" s="24">
        <v>0.76</v>
      </c>
      <c r="C5506" s="24">
        <v>1799.9</v>
      </c>
      <c r="D5506" s="47">
        <f t="shared" si="85"/>
        <v>1367.924</v>
      </c>
    </row>
    <row r="5507" spans="1:4">
      <c r="A5507" s="122">
        <v>35125</v>
      </c>
      <c r="B5507" s="24">
        <v>0.76100000000000001</v>
      </c>
      <c r="C5507" s="24">
        <v>1797.5</v>
      </c>
      <c r="D5507" s="47">
        <f t="shared" ref="D5507:D5570" si="86">C5507*B5507</f>
        <v>1367.8975</v>
      </c>
    </row>
    <row r="5508" spans="1:4">
      <c r="A5508" s="122">
        <v>35124</v>
      </c>
      <c r="B5508" s="24">
        <v>0.76500000000000001</v>
      </c>
      <c r="C5508" s="24">
        <v>1776.9</v>
      </c>
      <c r="D5508" s="47">
        <f t="shared" si="86"/>
        <v>1359.3285000000001</v>
      </c>
    </row>
    <row r="5509" spans="1:4">
      <c r="A5509" s="122">
        <v>35123</v>
      </c>
      <c r="B5509" s="24">
        <v>0.76300000000000001</v>
      </c>
      <c r="C5509" s="24">
        <v>1775.8</v>
      </c>
      <c r="D5509" s="47">
        <f t="shared" si="86"/>
        <v>1354.9354000000001</v>
      </c>
    </row>
    <row r="5510" spans="1:4">
      <c r="A5510" s="122">
        <v>35122</v>
      </c>
      <c r="B5510" s="24">
        <v>0.75900000000000001</v>
      </c>
      <c r="C5510" s="24">
        <v>1765.7</v>
      </c>
      <c r="D5510" s="47">
        <f t="shared" si="86"/>
        <v>1340.1663000000001</v>
      </c>
    </row>
    <row r="5511" spans="1:4">
      <c r="A5511" s="122">
        <v>35121</v>
      </c>
      <c r="B5511" s="24">
        <v>0.75700000000000001</v>
      </c>
      <c r="C5511" s="24">
        <v>1757.3</v>
      </c>
      <c r="D5511" s="47">
        <f t="shared" si="86"/>
        <v>1330.2761</v>
      </c>
    </row>
    <row r="5512" spans="1:4">
      <c r="A5512" s="122">
        <v>35118</v>
      </c>
      <c r="B5512" s="24">
        <v>0.75700000000000001</v>
      </c>
      <c r="C5512" s="24">
        <v>1759.6</v>
      </c>
      <c r="D5512" s="47">
        <f t="shared" si="86"/>
        <v>1332.0172</v>
      </c>
    </row>
    <row r="5513" spans="1:4">
      <c r="A5513" s="122">
        <v>35117</v>
      </c>
      <c r="B5513" s="24">
        <v>0.75600000000000001</v>
      </c>
      <c r="C5513" s="24">
        <v>1764</v>
      </c>
      <c r="D5513" s="47">
        <f t="shared" si="86"/>
        <v>1333.5840000000001</v>
      </c>
    </row>
    <row r="5514" spans="1:4">
      <c r="A5514" s="122">
        <v>35116</v>
      </c>
      <c r="B5514" s="24">
        <v>0.751</v>
      </c>
      <c r="C5514" s="24">
        <v>1752.3</v>
      </c>
      <c r="D5514" s="47">
        <f t="shared" si="86"/>
        <v>1315.9773</v>
      </c>
    </row>
    <row r="5515" spans="1:4">
      <c r="A5515" s="122">
        <v>35115</v>
      </c>
      <c r="B5515" s="24">
        <v>0.753</v>
      </c>
      <c r="C5515" s="24">
        <v>1734.6</v>
      </c>
      <c r="D5515" s="47">
        <f t="shared" si="86"/>
        <v>1306.1538</v>
      </c>
    </row>
    <row r="5516" spans="1:4">
      <c r="A5516" s="122">
        <v>35114</v>
      </c>
      <c r="B5516" s="24">
        <v>0.753</v>
      </c>
      <c r="C5516" s="24">
        <v>1716.8</v>
      </c>
      <c r="D5516" s="47">
        <f t="shared" si="86"/>
        <v>1292.7503999999999</v>
      </c>
    </row>
    <row r="5517" spans="1:4">
      <c r="A5517" s="122">
        <v>35111</v>
      </c>
      <c r="B5517" s="24">
        <v>0.755</v>
      </c>
      <c r="C5517" s="24">
        <v>1714.6</v>
      </c>
      <c r="D5517" s="47">
        <f t="shared" si="86"/>
        <v>1294.5229999999999</v>
      </c>
    </row>
    <row r="5518" spans="1:4">
      <c r="A5518" s="122">
        <v>35110</v>
      </c>
      <c r="B5518" s="24">
        <v>0.755</v>
      </c>
      <c r="C5518" s="24">
        <v>1699.1</v>
      </c>
      <c r="D5518" s="47">
        <f t="shared" si="86"/>
        <v>1282.8205</v>
      </c>
    </row>
    <row r="5519" spans="1:4">
      <c r="A5519" s="122">
        <v>35109</v>
      </c>
      <c r="B5519" s="24">
        <v>0.754</v>
      </c>
      <c r="C5519" s="24">
        <v>1698.4</v>
      </c>
      <c r="D5519" s="47">
        <f t="shared" si="86"/>
        <v>1280.5936000000002</v>
      </c>
    </row>
    <row r="5520" spans="1:4">
      <c r="A5520" s="122">
        <v>35108</v>
      </c>
      <c r="B5520" s="24">
        <v>0.754</v>
      </c>
      <c r="C5520" s="24">
        <v>1697.7</v>
      </c>
      <c r="D5520" s="47">
        <f t="shared" si="86"/>
        <v>1280.0658000000001</v>
      </c>
    </row>
    <row r="5521" spans="1:4">
      <c r="A5521" s="122">
        <v>35107</v>
      </c>
      <c r="B5521" s="24">
        <v>0.755</v>
      </c>
      <c r="C5521" s="24">
        <v>1715.9</v>
      </c>
      <c r="D5521" s="47">
        <f t="shared" si="86"/>
        <v>1295.5045</v>
      </c>
    </row>
    <row r="5522" spans="1:4">
      <c r="A5522" s="122">
        <v>35104</v>
      </c>
      <c r="B5522" s="24">
        <v>0.755</v>
      </c>
      <c r="C5522" s="24">
        <v>1726.8</v>
      </c>
      <c r="D5522" s="47">
        <f t="shared" si="86"/>
        <v>1303.7339999999999</v>
      </c>
    </row>
    <row r="5523" spans="1:4">
      <c r="A5523" s="122">
        <v>35103</v>
      </c>
      <c r="B5523" s="24">
        <v>0.75800000000000001</v>
      </c>
      <c r="C5523" s="24">
        <v>1730.5</v>
      </c>
      <c r="D5523" s="47">
        <f t="shared" si="86"/>
        <v>1311.7190000000001</v>
      </c>
    </row>
    <row r="5524" spans="1:4">
      <c r="A5524" s="122">
        <v>35102</v>
      </c>
      <c r="B5524" s="24">
        <v>0.752</v>
      </c>
      <c r="C5524" s="24">
        <v>1728</v>
      </c>
      <c r="D5524" s="47">
        <f t="shared" si="86"/>
        <v>1299.4559999999999</v>
      </c>
    </row>
    <row r="5525" spans="1:4">
      <c r="A5525" s="122">
        <v>35101</v>
      </c>
      <c r="B5525" s="24">
        <v>0.754</v>
      </c>
      <c r="C5525" s="24">
        <v>1726</v>
      </c>
      <c r="D5525" s="47">
        <f t="shared" si="86"/>
        <v>1301.404</v>
      </c>
    </row>
    <row r="5526" spans="1:4">
      <c r="A5526" s="122">
        <v>35100</v>
      </c>
      <c r="B5526" s="24">
        <v>0.755</v>
      </c>
      <c r="C5526" s="24">
        <v>1726.5</v>
      </c>
      <c r="D5526" s="47">
        <f t="shared" si="86"/>
        <v>1303.5074999999999</v>
      </c>
    </row>
    <row r="5527" spans="1:4">
      <c r="A5527" s="122">
        <v>35097</v>
      </c>
      <c r="B5527" s="24">
        <v>0.75800000000000001</v>
      </c>
      <c r="C5527" s="24">
        <v>1715.1</v>
      </c>
      <c r="D5527" s="47">
        <f t="shared" si="86"/>
        <v>1300.0457999999999</v>
      </c>
    </row>
    <row r="5528" spans="1:4">
      <c r="A5528" s="122">
        <v>35096</v>
      </c>
      <c r="B5528" s="24">
        <v>0.748</v>
      </c>
      <c r="C5528" s="24">
        <v>1713.6</v>
      </c>
      <c r="D5528" s="47">
        <f t="shared" si="86"/>
        <v>1281.7728</v>
      </c>
    </row>
    <row r="5529" spans="1:4">
      <c r="A5529" s="122">
        <v>35095</v>
      </c>
      <c r="B5529" s="24">
        <v>0.745</v>
      </c>
      <c r="C5529" s="24">
        <v>1708.7</v>
      </c>
      <c r="D5529" s="47">
        <f t="shared" si="86"/>
        <v>1272.9815000000001</v>
      </c>
    </row>
    <row r="5530" spans="1:4">
      <c r="A5530" s="122">
        <v>35094</v>
      </c>
      <c r="B5530" s="24">
        <v>0.74199999999999999</v>
      </c>
      <c r="C5530" s="24">
        <v>1721.9</v>
      </c>
      <c r="D5530" s="47">
        <f t="shared" si="86"/>
        <v>1277.6498000000001</v>
      </c>
    </row>
    <row r="5531" spans="1:4">
      <c r="A5531" s="122">
        <v>35093</v>
      </c>
      <c r="B5531" s="24">
        <v>0.74099999999999999</v>
      </c>
      <c r="C5531" s="24">
        <v>1736.9</v>
      </c>
      <c r="D5531" s="47">
        <f t="shared" si="86"/>
        <v>1287.0429000000001</v>
      </c>
    </row>
    <row r="5532" spans="1:4">
      <c r="A5532" s="122">
        <v>35090</v>
      </c>
      <c r="B5532" s="24">
        <v>0.73799999999999999</v>
      </c>
      <c r="C5532" s="24">
        <v>1739.8</v>
      </c>
      <c r="D5532" s="47">
        <f t="shared" si="86"/>
        <v>1283.9723999999999</v>
      </c>
    </row>
    <row r="5533" spans="1:4">
      <c r="A5533" s="122">
        <v>35089</v>
      </c>
      <c r="B5533" s="24">
        <v>0.73799999999999999</v>
      </c>
      <c r="C5533" s="24">
        <v>1741.2</v>
      </c>
      <c r="D5533" s="47">
        <f t="shared" si="86"/>
        <v>1285.0056</v>
      </c>
    </row>
    <row r="5534" spans="1:4">
      <c r="A5534" s="122">
        <v>35088</v>
      </c>
      <c r="B5534" s="24">
        <v>0.73799999999999999</v>
      </c>
      <c r="C5534" s="24">
        <v>1742.6</v>
      </c>
      <c r="D5534" s="47">
        <f t="shared" si="86"/>
        <v>1286.0387999999998</v>
      </c>
    </row>
    <row r="5535" spans="1:4">
      <c r="A5535" s="122">
        <v>35087</v>
      </c>
      <c r="B5535" s="24">
        <v>0.73399999999999999</v>
      </c>
      <c r="C5535" s="24">
        <v>1732.8</v>
      </c>
      <c r="D5535" s="47">
        <f t="shared" si="86"/>
        <v>1271.8751999999999</v>
      </c>
    </row>
    <row r="5536" spans="1:4">
      <c r="A5536" s="122">
        <v>35086</v>
      </c>
      <c r="B5536" s="24">
        <v>0.73399999999999999</v>
      </c>
      <c r="C5536" s="24">
        <v>1737.4</v>
      </c>
      <c r="D5536" s="47">
        <f t="shared" si="86"/>
        <v>1275.2516000000001</v>
      </c>
    </row>
    <row r="5537" spans="1:4">
      <c r="A5537" s="122">
        <v>35083</v>
      </c>
      <c r="B5537" s="24">
        <v>0.73399999999999999</v>
      </c>
      <c r="C5537" s="24">
        <v>1762.5</v>
      </c>
      <c r="D5537" s="47">
        <f t="shared" si="86"/>
        <v>1293.675</v>
      </c>
    </row>
    <row r="5538" spans="1:4">
      <c r="A5538" s="122">
        <v>35082</v>
      </c>
      <c r="B5538" s="24">
        <v>0.73899999999999999</v>
      </c>
      <c r="C5538" s="24">
        <v>1753.4</v>
      </c>
      <c r="D5538" s="47">
        <f t="shared" si="86"/>
        <v>1295.7626</v>
      </c>
    </row>
    <row r="5539" spans="1:4">
      <c r="A5539" s="122">
        <v>35081</v>
      </c>
      <c r="B5539" s="24">
        <v>0.74099999999999999</v>
      </c>
      <c r="C5539" s="24">
        <v>1719.5</v>
      </c>
      <c r="D5539" s="47">
        <f t="shared" si="86"/>
        <v>1274.1495</v>
      </c>
    </row>
    <row r="5540" spans="1:4">
      <c r="A5540" s="122">
        <v>35080</v>
      </c>
      <c r="B5540" s="24">
        <v>0.74399999999999999</v>
      </c>
      <c r="C5540" s="24">
        <v>1698.2</v>
      </c>
      <c r="D5540" s="47">
        <f t="shared" si="86"/>
        <v>1263.4608000000001</v>
      </c>
    </row>
    <row r="5541" spans="1:4">
      <c r="A5541" s="122">
        <v>35079</v>
      </c>
      <c r="B5541" s="24">
        <v>0.74099999999999999</v>
      </c>
      <c r="C5541" s="24">
        <v>1683.7</v>
      </c>
      <c r="D5541" s="47">
        <f t="shared" si="86"/>
        <v>1247.6216999999999</v>
      </c>
    </row>
    <row r="5542" spans="1:4">
      <c r="A5542" s="122">
        <v>35076</v>
      </c>
      <c r="B5542" s="24">
        <v>0.74299999999999999</v>
      </c>
      <c r="C5542" s="24">
        <v>1695.1</v>
      </c>
      <c r="D5542" s="47">
        <f t="shared" si="86"/>
        <v>1259.4593</v>
      </c>
    </row>
    <row r="5543" spans="1:4">
      <c r="A5543" s="122">
        <v>35075</v>
      </c>
      <c r="B5543" s="24">
        <v>0.74399999999999999</v>
      </c>
      <c r="C5543" s="24">
        <v>1682.1</v>
      </c>
      <c r="D5543" s="47">
        <f t="shared" si="86"/>
        <v>1251.4823999999999</v>
      </c>
    </row>
    <row r="5544" spans="1:4">
      <c r="A5544" s="122">
        <v>35074</v>
      </c>
      <c r="B5544" s="24">
        <v>0.746</v>
      </c>
      <c r="C5544" s="24">
        <v>1680.2</v>
      </c>
      <c r="D5544" s="47">
        <f t="shared" si="86"/>
        <v>1253.4292</v>
      </c>
    </row>
    <row r="5545" spans="1:4">
      <c r="A5545" s="122">
        <v>35073</v>
      </c>
      <c r="B5545" s="24">
        <v>0.74399999999999999</v>
      </c>
      <c r="C5545" s="24">
        <v>1676.4</v>
      </c>
      <c r="D5545" s="47">
        <f t="shared" si="86"/>
        <v>1247.2416000000001</v>
      </c>
    </row>
    <row r="5546" spans="1:4">
      <c r="A5546" s="122">
        <v>35072</v>
      </c>
      <c r="B5546" s="24">
        <v>0.747</v>
      </c>
      <c r="C5546" s="24">
        <v>1686.2</v>
      </c>
      <c r="D5546" s="47">
        <f t="shared" si="86"/>
        <v>1259.5914</v>
      </c>
    </row>
    <row r="5547" spans="1:4">
      <c r="A5547" s="122">
        <v>35069</v>
      </c>
      <c r="B5547" s="24">
        <v>0.747</v>
      </c>
      <c r="C5547" s="24">
        <v>1698.9</v>
      </c>
      <c r="D5547" s="47">
        <f t="shared" si="86"/>
        <v>1269.0783000000001</v>
      </c>
    </row>
    <row r="5548" spans="1:4">
      <c r="A5548" s="122">
        <v>35068</v>
      </c>
      <c r="B5548" s="24">
        <v>0.73899999999999999</v>
      </c>
      <c r="C5548" s="24">
        <v>1696.2</v>
      </c>
      <c r="D5548" s="47">
        <f t="shared" si="86"/>
        <v>1253.4918</v>
      </c>
    </row>
    <row r="5549" spans="1:4">
      <c r="A5549" s="122">
        <v>35067</v>
      </c>
      <c r="B5549" s="24">
        <v>0.748</v>
      </c>
      <c r="C5549" s="24">
        <v>1698.3</v>
      </c>
      <c r="D5549" s="47">
        <f t="shared" si="86"/>
        <v>1270.3283999999999</v>
      </c>
    </row>
    <row r="5550" spans="1:4">
      <c r="A5550" s="122">
        <v>35066</v>
      </c>
      <c r="B5550" s="24">
        <v>0.74399999999999999</v>
      </c>
      <c r="C5550" s="24">
        <v>1689.5</v>
      </c>
      <c r="D5550" s="47">
        <f t="shared" si="86"/>
        <v>1256.9880000000001</v>
      </c>
    </row>
    <row r="5551" spans="1:4">
      <c r="A5551" s="122">
        <v>35065</v>
      </c>
      <c r="B5551" s="24">
        <v>0.74399999999999999</v>
      </c>
      <c r="C5551" s="24">
        <v>1673.9</v>
      </c>
      <c r="D5551" s="47">
        <f t="shared" si="86"/>
        <v>1245.3816000000002</v>
      </c>
    </row>
    <row r="5552" spans="1:4">
      <c r="A5552" s="122">
        <v>35062</v>
      </c>
      <c r="B5552" s="24">
        <v>0.74399999999999999</v>
      </c>
      <c r="C5552" s="24">
        <v>1688.5</v>
      </c>
      <c r="D5552" s="47">
        <f t="shared" si="86"/>
        <v>1256.2439999999999</v>
      </c>
    </row>
    <row r="5553" spans="1:4">
      <c r="A5553" s="122">
        <v>35061</v>
      </c>
      <c r="B5553" s="24">
        <v>0.74399999999999999</v>
      </c>
      <c r="C5553" s="24">
        <v>1696</v>
      </c>
      <c r="D5553" s="47">
        <f t="shared" si="86"/>
        <v>1261.8240000000001</v>
      </c>
    </row>
    <row r="5554" spans="1:4">
      <c r="A5554" s="122">
        <v>35060</v>
      </c>
      <c r="B5554" s="24">
        <v>0.748</v>
      </c>
      <c r="C5554" s="24">
        <v>1678.5</v>
      </c>
      <c r="D5554" s="47">
        <f t="shared" si="86"/>
        <v>1255.518</v>
      </c>
    </row>
    <row r="5555" spans="1:4">
      <c r="A5555" s="122">
        <v>35059</v>
      </c>
      <c r="B5555" s="24">
        <v>0.74099999999999999</v>
      </c>
      <c r="C5555" s="24">
        <v>1668.1</v>
      </c>
      <c r="D5555" s="47">
        <f t="shared" si="86"/>
        <v>1236.0620999999999</v>
      </c>
    </row>
    <row r="5556" spans="1:4">
      <c r="A5556" s="122">
        <v>35058</v>
      </c>
      <c r="B5556" s="24">
        <v>0.73899999999999999</v>
      </c>
      <c r="C5556" s="24">
        <v>1668.7</v>
      </c>
      <c r="D5556" s="47">
        <f t="shared" si="86"/>
        <v>1233.1693</v>
      </c>
    </row>
    <row r="5557" spans="1:4">
      <c r="A5557" s="122">
        <v>35055</v>
      </c>
      <c r="B5557" s="24">
        <v>0.74</v>
      </c>
      <c r="C5557" s="24">
        <v>1685.2</v>
      </c>
      <c r="D5557" s="47">
        <f t="shared" si="86"/>
        <v>1247.048</v>
      </c>
    </row>
    <row r="5558" spans="1:4">
      <c r="A5558" s="122">
        <v>35054</v>
      </c>
      <c r="B5558" s="24">
        <v>0.74</v>
      </c>
      <c r="C5558" s="24">
        <v>1684</v>
      </c>
      <c r="D5558" s="47">
        <f t="shared" si="86"/>
        <v>1246.1600000000001</v>
      </c>
    </row>
    <row r="5559" spans="1:4">
      <c r="A5559" s="122">
        <v>35053</v>
      </c>
      <c r="B5559" s="24">
        <v>0.74099999999999999</v>
      </c>
      <c r="C5559" s="24">
        <v>1709.2</v>
      </c>
      <c r="D5559" s="47">
        <f t="shared" si="86"/>
        <v>1266.5172</v>
      </c>
    </row>
    <row r="5560" spans="1:4">
      <c r="A5560" s="122">
        <v>35052</v>
      </c>
      <c r="B5560" s="24">
        <v>0.74099999999999999</v>
      </c>
      <c r="C5560" s="24">
        <v>1709.1</v>
      </c>
      <c r="D5560" s="47">
        <f t="shared" si="86"/>
        <v>1266.4431</v>
      </c>
    </row>
    <row r="5561" spans="1:4">
      <c r="A5561" s="122">
        <v>35051</v>
      </c>
      <c r="B5561" s="24">
        <v>0.74</v>
      </c>
      <c r="C5561" s="24">
        <v>1716</v>
      </c>
      <c r="D5561" s="47">
        <f t="shared" si="86"/>
        <v>1269.8399999999999</v>
      </c>
    </row>
    <row r="5562" spans="1:4">
      <c r="A5562" s="122">
        <v>35048</v>
      </c>
      <c r="B5562" s="24">
        <v>0.74299999999999999</v>
      </c>
      <c r="C5562" s="24">
        <v>1710.9</v>
      </c>
      <c r="D5562" s="47">
        <f t="shared" si="86"/>
        <v>1271.1987000000001</v>
      </c>
    </row>
    <row r="5563" spans="1:4">
      <c r="A5563" s="122">
        <v>35047</v>
      </c>
      <c r="B5563" s="24">
        <v>0.73899999999999999</v>
      </c>
      <c r="C5563" s="24">
        <v>1714.4</v>
      </c>
      <c r="D5563" s="47">
        <f t="shared" si="86"/>
        <v>1266.9416000000001</v>
      </c>
    </row>
    <row r="5564" spans="1:4">
      <c r="A5564" s="122">
        <v>35046</v>
      </c>
      <c r="B5564" s="24">
        <v>0.74399999999999999</v>
      </c>
      <c r="C5564" s="24">
        <v>1702.4</v>
      </c>
      <c r="D5564" s="47">
        <f t="shared" si="86"/>
        <v>1266.5856000000001</v>
      </c>
    </row>
    <row r="5565" spans="1:4">
      <c r="A5565" s="122">
        <v>35045</v>
      </c>
      <c r="B5565" s="24">
        <v>0.74</v>
      </c>
      <c r="C5565" s="24">
        <v>1712.7</v>
      </c>
      <c r="D5565" s="47">
        <f t="shared" si="86"/>
        <v>1267.3979999999999</v>
      </c>
    </row>
    <row r="5566" spans="1:4">
      <c r="A5566" s="122">
        <v>35044</v>
      </c>
      <c r="B5566" s="24">
        <v>0.73599999999999999</v>
      </c>
      <c r="C5566" s="24">
        <v>1705.5</v>
      </c>
      <c r="D5566" s="47">
        <f t="shared" si="86"/>
        <v>1255.248</v>
      </c>
    </row>
    <row r="5567" spans="1:4">
      <c r="A5567" s="122">
        <v>35041</v>
      </c>
      <c r="B5567" s="24">
        <v>0.73699999999999999</v>
      </c>
      <c r="C5567" s="24">
        <v>1713.4</v>
      </c>
      <c r="D5567" s="47">
        <f t="shared" si="86"/>
        <v>1262.7758000000001</v>
      </c>
    </row>
    <row r="5568" spans="1:4">
      <c r="A5568" s="122">
        <v>35040</v>
      </c>
      <c r="B5568" s="24">
        <v>0.73899999999999999</v>
      </c>
      <c r="C5568" s="24">
        <v>1713.4</v>
      </c>
      <c r="D5568" s="47">
        <f t="shared" si="86"/>
        <v>1266.2026000000001</v>
      </c>
    </row>
    <row r="5569" spans="1:4">
      <c r="A5569" s="122">
        <v>35039</v>
      </c>
      <c r="B5569" s="24">
        <v>0.73899999999999999</v>
      </c>
      <c r="C5569" s="24">
        <v>1714.7</v>
      </c>
      <c r="D5569" s="47">
        <f t="shared" si="86"/>
        <v>1267.1632999999999</v>
      </c>
    </row>
    <row r="5570" spans="1:4">
      <c r="A5570" s="122">
        <v>35038</v>
      </c>
      <c r="B5570" s="24">
        <v>0.73899999999999999</v>
      </c>
      <c r="C5570" s="24">
        <v>1699.2</v>
      </c>
      <c r="D5570" s="47">
        <f t="shared" si="86"/>
        <v>1255.7088000000001</v>
      </c>
    </row>
    <row r="5571" spans="1:4">
      <c r="A5571" s="122">
        <v>35037</v>
      </c>
      <c r="B5571" s="24">
        <v>0.73799999999999999</v>
      </c>
      <c r="C5571" s="24">
        <v>1674.3</v>
      </c>
      <c r="D5571" s="47">
        <f t="shared" ref="D5571:D5634" si="87">C5571*B5571</f>
        <v>1235.6333999999999</v>
      </c>
    </row>
    <row r="5572" spans="1:4">
      <c r="A5572" s="122">
        <v>35034</v>
      </c>
      <c r="B5572" s="24">
        <v>0.73899999999999999</v>
      </c>
      <c r="C5572" s="24">
        <v>1662</v>
      </c>
      <c r="D5572" s="47">
        <f t="shared" si="87"/>
        <v>1228.2180000000001</v>
      </c>
    </row>
    <row r="5573" spans="1:4">
      <c r="A5573" s="122">
        <v>35033</v>
      </c>
      <c r="B5573" s="24">
        <v>0.74299999999999999</v>
      </c>
      <c r="C5573" s="24">
        <v>1665.9</v>
      </c>
      <c r="D5573" s="47">
        <f t="shared" si="87"/>
        <v>1237.7637</v>
      </c>
    </row>
    <row r="5574" spans="1:4">
      <c r="A5574" s="122">
        <v>35032</v>
      </c>
      <c r="B5574" s="24">
        <v>0.748</v>
      </c>
      <c r="C5574" s="24">
        <v>1678.7</v>
      </c>
      <c r="D5574" s="47">
        <f t="shared" si="87"/>
        <v>1255.6676</v>
      </c>
    </row>
    <row r="5575" spans="1:4">
      <c r="A5575" s="122">
        <v>35031</v>
      </c>
      <c r="B5575" s="24">
        <v>0.748</v>
      </c>
      <c r="C5575" s="24">
        <v>1692.3</v>
      </c>
      <c r="D5575" s="47">
        <f t="shared" si="87"/>
        <v>1265.8404</v>
      </c>
    </row>
    <row r="5576" spans="1:4">
      <c r="A5576" s="122">
        <v>35030</v>
      </c>
      <c r="B5576" s="24">
        <v>0.74299999999999999</v>
      </c>
      <c r="C5576" s="24">
        <v>1676.4</v>
      </c>
      <c r="D5576" s="47">
        <f t="shared" si="87"/>
        <v>1245.5652</v>
      </c>
    </row>
    <row r="5577" spans="1:4">
      <c r="A5577" s="122">
        <v>35027</v>
      </c>
      <c r="B5577" s="24">
        <v>0.73899999999999999</v>
      </c>
      <c r="C5577" s="24">
        <v>1674.5</v>
      </c>
      <c r="D5577" s="47">
        <f t="shared" si="87"/>
        <v>1237.4555</v>
      </c>
    </row>
    <row r="5578" spans="1:4">
      <c r="A5578" s="122">
        <v>35026</v>
      </c>
      <c r="B5578" s="24">
        <v>0.74</v>
      </c>
      <c r="C5578" s="24">
        <v>1687.2</v>
      </c>
      <c r="D5578" s="47">
        <f t="shared" si="87"/>
        <v>1248.528</v>
      </c>
    </row>
    <row r="5579" spans="1:4">
      <c r="A5579" s="122">
        <v>35025</v>
      </c>
      <c r="B5579" s="24">
        <v>0.74</v>
      </c>
      <c r="C5579" s="24">
        <v>1686.3</v>
      </c>
      <c r="D5579" s="47">
        <f t="shared" si="87"/>
        <v>1247.8619999999999</v>
      </c>
    </row>
    <row r="5580" spans="1:4">
      <c r="A5580" s="122">
        <v>35024</v>
      </c>
      <c r="B5580" s="24">
        <v>0.74399999999999999</v>
      </c>
      <c r="C5580" s="24">
        <v>1685.6</v>
      </c>
      <c r="D5580" s="47">
        <f t="shared" si="87"/>
        <v>1254.0863999999999</v>
      </c>
    </row>
    <row r="5581" spans="1:4">
      <c r="A5581" s="122">
        <v>35023</v>
      </c>
      <c r="B5581" s="24">
        <v>0.74399999999999999</v>
      </c>
      <c r="C5581" s="24">
        <v>1670.7</v>
      </c>
      <c r="D5581" s="47">
        <f t="shared" si="87"/>
        <v>1243.0008</v>
      </c>
    </row>
    <row r="5582" spans="1:4">
      <c r="A5582" s="122">
        <v>35020</v>
      </c>
      <c r="B5582" s="24">
        <v>0.74</v>
      </c>
      <c r="C5582" s="24">
        <v>1673.7</v>
      </c>
      <c r="D5582" s="47">
        <f t="shared" si="87"/>
        <v>1238.538</v>
      </c>
    </row>
    <row r="5583" spans="1:4">
      <c r="A5583" s="122">
        <v>35019</v>
      </c>
      <c r="B5583" s="24">
        <v>0.74</v>
      </c>
      <c r="C5583" s="24">
        <v>1670</v>
      </c>
      <c r="D5583" s="47">
        <f t="shared" si="87"/>
        <v>1235.8</v>
      </c>
    </row>
    <row r="5584" spans="1:4">
      <c r="A5584" s="122">
        <v>35018</v>
      </c>
      <c r="B5584" s="24">
        <v>0.73499999999999999</v>
      </c>
      <c r="C5584" s="24">
        <v>1674.9</v>
      </c>
      <c r="D5584" s="47">
        <f t="shared" si="87"/>
        <v>1231.0515</v>
      </c>
    </row>
    <row r="5585" spans="1:4">
      <c r="A5585" s="122">
        <v>35017</v>
      </c>
      <c r="B5585" s="24">
        <v>0.74</v>
      </c>
      <c r="C5585" s="24">
        <v>1689.7</v>
      </c>
      <c r="D5585" s="47">
        <f t="shared" si="87"/>
        <v>1250.3779999999999</v>
      </c>
    </row>
    <row r="5586" spans="1:4">
      <c r="A5586" s="122">
        <v>35016</v>
      </c>
      <c r="B5586" s="24">
        <v>0.73799999999999999</v>
      </c>
      <c r="C5586" s="24">
        <v>1681.6</v>
      </c>
      <c r="D5586" s="47">
        <f t="shared" si="87"/>
        <v>1241.0208</v>
      </c>
    </row>
    <row r="5587" spans="1:4">
      <c r="A5587" s="122">
        <v>35013</v>
      </c>
      <c r="B5587" s="24">
        <v>0.73799999999999999</v>
      </c>
      <c r="C5587" s="24">
        <v>1687.1</v>
      </c>
      <c r="D5587" s="47">
        <f t="shared" si="87"/>
        <v>1245.0798</v>
      </c>
    </row>
    <row r="5588" spans="1:4">
      <c r="A5588" s="122">
        <v>35012</v>
      </c>
      <c r="B5588" s="24">
        <v>0.73599999999999999</v>
      </c>
      <c r="C5588" s="24">
        <v>1669.2</v>
      </c>
      <c r="D5588" s="47">
        <f t="shared" si="87"/>
        <v>1228.5312000000001</v>
      </c>
    </row>
    <row r="5589" spans="1:4">
      <c r="A5589" s="122">
        <v>35011</v>
      </c>
      <c r="B5589" s="24">
        <v>0.752</v>
      </c>
      <c r="C5589" s="24">
        <v>1635.3</v>
      </c>
      <c r="D5589" s="47">
        <f t="shared" si="87"/>
        <v>1229.7456</v>
      </c>
    </row>
    <row r="5590" spans="1:4">
      <c r="A5590" s="122">
        <v>35010</v>
      </c>
      <c r="B5590" s="24">
        <v>0.752</v>
      </c>
      <c r="C5590" s="24">
        <v>1671.9</v>
      </c>
      <c r="D5590" s="47">
        <f t="shared" si="87"/>
        <v>1257.2688000000001</v>
      </c>
    </row>
    <row r="5591" spans="1:4">
      <c r="A5591" s="122">
        <v>35009</v>
      </c>
      <c r="B5591" s="24">
        <v>0.754</v>
      </c>
      <c r="C5591" s="24">
        <v>1672.8</v>
      </c>
      <c r="D5591" s="47">
        <f t="shared" si="87"/>
        <v>1261.2911999999999</v>
      </c>
    </row>
    <row r="5592" spans="1:4">
      <c r="A5592" s="122">
        <v>35006</v>
      </c>
      <c r="B5592" s="24">
        <v>0.75800000000000001</v>
      </c>
      <c r="C5592" s="24">
        <v>1658.6</v>
      </c>
      <c r="D5592" s="47">
        <f t="shared" si="87"/>
        <v>1257.2187999999999</v>
      </c>
    </row>
    <row r="5593" spans="1:4">
      <c r="A5593" s="122">
        <v>35005</v>
      </c>
      <c r="B5593" s="24">
        <v>0.75700000000000001</v>
      </c>
      <c r="C5593" s="24">
        <v>1644.1</v>
      </c>
      <c r="D5593" s="47">
        <f t="shared" si="87"/>
        <v>1244.5836999999999</v>
      </c>
    </row>
    <row r="5594" spans="1:4">
      <c r="A5594" s="122">
        <v>35004</v>
      </c>
      <c r="B5594" s="24">
        <v>0.76</v>
      </c>
      <c r="C5594" s="24">
        <v>1626.5</v>
      </c>
      <c r="D5594" s="47">
        <f t="shared" si="87"/>
        <v>1236.1400000000001</v>
      </c>
    </row>
    <row r="5595" spans="1:4">
      <c r="A5595" s="122">
        <v>35003</v>
      </c>
      <c r="B5595" s="24">
        <v>0.76</v>
      </c>
      <c r="C5595" s="24">
        <v>1623.6</v>
      </c>
      <c r="D5595" s="47">
        <f t="shared" si="87"/>
        <v>1233.9359999999999</v>
      </c>
    </row>
    <row r="5596" spans="1:4">
      <c r="A5596" s="122">
        <v>35002</v>
      </c>
      <c r="B5596" s="24">
        <v>0.76</v>
      </c>
      <c r="C5596" s="24">
        <v>1633.9</v>
      </c>
      <c r="D5596" s="47">
        <f t="shared" si="87"/>
        <v>1241.7640000000001</v>
      </c>
    </row>
    <row r="5597" spans="1:4">
      <c r="A5597" s="122">
        <v>34999</v>
      </c>
      <c r="B5597" s="24">
        <v>0.754</v>
      </c>
      <c r="C5597" s="24">
        <v>1637.3</v>
      </c>
      <c r="D5597" s="47">
        <f t="shared" si="87"/>
        <v>1234.5242000000001</v>
      </c>
    </row>
    <row r="5598" spans="1:4">
      <c r="A5598" s="122">
        <v>34998</v>
      </c>
      <c r="B5598" s="24">
        <v>0.755</v>
      </c>
      <c r="C5598" s="24">
        <v>1658</v>
      </c>
      <c r="D5598" s="47">
        <f t="shared" si="87"/>
        <v>1251.79</v>
      </c>
    </row>
    <row r="5599" spans="1:4">
      <c r="A5599" s="122">
        <v>34997</v>
      </c>
      <c r="B5599" s="24">
        <v>0.748</v>
      </c>
      <c r="C5599" s="24">
        <v>1652.8</v>
      </c>
      <c r="D5599" s="47">
        <f t="shared" si="87"/>
        <v>1236.2944</v>
      </c>
    </row>
    <row r="5600" spans="1:4">
      <c r="A5600" s="122">
        <v>34996</v>
      </c>
      <c r="B5600" s="24">
        <v>0.747</v>
      </c>
      <c r="C5600" s="24">
        <v>1620.2</v>
      </c>
      <c r="D5600" s="47">
        <f t="shared" si="87"/>
        <v>1210.2894000000001</v>
      </c>
    </row>
    <row r="5601" spans="1:4">
      <c r="A5601" s="122">
        <v>34995</v>
      </c>
      <c r="B5601" s="24">
        <v>0.747</v>
      </c>
      <c r="C5601" s="24">
        <v>1617</v>
      </c>
      <c r="D5601" s="47">
        <f t="shared" si="87"/>
        <v>1207.8989999999999</v>
      </c>
    </row>
    <row r="5602" spans="1:4">
      <c r="A5602" s="122">
        <v>34992</v>
      </c>
      <c r="B5602" s="24">
        <v>0.749</v>
      </c>
      <c r="C5602" s="24">
        <v>1615.2</v>
      </c>
      <c r="D5602" s="47">
        <f t="shared" si="87"/>
        <v>1209.7848000000001</v>
      </c>
    </row>
    <row r="5603" spans="1:4">
      <c r="A5603" s="122">
        <v>34991</v>
      </c>
      <c r="B5603" s="24">
        <v>0.751</v>
      </c>
      <c r="C5603" s="24">
        <v>1619.5</v>
      </c>
      <c r="D5603" s="47">
        <f t="shared" si="87"/>
        <v>1216.2445</v>
      </c>
    </row>
    <row r="5604" spans="1:4">
      <c r="A5604" s="122">
        <v>34990</v>
      </c>
      <c r="B5604" s="24">
        <v>0.754</v>
      </c>
      <c r="C5604" s="24">
        <v>1615.7</v>
      </c>
      <c r="D5604" s="47">
        <f t="shared" si="87"/>
        <v>1218.2378000000001</v>
      </c>
    </row>
    <row r="5605" spans="1:4">
      <c r="A5605" s="122">
        <v>34989</v>
      </c>
      <c r="B5605" s="24">
        <v>0.753</v>
      </c>
      <c r="C5605" s="24">
        <v>1604.3</v>
      </c>
      <c r="D5605" s="47">
        <f t="shared" si="87"/>
        <v>1208.0379</v>
      </c>
    </row>
    <row r="5606" spans="1:4">
      <c r="A5606" s="122">
        <v>34988</v>
      </c>
      <c r="B5606" s="24">
        <v>0.75900000000000001</v>
      </c>
      <c r="C5606" s="24">
        <v>1618.4</v>
      </c>
      <c r="D5606" s="47">
        <f t="shared" si="87"/>
        <v>1228.3656000000001</v>
      </c>
    </row>
    <row r="5607" spans="1:4">
      <c r="A5607" s="122">
        <v>34985</v>
      </c>
      <c r="B5607" s="24">
        <v>0.75900000000000001</v>
      </c>
      <c r="C5607" s="24">
        <v>1612.8</v>
      </c>
      <c r="D5607" s="47">
        <f t="shared" si="87"/>
        <v>1224.1152</v>
      </c>
    </row>
    <row r="5608" spans="1:4">
      <c r="A5608" s="122">
        <v>34984</v>
      </c>
      <c r="B5608" s="24">
        <v>0.75900000000000001</v>
      </c>
      <c r="C5608" s="24">
        <v>1623.9</v>
      </c>
      <c r="D5608" s="47">
        <f t="shared" si="87"/>
        <v>1232.5401000000002</v>
      </c>
    </row>
    <row r="5609" spans="1:4">
      <c r="A5609" s="122">
        <v>34983</v>
      </c>
      <c r="B5609" s="24">
        <v>0.76200000000000001</v>
      </c>
      <c r="C5609" s="24">
        <v>1607.2</v>
      </c>
      <c r="D5609" s="47">
        <f t="shared" si="87"/>
        <v>1224.6864</v>
      </c>
    </row>
    <row r="5610" spans="1:4">
      <c r="A5610" s="122">
        <v>34982</v>
      </c>
      <c r="B5610" s="24">
        <v>0.76</v>
      </c>
      <c r="C5610" s="24">
        <v>1614.3</v>
      </c>
      <c r="D5610" s="47">
        <f t="shared" si="87"/>
        <v>1226.8679999999999</v>
      </c>
    </row>
    <row r="5611" spans="1:4">
      <c r="A5611" s="122">
        <v>34981</v>
      </c>
      <c r="B5611" s="24">
        <v>0.76400000000000001</v>
      </c>
      <c r="C5611" s="24">
        <v>1610.1</v>
      </c>
      <c r="D5611" s="47">
        <f t="shared" si="87"/>
        <v>1230.1163999999999</v>
      </c>
    </row>
    <row r="5612" spans="1:4">
      <c r="A5612" s="122">
        <v>34978</v>
      </c>
      <c r="B5612" s="24">
        <v>0.76200000000000001</v>
      </c>
      <c r="C5612" s="24">
        <v>1602</v>
      </c>
      <c r="D5612" s="47">
        <f t="shared" si="87"/>
        <v>1220.7239999999999</v>
      </c>
    </row>
    <row r="5613" spans="1:4">
      <c r="A5613" s="122">
        <v>34977</v>
      </c>
      <c r="B5613" s="24">
        <v>0.75800000000000001</v>
      </c>
      <c r="C5613" s="24">
        <v>1595.1</v>
      </c>
      <c r="D5613" s="47">
        <f t="shared" si="87"/>
        <v>1209.0857999999998</v>
      </c>
    </row>
    <row r="5614" spans="1:4">
      <c r="A5614" s="122">
        <v>34976</v>
      </c>
      <c r="B5614" s="24">
        <v>0.76400000000000001</v>
      </c>
      <c r="C5614" s="24">
        <v>1568.5</v>
      </c>
      <c r="D5614" s="47">
        <f t="shared" si="87"/>
        <v>1198.3340000000001</v>
      </c>
    </row>
    <row r="5615" spans="1:4">
      <c r="A5615" s="122">
        <v>34975</v>
      </c>
      <c r="B5615" s="24">
        <v>0.76900000000000002</v>
      </c>
      <c r="C5615" s="24">
        <v>1552.5</v>
      </c>
      <c r="D5615" s="47">
        <f t="shared" si="87"/>
        <v>1193.8724999999999</v>
      </c>
    </row>
    <row r="5616" spans="1:4">
      <c r="A5616" s="122">
        <v>34974</v>
      </c>
      <c r="B5616" s="24">
        <v>0.76100000000000001</v>
      </c>
      <c r="C5616" s="24">
        <v>1540</v>
      </c>
      <c r="D5616" s="47">
        <f t="shared" si="87"/>
        <v>1171.94</v>
      </c>
    </row>
    <row r="5617" spans="1:4">
      <c r="A5617" s="122">
        <v>34971</v>
      </c>
      <c r="B5617" s="24">
        <v>0.755</v>
      </c>
      <c r="C5617" s="24">
        <v>1538.5</v>
      </c>
      <c r="D5617" s="47">
        <f t="shared" si="87"/>
        <v>1161.5675000000001</v>
      </c>
    </row>
    <row r="5618" spans="1:4">
      <c r="A5618" s="122">
        <v>34970</v>
      </c>
      <c r="B5618" s="24">
        <v>0.752</v>
      </c>
      <c r="C5618" s="24">
        <v>1538.3</v>
      </c>
      <c r="D5618" s="47">
        <f t="shared" si="87"/>
        <v>1156.8016</v>
      </c>
    </row>
    <row r="5619" spans="1:4">
      <c r="A5619" s="122">
        <v>34969</v>
      </c>
      <c r="B5619" s="24">
        <v>0.749</v>
      </c>
      <c r="C5619" s="24">
        <v>1538.3</v>
      </c>
      <c r="D5619" s="47">
        <f t="shared" si="87"/>
        <v>1152.1867</v>
      </c>
    </row>
    <row r="5620" spans="1:4">
      <c r="A5620" s="122">
        <v>34968</v>
      </c>
      <c r="B5620" s="24">
        <v>0.748</v>
      </c>
      <c r="C5620" s="24">
        <v>1536.5</v>
      </c>
      <c r="D5620" s="47">
        <f t="shared" si="87"/>
        <v>1149.3019999999999</v>
      </c>
    </row>
    <row r="5621" spans="1:4">
      <c r="A5621" s="122">
        <v>34967</v>
      </c>
      <c r="B5621" s="24">
        <v>0.75</v>
      </c>
      <c r="C5621" s="24">
        <v>1536.1</v>
      </c>
      <c r="D5621" s="47">
        <f t="shared" si="87"/>
        <v>1152.0749999999998</v>
      </c>
    </row>
    <row r="5622" spans="1:4">
      <c r="A5622" s="122">
        <v>34964</v>
      </c>
      <c r="B5622" s="24">
        <v>0.746</v>
      </c>
      <c r="C5622" s="24">
        <v>1544.4</v>
      </c>
      <c r="D5622" s="47">
        <f t="shared" si="87"/>
        <v>1152.1224</v>
      </c>
    </row>
    <row r="5623" spans="1:4">
      <c r="A5623" s="122">
        <v>34963</v>
      </c>
      <c r="B5623" s="24">
        <v>0.748</v>
      </c>
      <c r="C5623" s="24">
        <v>1539.1</v>
      </c>
      <c r="D5623" s="47">
        <f t="shared" si="87"/>
        <v>1151.2467999999999</v>
      </c>
    </row>
    <row r="5624" spans="1:4">
      <c r="A5624" s="122">
        <v>34962</v>
      </c>
      <c r="B5624" s="24">
        <v>0.755</v>
      </c>
      <c r="C5624" s="24">
        <v>1532.8</v>
      </c>
      <c r="D5624" s="47">
        <f t="shared" si="87"/>
        <v>1157.2639999999999</v>
      </c>
    </row>
    <row r="5625" spans="1:4">
      <c r="A5625" s="122">
        <v>34961</v>
      </c>
      <c r="B5625" s="24">
        <v>0.76100000000000001</v>
      </c>
      <c r="C5625" s="24">
        <v>1533</v>
      </c>
      <c r="D5625" s="47">
        <f t="shared" si="87"/>
        <v>1166.6130000000001</v>
      </c>
    </row>
    <row r="5626" spans="1:4">
      <c r="A5626" s="122">
        <v>34960</v>
      </c>
      <c r="B5626" s="24">
        <v>0.755</v>
      </c>
      <c r="C5626" s="24">
        <v>1528.4</v>
      </c>
      <c r="D5626" s="47">
        <f t="shared" si="87"/>
        <v>1153.942</v>
      </c>
    </row>
    <row r="5627" spans="1:4">
      <c r="A5627" s="122">
        <v>34957</v>
      </c>
      <c r="B5627" s="24">
        <v>0.76</v>
      </c>
      <c r="C5627" s="24">
        <v>1530.9</v>
      </c>
      <c r="D5627" s="47">
        <f t="shared" si="87"/>
        <v>1163.4840000000002</v>
      </c>
    </row>
    <row r="5628" spans="1:4">
      <c r="A5628" s="122">
        <v>34956</v>
      </c>
      <c r="B5628" s="24">
        <v>0.76100000000000001</v>
      </c>
      <c r="C5628" s="24">
        <v>1527.6</v>
      </c>
      <c r="D5628" s="47">
        <f t="shared" si="87"/>
        <v>1162.5036</v>
      </c>
    </row>
    <row r="5629" spans="1:4">
      <c r="A5629" s="122">
        <v>34955</v>
      </c>
      <c r="B5629" s="24">
        <v>0.76600000000000001</v>
      </c>
      <c r="C5629" s="24">
        <v>1538.3</v>
      </c>
      <c r="D5629" s="47">
        <f t="shared" si="87"/>
        <v>1178.3378</v>
      </c>
    </row>
    <row r="5630" spans="1:4">
      <c r="A5630" s="122">
        <v>34954</v>
      </c>
      <c r="B5630" s="24">
        <v>0.75900000000000001</v>
      </c>
      <c r="C5630" s="24">
        <v>1534.1</v>
      </c>
      <c r="D5630" s="47">
        <f t="shared" si="87"/>
        <v>1164.3818999999999</v>
      </c>
    </row>
    <row r="5631" spans="1:4">
      <c r="A5631" s="122">
        <v>34953</v>
      </c>
      <c r="B5631" s="24">
        <v>0.753</v>
      </c>
      <c r="C5631" s="24">
        <v>1515.4</v>
      </c>
      <c r="D5631" s="47">
        <f t="shared" si="87"/>
        <v>1141.0962000000002</v>
      </c>
    </row>
    <row r="5632" spans="1:4">
      <c r="A5632" s="122">
        <v>34950</v>
      </c>
      <c r="B5632" s="24">
        <v>0.752</v>
      </c>
      <c r="C5632" s="24">
        <v>1502.2</v>
      </c>
      <c r="D5632" s="47">
        <f t="shared" si="87"/>
        <v>1129.6544000000001</v>
      </c>
    </row>
    <row r="5633" spans="1:4">
      <c r="A5633" s="122">
        <v>34949</v>
      </c>
      <c r="B5633" s="24">
        <v>0.752</v>
      </c>
      <c r="C5633" s="24">
        <v>1517.9</v>
      </c>
      <c r="D5633" s="47">
        <f t="shared" si="87"/>
        <v>1141.4608000000001</v>
      </c>
    </row>
    <row r="5634" spans="1:4">
      <c r="A5634" s="122">
        <v>34948</v>
      </c>
      <c r="B5634" s="24">
        <v>0.752</v>
      </c>
      <c r="C5634" s="24">
        <v>1523.6</v>
      </c>
      <c r="D5634" s="47">
        <f t="shared" si="87"/>
        <v>1145.7472</v>
      </c>
    </row>
    <row r="5635" spans="1:4">
      <c r="A5635" s="122">
        <v>34947</v>
      </c>
      <c r="B5635" s="24">
        <v>0.751</v>
      </c>
      <c r="C5635" s="24">
        <v>1510.4</v>
      </c>
      <c r="D5635" s="47">
        <f t="shared" ref="D5635:D5666" si="88">C5635*B5635</f>
        <v>1134.3104000000001</v>
      </c>
    </row>
    <row r="5636" spans="1:4">
      <c r="A5636" s="122">
        <v>34946</v>
      </c>
      <c r="B5636" s="24">
        <v>0.748</v>
      </c>
      <c r="C5636" s="24">
        <v>1542.1</v>
      </c>
      <c r="D5636" s="47">
        <f t="shared" si="88"/>
        <v>1153.4908</v>
      </c>
    </row>
    <row r="5637" spans="1:4">
      <c r="A5637" s="122">
        <v>34943</v>
      </c>
      <c r="B5637" s="24">
        <v>0.751</v>
      </c>
      <c r="C5637" s="24">
        <v>1554.8</v>
      </c>
      <c r="D5637" s="47">
        <f t="shared" si="88"/>
        <v>1167.6548</v>
      </c>
    </row>
    <row r="5638" spans="1:4">
      <c r="A5638" s="122">
        <v>34942</v>
      </c>
      <c r="B5638" s="24">
        <v>0.751</v>
      </c>
      <c r="C5638" s="24">
        <v>1579.9</v>
      </c>
      <c r="D5638" s="47">
        <f t="shared" si="88"/>
        <v>1186.5049000000001</v>
      </c>
    </row>
    <row r="5639" spans="1:4">
      <c r="A5639" s="122">
        <v>34941</v>
      </c>
      <c r="B5639" s="24">
        <v>0.753</v>
      </c>
      <c r="C5639" s="24">
        <v>1576.1</v>
      </c>
      <c r="D5639" s="47">
        <f t="shared" si="88"/>
        <v>1186.8033</v>
      </c>
    </row>
    <row r="5640" spans="1:4">
      <c r="A5640" s="122">
        <v>34940</v>
      </c>
      <c r="B5640" s="24">
        <v>0.752</v>
      </c>
      <c r="C5640" s="24">
        <v>1564.7</v>
      </c>
      <c r="D5640" s="47">
        <f t="shared" si="88"/>
        <v>1176.6544000000001</v>
      </c>
    </row>
    <row r="5641" spans="1:4">
      <c r="A5641" s="122">
        <v>34939</v>
      </c>
      <c r="B5641" s="24">
        <v>0.74299999999999999</v>
      </c>
      <c r="C5641" s="24">
        <v>1552.3</v>
      </c>
      <c r="D5641" s="47">
        <f t="shared" si="88"/>
        <v>1153.3588999999999</v>
      </c>
    </row>
    <row r="5642" spans="1:4">
      <c r="A5642" s="122">
        <v>34936</v>
      </c>
      <c r="B5642" s="24">
        <v>0.74299999999999999</v>
      </c>
      <c r="C5642" s="24">
        <v>1553.5</v>
      </c>
      <c r="D5642" s="47">
        <f t="shared" si="88"/>
        <v>1154.2505000000001</v>
      </c>
    </row>
    <row r="5643" spans="1:4">
      <c r="A5643" s="122">
        <v>34935</v>
      </c>
      <c r="B5643" s="24">
        <v>0.74</v>
      </c>
      <c r="C5643" s="24">
        <v>1547.6</v>
      </c>
      <c r="D5643" s="47">
        <f t="shared" si="88"/>
        <v>1145.2239999999999</v>
      </c>
    </row>
    <row r="5644" spans="1:4">
      <c r="A5644" s="122">
        <v>34934</v>
      </c>
      <c r="B5644" s="24">
        <v>0.74099999999999999</v>
      </c>
      <c r="C5644" s="24">
        <v>1536.4</v>
      </c>
      <c r="D5644" s="47">
        <f t="shared" si="88"/>
        <v>1138.4724000000001</v>
      </c>
    </row>
    <row r="5645" spans="1:4">
      <c r="A5645" s="122">
        <v>34933</v>
      </c>
      <c r="B5645" s="24">
        <v>0.74</v>
      </c>
      <c r="C5645" s="24">
        <v>1543.5</v>
      </c>
      <c r="D5645" s="47">
        <f t="shared" si="88"/>
        <v>1142.19</v>
      </c>
    </row>
    <row r="5646" spans="1:4">
      <c r="A5646" s="122">
        <v>34932</v>
      </c>
      <c r="B5646" s="24">
        <v>0.73699999999999999</v>
      </c>
      <c r="C5646" s="24">
        <v>1551.7</v>
      </c>
      <c r="D5646" s="47">
        <f t="shared" si="88"/>
        <v>1143.6029000000001</v>
      </c>
    </row>
    <row r="5647" spans="1:4">
      <c r="A5647" s="122">
        <v>34929</v>
      </c>
      <c r="B5647" s="24">
        <v>0.73499999999999999</v>
      </c>
      <c r="C5647" s="24">
        <v>1529.4</v>
      </c>
      <c r="D5647" s="47">
        <f t="shared" si="88"/>
        <v>1124.1090000000002</v>
      </c>
    </row>
    <row r="5648" spans="1:4">
      <c r="A5648" s="122">
        <v>34928</v>
      </c>
      <c r="B5648" s="24">
        <v>0.73199999999999998</v>
      </c>
      <c r="C5648" s="24">
        <v>1512</v>
      </c>
      <c r="D5648" s="47">
        <f t="shared" si="88"/>
        <v>1106.7839999999999</v>
      </c>
    </row>
    <row r="5649" spans="1:4">
      <c r="A5649" s="122">
        <v>34927</v>
      </c>
      <c r="B5649" s="24">
        <v>0.73299999999999998</v>
      </c>
      <c r="C5649" s="24">
        <v>1508.5</v>
      </c>
      <c r="D5649" s="47">
        <f t="shared" si="88"/>
        <v>1105.7304999999999</v>
      </c>
    </row>
    <row r="5650" spans="1:4">
      <c r="A5650" s="122">
        <v>34926</v>
      </c>
      <c r="B5650" s="24">
        <v>0.73599999999999999</v>
      </c>
      <c r="C5650" s="24">
        <v>1522.3</v>
      </c>
      <c r="D5650" s="47">
        <f t="shared" si="88"/>
        <v>1120.4128000000001</v>
      </c>
    </row>
    <row r="5651" spans="1:4">
      <c r="A5651" s="122">
        <v>34925</v>
      </c>
      <c r="B5651" s="24">
        <v>0.74199999999999999</v>
      </c>
      <c r="C5651" s="24">
        <v>1525.9</v>
      </c>
      <c r="D5651" s="47">
        <f t="shared" si="88"/>
        <v>1132.2178000000001</v>
      </c>
    </row>
    <row r="5652" spans="1:4">
      <c r="A5652" s="122">
        <v>34922</v>
      </c>
      <c r="B5652" s="24">
        <v>0.74299999999999999</v>
      </c>
      <c r="C5652" s="24">
        <v>1513.3</v>
      </c>
      <c r="D5652" s="47">
        <f t="shared" si="88"/>
        <v>1124.3818999999999</v>
      </c>
    </row>
    <row r="5653" spans="1:4">
      <c r="A5653" s="122">
        <v>34921</v>
      </c>
      <c r="B5653" s="24">
        <v>0.74099999999999999</v>
      </c>
      <c r="C5653" s="24">
        <v>1515.1</v>
      </c>
      <c r="D5653" s="47">
        <f t="shared" si="88"/>
        <v>1122.6890999999998</v>
      </c>
    </row>
    <row r="5654" spans="1:4">
      <c r="A5654" s="122">
        <v>34920</v>
      </c>
      <c r="B5654" s="24">
        <v>0.74099999999999999</v>
      </c>
      <c r="C5654" s="24">
        <v>1494.9</v>
      </c>
      <c r="D5654" s="47">
        <f t="shared" si="88"/>
        <v>1107.7209</v>
      </c>
    </row>
    <row r="5655" spans="1:4">
      <c r="A5655" s="122">
        <v>34919</v>
      </c>
      <c r="B5655" s="24">
        <v>0.74299999999999999</v>
      </c>
      <c r="C5655" s="24">
        <v>1480.3</v>
      </c>
      <c r="D5655" s="47">
        <f t="shared" si="88"/>
        <v>1099.8628999999999</v>
      </c>
    </row>
    <row r="5656" spans="1:4">
      <c r="A5656" s="122">
        <v>34918</v>
      </c>
      <c r="B5656" s="24">
        <v>0.74099999999999999</v>
      </c>
      <c r="C5656" s="24">
        <v>1454.3</v>
      </c>
      <c r="D5656" s="47">
        <f t="shared" si="88"/>
        <v>1077.6362999999999</v>
      </c>
    </row>
    <row r="5657" spans="1:4">
      <c r="A5657" s="122">
        <v>34915</v>
      </c>
      <c r="B5657" s="24">
        <v>0.74299999999999999</v>
      </c>
      <c r="C5657" s="24">
        <v>1443.2</v>
      </c>
      <c r="D5657" s="47">
        <f t="shared" si="88"/>
        <v>1072.2976000000001</v>
      </c>
    </row>
    <row r="5658" spans="1:4">
      <c r="A5658" s="122">
        <v>34914</v>
      </c>
      <c r="B5658" s="24">
        <v>0.73799999999999999</v>
      </c>
      <c r="C5658" s="24">
        <v>1442.1</v>
      </c>
      <c r="D5658" s="47">
        <f t="shared" si="88"/>
        <v>1064.2697999999998</v>
      </c>
    </row>
    <row r="5659" spans="1:4">
      <c r="A5659" s="122">
        <v>34913</v>
      </c>
      <c r="B5659" s="24">
        <v>0.74199999999999999</v>
      </c>
      <c r="C5659" s="24">
        <v>1446.8</v>
      </c>
      <c r="D5659" s="47">
        <f t="shared" si="88"/>
        <v>1073.5255999999999</v>
      </c>
    </row>
    <row r="5660" spans="1:4">
      <c r="A5660" s="122">
        <v>34912</v>
      </c>
      <c r="B5660" s="24">
        <v>0.74</v>
      </c>
      <c r="C5660" s="24">
        <v>1452.3</v>
      </c>
      <c r="D5660" s="47">
        <f t="shared" si="88"/>
        <v>1074.702</v>
      </c>
    </row>
    <row r="5661" spans="1:4">
      <c r="A5661" s="122">
        <v>34911</v>
      </c>
      <c r="B5661" s="24">
        <v>0.73899999999999999</v>
      </c>
      <c r="C5661" s="24">
        <v>1456.4</v>
      </c>
      <c r="D5661" s="47">
        <f t="shared" si="88"/>
        <v>1076.2796000000001</v>
      </c>
    </row>
    <row r="5662" spans="1:4">
      <c r="A5662" s="122">
        <v>34908</v>
      </c>
      <c r="B5662" s="24">
        <v>0.73799999999999999</v>
      </c>
      <c r="C5662" s="24">
        <v>1458.9</v>
      </c>
      <c r="D5662" s="47">
        <f t="shared" si="88"/>
        <v>1076.6682000000001</v>
      </c>
    </row>
    <row r="5663" spans="1:4">
      <c r="A5663" s="122">
        <v>34907</v>
      </c>
      <c r="B5663" s="24">
        <v>0.73399999999999999</v>
      </c>
      <c r="C5663" s="24">
        <v>1459</v>
      </c>
      <c r="D5663" s="47">
        <f t="shared" si="88"/>
        <v>1070.9059999999999</v>
      </c>
    </row>
    <row r="5664" spans="1:4">
      <c r="A5664" s="122">
        <v>34906</v>
      </c>
      <c r="B5664" s="24">
        <v>0.73799999999999999</v>
      </c>
      <c r="C5664" s="24">
        <v>1467.9</v>
      </c>
      <c r="D5664" s="47">
        <f t="shared" si="88"/>
        <v>1083.3102000000001</v>
      </c>
    </row>
    <row r="5665" spans="1:4">
      <c r="A5665" s="122">
        <v>34905</v>
      </c>
      <c r="B5665" s="24">
        <v>0.73799999999999999</v>
      </c>
      <c r="C5665" s="24">
        <v>1458.4</v>
      </c>
      <c r="D5665" s="47">
        <f t="shared" si="88"/>
        <v>1076.2992000000002</v>
      </c>
    </row>
    <row r="5666" spans="1:4">
      <c r="A5666" s="122">
        <v>34904</v>
      </c>
      <c r="B5666" s="24">
        <v>0.73899999999999999</v>
      </c>
      <c r="C5666" s="24">
        <v>1455</v>
      </c>
      <c r="D5666" s="47">
        <f t="shared" si="88"/>
        <v>1075.2449999999999</v>
      </c>
    </row>
  </sheetData>
  <hyperlinks>
    <hyperlink ref="G31" r:id="rId1" xr:uid="{46E87A7B-5019-440C-8E74-02B9DF441C8F}"/>
    <hyperlink ref="G30" r:id="rId2" xr:uid="{BAFFAD69-3E63-4F47-9743-1B6885CAFB63}"/>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AUD_USD Exo' Score</vt:lpstr>
      <vt:lpstr>Sources</vt:lpstr>
      <vt:lpstr>Relative_GDP</vt:lpstr>
      <vt:lpstr>BOPs_US</vt:lpstr>
      <vt:lpstr>BOPs_AUS</vt:lpstr>
      <vt:lpstr>BOPs_Relative</vt:lpstr>
      <vt:lpstr>Trade_Analysis</vt:lpstr>
      <vt:lpstr>TA1_IronOre</vt:lpstr>
      <vt:lpstr>TA1_IronOre_SD</vt:lpstr>
      <vt:lpstr>TA2_Coal_China</vt:lpstr>
      <vt:lpstr>TA3_Japan_Coal</vt:lpstr>
      <vt:lpstr>IR Diffs &amp; Carry</vt:lpstr>
      <vt:lpstr>Stock 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Reserve Bank of Australia</dc:creator>
  <cp:lastModifiedBy>Nikhil Khajuria</cp:lastModifiedBy>
  <dcterms:created xsi:type="dcterms:W3CDTF">2015-03-01T21:18:17Z</dcterms:created>
  <dcterms:modified xsi:type="dcterms:W3CDTF">2026-07-18T02:25:07Z</dcterms:modified>
</cp:coreProperties>
</file>