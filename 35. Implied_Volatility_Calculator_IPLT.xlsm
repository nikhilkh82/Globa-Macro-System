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wrlloyd-my.sharepoint.com/personal/nikhil_awrlloyd_com/Documents/Desktop/Market Data Nov 2022/excel and pdf files/Video 7/"/>
    </mc:Choice>
  </mc:AlternateContent>
  <xr:revisionPtr revIDLastSave="0" documentId="13_ncr:1_{7EA59F7E-A30D-45EB-9F43-DDA6D6581DE3}" xr6:coauthVersionLast="47" xr6:coauthVersionMax="47" xr10:uidLastSave="{00000000-0000-0000-0000-000000000000}"/>
  <bookViews>
    <workbookView xWindow="-98" yWindow="-98" windowWidth="21795" windowHeight="13875" tabRatio="903" xr2:uid="{00000000-000D-0000-FFFF-FFFF00000000}"/>
  </bookViews>
  <sheets>
    <sheet name="Implied Vol - Black-Scholes" sheetId="13" r:id="rId1"/>
    <sheet name="Implied Vol - Binomial (yield)" sheetId="14" r:id="rId2"/>
    <sheet name="Implied Vol-Binomial (discrete)" sheetId="6" r:id="rId3"/>
    <sheet name="Summary Worksheet" sheetId="15" r:id="rId4"/>
  </sheets>
  <definedNames>
    <definedName name="_d" localSheetId="1">'Implied Vol - Binomial (yield)'!$R$9</definedName>
    <definedName name="_d">'Implied Vol-Binomial (discrete)'!$S$6</definedName>
    <definedName name="_div">'Implied Vol-Binomial (discrete)'!$C$15</definedName>
    <definedName name="_dt" localSheetId="1">'Implied Vol - Binomial (yield)'!$R$7</definedName>
    <definedName name="_dt">'Implied Vol-Binomial (discrete)'!$S$4</definedName>
    <definedName name="_emrdt" localSheetId="1">'Implied Vol - Binomial (yield)'!$R$11</definedName>
    <definedName name="_emrdt">'Implied Vol-Binomial (discrete)'!$S$8</definedName>
    <definedName name="_exdiv">'Implied Vol-Binomial (discrete)'!$C$17</definedName>
    <definedName name="_K" localSheetId="1">'Implied Vol - Binomial (yield)'!$C$9</definedName>
    <definedName name="_K">'Implied Vol-Binomial (discrete)'!$C$9</definedName>
    <definedName name="_n" localSheetId="1">'Implied Vol - Binomial (yield)'!$C$17</definedName>
    <definedName name="_n">'Implied Vol-Binomial (discrete)'!$C$14</definedName>
    <definedName name="_OptType" localSheetId="1">'Implied Vol - Binomial (yield)'!$C$7</definedName>
    <definedName name="_OptType">'Implied Vol-Binomial (discrete)'!$C$7</definedName>
    <definedName name="_p" localSheetId="1">'Implied Vol - Binomial (yield)'!$R$10</definedName>
    <definedName name="_p">'Implied Vol-Binomial (discrete)'!$S$7</definedName>
    <definedName name="_rr" localSheetId="1">'Implied Vol - Binomial (yield)'!$C$11</definedName>
    <definedName name="_rr">'Implied Vol-Binomial (discrete)'!$C$10</definedName>
    <definedName name="_S" localSheetId="1">'Implied Vol - Binomial (yield)'!$C$8</definedName>
    <definedName name="_S">'Implied Vol-Binomial (discrete)'!$C$8</definedName>
    <definedName name="_T" localSheetId="1">'Implied Vol - Binomial (yield)'!$C$16</definedName>
    <definedName name="_T">'Implied Vol-Binomial (discrete)'!$C$13</definedName>
    <definedName name="_u" localSheetId="1">'Implied Vol - Binomial (yield)'!$R$8</definedName>
    <definedName name="_u">'Implied Vol-Binomial (discrete)'!$S$5</definedName>
    <definedName name="solver_adj" localSheetId="1" hidden="1">'Implied Vol - Binomial (yield)'!$C$10</definedName>
    <definedName name="solver_adj" localSheetId="0" hidden="1">'Implied Vol - Black-Scholes'!$C$9</definedName>
    <definedName name="solver_adj" localSheetId="2" hidden="1">'Implied Vol-Binomial (discrete)'!$C$11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drv" localSheetId="1" hidden="1">1</definedName>
    <definedName name="solver_drv" localSheetId="0" hidden="1">1</definedName>
    <definedName name="solver_drv" localSheetId="2" hidden="1">1</definedName>
    <definedName name="solver_eng" localSheetId="1" hidden="1">1</definedName>
    <definedName name="solver_eng" localSheetId="0" hidden="1">1</definedName>
    <definedName name="solver_eng" localSheetId="2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mip" localSheetId="1" hidden="1">2147483647</definedName>
    <definedName name="solver_mip" localSheetId="0" hidden="1">2147483647</definedName>
    <definedName name="solver_mip" localSheetId="2" hidden="1">2147483647</definedName>
    <definedName name="solver_mni" localSheetId="1" hidden="1">30</definedName>
    <definedName name="solver_mni" localSheetId="0" hidden="1">30</definedName>
    <definedName name="solver_mni" localSheetId="2" hidden="1">30</definedName>
    <definedName name="solver_mrt" localSheetId="1" hidden="1">0.075</definedName>
    <definedName name="solver_mrt" localSheetId="0" hidden="1">0.075</definedName>
    <definedName name="solver_mrt" localSheetId="2" hidden="1">0.075</definedName>
    <definedName name="solver_msl" localSheetId="1" hidden="1">2</definedName>
    <definedName name="solver_msl" localSheetId="0" hidden="1">2</definedName>
    <definedName name="solver_msl" localSheetId="2" hidden="1">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od" localSheetId="1" hidden="1">2147483647</definedName>
    <definedName name="solver_nod" localSheetId="0" hidden="1">2147483647</definedName>
    <definedName name="solver_nod" localSheetId="2" hidden="1">2147483647</definedName>
    <definedName name="solver_num" localSheetId="1" hidden="1">0</definedName>
    <definedName name="solver_num" localSheetId="0" hidden="1">0</definedName>
    <definedName name="solver_num" localSheetId="2" hidden="1">0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opt" localSheetId="1" hidden="1">'Implied Vol - Binomial (yield)'!$C$18</definedName>
    <definedName name="solver_opt" localSheetId="0" hidden="1">'Implied Vol - Black-Scholes'!$C$17</definedName>
    <definedName name="solver_opt" localSheetId="2" hidden="1">'Implied Vol-Binomial (discrete)'!$C$20</definedName>
    <definedName name="solver_pre" localSheetId="1" hidden="1">0.000001</definedName>
    <definedName name="solver_pre" localSheetId="0" hidden="1">0.000001</definedName>
    <definedName name="solver_pre" localSheetId="2" hidden="1">0.000001</definedName>
    <definedName name="solver_rbv" localSheetId="1" hidden="1">1</definedName>
    <definedName name="solver_rbv" localSheetId="0" hidden="1">1</definedName>
    <definedName name="solver_rbv" localSheetId="2" hidden="1">1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sd" localSheetId="1" hidden="1">0</definedName>
    <definedName name="solver_rsd" localSheetId="0" hidden="1">0</definedName>
    <definedName name="solver_rsd" localSheetId="2" hidden="1">0</definedName>
    <definedName name="solver_scl" localSheetId="1" hidden="1">1</definedName>
    <definedName name="solver_scl" localSheetId="0" hidden="1">1</definedName>
    <definedName name="solver_scl" localSheetId="2" hidden="1">1</definedName>
    <definedName name="solver_sho" localSheetId="1" hidden="1">2</definedName>
    <definedName name="solver_sho" localSheetId="0" hidden="1">2</definedName>
    <definedName name="solver_sho" localSheetId="2" hidden="1">2</definedName>
    <definedName name="solver_ssz" localSheetId="1" hidden="1">100</definedName>
    <definedName name="solver_ssz" localSheetId="0" hidden="1">100</definedName>
    <definedName name="solver_ssz" localSheetId="2" hidden="1">100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ol" localSheetId="1" hidden="1">0.01</definedName>
    <definedName name="solver_tol" localSheetId="0" hidden="1">0.01</definedName>
    <definedName name="solver_tol" localSheetId="2" hidden="1">0.01</definedName>
    <definedName name="solver_typ" localSheetId="1" hidden="1">2</definedName>
    <definedName name="solver_typ" localSheetId="0" hidden="1">2</definedName>
    <definedName name="solver_typ" localSheetId="2" hidden="1">3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4" i="6" l="1"/>
  <c r="T105" i="6"/>
  <c r="T106" i="6"/>
  <c r="U105" i="6"/>
  <c r="U106" i="6"/>
  <c r="V106" i="6"/>
  <c r="C13" i="6" l="1"/>
  <c r="S4" i="6" s="1"/>
  <c r="BG8" i="6"/>
  <c r="C15" i="14"/>
  <c r="AT11" i="14"/>
  <c r="C14" i="13"/>
  <c r="AB12" i="13"/>
  <c r="BE4" i="6"/>
  <c r="AR7" i="14"/>
  <c r="Z8" i="13"/>
  <c r="P8" i="13"/>
  <c r="Q101" i="6"/>
  <c r="B21" i="6" s="1"/>
  <c r="Q55" i="14"/>
  <c r="B19" i="14" s="1"/>
  <c r="Q96" i="14"/>
  <c r="R64" i="14"/>
  <c r="R105" i="14" s="1"/>
  <c r="R63" i="14"/>
  <c r="R104" i="14" s="1"/>
  <c r="R62" i="14"/>
  <c r="R103" i="14" s="1"/>
  <c r="R61" i="14"/>
  <c r="R102" i="14" s="1"/>
  <c r="R60" i="14"/>
  <c r="R101" i="14" s="1"/>
  <c r="R59" i="14"/>
  <c r="R100" i="14" s="1"/>
  <c r="R58" i="14"/>
  <c r="R99" i="14" s="1"/>
  <c r="R57" i="14"/>
  <c r="R98" i="14" s="1"/>
  <c r="R56" i="14"/>
  <c r="R97" i="14" s="1"/>
  <c r="Z35" i="14"/>
  <c r="Y35" i="14"/>
  <c r="Y64" i="14" s="1"/>
  <c r="Y105" i="14" s="1"/>
  <c r="X35" i="14"/>
  <c r="X64" i="14" s="1"/>
  <c r="X105" i="14" s="1"/>
  <c r="W35" i="14"/>
  <c r="W64" i="14" s="1"/>
  <c r="W105" i="14" s="1"/>
  <c r="V35" i="14"/>
  <c r="V64" i="14" s="1"/>
  <c r="V105" i="14" s="1"/>
  <c r="U35" i="14"/>
  <c r="U64" i="14" s="1"/>
  <c r="U105" i="14" s="1"/>
  <c r="T35" i="14"/>
  <c r="T64" i="14" s="1"/>
  <c r="T105" i="14" s="1"/>
  <c r="S35" i="14"/>
  <c r="S64" i="14" s="1"/>
  <c r="S105" i="14" s="1"/>
  <c r="Y34" i="14"/>
  <c r="Y63" i="14" s="1"/>
  <c r="Y104" i="14" s="1"/>
  <c r="X34" i="14"/>
  <c r="X63" i="14" s="1"/>
  <c r="X104" i="14" s="1"/>
  <c r="W34" i="14"/>
  <c r="W63" i="14" s="1"/>
  <c r="W104" i="14" s="1"/>
  <c r="V34" i="14"/>
  <c r="V63" i="14" s="1"/>
  <c r="V104" i="14" s="1"/>
  <c r="U34" i="14"/>
  <c r="U63" i="14" s="1"/>
  <c r="U104" i="14" s="1"/>
  <c r="T34" i="14"/>
  <c r="T63" i="14" s="1"/>
  <c r="T104" i="14" s="1"/>
  <c r="S34" i="14"/>
  <c r="S63" i="14" s="1"/>
  <c r="S104" i="14" s="1"/>
  <c r="X33" i="14"/>
  <c r="X62" i="14" s="1"/>
  <c r="X103" i="14" s="1"/>
  <c r="W33" i="14"/>
  <c r="W62" i="14" s="1"/>
  <c r="W103" i="14" s="1"/>
  <c r="V33" i="14"/>
  <c r="V62" i="14" s="1"/>
  <c r="V103" i="14" s="1"/>
  <c r="U33" i="14"/>
  <c r="U62" i="14" s="1"/>
  <c r="U103" i="14" s="1"/>
  <c r="T33" i="14"/>
  <c r="T62" i="14" s="1"/>
  <c r="T103" i="14" s="1"/>
  <c r="S33" i="14"/>
  <c r="S62" i="14" s="1"/>
  <c r="S103" i="14" s="1"/>
  <c r="W32" i="14"/>
  <c r="W61" i="14" s="1"/>
  <c r="W102" i="14" s="1"/>
  <c r="V32" i="14"/>
  <c r="V61" i="14" s="1"/>
  <c r="V102" i="14" s="1"/>
  <c r="U32" i="14"/>
  <c r="U61" i="14" s="1"/>
  <c r="U102" i="14" s="1"/>
  <c r="T32" i="14"/>
  <c r="T61" i="14" s="1"/>
  <c r="T102" i="14" s="1"/>
  <c r="S32" i="14"/>
  <c r="S61" i="14" s="1"/>
  <c r="S102" i="14" s="1"/>
  <c r="V31" i="14"/>
  <c r="V60" i="14" s="1"/>
  <c r="V101" i="14" s="1"/>
  <c r="U31" i="14"/>
  <c r="U60" i="14" s="1"/>
  <c r="U101" i="14" s="1"/>
  <c r="T31" i="14"/>
  <c r="T60" i="14" s="1"/>
  <c r="T101" i="14" s="1"/>
  <c r="S31" i="14"/>
  <c r="S60" i="14" s="1"/>
  <c r="S101" i="14" s="1"/>
  <c r="U30" i="14"/>
  <c r="U59" i="14" s="1"/>
  <c r="U100" i="14" s="1"/>
  <c r="T30" i="14"/>
  <c r="T59" i="14" s="1"/>
  <c r="T100" i="14" s="1"/>
  <c r="S30" i="14"/>
  <c r="S59" i="14" s="1"/>
  <c r="S100" i="14" s="1"/>
  <c r="T29" i="14"/>
  <c r="T58" i="14" s="1"/>
  <c r="T99" i="14" s="1"/>
  <c r="S29" i="14"/>
  <c r="S58" i="14" s="1"/>
  <c r="S99" i="14" s="1"/>
  <c r="S28" i="14"/>
  <c r="S57" i="14" s="1"/>
  <c r="S98" i="14" s="1"/>
  <c r="R26" i="14"/>
  <c r="C17" i="6"/>
  <c r="R31" i="6" s="1"/>
  <c r="R140" i="6"/>
  <c r="R139" i="6"/>
  <c r="R138" i="6"/>
  <c r="R137" i="6"/>
  <c r="R136" i="6"/>
  <c r="Q135" i="6"/>
  <c r="R106" i="6"/>
  <c r="R105" i="6"/>
  <c r="R104" i="6"/>
  <c r="R103" i="6"/>
  <c r="R102" i="6"/>
  <c r="V64" i="6"/>
  <c r="U64" i="6"/>
  <c r="T64" i="6"/>
  <c r="S64" i="6"/>
  <c r="V36" i="6"/>
  <c r="U36" i="6"/>
  <c r="U140" i="6" s="1"/>
  <c r="T36" i="6"/>
  <c r="S36" i="6"/>
  <c r="S106" i="6" s="1"/>
  <c r="U35" i="6"/>
  <c r="U139" i="6" s="1"/>
  <c r="T35" i="6"/>
  <c r="T139" i="6" s="1"/>
  <c r="S35" i="6"/>
  <c r="S139" i="6" s="1"/>
  <c r="T34" i="6"/>
  <c r="T138" i="6" s="1"/>
  <c r="S34" i="6"/>
  <c r="S104" i="6" s="1"/>
  <c r="S33" i="6"/>
  <c r="S137" i="6" s="1"/>
  <c r="AT15" i="14" l="1"/>
  <c r="AW15" i="14" s="1"/>
  <c r="AT12" i="14"/>
  <c r="AW12" i="14" s="1"/>
  <c r="BG12" i="6"/>
  <c r="BJ12" i="6" s="1"/>
  <c r="BG9" i="6"/>
  <c r="AB14" i="13"/>
  <c r="AF14" i="13" s="1"/>
  <c r="AB13" i="13"/>
  <c r="AE13" i="13" s="1"/>
  <c r="Z64" i="14"/>
  <c r="Z105" i="14" s="1"/>
  <c r="AC29" i="6"/>
  <c r="AL29" i="6"/>
  <c r="AD29" i="6"/>
  <c r="AE29" i="6"/>
  <c r="AF29" i="6"/>
  <c r="AG29" i="6"/>
  <c r="AK29" i="6"/>
  <c r="AH29" i="6"/>
  <c r="AJ29" i="6"/>
  <c r="AI29" i="6"/>
  <c r="AT13" i="14"/>
  <c r="AW13" i="14" s="1"/>
  <c r="AT14" i="14"/>
  <c r="AW14" i="14" s="1"/>
  <c r="S105" i="6"/>
  <c r="V140" i="6"/>
  <c r="T140" i="6"/>
  <c r="S140" i="6"/>
  <c r="S138" i="6"/>
  <c r="S103" i="6"/>
  <c r="BG11" i="6"/>
  <c r="BJ11" i="6" s="1"/>
  <c r="BG10" i="6"/>
  <c r="BJ10" i="6" s="1"/>
  <c r="BI8" i="6"/>
  <c r="BG13" i="6"/>
  <c r="BH13" i="6" s="1"/>
  <c r="BH8" i="6"/>
  <c r="BK8" i="6"/>
  <c r="BJ8" i="6"/>
  <c r="AX15" i="14"/>
  <c r="AW11" i="14"/>
  <c r="AV11" i="14"/>
  <c r="AU11" i="14"/>
  <c r="AX11" i="14"/>
  <c r="AB16" i="13"/>
  <c r="AC16" i="13" s="1"/>
  <c r="AB15" i="13"/>
  <c r="AE15" i="13" s="1"/>
  <c r="AB17" i="13"/>
  <c r="AF17" i="13" s="1"/>
  <c r="AD14" i="13"/>
  <c r="AE14" i="13"/>
  <c r="AD12" i="13"/>
  <c r="AE12" i="13"/>
  <c r="AC12" i="13"/>
  <c r="AF12" i="13"/>
  <c r="S5" i="6"/>
  <c r="C15" i="13"/>
  <c r="R12" i="13" s="1"/>
  <c r="AT16" i="14"/>
  <c r="C16" i="14"/>
  <c r="R7" i="14" s="1"/>
  <c r="BK12" i="6" l="1"/>
  <c r="BI12" i="6"/>
  <c r="BH12" i="6"/>
  <c r="AU15" i="14"/>
  <c r="AV15" i="14"/>
  <c r="AV12" i="14"/>
  <c r="AU12" i="14"/>
  <c r="AX12" i="14"/>
  <c r="AX14" i="14"/>
  <c r="AU13" i="14"/>
  <c r="AV13" i="14"/>
  <c r="AX13" i="14"/>
  <c r="BJ9" i="6"/>
  <c r="BK9" i="6"/>
  <c r="BH9" i="6"/>
  <c r="BI9" i="6"/>
  <c r="AC14" i="13"/>
  <c r="AD13" i="13"/>
  <c r="AC13" i="13"/>
  <c r="AF13" i="13"/>
  <c r="AU14" i="14"/>
  <c r="AB24" i="14"/>
  <c r="AI24" i="14"/>
  <c r="AL24" i="14"/>
  <c r="AC24" i="14"/>
  <c r="AD24" i="14"/>
  <c r="AH24" i="14"/>
  <c r="AK24" i="14"/>
  <c r="AE24" i="14"/>
  <c r="AJ24" i="14"/>
  <c r="AF24" i="14"/>
  <c r="AG24" i="14"/>
  <c r="AD16" i="13"/>
  <c r="AF16" i="13"/>
  <c r="AE16" i="13"/>
  <c r="AF15" i="13"/>
  <c r="AV14" i="14"/>
  <c r="BK11" i="6"/>
  <c r="BI10" i="6"/>
  <c r="BH10" i="6"/>
  <c r="X29" i="6"/>
  <c r="BK10" i="6"/>
  <c r="BH11" i="6"/>
  <c r="BI11" i="6"/>
  <c r="BJ13" i="6"/>
  <c r="BI13" i="6"/>
  <c r="BK13" i="6"/>
  <c r="AC15" i="13"/>
  <c r="AD15" i="13"/>
  <c r="AE17" i="13"/>
  <c r="AD17" i="13"/>
  <c r="AC17" i="13"/>
  <c r="S8" i="6"/>
  <c r="V29" i="6"/>
  <c r="U29" i="6"/>
  <c r="Z29" i="6"/>
  <c r="AA29" i="6"/>
  <c r="S6" i="6"/>
  <c r="S7" i="6" s="1"/>
  <c r="AB29" i="6"/>
  <c r="T29" i="6"/>
  <c r="S29" i="6"/>
  <c r="R29" i="6"/>
  <c r="W29" i="6"/>
  <c r="Y29" i="6"/>
  <c r="Q8" i="13"/>
  <c r="R8" i="13"/>
  <c r="P12" i="13"/>
  <c r="Q12" i="13" s="1"/>
  <c r="R8" i="14"/>
  <c r="R11" i="14"/>
  <c r="S24" i="14"/>
  <c r="Y24" i="14"/>
  <c r="V24" i="14"/>
  <c r="AA24" i="14"/>
  <c r="X24" i="14"/>
  <c r="R24" i="14"/>
  <c r="T24" i="14"/>
  <c r="W24" i="14"/>
  <c r="Z24" i="14"/>
  <c r="U24" i="14"/>
  <c r="S12" i="13"/>
  <c r="AU16" i="14"/>
  <c r="AV16" i="14"/>
  <c r="AW16" i="14"/>
  <c r="AX16" i="14"/>
  <c r="R65" i="6" l="1"/>
  <c r="S31" i="6"/>
  <c r="S65" i="6" s="1"/>
  <c r="P10" i="13"/>
  <c r="S26" i="14"/>
  <c r="R9" i="14"/>
  <c r="R10" i="14" s="1"/>
  <c r="S32" i="6" l="1"/>
  <c r="S66" i="6" s="1"/>
  <c r="T31" i="6"/>
  <c r="T65" i="6" s="1"/>
  <c r="R10" i="13"/>
  <c r="S10" i="13"/>
  <c r="Q10" i="13"/>
  <c r="F11" i="13"/>
  <c r="F10" i="13"/>
  <c r="T26" i="14"/>
  <c r="S27" i="14"/>
  <c r="T32" i="6" l="1"/>
  <c r="T66" i="6" s="1"/>
  <c r="U31" i="6"/>
  <c r="U65" i="6" s="1"/>
  <c r="U10" i="13"/>
  <c r="T10" i="13"/>
  <c r="B19" i="13" s="1"/>
  <c r="C17" i="13" s="1"/>
  <c r="F8" i="13"/>
  <c r="G8" i="13"/>
  <c r="T27" i="14"/>
  <c r="U26" i="14"/>
  <c r="T33" i="6" l="1"/>
  <c r="T67" i="6" s="1"/>
  <c r="U32" i="6"/>
  <c r="U66" i="6" s="1"/>
  <c r="V31" i="6"/>
  <c r="V65" i="6" s="1"/>
  <c r="F12" i="13"/>
  <c r="F9" i="13"/>
  <c r="C19" i="13"/>
  <c r="G9" i="13"/>
  <c r="G12" i="13"/>
  <c r="U27" i="14"/>
  <c r="V26" i="14"/>
  <c r="T28" i="14"/>
  <c r="V32" i="6" l="1"/>
  <c r="V66" i="6" s="1"/>
  <c r="W31" i="6"/>
  <c r="W65" i="6" s="1"/>
  <c r="U33" i="6"/>
  <c r="U67" i="6" s="1"/>
  <c r="W26" i="14"/>
  <c r="V27" i="14"/>
  <c r="U28" i="14"/>
  <c r="U29" i="14" s="1"/>
  <c r="V33" i="6" l="1"/>
  <c r="V67" i="6" s="1"/>
  <c r="X31" i="6"/>
  <c r="X65" i="6" s="1"/>
  <c r="W32" i="6"/>
  <c r="W66" i="6" s="1"/>
  <c r="U34" i="6"/>
  <c r="U68" i="6" s="1"/>
  <c r="X26" i="14"/>
  <c r="W27" i="14"/>
  <c r="V28" i="14"/>
  <c r="V34" i="6" l="1"/>
  <c r="V68" i="6" s="1"/>
  <c r="Y31" i="6"/>
  <c r="Y65" i="6" s="1"/>
  <c r="X32" i="6"/>
  <c r="X66" i="6" s="1"/>
  <c r="W33" i="6"/>
  <c r="W67" i="6" s="1"/>
  <c r="V29" i="14"/>
  <c r="W28" i="14"/>
  <c r="Y26" i="14"/>
  <c r="X27" i="14"/>
  <c r="W34" i="6" l="1"/>
  <c r="W68" i="6" s="1"/>
  <c r="Y32" i="6"/>
  <c r="Y66" i="6" s="1"/>
  <c r="Z31" i="6"/>
  <c r="Z65" i="6" s="1"/>
  <c r="V35" i="6"/>
  <c r="V69" i="6" s="1"/>
  <c r="X33" i="6"/>
  <c r="X67" i="6" s="1"/>
  <c r="X28" i="14"/>
  <c r="V30" i="14"/>
  <c r="Y27" i="14"/>
  <c r="Z26" i="14"/>
  <c r="X34" i="6"/>
  <c r="X68" i="6" s="1"/>
  <c r="W29" i="14"/>
  <c r="W35" i="6" l="1"/>
  <c r="W69" i="6" s="1"/>
  <c r="Z32" i="6"/>
  <c r="Z66" i="6" s="1"/>
  <c r="Y33" i="6"/>
  <c r="Y67" i="6" s="1"/>
  <c r="AA31" i="6"/>
  <c r="AA65" i="6" s="1"/>
  <c r="X35" i="6"/>
  <c r="X69" i="6" s="1"/>
  <c r="Z27" i="14"/>
  <c r="AA26" i="14"/>
  <c r="W36" i="6"/>
  <c r="W70" i="6" s="1"/>
  <c r="W30" i="14"/>
  <c r="Y28" i="14"/>
  <c r="X29" i="14"/>
  <c r="Z33" i="6" l="1"/>
  <c r="Z67" i="6" s="1"/>
  <c r="AA32" i="6"/>
  <c r="AA66" i="6" s="1"/>
  <c r="AB31" i="6"/>
  <c r="AC31" i="6" s="1"/>
  <c r="Y34" i="6"/>
  <c r="Y68" i="6" s="1"/>
  <c r="AB65" i="6"/>
  <c r="AB26" i="14"/>
  <c r="AC26" i="14" s="1"/>
  <c r="AA27" i="14"/>
  <c r="Z28" i="14"/>
  <c r="X36" i="6"/>
  <c r="X70" i="6" s="1"/>
  <c r="X30" i="14"/>
  <c r="Z34" i="6"/>
  <c r="Z68" i="6" s="1"/>
  <c r="Y29" i="14"/>
  <c r="W31" i="14"/>
  <c r="Y35" i="6" l="1"/>
  <c r="Y69" i="6" s="1"/>
  <c r="AB32" i="6"/>
  <c r="AB66" i="6" s="1"/>
  <c r="AA33" i="6"/>
  <c r="AA67" i="6" s="1"/>
  <c r="AC65" i="6"/>
  <c r="AD31" i="6"/>
  <c r="AC32" i="6"/>
  <c r="AB27" i="14"/>
  <c r="AD26" i="14"/>
  <c r="AC27" i="14"/>
  <c r="Z35" i="6"/>
  <c r="Z69" i="6" s="1"/>
  <c r="Y30" i="14"/>
  <c r="Y36" i="6"/>
  <c r="Y70" i="6" s="1"/>
  <c r="X31" i="14"/>
  <c r="AB33" i="6"/>
  <c r="X37" i="6"/>
  <c r="X71" i="6" s="1"/>
  <c r="AA28" i="14"/>
  <c r="Z29" i="14"/>
  <c r="AA34" i="6" l="1"/>
  <c r="AA68" i="6" s="1"/>
  <c r="AD65" i="6"/>
  <c r="AB67" i="6"/>
  <c r="AC33" i="6"/>
  <c r="AC66" i="6"/>
  <c r="AE31" i="6"/>
  <c r="AD32" i="6"/>
  <c r="AB28" i="14"/>
  <c r="AB29" i="14" s="1"/>
  <c r="AC28" i="14"/>
  <c r="AE26" i="14"/>
  <c r="AD27" i="14"/>
  <c r="Y31" i="14"/>
  <c r="AB34" i="6"/>
  <c r="X32" i="14"/>
  <c r="Y37" i="6"/>
  <c r="Y71" i="6" s="1"/>
  <c r="AA29" i="14"/>
  <c r="Z30" i="14"/>
  <c r="Z36" i="6"/>
  <c r="Z70" i="6" s="1"/>
  <c r="AA35" i="6" l="1"/>
  <c r="AA69" i="6" s="1"/>
  <c r="AE65" i="6"/>
  <c r="AB68" i="6"/>
  <c r="AD33" i="6"/>
  <c r="AD66" i="6"/>
  <c r="AC34" i="6"/>
  <c r="AC67" i="6"/>
  <c r="AF31" i="6"/>
  <c r="AE32" i="6"/>
  <c r="AD28" i="14"/>
  <c r="AC29" i="14"/>
  <c r="AB30" i="14"/>
  <c r="AF26" i="14"/>
  <c r="AE27" i="14"/>
  <c r="AB35" i="6"/>
  <c r="Z37" i="6"/>
  <c r="Z71" i="6" s="1"/>
  <c r="Y38" i="6"/>
  <c r="Y72" i="6" s="1"/>
  <c r="AA30" i="14"/>
  <c r="Z31" i="14"/>
  <c r="Y32" i="14"/>
  <c r="AA36" i="6" l="1"/>
  <c r="AA70" i="6" s="1"/>
  <c r="AF65" i="6"/>
  <c r="AB69" i="6"/>
  <c r="AE33" i="6"/>
  <c r="AE66" i="6"/>
  <c r="AC35" i="6"/>
  <c r="AC68" i="6"/>
  <c r="AD34" i="6"/>
  <c r="AD67" i="6"/>
  <c r="AG31" i="6"/>
  <c r="AF32" i="6"/>
  <c r="AE28" i="14"/>
  <c r="AC30" i="14"/>
  <c r="AD29" i="14"/>
  <c r="AB31" i="14"/>
  <c r="AG26" i="14"/>
  <c r="AF27" i="14"/>
  <c r="Y33" i="14"/>
  <c r="Z32" i="14"/>
  <c r="Z38" i="6"/>
  <c r="Z72" i="6" s="1"/>
  <c r="AA31" i="14"/>
  <c r="AB36" i="6"/>
  <c r="AA37" i="6" l="1"/>
  <c r="AA71" i="6" s="1"/>
  <c r="AB70" i="6"/>
  <c r="AG65" i="6"/>
  <c r="AD35" i="6"/>
  <c r="AD68" i="6"/>
  <c r="AC36" i="6"/>
  <c r="AC69" i="6"/>
  <c r="AF33" i="6"/>
  <c r="AF66" i="6"/>
  <c r="AE34" i="6"/>
  <c r="AE67" i="6"/>
  <c r="AH31" i="6"/>
  <c r="AG32" i="6"/>
  <c r="AD30" i="14"/>
  <c r="AF28" i="14"/>
  <c r="AC31" i="14"/>
  <c r="AE29" i="14"/>
  <c r="AB32" i="14"/>
  <c r="AH26" i="14"/>
  <c r="AG27" i="14"/>
  <c r="AA32" i="14"/>
  <c r="Z33" i="14"/>
  <c r="AB37" i="6"/>
  <c r="Z39" i="6"/>
  <c r="Z73" i="6" s="1"/>
  <c r="AA38" i="6" l="1"/>
  <c r="AA72" i="6" s="1"/>
  <c r="AH65" i="6"/>
  <c r="AB71" i="6"/>
  <c r="AF34" i="6"/>
  <c r="AF67" i="6"/>
  <c r="AC37" i="6"/>
  <c r="AC70" i="6"/>
  <c r="AE35" i="6"/>
  <c r="AE68" i="6"/>
  <c r="AG33" i="6"/>
  <c r="AG66" i="6"/>
  <c r="AD36" i="6"/>
  <c r="AD69" i="6"/>
  <c r="AI31" i="6"/>
  <c r="AH32" i="6"/>
  <c r="AE30" i="14"/>
  <c r="AG28" i="14"/>
  <c r="AC32" i="14"/>
  <c r="AF29" i="14"/>
  <c r="AD31" i="14"/>
  <c r="AB33" i="14"/>
  <c r="AI26" i="14"/>
  <c r="AH27" i="14"/>
  <c r="AA33" i="14"/>
  <c r="AA39" i="6"/>
  <c r="AA73" i="6" s="1"/>
  <c r="AB38" i="6"/>
  <c r="Z34" i="14"/>
  <c r="AB72" i="6" l="1"/>
  <c r="AI65" i="6"/>
  <c r="AG34" i="6"/>
  <c r="AG67" i="6"/>
  <c r="AH33" i="6"/>
  <c r="AH66" i="6"/>
  <c r="AE36" i="6"/>
  <c r="AE69" i="6"/>
  <c r="AD37" i="6"/>
  <c r="AD70" i="6"/>
  <c r="AC38" i="6"/>
  <c r="AC71" i="6"/>
  <c r="AF35" i="6"/>
  <c r="AF68" i="6"/>
  <c r="AJ31" i="6"/>
  <c r="AI32" i="6"/>
  <c r="AD32" i="14"/>
  <c r="AF30" i="14"/>
  <c r="AC33" i="14"/>
  <c r="AG29" i="14"/>
  <c r="AH28" i="14"/>
  <c r="AE31" i="14"/>
  <c r="AB34" i="14"/>
  <c r="AJ26" i="14"/>
  <c r="AI27" i="14"/>
  <c r="AB39" i="6"/>
  <c r="AA40" i="6"/>
  <c r="AA74" i="6" s="1"/>
  <c r="AA34" i="14"/>
  <c r="AJ65" i="6" l="1"/>
  <c r="AB73" i="6"/>
  <c r="AF36" i="6"/>
  <c r="AF69" i="6"/>
  <c r="AD38" i="6"/>
  <c r="AD71" i="6"/>
  <c r="AE37" i="6"/>
  <c r="AE70" i="6"/>
  <c r="AC39" i="6"/>
  <c r="AC72" i="6"/>
  <c r="AH34" i="6"/>
  <c r="AH67" i="6"/>
  <c r="AI33" i="6"/>
  <c r="AI66" i="6"/>
  <c r="AG35" i="6"/>
  <c r="AG68" i="6"/>
  <c r="AK31" i="6"/>
  <c r="AJ32" i="6"/>
  <c r="AE32" i="14"/>
  <c r="AH29" i="14"/>
  <c r="AG30" i="14"/>
  <c r="AC34" i="14"/>
  <c r="AI28" i="14"/>
  <c r="AF31" i="14"/>
  <c r="AD33" i="14"/>
  <c r="AB35" i="14"/>
  <c r="AK26" i="14"/>
  <c r="AJ27" i="14"/>
  <c r="AA35" i="14"/>
  <c r="AB40" i="6"/>
  <c r="AB74" i="6" l="1"/>
  <c r="AK65" i="6"/>
  <c r="AI34" i="6"/>
  <c r="AI67" i="6"/>
  <c r="AC40" i="6"/>
  <c r="AC73" i="6"/>
  <c r="AH35" i="6"/>
  <c r="AH68" i="6"/>
  <c r="AE38" i="6"/>
  <c r="AE71" i="6"/>
  <c r="AJ33" i="6"/>
  <c r="AJ66" i="6"/>
  <c r="AD39" i="6"/>
  <c r="AD72" i="6"/>
  <c r="AG36" i="6"/>
  <c r="AG69" i="6"/>
  <c r="AF37" i="6"/>
  <c r="AF70" i="6"/>
  <c r="AL31" i="6"/>
  <c r="AK32" i="6"/>
  <c r="AI29" i="14"/>
  <c r="AF32" i="14"/>
  <c r="AC35" i="14"/>
  <c r="AJ28" i="14"/>
  <c r="AG31" i="14"/>
  <c r="AH30" i="14"/>
  <c r="AD34" i="14"/>
  <c r="AE33" i="14"/>
  <c r="AB36" i="14"/>
  <c r="AL26" i="14"/>
  <c r="AL96" i="14" s="1"/>
  <c r="AK27" i="14"/>
  <c r="AB41" i="6"/>
  <c r="AB75" i="6" l="1"/>
  <c r="AJ34" i="6"/>
  <c r="AJ67" i="6"/>
  <c r="AD40" i="6"/>
  <c r="AD73" i="6"/>
  <c r="AE39" i="6"/>
  <c r="AE72" i="6"/>
  <c r="AK33" i="6"/>
  <c r="AK66" i="6"/>
  <c r="AL32" i="6"/>
  <c r="AL65" i="6"/>
  <c r="AH36" i="6"/>
  <c r="AH69" i="6"/>
  <c r="AF38" i="6"/>
  <c r="AF71" i="6"/>
  <c r="AC41" i="6"/>
  <c r="AC74" i="6"/>
  <c r="AG37" i="6"/>
  <c r="AG70" i="6"/>
  <c r="AI35" i="6"/>
  <c r="AI68" i="6"/>
  <c r="AH31" i="14"/>
  <c r="AG32" i="14"/>
  <c r="AJ29" i="14"/>
  <c r="AC36" i="14"/>
  <c r="AE34" i="14"/>
  <c r="AF33" i="14"/>
  <c r="AK28" i="14"/>
  <c r="AD35" i="14"/>
  <c r="AI30" i="14"/>
  <c r="AL27" i="14"/>
  <c r="AL97" i="14" s="1"/>
  <c r="AL55" i="14"/>
  <c r="AL101" i="6" l="1"/>
  <c r="AL135" i="6"/>
  <c r="AL33" i="6"/>
  <c r="AL66" i="6"/>
  <c r="AK34" i="6"/>
  <c r="AK67" i="6"/>
  <c r="AG38" i="6"/>
  <c r="AG71" i="6"/>
  <c r="AE40" i="6"/>
  <c r="AE73" i="6"/>
  <c r="AI36" i="6"/>
  <c r="AI69" i="6"/>
  <c r="AD41" i="6"/>
  <c r="AD74" i="6"/>
  <c r="AH37" i="6"/>
  <c r="AH70" i="6"/>
  <c r="AC42" i="6"/>
  <c r="AC75" i="6"/>
  <c r="AF39" i="6"/>
  <c r="AF72" i="6"/>
  <c r="AJ35" i="6"/>
  <c r="AJ68" i="6"/>
  <c r="AL28" i="14"/>
  <c r="AL98" i="14" s="1"/>
  <c r="AL56" i="14"/>
  <c r="AF34" i="14"/>
  <c r="AE35" i="14"/>
  <c r="AC37" i="14"/>
  <c r="AI31" i="14"/>
  <c r="AJ30" i="14"/>
  <c r="AD36" i="14"/>
  <c r="AG33" i="14"/>
  <c r="AK29" i="14"/>
  <c r="AH32" i="14"/>
  <c r="AC76" i="6" l="1"/>
  <c r="AL102" i="6"/>
  <c r="AK101" i="6" s="1"/>
  <c r="AL136" i="6"/>
  <c r="AK135" i="6" s="1"/>
  <c r="AI37" i="6"/>
  <c r="AI70" i="6"/>
  <c r="AE41" i="6"/>
  <c r="AE74" i="6"/>
  <c r="AD42" i="6"/>
  <c r="AD75" i="6"/>
  <c r="AF40" i="6"/>
  <c r="AF73" i="6"/>
  <c r="AG39" i="6"/>
  <c r="AG72" i="6"/>
  <c r="AK35" i="6"/>
  <c r="AK68" i="6"/>
  <c r="AJ36" i="6"/>
  <c r="AJ69" i="6"/>
  <c r="AH38" i="6"/>
  <c r="AH71" i="6"/>
  <c r="AL34" i="6"/>
  <c r="AL67" i="6"/>
  <c r="AL29" i="14"/>
  <c r="AL99" i="14" s="1"/>
  <c r="AL57" i="14"/>
  <c r="AK55" i="14"/>
  <c r="AK96" i="14" s="1"/>
  <c r="AJ31" i="14"/>
  <c r="AH33" i="14"/>
  <c r="AI32" i="14"/>
  <c r="AD37" i="14"/>
  <c r="AK30" i="14"/>
  <c r="AE36" i="14"/>
  <c r="AG34" i="14"/>
  <c r="AF35" i="14"/>
  <c r="AL103" i="6" l="1"/>
  <c r="AK102" i="6" s="1"/>
  <c r="AJ101" i="6" s="1"/>
  <c r="AL137" i="6"/>
  <c r="AK136" i="6" s="1"/>
  <c r="AD43" i="6"/>
  <c r="AD76" i="6"/>
  <c r="AK36" i="6"/>
  <c r="AK69" i="6"/>
  <c r="AG40" i="6"/>
  <c r="AG73" i="6"/>
  <c r="AF41" i="6"/>
  <c r="AF74" i="6"/>
  <c r="AL35" i="6"/>
  <c r="AL68" i="6"/>
  <c r="AH39" i="6"/>
  <c r="AH72" i="6"/>
  <c r="AE42" i="6"/>
  <c r="AE75" i="6"/>
  <c r="AJ37" i="6"/>
  <c r="AJ70" i="6"/>
  <c r="AI38" i="6"/>
  <c r="AI71" i="6"/>
  <c r="AK56" i="14"/>
  <c r="AK97" i="14" s="1"/>
  <c r="AD38" i="14"/>
  <c r="AL30" i="14"/>
  <c r="AL100" i="14" s="1"/>
  <c r="AL58" i="14"/>
  <c r="AK31" i="14"/>
  <c r="AF36" i="14"/>
  <c r="AI33" i="14"/>
  <c r="AH34" i="14"/>
  <c r="AE37" i="14"/>
  <c r="AG35" i="14"/>
  <c r="AJ32" i="14"/>
  <c r="AD77" i="6" l="1"/>
  <c r="AJ135" i="6"/>
  <c r="AL104" i="6"/>
  <c r="AK103" i="6" s="1"/>
  <c r="AJ102" i="6" s="1"/>
  <c r="AI101" i="6" s="1"/>
  <c r="AL138" i="6"/>
  <c r="AE43" i="6"/>
  <c r="AE76" i="6"/>
  <c r="AH40" i="6"/>
  <c r="AH73" i="6"/>
  <c r="AL36" i="6"/>
  <c r="AL69" i="6"/>
  <c r="AF42" i="6"/>
  <c r="AF75" i="6"/>
  <c r="AI39" i="6"/>
  <c r="AI72" i="6"/>
  <c r="AG41" i="6"/>
  <c r="AG74" i="6"/>
  <c r="AJ38" i="6"/>
  <c r="AJ71" i="6"/>
  <c r="AK37" i="6"/>
  <c r="AK70" i="6"/>
  <c r="AK57" i="14"/>
  <c r="AK98" i="14" s="1"/>
  <c r="AE38" i="14"/>
  <c r="AL31" i="14"/>
  <c r="AL101" i="14" s="1"/>
  <c r="AL59" i="14"/>
  <c r="AJ55" i="14"/>
  <c r="AJ96" i="14" s="1"/>
  <c r="AI34" i="14"/>
  <c r="AJ33" i="14"/>
  <c r="AF37" i="14"/>
  <c r="AH35" i="14"/>
  <c r="AG36" i="14"/>
  <c r="AK32" i="14"/>
  <c r="AK137" i="6" l="1"/>
  <c r="AL105" i="6"/>
  <c r="AK104" i="6" s="1"/>
  <c r="AJ103" i="6" s="1"/>
  <c r="AI102" i="6" s="1"/>
  <c r="AL139" i="6"/>
  <c r="AF43" i="6"/>
  <c r="AF76" i="6"/>
  <c r="AE44" i="6"/>
  <c r="AE77" i="6"/>
  <c r="AG42" i="6"/>
  <c r="AG75" i="6"/>
  <c r="AI40" i="6"/>
  <c r="AI73" i="6"/>
  <c r="AJ39" i="6"/>
  <c r="AJ72" i="6"/>
  <c r="AL37" i="6"/>
  <c r="AL70" i="6"/>
  <c r="AK38" i="6"/>
  <c r="AK71" i="6"/>
  <c r="AH41" i="6"/>
  <c r="AH74" i="6"/>
  <c r="AK58" i="14"/>
  <c r="AK99" i="14" s="1"/>
  <c r="AJ56" i="14"/>
  <c r="AF38" i="14"/>
  <c r="AE39" i="14"/>
  <c r="AL32" i="14"/>
  <c r="AL102" i="14" s="1"/>
  <c r="AL60" i="14"/>
  <c r="AH36" i="14"/>
  <c r="AJ34" i="14"/>
  <c r="AI35" i="14"/>
  <c r="AK33" i="14"/>
  <c r="AG37" i="14"/>
  <c r="AE78" i="6" l="1"/>
  <c r="AJ136" i="6"/>
  <c r="AK138" i="6"/>
  <c r="AL106" i="6"/>
  <c r="AK105" i="6" s="1"/>
  <c r="AJ104" i="6" s="1"/>
  <c r="AI103" i="6" s="1"/>
  <c r="AL140" i="6"/>
  <c r="AH101" i="6"/>
  <c r="AG43" i="6"/>
  <c r="AG76" i="6"/>
  <c r="AF44" i="6"/>
  <c r="AF77" i="6"/>
  <c r="AH42" i="6"/>
  <c r="AH75" i="6"/>
  <c r="AK39" i="6"/>
  <c r="AK72" i="6"/>
  <c r="AL38" i="6"/>
  <c r="AL71" i="6"/>
  <c r="AJ40" i="6"/>
  <c r="AJ73" i="6"/>
  <c r="AI41" i="6"/>
  <c r="AI74" i="6"/>
  <c r="AI55" i="14"/>
  <c r="AJ97" i="14"/>
  <c r="AK59" i="14"/>
  <c r="AK100" i="14" s="1"/>
  <c r="AJ57" i="14"/>
  <c r="AG38" i="14"/>
  <c r="AF39" i="14"/>
  <c r="AL33" i="14"/>
  <c r="AL103" i="14" s="1"/>
  <c r="AL61" i="14"/>
  <c r="AK34" i="14"/>
  <c r="AI36" i="14"/>
  <c r="AJ35" i="14"/>
  <c r="AH37" i="14"/>
  <c r="AI135" i="6" l="1"/>
  <c r="AJ137" i="6"/>
  <c r="AK139" i="6"/>
  <c r="AL107" i="6"/>
  <c r="AK106" i="6" s="1"/>
  <c r="AL141" i="6"/>
  <c r="AH102" i="6"/>
  <c r="AG101" i="6" s="1"/>
  <c r="AH43" i="6"/>
  <c r="AH76" i="6"/>
  <c r="AG44" i="6"/>
  <c r="AG77" i="6"/>
  <c r="AF45" i="6"/>
  <c r="AF78" i="6"/>
  <c r="AI42" i="6"/>
  <c r="AI75" i="6"/>
  <c r="AJ41" i="6"/>
  <c r="AJ74" i="6"/>
  <c r="AL39" i="6"/>
  <c r="AL72" i="6"/>
  <c r="AK40" i="6"/>
  <c r="AK73" i="6"/>
  <c r="AI96" i="14"/>
  <c r="AJ98" i="14"/>
  <c r="AK60" i="14"/>
  <c r="AJ58" i="14"/>
  <c r="AJ99" i="14" s="1"/>
  <c r="AI56" i="14"/>
  <c r="AH55" i="14" s="1"/>
  <c r="AH38" i="14"/>
  <c r="AG39" i="14"/>
  <c r="AF40" i="14"/>
  <c r="AL34" i="14"/>
  <c r="AL104" i="14" s="1"/>
  <c r="AL62" i="14"/>
  <c r="AK61" i="14" s="1"/>
  <c r="AK102" i="14" s="1"/>
  <c r="AJ36" i="14"/>
  <c r="AI37" i="14"/>
  <c r="AK35" i="14"/>
  <c r="AF79" i="6" l="1"/>
  <c r="AI136" i="6"/>
  <c r="AJ138" i="6"/>
  <c r="AK140" i="6"/>
  <c r="AL108" i="6"/>
  <c r="AK107" i="6" s="1"/>
  <c r="AJ106" i="6" s="1"/>
  <c r="AL142" i="6"/>
  <c r="AJ105" i="6"/>
  <c r="AI43" i="6"/>
  <c r="AI76" i="6"/>
  <c r="AH44" i="6"/>
  <c r="AH77" i="6"/>
  <c r="AG45" i="6"/>
  <c r="AG78" i="6"/>
  <c r="AL40" i="6"/>
  <c r="AL73" i="6"/>
  <c r="AJ42" i="6"/>
  <c r="AJ75" i="6"/>
  <c r="AK41" i="6"/>
  <c r="AK74" i="6"/>
  <c r="AI97" i="14"/>
  <c r="AH96" i="14" s="1"/>
  <c r="AJ59" i="14"/>
  <c r="AI58" i="14" s="1"/>
  <c r="AK101" i="14"/>
  <c r="AJ60" i="14"/>
  <c r="AI57" i="14"/>
  <c r="AI98" i="14" s="1"/>
  <c r="AI38" i="14"/>
  <c r="AH39" i="14"/>
  <c r="AG40" i="14"/>
  <c r="AL35" i="14"/>
  <c r="AL105" i="14" s="1"/>
  <c r="AL63" i="14"/>
  <c r="AK62" i="14" s="1"/>
  <c r="AK103" i="14" s="1"/>
  <c r="AK36" i="14"/>
  <c r="AJ37" i="14"/>
  <c r="AH135" i="6" l="1"/>
  <c r="AI137" i="6"/>
  <c r="AJ139" i="6"/>
  <c r="AK141" i="6"/>
  <c r="AL109" i="6"/>
  <c r="AK108" i="6" s="1"/>
  <c r="AL143" i="6"/>
  <c r="AI105" i="6"/>
  <c r="AI104" i="6"/>
  <c r="AJ43" i="6"/>
  <c r="AJ76" i="6"/>
  <c r="AI44" i="6"/>
  <c r="AI77" i="6"/>
  <c r="AH45" i="6"/>
  <c r="AH78" i="6"/>
  <c r="AG46" i="6"/>
  <c r="AG79" i="6"/>
  <c r="AK42" i="6"/>
  <c r="AK75" i="6"/>
  <c r="AL41" i="6"/>
  <c r="AL74" i="6"/>
  <c r="AJ101" i="14"/>
  <c r="AJ100" i="14"/>
  <c r="AI99" i="14" s="1"/>
  <c r="AJ61" i="14"/>
  <c r="AI59" i="14"/>
  <c r="AH57" i="14"/>
  <c r="AH56" i="14"/>
  <c r="AH97" i="14" s="1"/>
  <c r="AJ38" i="14"/>
  <c r="AI39" i="14"/>
  <c r="AH40" i="14"/>
  <c r="AG41" i="14"/>
  <c r="AL36" i="14"/>
  <c r="AL106" i="14" s="1"/>
  <c r="AL64" i="14"/>
  <c r="AK63" i="14" s="1"/>
  <c r="AK104" i="14" s="1"/>
  <c r="AK37" i="14"/>
  <c r="AG80" i="6" l="1"/>
  <c r="AH136" i="6"/>
  <c r="AI138" i="6"/>
  <c r="AJ140" i="6"/>
  <c r="AK142" i="6"/>
  <c r="AL110" i="6"/>
  <c r="AK109" i="6" s="1"/>
  <c r="AJ108" i="6" s="1"/>
  <c r="AL144" i="6"/>
  <c r="AH104" i="6"/>
  <c r="AH103" i="6"/>
  <c r="AJ107" i="6"/>
  <c r="AK43" i="6"/>
  <c r="AK76" i="6"/>
  <c r="AJ44" i="6"/>
  <c r="AJ77" i="6"/>
  <c r="AI45" i="6"/>
  <c r="AI78" i="6"/>
  <c r="AH46" i="6"/>
  <c r="AH79" i="6"/>
  <c r="AL42" i="6"/>
  <c r="AL75" i="6"/>
  <c r="AJ102" i="14"/>
  <c r="AI100" i="14"/>
  <c r="AJ62" i="14"/>
  <c r="AJ103" i="14" s="1"/>
  <c r="AI60" i="14"/>
  <c r="AH58" i="14"/>
  <c r="AH98" i="14"/>
  <c r="AK38" i="14"/>
  <c r="AJ39" i="14"/>
  <c r="AI40" i="14"/>
  <c r="AH41" i="14"/>
  <c r="AL37" i="14"/>
  <c r="AL107" i="14" s="1"/>
  <c r="AL65" i="14"/>
  <c r="AK64" i="14" s="1"/>
  <c r="AK105" i="14" s="1"/>
  <c r="AG55" i="14"/>
  <c r="AG135" i="6" l="1"/>
  <c r="AH137" i="6"/>
  <c r="AI139" i="6"/>
  <c r="AJ141" i="6"/>
  <c r="AK143" i="6"/>
  <c r="AL111" i="6"/>
  <c r="AK110" i="6" s="1"/>
  <c r="AJ109" i="6" s="1"/>
  <c r="AI108" i="6" s="1"/>
  <c r="AL145" i="6"/>
  <c r="AI107" i="6"/>
  <c r="AI106" i="6"/>
  <c r="AG103" i="6"/>
  <c r="AG102" i="6"/>
  <c r="AL43" i="6"/>
  <c r="AL76" i="6"/>
  <c r="AK44" i="6"/>
  <c r="AK77" i="6"/>
  <c r="AJ45" i="6"/>
  <c r="AJ78" i="6"/>
  <c r="AI46" i="6"/>
  <c r="AI79" i="6"/>
  <c r="AH47" i="6"/>
  <c r="AH80" i="6"/>
  <c r="AH59" i="14"/>
  <c r="AG58" i="14" s="1"/>
  <c r="AI101" i="14"/>
  <c r="AG57" i="14"/>
  <c r="AH99" i="14"/>
  <c r="AG96" i="14"/>
  <c r="AJ63" i="14"/>
  <c r="AJ104" i="14" s="1"/>
  <c r="AI61" i="14"/>
  <c r="AI102" i="14" s="1"/>
  <c r="AG56" i="14"/>
  <c r="AK39" i="14"/>
  <c r="AJ40" i="14"/>
  <c r="AI41" i="14"/>
  <c r="AH42" i="14"/>
  <c r="AL38" i="14"/>
  <c r="AL108" i="14" s="1"/>
  <c r="AL66" i="14"/>
  <c r="AL112" i="6" l="1"/>
  <c r="AK111" i="6" s="1"/>
  <c r="AL146" i="6"/>
  <c r="AK145" i="6" s="1"/>
  <c r="AK144" i="6"/>
  <c r="AJ143" i="6" s="1"/>
  <c r="AH81" i="6"/>
  <c r="AG136" i="6"/>
  <c r="AH138" i="6"/>
  <c r="AI140" i="6"/>
  <c r="AJ142" i="6"/>
  <c r="AF102" i="6"/>
  <c r="AF101" i="6"/>
  <c r="AH106" i="6"/>
  <c r="AH105" i="6"/>
  <c r="AH107" i="6"/>
  <c r="AL44" i="6"/>
  <c r="AL77" i="6"/>
  <c r="AK45" i="6"/>
  <c r="AK78" i="6"/>
  <c r="AJ46" i="6"/>
  <c r="AJ79" i="6"/>
  <c r="AI47" i="6"/>
  <c r="AI80" i="6"/>
  <c r="AH100" i="14"/>
  <c r="AG99" i="14" s="1"/>
  <c r="AG98" i="14"/>
  <c r="AF57" i="14"/>
  <c r="AF56" i="14"/>
  <c r="AG97" i="14"/>
  <c r="AK65" i="14"/>
  <c r="AK106" i="14" s="1"/>
  <c r="AI62" i="14"/>
  <c r="AI103" i="14" s="1"/>
  <c r="AH60" i="14"/>
  <c r="AH101" i="14" s="1"/>
  <c r="AK40" i="14"/>
  <c r="AJ41" i="14"/>
  <c r="AF55" i="14"/>
  <c r="AI42" i="14"/>
  <c r="AL39" i="14"/>
  <c r="AL109" i="14" s="1"/>
  <c r="AL67" i="14"/>
  <c r="AJ144" i="6" l="1"/>
  <c r="AL113" i="6"/>
  <c r="AK112" i="6" s="1"/>
  <c r="AJ111" i="6" s="1"/>
  <c r="AL147" i="6"/>
  <c r="AK146" i="6" s="1"/>
  <c r="AJ145" i="6" s="1"/>
  <c r="AI142" i="6"/>
  <c r="AE101" i="6"/>
  <c r="AF135" i="6"/>
  <c r="AG137" i="6"/>
  <c r="AH139" i="6"/>
  <c r="AI141" i="6"/>
  <c r="AJ110" i="6"/>
  <c r="AG105" i="6"/>
  <c r="AG104" i="6"/>
  <c r="AG106" i="6"/>
  <c r="AL45" i="6"/>
  <c r="AL78" i="6"/>
  <c r="AK46" i="6"/>
  <c r="AK79" i="6"/>
  <c r="AJ47" i="6"/>
  <c r="AJ80" i="6"/>
  <c r="AI48" i="6"/>
  <c r="AI81" i="6"/>
  <c r="AF98" i="14"/>
  <c r="AF97" i="14"/>
  <c r="AK66" i="14"/>
  <c r="AJ64" i="14"/>
  <c r="AH61" i="14"/>
  <c r="AG59" i="14"/>
  <c r="AG100" i="14" s="1"/>
  <c r="AE56" i="14"/>
  <c r="AE55" i="14"/>
  <c r="AF96" i="14"/>
  <c r="AK41" i="14"/>
  <c r="AJ42" i="14"/>
  <c r="AI43" i="14"/>
  <c r="AL40" i="14"/>
  <c r="AL110" i="14" s="1"/>
  <c r="AL68" i="14"/>
  <c r="AL114" i="6" l="1"/>
  <c r="AK113" i="6" s="1"/>
  <c r="AJ112" i="6" s="1"/>
  <c r="AI111" i="6" s="1"/>
  <c r="AL148" i="6"/>
  <c r="AK147" i="6" s="1"/>
  <c r="AI144" i="6"/>
  <c r="AI143" i="6"/>
  <c r="AH141" i="6"/>
  <c r="AI82" i="6"/>
  <c r="AF136" i="6"/>
  <c r="AE135" i="6" s="1"/>
  <c r="AG138" i="6"/>
  <c r="AH140" i="6"/>
  <c r="AI110" i="6"/>
  <c r="AI109" i="6"/>
  <c r="AF105" i="6"/>
  <c r="AF104" i="6"/>
  <c r="AF103" i="6"/>
  <c r="AL46" i="6"/>
  <c r="AL79" i="6"/>
  <c r="AE97" i="14"/>
  <c r="AK47" i="6"/>
  <c r="AK80" i="6"/>
  <c r="AJ48" i="6"/>
  <c r="AJ81" i="6"/>
  <c r="AJ65" i="14"/>
  <c r="AI64" i="14" s="1"/>
  <c r="AK107" i="14"/>
  <c r="AJ105" i="14"/>
  <c r="AH102" i="14"/>
  <c r="AK67" i="14"/>
  <c r="AK108" i="14" s="1"/>
  <c r="AI63" i="14"/>
  <c r="AG60" i="14"/>
  <c r="AF58" i="14"/>
  <c r="AF99" i="14" s="1"/>
  <c r="AD55" i="14"/>
  <c r="AE96" i="14"/>
  <c r="AK42" i="14"/>
  <c r="AJ43" i="14"/>
  <c r="AL41" i="14"/>
  <c r="AL111" i="14" s="1"/>
  <c r="AL69" i="14"/>
  <c r="AK68" i="14" s="1"/>
  <c r="AK109" i="14" s="1"/>
  <c r="AH143" i="6" l="1"/>
  <c r="AL115" i="6"/>
  <c r="AK114" i="6" s="1"/>
  <c r="AJ113" i="6" s="1"/>
  <c r="AI112" i="6" s="1"/>
  <c r="AH111" i="6" s="1"/>
  <c r="AL149" i="6"/>
  <c r="AK148" i="6" s="1"/>
  <c r="AJ147" i="6" s="1"/>
  <c r="AJ146" i="6"/>
  <c r="AI145" i="6" s="1"/>
  <c r="AH142" i="6"/>
  <c r="AG142" i="6" s="1"/>
  <c r="AG140" i="6"/>
  <c r="AE104" i="6"/>
  <c r="AF137" i="6"/>
  <c r="AG139" i="6"/>
  <c r="AH109" i="6"/>
  <c r="AH108" i="6"/>
  <c r="AH110" i="6"/>
  <c r="AE103" i="6"/>
  <c r="AE102" i="6"/>
  <c r="AL47" i="6"/>
  <c r="AL80" i="6"/>
  <c r="AK48" i="6"/>
  <c r="AK81" i="6"/>
  <c r="AG101" i="14"/>
  <c r="AJ49" i="6"/>
  <c r="AJ82" i="6"/>
  <c r="AJ106" i="14"/>
  <c r="AI105" i="14" s="1"/>
  <c r="AH62" i="14"/>
  <c r="AG61" i="14" s="1"/>
  <c r="AI104" i="14"/>
  <c r="AJ66" i="14"/>
  <c r="AH63" i="14"/>
  <c r="AF59" i="14"/>
  <c r="AE57" i="14"/>
  <c r="AE98" i="14" s="1"/>
  <c r="AD96" i="14"/>
  <c r="AL42" i="14"/>
  <c r="AL112" i="14" s="1"/>
  <c r="AL70" i="14"/>
  <c r="AK43" i="14"/>
  <c r="AJ44" i="14"/>
  <c r="AI146" i="6" l="1"/>
  <c r="AH145" i="6" s="1"/>
  <c r="AH144" i="6"/>
  <c r="AL116" i="6"/>
  <c r="AK115" i="6" s="1"/>
  <c r="AJ114" i="6" s="1"/>
  <c r="AI113" i="6" s="1"/>
  <c r="AH112" i="6" s="1"/>
  <c r="AG111" i="6" s="1"/>
  <c r="AL150" i="6"/>
  <c r="AG141" i="6"/>
  <c r="AF141" i="6" s="1"/>
  <c r="AD103" i="6"/>
  <c r="AF139" i="6"/>
  <c r="AJ83" i="6"/>
  <c r="AE136" i="6"/>
  <c r="AF138" i="6"/>
  <c r="AG109" i="6"/>
  <c r="AG110" i="6"/>
  <c r="AG108" i="6"/>
  <c r="AG107" i="6"/>
  <c r="AD102" i="6"/>
  <c r="AD101" i="6"/>
  <c r="AF100" i="14"/>
  <c r="AL48" i="6"/>
  <c r="AL81" i="6"/>
  <c r="AK49" i="6"/>
  <c r="AK82" i="6"/>
  <c r="AH103" i="14"/>
  <c r="AG102" i="14" s="1"/>
  <c r="AI65" i="14"/>
  <c r="AH64" i="14" s="1"/>
  <c r="AJ107" i="14"/>
  <c r="AG62" i="14"/>
  <c r="AH104" i="14"/>
  <c r="AK69" i="14"/>
  <c r="AJ67" i="14"/>
  <c r="AJ108" i="14" s="1"/>
  <c r="AF60" i="14"/>
  <c r="AE58" i="14"/>
  <c r="AD56" i="14"/>
  <c r="AD97" i="14" s="1"/>
  <c r="AL43" i="14"/>
  <c r="AL113" i="14" s="1"/>
  <c r="AL71" i="14"/>
  <c r="AK44" i="14"/>
  <c r="AF140" i="6" l="1"/>
  <c r="AE140" i="6" s="1"/>
  <c r="AK149" i="6"/>
  <c r="AG144" i="6"/>
  <c r="AG143" i="6"/>
  <c r="AF110" i="6"/>
  <c r="AL117" i="6"/>
  <c r="AK116" i="6" s="1"/>
  <c r="AJ115" i="6" s="1"/>
  <c r="AI114" i="6" s="1"/>
  <c r="AH113" i="6" s="1"/>
  <c r="AG112" i="6" s="1"/>
  <c r="AF111" i="6" s="1"/>
  <c r="AL151" i="6"/>
  <c r="AC102" i="6"/>
  <c r="AE138" i="6"/>
  <c r="AD135" i="6"/>
  <c r="AE137" i="6"/>
  <c r="AF107" i="6"/>
  <c r="AF106" i="6"/>
  <c r="AF108" i="6"/>
  <c r="AF109" i="6"/>
  <c r="AE99" i="14"/>
  <c r="AC101" i="6"/>
  <c r="AL49" i="6"/>
  <c r="AL82" i="6"/>
  <c r="AK50" i="6"/>
  <c r="AK83" i="6"/>
  <c r="AI106" i="14"/>
  <c r="AH105" i="14" s="1"/>
  <c r="AG103" i="14"/>
  <c r="AJ68" i="14"/>
  <c r="AK110" i="14"/>
  <c r="AF61" i="14"/>
  <c r="AF101" i="14"/>
  <c r="AK70" i="14"/>
  <c r="AK111" i="14" s="1"/>
  <c r="AI66" i="14"/>
  <c r="AG63" i="14"/>
  <c r="AE59" i="14"/>
  <c r="AD57" i="14"/>
  <c r="AL44" i="14"/>
  <c r="AL114" i="14" s="1"/>
  <c r="AL72" i="14"/>
  <c r="AK45" i="14"/>
  <c r="AC55" i="14"/>
  <c r="AE110" i="6" l="1"/>
  <c r="AD137" i="6"/>
  <c r="AE139" i="6"/>
  <c r="AD139" i="6" s="1"/>
  <c r="AB101" i="6"/>
  <c r="AF143" i="6"/>
  <c r="AF142" i="6"/>
  <c r="AL118" i="6"/>
  <c r="AK117" i="6" s="1"/>
  <c r="AL152" i="6"/>
  <c r="AJ148" i="6"/>
  <c r="AI147" i="6" s="1"/>
  <c r="AK150" i="6"/>
  <c r="AJ149" i="6" s="1"/>
  <c r="AE109" i="6"/>
  <c r="AD109" i="6" s="1"/>
  <c r="AK84" i="6"/>
  <c r="AD136" i="6"/>
  <c r="AE108" i="6"/>
  <c r="AE106" i="6"/>
  <c r="AE105" i="6"/>
  <c r="AE107" i="6"/>
  <c r="AD98" i="14"/>
  <c r="AF102" i="14"/>
  <c r="AG104" i="14"/>
  <c r="AL50" i="6"/>
  <c r="AL83" i="6"/>
  <c r="AJ109" i="14"/>
  <c r="AE60" i="14"/>
  <c r="AD59" i="14" s="1"/>
  <c r="AH65" i="14"/>
  <c r="AG64" i="14" s="1"/>
  <c r="AI107" i="14"/>
  <c r="AE100" i="14"/>
  <c r="AC96" i="14"/>
  <c r="AC56" i="14"/>
  <c r="AK71" i="14"/>
  <c r="AK112" i="14" s="1"/>
  <c r="AJ69" i="14"/>
  <c r="AJ110" i="14" s="1"/>
  <c r="AI67" i="14"/>
  <c r="AF62" i="14"/>
  <c r="AD58" i="14"/>
  <c r="AL45" i="14"/>
  <c r="AL115" i="14" s="1"/>
  <c r="AL73" i="14"/>
  <c r="AC136" i="6" l="1"/>
  <c r="AD138" i="6"/>
  <c r="AC138" i="6" s="1"/>
  <c r="AI148" i="6"/>
  <c r="AH147" i="6" s="1"/>
  <c r="AD108" i="6"/>
  <c r="AC108" i="6" s="1"/>
  <c r="AH146" i="6"/>
  <c r="AG145" i="6" s="1"/>
  <c r="AF144" i="6" s="1"/>
  <c r="AE143" i="6" s="1"/>
  <c r="AL119" i="6"/>
  <c r="AK118" i="6" s="1"/>
  <c r="AJ117" i="6" s="1"/>
  <c r="AL153" i="6"/>
  <c r="AK151" i="6"/>
  <c r="AJ150" i="6" s="1"/>
  <c r="AI149" i="6" s="1"/>
  <c r="AE142" i="6"/>
  <c r="AE141" i="6"/>
  <c r="AC137" i="6"/>
  <c r="AB137" i="6" s="1"/>
  <c r="AD107" i="6"/>
  <c r="AC135" i="6"/>
  <c r="AB135" i="6" s="1"/>
  <c r="AC97" i="14"/>
  <c r="AJ116" i="6"/>
  <c r="AD105" i="6"/>
  <c r="AD104" i="6"/>
  <c r="AD106" i="6"/>
  <c r="AL51" i="6"/>
  <c r="AL85" i="6" s="1"/>
  <c r="AL84" i="6"/>
  <c r="AI108" i="14"/>
  <c r="AH106" i="14"/>
  <c r="AG105" i="14" s="1"/>
  <c r="AE101" i="14"/>
  <c r="AD100" i="14" s="1"/>
  <c r="AB55" i="14"/>
  <c r="AF103" i="14"/>
  <c r="AD99" i="14"/>
  <c r="AK72" i="14"/>
  <c r="AK113" i="14" s="1"/>
  <c r="AJ70" i="14"/>
  <c r="AJ111" i="14" s="1"/>
  <c r="AI68" i="14"/>
  <c r="AI109" i="14" s="1"/>
  <c r="AH66" i="14"/>
  <c r="AF63" i="14"/>
  <c r="AE61" i="14"/>
  <c r="AC58" i="14"/>
  <c r="AC57" i="14"/>
  <c r="AL46" i="14"/>
  <c r="AL74" i="14"/>
  <c r="AH148" i="6" l="1"/>
  <c r="AG147" i="6" s="1"/>
  <c r="AC107" i="6"/>
  <c r="AB107" i="6" s="1"/>
  <c r="AB96" i="14"/>
  <c r="AG146" i="6"/>
  <c r="AF145" i="6" s="1"/>
  <c r="AE144" i="6" s="1"/>
  <c r="AL121" i="6"/>
  <c r="AL155" i="6"/>
  <c r="AB136" i="6"/>
  <c r="AA136" i="6" s="1"/>
  <c r="AD142" i="6"/>
  <c r="AK152" i="6"/>
  <c r="AJ151" i="6" s="1"/>
  <c r="AI150" i="6" s="1"/>
  <c r="AH149" i="6" s="1"/>
  <c r="AG148" i="6" s="1"/>
  <c r="AD141" i="6"/>
  <c r="AD140" i="6"/>
  <c r="AC106" i="6"/>
  <c r="AL120" i="6"/>
  <c r="AL154" i="6"/>
  <c r="AC105" i="6"/>
  <c r="AC104" i="6"/>
  <c r="AC103" i="6"/>
  <c r="AI115" i="6"/>
  <c r="AI116" i="6"/>
  <c r="AH107" i="14"/>
  <c r="AE102" i="14"/>
  <c r="AC98" i="14"/>
  <c r="AC99" i="14"/>
  <c r="AE62" i="14"/>
  <c r="AD61" i="14" s="1"/>
  <c r="AF104" i="14"/>
  <c r="AK73" i="14"/>
  <c r="AK114" i="14" s="1"/>
  <c r="AJ71" i="14"/>
  <c r="AJ112" i="14" s="1"/>
  <c r="AI69" i="14"/>
  <c r="AI110" i="14" s="1"/>
  <c r="AH67" i="14"/>
  <c r="AG65" i="14"/>
  <c r="AD60" i="14"/>
  <c r="AB57" i="14"/>
  <c r="AB56" i="14"/>
  <c r="AL75" i="14"/>
  <c r="AL116" i="14"/>
  <c r="AF147" i="6" l="1"/>
  <c r="AB106" i="6"/>
  <c r="AA106" i="6" s="1"/>
  <c r="AC141" i="6"/>
  <c r="AA135" i="6"/>
  <c r="Z135" i="6" s="1"/>
  <c r="AK120" i="6"/>
  <c r="AF146" i="6"/>
  <c r="AE145" i="6" s="1"/>
  <c r="AD144" i="6" s="1"/>
  <c r="AK154" i="6"/>
  <c r="AK119" i="6"/>
  <c r="AJ118" i="6" s="1"/>
  <c r="AB105" i="6"/>
  <c r="AC140" i="6"/>
  <c r="AB140" i="6" s="1"/>
  <c r="AC139" i="6"/>
  <c r="AD143" i="6"/>
  <c r="AK153" i="6"/>
  <c r="AJ152" i="6" s="1"/>
  <c r="AI151" i="6" s="1"/>
  <c r="AH150" i="6" s="1"/>
  <c r="AG149" i="6" s="1"/>
  <c r="AF148" i="6" s="1"/>
  <c r="AE147" i="6" s="1"/>
  <c r="AB104" i="6"/>
  <c r="AD101" i="14"/>
  <c r="AH114" i="6"/>
  <c r="AH115" i="6"/>
  <c r="AB103" i="6"/>
  <c r="AB102" i="6"/>
  <c r="AG106" i="14"/>
  <c r="AB98" i="14"/>
  <c r="AE103" i="14"/>
  <c r="AD102" i="14" s="1"/>
  <c r="AG66" i="14"/>
  <c r="AF65" i="14" s="1"/>
  <c r="AH108" i="14"/>
  <c r="AB97" i="14"/>
  <c r="AK74" i="14"/>
  <c r="AJ72" i="14"/>
  <c r="AJ113" i="14" s="1"/>
  <c r="AI70" i="14"/>
  <c r="AI111" i="14" s="1"/>
  <c r="AH68" i="14"/>
  <c r="AF64" i="14"/>
  <c r="AC59" i="14"/>
  <c r="AA56" i="14"/>
  <c r="AA55" i="14"/>
  <c r="AA105" i="6" l="1"/>
  <c r="Z105" i="6" s="1"/>
  <c r="AJ119" i="6"/>
  <c r="AI118" i="6" s="1"/>
  <c r="AC143" i="6"/>
  <c r="AA104" i="6"/>
  <c r="AC142" i="6"/>
  <c r="AB141" i="6" s="1"/>
  <c r="AE146" i="6"/>
  <c r="AD145" i="6" s="1"/>
  <c r="AC144" i="6" s="1"/>
  <c r="AJ153" i="6"/>
  <c r="AI152" i="6" s="1"/>
  <c r="AH151" i="6" s="1"/>
  <c r="AG150" i="6" s="1"/>
  <c r="AF149" i="6" s="1"/>
  <c r="AE148" i="6" s="1"/>
  <c r="AD147" i="6" s="1"/>
  <c r="AB139" i="6"/>
  <c r="AA139" i="6" s="1"/>
  <c r="AB138" i="6"/>
  <c r="AA103" i="6"/>
  <c r="AF105" i="14"/>
  <c r="AA102" i="6"/>
  <c r="AA101" i="6"/>
  <c r="AG113" i="6"/>
  <c r="AG114" i="6"/>
  <c r="AI117" i="6"/>
  <c r="AG107" i="14"/>
  <c r="AF106" i="14" s="1"/>
  <c r="AJ73" i="14"/>
  <c r="AI72" i="14" s="1"/>
  <c r="AK115" i="14"/>
  <c r="AA97" i="14"/>
  <c r="AG67" i="14"/>
  <c r="AF66" i="14" s="1"/>
  <c r="AE65" i="14" s="1"/>
  <c r="AH109" i="14"/>
  <c r="AC100" i="14"/>
  <c r="AI71" i="14"/>
  <c r="AH69" i="14"/>
  <c r="AH110" i="14" s="1"/>
  <c r="Z55" i="14"/>
  <c r="AE64" i="14"/>
  <c r="AE63" i="14"/>
  <c r="AC60" i="14"/>
  <c r="AB58" i="14"/>
  <c r="AA96" i="14"/>
  <c r="Z104" i="6" l="1"/>
  <c r="AB143" i="6"/>
  <c r="AB142" i="6"/>
  <c r="AA141" i="6" s="1"/>
  <c r="Z101" i="6"/>
  <c r="AD146" i="6"/>
  <c r="AC145" i="6" s="1"/>
  <c r="AB144" i="6" s="1"/>
  <c r="Z103" i="6"/>
  <c r="Y103" i="6" s="1"/>
  <c r="AA140" i="6"/>
  <c r="Z139" i="6" s="1"/>
  <c r="AE104" i="14"/>
  <c r="AA138" i="6"/>
  <c r="Z138" i="6" s="1"/>
  <c r="AA137" i="6"/>
  <c r="Z102" i="6"/>
  <c r="AH117" i="6"/>
  <c r="AH116" i="6"/>
  <c r="AF112" i="6"/>
  <c r="AF113" i="6"/>
  <c r="Y104" i="6"/>
  <c r="AJ114" i="14"/>
  <c r="AI113" i="14" s="1"/>
  <c r="AE105" i="14"/>
  <c r="AB99" i="14"/>
  <c r="AH71" i="14"/>
  <c r="AI112" i="14"/>
  <c r="AG108" i="14"/>
  <c r="AF107" i="14" s="1"/>
  <c r="AE106" i="14" s="1"/>
  <c r="AC101" i="14"/>
  <c r="AH70" i="14"/>
  <c r="Z96" i="14"/>
  <c r="AG68" i="14"/>
  <c r="AG109" i="14" s="1"/>
  <c r="AD63" i="14"/>
  <c r="AD62" i="14"/>
  <c r="AD64" i="14"/>
  <c r="AB59" i="14"/>
  <c r="AA57" i="14"/>
  <c r="AA143" i="6" l="1"/>
  <c r="AD103" i="14"/>
  <c r="Z140" i="6"/>
  <c r="Y139" i="6" s="1"/>
  <c r="AA142" i="6"/>
  <c r="Z141" i="6" s="1"/>
  <c r="Y102" i="6"/>
  <c r="X102" i="6" s="1"/>
  <c r="AC146" i="6"/>
  <c r="AB145" i="6" s="1"/>
  <c r="AA144" i="6" s="1"/>
  <c r="Z143" i="6" s="1"/>
  <c r="Y101" i="6"/>
  <c r="Z137" i="6"/>
  <c r="Y137" i="6" s="1"/>
  <c r="Z136" i="6"/>
  <c r="Y138" i="6"/>
  <c r="AE111" i="6"/>
  <c r="AE112" i="6"/>
  <c r="AG116" i="6"/>
  <c r="AG115" i="6"/>
  <c r="X103" i="6"/>
  <c r="AA98" i="14"/>
  <c r="AH112" i="14"/>
  <c r="AB100" i="14"/>
  <c r="AG70" i="14"/>
  <c r="AH111" i="14"/>
  <c r="AD104" i="14"/>
  <c r="AC63" i="14"/>
  <c r="AD105" i="14"/>
  <c r="AG69" i="14"/>
  <c r="AF67" i="14"/>
  <c r="AF108" i="14" s="1"/>
  <c r="AC62" i="14"/>
  <c r="AC61" i="14"/>
  <c r="Z56" i="14"/>
  <c r="AA58" i="14"/>
  <c r="AC102" i="14" l="1"/>
  <c r="Y140" i="6"/>
  <c r="X139" i="6" s="1"/>
  <c r="X101" i="6"/>
  <c r="W101" i="6" s="1"/>
  <c r="Z142" i="6"/>
  <c r="X138" i="6"/>
  <c r="Y136" i="6"/>
  <c r="X136" i="6" s="1"/>
  <c r="Y135" i="6"/>
  <c r="X137" i="6"/>
  <c r="Y142" i="6"/>
  <c r="Y141" i="6"/>
  <c r="AF115" i="6"/>
  <c r="AF114" i="6"/>
  <c r="AD110" i="6"/>
  <c r="AD111" i="6"/>
  <c r="W102" i="6"/>
  <c r="AC104" i="14"/>
  <c r="AG111" i="14"/>
  <c r="AA99" i="14"/>
  <c r="AF68" i="14"/>
  <c r="AE67" i="14" s="1"/>
  <c r="AG110" i="14"/>
  <c r="AF69" i="14"/>
  <c r="AB62" i="14"/>
  <c r="AC103" i="14"/>
  <c r="AE66" i="14"/>
  <c r="AE107" i="14" s="1"/>
  <c r="AB61" i="14"/>
  <c r="AB60" i="14"/>
  <c r="AB101" i="14" s="1"/>
  <c r="Z97" i="14"/>
  <c r="Y55" i="14"/>
  <c r="Z57" i="14"/>
  <c r="Y56" i="14" s="1"/>
  <c r="W137" i="6" l="1"/>
  <c r="W138" i="6"/>
  <c r="V101" i="6"/>
  <c r="X135" i="6"/>
  <c r="W135" i="6" s="1"/>
  <c r="X141" i="6"/>
  <c r="X140" i="6"/>
  <c r="W136" i="6"/>
  <c r="AC109" i="6"/>
  <c r="AC110" i="6"/>
  <c r="AE114" i="6"/>
  <c r="AE113" i="6"/>
  <c r="AB102" i="14"/>
  <c r="AE68" i="14"/>
  <c r="AD67" i="14" s="1"/>
  <c r="AF110" i="14"/>
  <c r="AF109" i="14"/>
  <c r="AB103" i="14"/>
  <c r="AD66" i="14"/>
  <c r="AD65" i="14"/>
  <c r="AD106" i="14" s="1"/>
  <c r="X55" i="14"/>
  <c r="Y96" i="14"/>
  <c r="AA60" i="14"/>
  <c r="AA59" i="14"/>
  <c r="AA100" i="14" s="1"/>
  <c r="Z98" i="14"/>
  <c r="Y97" i="14" s="1"/>
  <c r="AA61" i="14"/>
  <c r="V137" i="6" l="1"/>
  <c r="V135" i="6"/>
  <c r="V136" i="6"/>
  <c r="W140" i="6"/>
  <c r="W139" i="6"/>
  <c r="AA101" i="14"/>
  <c r="AB108" i="6"/>
  <c r="AB109" i="6"/>
  <c r="AD113" i="6"/>
  <c r="AD112" i="6"/>
  <c r="AE109" i="14"/>
  <c r="AE108" i="14"/>
  <c r="AD107" i="14" s="1"/>
  <c r="AA102" i="14"/>
  <c r="AC66" i="14"/>
  <c r="AC65" i="14"/>
  <c r="AC64" i="14"/>
  <c r="AC105" i="14" s="1"/>
  <c r="Z60" i="14"/>
  <c r="Z59" i="14"/>
  <c r="Z58" i="14"/>
  <c r="X96" i="14"/>
  <c r="U136" i="6" l="1"/>
  <c r="U135" i="6"/>
  <c r="V139" i="6"/>
  <c r="V138" i="6"/>
  <c r="AB65" i="14"/>
  <c r="AC112" i="6"/>
  <c r="AC111" i="6"/>
  <c r="AA107" i="6"/>
  <c r="AA108" i="6"/>
  <c r="AD108" i="14"/>
  <c r="AC107" i="14" s="1"/>
  <c r="AC106" i="14"/>
  <c r="AB64" i="14"/>
  <c r="AB63" i="14"/>
  <c r="AB104" i="14" s="1"/>
  <c r="Z100" i="14"/>
  <c r="Y59" i="14"/>
  <c r="Z99" i="14"/>
  <c r="Y58" i="14"/>
  <c r="Y57" i="14"/>
  <c r="Z101" i="14"/>
  <c r="T135" i="6" l="1"/>
  <c r="U138" i="6"/>
  <c r="U137" i="6"/>
  <c r="Z106" i="6"/>
  <c r="Z107" i="6"/>
  <c r="AB111" i="6"/>
  <c r="AB110" i="6"/>
  <c r="AB106" i="14"/>
  <c r="AB105" i="14"/>
  <c r="AA63" i="14"/>
  <c r="AA62" i="14"/>
  <c r="AA103" i="14" s="1"/>
  <c r="Y100" i="14"/>
  <c r="X58" i="14"/>
  <c r="Y99" i="14"/>
  <c r="Y98" i="14"/>
  <c r="X57" i="14"/>
  <c r="X56" i="14"/>
  <c r="AA64" i="14"/>
  <c r="T137" i="6" l="1"/>
  <c r="T136" i="6"/>
  <c r="AA110" i="6"/>
  <c r="AA109" i="6"/>
  <c r="AA105" i="14"/>
  <c r="Y105" i="6"/>
  <c r="Y106" i="6"/>
  <c r="AA104" i="14"/>
  <c r="W57" i="14"/>
  <c r="X98" i="14"/>
  <c r="X99" i="14"/>
  <c r="X97" i="14"/>
  <c r="W56" i="14"/>
  <c r="W55" i="14"/>
  <c r="Z63" i="14"/>
  <c r="Z62" i="14"/>
  <c r="Z61" i="14"/>
  <c r="S136" i="6" l="1"/>
  <c r="S135" i="6"/>
  <c r="X104" i="6"/>
  <c r="X105" i="6"/>
  <c r="Z109" i="6"/>
  <c r="Z108" i="6"/>
  <c r="Z104" i="14"/>
  <c r="W98" i="14"/>
  <c r="Z103" i="14"/>
  <c r="Y62" i="14"/>
  <c r="V56" i="14"/>
  <c r="W97" i="14"/>
  <c r="Z102" i="14"/>
  <c r="Y61" i="14"/>
  <c r="Y60" i="14"/>
  <c r="V55" i="14"/>
  <c r="W96" i="14"/>
  <c r="R135" i="6" l="1"/>
  <c r="C22" i="6" s="1"/>
  <c r="Y108" i="6"/>
  <c r="Y107" i="6"/>
  <c r="W103" i="6"/>
  <c r="W104" i="6"/>
  <c r="Y103" i="14"/>
  <c r="Y101" i="14"/>
  <c r="X59" i="14"/>
  <c r="V96" i="14"/>
  <c r="U55" i="14"/>
  <c r="X60" i="14"/>
  <c r="Y102" i="14"/>
  <c r="X61" i="14"/>
  <c r="V97" i="14"/>
  <c r="V102" i="6" l="1"/>
  <c r="V103" i="6"/>
  <c r="X107" i="6"/>
  <c r="X106" i="6"/>
  <c r="X102" i="14"/>
  <c r="X101" i="14"/>
  <c r="W60" i="14"/>
  <c r="U96" i="14"/>
  <c r="X100" i="14"/>
  <c r="W59" i="14"/>
  <c r="W58" i="14"/>
  <c r="W106" i="6" l="1"/>
  <c r="W105" i="6"/>
  <c r="U101" i="6"/>
  <c r="U102" i="6"/>
  <c r="W101" i="14"/>
  <c r="V57" i="14"/>
  <c r="U56" i="14" s="1"/>
  <c r="W99" i="14"/>
  <c r="V58" i="14"/>
  <c r="W100" i="14"/>
  <c r="V59" i="14"/>
  <c r="T101" i="6" l="1"/>
  <c r="V105" i="6"/>
  <c r="V104" i="6"/>
  <c r="V100" i="14"/>
  <c r="U57" i="14"/>
  <c r="T56" i="14" s="1"/>
  <c r="V99" i="14"/>
  <c r="U58" i="14"/>
  <c r="V98" i="14"/>
  <c r="U97" i="14" s="1"/>
  <c r="T55" i="14"/>
  <c r="U104" i="6" l="1"/>
  <c r="U103" i="6"/>
  <c r="U99" i="14"/>
  <c r="U98" i="14"/>
  <c r="T97" i="14" s="1"/>
  <c r="T96" i="14"/>
  <c r="S55" i="14"/>
  <c r="T57" i="14"/>
  <c r="T98" i="14" l="1"/>
  <c r="T103" i="6"/>
  <c r="T102" i="6"/>
  <c r="S96" i="14"/>
  <c r="S56" i="14"/>
  <c r="S97" i="14" s="1"/>
  <c r="F10" i="14"/>
  <c r="S102" i="6" l="1"/>
  <c r="S101" i="6"/>
  <c r="R55" i="14"/>
  <c r="F8" i="14"/>
  <c r="R101" i="6" l="1"/>
  <c r="C21" i="6" s="1"/>
  <c r="C20" i="6" s="1"/>
  <c r="C19" i="14"/>
  <c r="C18" i="14" s="1"/>
  <c r="R96" i="14"/>
  <c r="F9" i="14"/>
</calcChain>
</file>

<file path=xl/sharedStrings.xml><?xml version="1.0" encoding="utf-8"?>
<sst xmlns="http://schemas.openxmlformats.org/spreadsheetml/2006/main" count="242" uniqueCount="130">
  <si>
    <t>Spot Price</t>
  </si>
  <si>
    <t>Expiry Date</t>
  </si>
  <si>
    <t>Strike Price</t>
  </si>
  <si>
    <t>Risk-Free Interest Rate</t>
  </si>
  <si>
    <t>Time to Maturity</t>
  </si>
  <si>
    <t>Observed Option Price</t>
  </si>
  <si>
    <t>d1</t>
  </si>
  <si>
    <t>d2</t>
  </si>
  <si>
    <t>Dividend Yield</t>
  </si>
  <si>
    <t>Option type (C=1, P=-1)</t>
  </si>
  <si>
    <t>Step (dt)</t>
  </si>
  <si>
    <t>u</t>
  </si>
  <si>
    <t xml:space="preserve">   Up movement factor</t>
  </si>
  <si>
    <t>d</t>
  </si>
  <si>
    <t xml:space="preserve">   Down movement factor = 1/u</t>
  </si>
  <si>
    <t>Interest rate (rr, annual)</t>
  </si>
  <si>
    <t>p</t>
  </si>
  <si>
    <t xml:space="preserve">   Risk-neutral probability of up movement</t>
  </si>
  <si>
    <t>Volatility (sig, annual)</t>
  </si>
  <si>
    <t>emrdt</t>
  </si>
  <si>
    <t xml:space="preserve">   Discount factor per step, Exp(-rr*dt)</t>
  </si>
  <si>
    <t>Time to maturity (T, years)</t>
  </si>
  <si>
    <t xml:space="preserve">Number of steps (n) </t>
  </si>
  <si>
    <t>Dividend amount</t>
  </si>
  <si>
    <t>Time to ex-dividend date</t>
  </si>
  <si>
    <t>Step</t>
  </si>
  <si>
    <t>Time</t>
  </si>
  <si>
    <t>Stock price (uncertain part)</t>
  </si>
  <si>
    <t>Stock price (total)</t>
  </si>
  <si>
    <t xml:space="preserve">   Up movement multiplier </t>
  </si>
  <si>
    <t xml:space="preserve">   Down movement multiplier, = 1/u</t>
  </si>
  <si>
    <t xml:space="preserve">   Risk-neutral probability of up movement  </t>
  </si>
  <si>
    <t>Dividend yield (q, annual)</t>
  </si>
  <si>
    <t xml:space="preserve">   Discount factor per step, = Exp(-rr*dt)</t>
  </si>
  <si>
    <t>Stock price</t>
  </si>
  <si>
    <t>Market Call Option Price</t>
  </si>
  <si>
    <t>Exercise (Strike) price (K)</t>
  </si>
  <si>
    <t xml:space="preserve">Spot price (S) </t>
  </si>
  <si>
    <t>INSTITUTE OF TRADING &amp; PORTFOLIO MANAGEMENT</t>
  </si>
  <si>
    <t>Inputs</t>
  </si>
  <si>
    <t>Greeks</t>
  </si>
  <si>
    <t>Notes</t>
  </si>
  <si>
    <t>Call</t>
  </si>
  <si>
    <t>Put</t>
  </si>
  <si>
    <t>ln(S/X)</t>
  </si>
  <si>
    <t>t((r-q+(σ^2)/2)</t>
  </si>
  <si>
    <t>σ*sqrt(t)</t>
  </si>
  <si>
    <t>Delta</t>
  </si>
  <si>
    <t>Theta</t>
  </si>
  <si>
    <t>N(d1)</t>
  </si>
  <si>
    <t>N(-d1)</t>
  </si>
  <si>
    <t>N(d2)</t>
  </si>
  <si>
    <t>N(-d2)</t>
  </si>
  <si>
    <t>Gamma</t>
  </si>
  <si>
    <t>Vega</t>
  </si>
  <si>
    <t>e^(-rt)</t>
  </si>
  <si>
    <t>Xe^(-rt)</t>
  </si>
  <si>
    <t>e^(-qt)</t>
  </si>
  <si>
    <t>Se^(-qt)</t>
  </si>
  <si>
    <t>Rho</t>
  </si>
  <si>
    <t>Days to exp</t>
  </si>
  <si>
    <t>Expiry date</t>
  </si>
  <si>
    <t>Days to expiry</t>
  </si>
  <si>
    <t>Time to expiry (T, years)</t>
  </si>
  <si>
    <t>Black-Scholes Implied Volatility Calculator</t>
  </si>
  <si>
    <t>Difference^2</t>
  </si>
  <si>
    <t>Volatility (implied)</t>
  </si>
  <si>
    <t>Call/Put</t>
  </si>
  <si>
    <t>Ex-dividend date</t>
  </si>
  <si>
    <t>Call Price (Model)</t>
  </si>
  <si>
    <t>Put Price (Model)</t>
  </si>
  <si>
    <t>Binomial Implied Volatility Calculator (Discrete Dividend)</t>
  </si>
  <si>
    <t>European call price (Model)</t>
  </si>
  <si>
    <t>European or American exercise style?</t>
  </si>
  <si>
    <t>Binomial Implied Volatility Calculator (Yield)</t>
  </si>
  <si>
    <t>American</t>
  </si>
  <si>
    <r>
      <t xml:space="preserve">This sheet can be used to find implied volatilities in </t>
    </r>
    <r>
      <rPr>
        <b/>
        <i/>
        <sz val="11"/>
        <rFont val="Calibri"/>
        <family val="2"/>
        <scheme val="minor"/>
      </rPr>
      <t>European exercise style options with or without dividend yield</t>
    </r>
    <r>
      <rPr>
        <i/>
        <sz val="11"/>
        <rFont val="Calibri"/>
        <family val="2"/>
        <scheme val="minor"/>
      </rPr>
      <t xml:space="preserve">. It can also be used to find implied volatilities in </t>
    </r>
    <r>
      <rPr>
        <b/>
        <i/>
        <sz val="11"/>
        <rFont val="Calibri"/>
        <family val="2"/>
        <scheme val="minor"/>
      </rPr>
      <t>American exercise style options that pay no dividend</t>
    </r>
    <r>
      <rPr>
        <i/>
        <sz val="11"/>
        <rFont val="Calibri"/>
        <family val="2"/>
        <scheme val="minor"/>
      </rPr>
      <t>. The user can change cells C7:C13 and C16, and the rest is automated.Solver must be manual intiated to run the calculation.If solver struggles to find a solution,manually override the volatility assumption until the model and observed prices start converging, then retry solver. Manually overriding the volatility can also be used to calculate option prices.</t>
    </r>
  </si>
  <si>
    <r>
      <t xml:space="preserve">This sheet can be used to find implied volatilities for </t>
    </r>
    <r>
      <rPr>
        <b/>
        <i/>
        <sz val="11"/>
        <color theme="1"/>
        <rFont val="Calibri"/>
        <family val="2"/>
        <scheme val="minor"/>
      </rPr>
      <t>American or European exercise style options</t>
    </r>
    <r>
      <rPr>
        <i/>
        <sz val="11"/>
        <color theme="1"/>
        <rFont val="Calibri"/>
        <family val="2"/>
        <scheme val="minor"/>
      </rPr>
      <t xml:space="preserve"> with a discrete dividend. The user can change cells C7:C10, C11, C15:16, and C18 and the rest is automated.Solver must be manual intiated to run the calculation.If solver struggles to find a solution,manually override the volatility assumption until the model and observed prices start converging, then retry solver.Manually overriding the volatility can also be used to calculate option prices.</t>
    </r>
  </si>
  <si>
    <t>CBOE</t>
  </si>
  <si>
    <t>www.cboe.com</t>
  </si>
  <si>
    <t>http://www.cboe.com/products/</t>
  </si>
  <si>
    <t>NASDAQ OMX</t>
  </si>
  <si>
    <t>www.nasdaqtrader.com</t>
  </si>
  <si>
    <t>http://www.nasdaqtrader.com/content/phlx/FXOptionsSpecsFS.pdf</t>
  </si>
  <si>
    <t>NYSE Euronext</t>
  </si>
  <si>
    <t>www.euronext.com</t>
  </si>
  <si>
    <t>NASDAQ</t>
  </si>
  <si>
    <t>http://nasdaq.com/options</t>
  </si>
  <si>
    <t>Options Data</t>
  </si>
  <si>
    <t>Risk-Free Rate</t>
  </si>
  <si>
    <t>http://www.treasury.gov/resource-center/data-chart-center/interest-rates/Pages/TextView.aspx?data=yield</t>
  </si>
  <si>
    <t>Short-term treasury yield rates can be used as a proxy for a risk-free rate</t>
  </si>
  <si>
    <t>Dividends</t>
  </si>
  <si>
    <t>http://finance.yahoo.com/</t>
  </si>
  <si>
    <t>http://nasdaq.com</t>
  </si>
  <si>
    <t>www.dividend.com</t>
  </si>
  <si>
    <t>Resources</t>
  </si>
  <si>
    <t>SIMPLIFIED VERSION OF IMPLIED VOLATILITY CALCULATOR</t>
  </si>
  <si>
    <t>INPUTS</t>
  </si>
  <si>
    <t>Known</t>
  </si>
  <si>
    <t>OUTPUT (Market Observed)</t>
  </si>
  <si>
    <t>Unknown (Vol)</t>
  </si>
  <si>
    <t>Option Price</t>
  </si>
  <si>
    <t>Implied Volatility Assessment</t>
  </si>
  <si>
    <t>Annual</t>
  </si>
  <si>
    <t>Monthly</t>
  </si>
  <si>
    <t>Weekly</t>
  </si>
  <si>
    <t>Daily</t>
  </si>
  <si>
    <t>Option Time Horizon</t>
  </si>
  <si>
    <t>Implied Volatility</t>
  </si>
  <si>
    <t>Timeframe</t>
  </si>
  <si>
    <t>Stock Price:</t>
  </si>
  <si>
    <t>Lower Bound</t>
  </si>
  <si>
    <t>Upper Bound</t>
  </si>
  <si>
    <t>1 Std Dev = 68.27%</t>
  </si>
  <si>
    <t>2 Std Dev = 95.45%</t>
  </si>
  <si>
    <r>
      <t xml:space="preserve">This sheet can be used to find implied volatilities for </t>
    </r>
    <r>
      <rPr>
        <b/>
        <i/>
        <sz val="11"/>
        <color theme="1"/>
        <rFont val="Calibri"/>
        <family val="2"/>
        <scheme val="minor"/>
      </rPr>
      <t>American exercise style options</t>
    </r>
    <r>
      <rPr>
        <b/>
        <i/>
        <sz val="11"/>
        <color theme="1"/>
        <rFont val="Calibri"/>
        <family val="2"/>
        <scheme val="minor"/>
      </rPr>
      <t>with a dividend yield</t>
    </r>
    <r>
      <rPr>
        <i/>
        <sz val="11"/>
        <color theme="1"/>
        <rFont val="Calibri"/>
        <family val="2"/>
        <scheme val="minor"/>
      </rPr>
      <t>. The user can change cells C7:C9 and C11:C14, and the rest is automated.Solver must be manual intiated to run the calculation.If solver struggles to find a solution,manually override the volatility assumption until the model and observed prices start converging, then retry solver. Manually overriding the volatility can also be used to calculate option prices.</t>
    </r>
  </si>
  <si>
    <t>Quarterly</t>
  </si>
  <si>
    <t>Close-Close Standard Deviation</t>
  </si>
  <si>
    <t>MSFT</t>
  </si>
  <si>
    <t>Equity - Mega Cap</t>
  </si>
  <si>
    <t>GOOG</t>
  </si>
  <si>
    <t>Description</t>
  </si>
  <si>
    <t>Asset</t>
  </si>
  <si>
    <t>Class</t>
  </si>
  <si>
    <t>FAANMG</t>
  </si>
  <si>
    <t>TREX</t>
  </si>
  <si>
    <t>Equity - Mid Cap</t>
  </si>
  <si>
    <t>OLLI</t>
  </si>
  <si>
    <t>https://www.nasdaq.com/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</si>
</sst>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&quot;$&quot;#,##0.00"/>
    <numFmt numFmtId="167" formatCode="0.000%"/>
  </numFmts>
  <fonts count="2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7" fillId="0" borderId="0" applyNumberFormat="0" applyFill="0" applyBorder="0" applyAlignment="0" applyProtection="0"/>
    <xf numFmtId="0" fontId="9" fillId="0" borderId="0"/>
    <xf numFmtId="0" fontId="4" fillId="0" borderId="0"/>
    <xf numFmtId="0" fontId="3" fillId="0" borderId="0"/>
    <xf numFmtId="0" fontId="5" fillId="0" borderId="0"/>
  </cellStyleXfs>
  <cellXfs count="288">
    <xf numFmtId="0" fontId="0" fillId="0" borderId="0" xfId="0"/>
    <xf numFmtId="0" fontId="9" fillId="0" borderId="0" xfId="2"/>
    <xf numFmtId="0" fontId="14" fillId="3" borderId="2" xfId="4" applyFont="1" applyFill="1" applyBorder="1" applyAlignment="1">
      <alignment vertical="center"/>
    </xf>
    <xf numFmtId="0" fontId="14" fillId="5" borderId="0" xfId="4" applyFont="1" applyFill="1" applyAlignment="1">
      <alignment vertical="center"/>
    </xf>
    <xf numFmtId="0" fontId="14" fillId="5" borderId="0" xfId="4" applyFont="1" applyFill="1" applyAlignment="1" applyProtection="1">
      <alignment vertical="center"/>
      <protection hidden="1"/>
    </xf>
    <xf numFmtId="0" fontId="3" fillId="5" borderId="0" xfId="4" applyFill="1" applyProtection="1">
      <protection hidden="1"/>
    </xf>
    <xf numFmtId="0" fontId="15" fillId="3" borderId="0" xfId="4" applyFont="1" applyFill="1"/>
    <xf numFmtId="0" fontId="15" fillId="5" borderId="0" xfId="4" applyFont="1" applyFill="1"/>
    <xf numFmtId="0" fontId="15" fillId="5" borderId="0" xfId="4" applyFont="1" applyFill="1" applyProtection="1">
      <protection hidden="1"/>
    </xf>
    <xf numFmtId="0" fontId="3" fillId="3" borderId="0" xfId="4" applyFill="1"/>
    <xf numFmtId="0" fontId="12" fillId="3" borderId="0" xfId="4" applyFont="1" applyFill="1" applyAlignment="1">
      <alignment horizontal="center" vertical="center"/>
    </xf>
    <xf numFmtId="0" fontId="15" fillId="3" borderId="0" xfId="4" applyFont="1" applyFill="1" applyAlignment="1">
      <alignment horizontal="center"/>
    </xf>
    <xf numFmtId="0" fontId="15" fillId="5" borderId="0" xfId="4" applyFont="1" applyFill="1" applyAlignment="1">
      <alignment horizontal="center"/>
    </xf>
    <xf numFmtId="0" fontId="15" fillId="5" borderId="0" xfId="4" applyFont="1" applyFill="1" applyAlignment="1" applyProtection="1">
      <alignment horizontal="center"/>
      <protection hidden="1"/>
    </xf>
    <xf numFmtId="0" fontId="3" fillId="7" borderId="1" xfId="4" applyFill="1" applyBorder="1"/>
    <xf numFmtId="0" fontId="3" fillId="7" borderId="2" xfId="4" applyFill="1" applyBorder="1"/>
    <xf numFmtId="0" fontId="3" fillId="7" borderId="3" xfId="4" applyFill="1" applyBorder="1"/>
    <xf numFmtId="0" fontId="3" fillId="5" borderId="0" xfId="4" applyFill="1"/>
    <xf numFmtId="0" fontId="5" fillId="5" borderId="0" xfId="5" applyFill="1" applyAlignment="1" applyProtection="1">
      <alignment vertical="center"/>
      <protection hidden="1"/>
    </xf>
    <xf numFmtId="0" fontId="5" fillId="6" borderId="7" xfId="5" applyFill="1" applyBorder="1" applyAlignment="1">
      <alignment vertical="center"/>
    </xf>
    <xf numFmtId="0" fontId="5" fillId="3" borderId="0" xfId="5" applyFill="1" applyAlignment="1">
      <alignment vertical="center"/>
    </xf>
    <xf numFmtId="0" fontId="5" fillId="7" borderId="7" xfId="5" applyFill="1" applyBorder="1"/>
    <xf numFmtId="165" fontId="3" fillId="7" borderId="0" xfId="4" applyNumberFormat="1" applyFill="1"/>
    <xf numFmtId="165" fontId="3" fillId="7" borderId="8" xfId="4" applyNumberFormat="1" applyFill="1" applyBorder="1"/>
    <xf numFmtId="10" fontId="6" fillId="3" borderId="0" xfId="5" applyNumberFormat="1" applyFont="1" applyFill="1"/>
    <xf numFmtId="0" fontId="11" fillId="5" borderId="0" xfId="5" applyFont="1" applyFill="1" applyAlignment="1" applyProtection="1">
      <alignment vertical="center"/>
      <protection hidden="1"/>
    </xf>
    <xf numFmtId="0" fontId="5" fillId="6" borderId="7" xfId="5" applyFill="1" applyBorder="1" applyAlignment="1">
      <alignment horizontal="left" vertical="center"/>
    </xf>
    <xf numFmtId="0" fontId="3" fillId="7" borderId="7" xfId="4" applyFill="1" applyBorder="1"/>
    <xf numFmtId="0" fontId="3" fillId="7" borderId="0" xfId="4" applyFill="1"/>
    <xf numFmtId="0" fontId="3" fillId="7" borderId="8" xfId="4" applyFill="1" applyBorder="1"/>
    <xf numFmtId="0" fontId="3" fillId="7" borderId="4" xfId="4" applyFill="1" applyBorder="1"/>
    <xf numFmtId="0" fontId="3" fillId="7" borderId="5" xfId="4" applyFill="1" applyBorder="1"/>
    <xf numFmtId="0" fontId="3" fillId="7" borderId="6" xfId="4" applyFill="1" applyBorder="1"/>
    <xf numFmtId="0" fontId="3" fillId="9" borderId="0" xfId="4" applyFill="1"/>
    <xf numFmtId="164" fontId="3" fillId="9" borderId="0" xfId="4" applyNumberFormat="1" applyFill="1"/>
    <xf numFmtId="0" fontId="5" fillId="3" borderId="0" xfId="5" applyFill="1"/>
    <xf numFmtId="0" fontId="5" fillId="6" borderId="1" xfId="5" applyFill="1" applyBorder="1"/>
    <xf numFmtId="0" fontId="0" fillId="6" borderId="7" xfId="5" applyFont="1" applyFill="1" applyBorder="1"/>
    <xf numFmtId="0" fontId="5" fillId="7" borderId="0" xfId="5" applyFill="1"/>
    <xf numFmtId="0" fontId="5" fillId="7" borderId="8" xfId="5" applyFill="1" applyBorder="1"/>
    <xf numFmtId="2" fontId="5" fillId="6" borderId="8" xfId="5" applyNumberFormat="1" applyFill="1" applyBorder="1"/>
    <xf numFmtId="0" fontId="0" fillId="6" borderId="4" xfId="5" applyFont="1" applyFill="1" applyBorder="1"/>
    <xf numFmtId="0" fontId="5" fillId="6" borderId="6" xfId="5" applyFill="1" applyBorder="1"/>
    <xf numFmtId="0" fontId="5" fillId="7" borderId="4" xfId="5" applyFill="1" applyBorder="1"/>
    <xf numFmtId="0" fontId="5" fillId="7" borderId="5" xfId="5" applyFill="1" applyBorder="1"/>
    <xf numFmtId="0" fontId="5" fillId="7" borderId="6" xfId="5" applyFill="1" applyBorder="1"/>
    <xf numFmtId="0" fontId="5" fillId="9" borderId="0" xfId="5" applyFill="1"/>
    <xf numFmtId="0" fontId="13" fillId="9" borderId="0" xfId="4" applyFont="1" applyFill="1" applyAlignment="1">
      <alignment horizontal="center" vertical="center" wrapText="1"/>
    </xf>
    <xf numFmtId="0" fontId="3" fillId="6" borderId="4" xfId="4" applyFill="1" applyBorder="1"/>
    <xf numFmtId="0" fontId="5" fillId="10" borderId="3" xfId="5" applyFill="1" applyBorder="1" applyProtection="1">
      <protection locked="0"/>
    </xf>
    <xf numFmtId="10" fontId="5" fillId="10" borderId="8" xfId="5" applyNumberFormat="1" applyFill="1" applyBorder="1" applyProtection="1">
      <protection locked="0"/>
    </xf>
    <xf numFmtId="164" fontId="17" fillId="9" borderId="0" xfId="4" applyNumberFormat="1" applyFont="1" applyFill="1"/>
    <xf numFmtId="4" fontId="5" fillId="9" borderId="0" xfId="5" applyNumberFormat="1" applyFill="1"/>
    <xf numFmtId="0" fontId="10" fillId="3" borderId="0" xfId="2" applyFont="1" applyFill="1"/>
    <xf numFmtId="0" fontId="9" fillId="3" borderId="0" xfId="2" applyFill="1"/>
    <xf numFmtId="0" fontId="9" fillId="6" borderId="1" xfId="2" applyFill="1" applyBorder="1"/>
    <xf numFmtId="0" fontId="9" fillId="6" borderId="7" xfId="2" applyFill="1" applyBorder="1"/>
    <xf numFmtId="2" fontId="9" fillId="6" borderId="8" xfId="2" applyNumberFormat="1" applyFill="1" applyBorder="1"/>
    <xf numFmtId="0" fontId="9" fillId="6" borderId="8" xfId="2" applyFill="1" applyBorder="1"/>
    <xf numFmtId="0" fontId="0" fillId="6" borderId="4" xfId="2" applyFont="1" applyFill="1" applyBorder="1"/>
    <xf numFmtId="14" fontId="9" fillId="3" borderId="0" xfId="2" applyNumberFormat="1" applyFill="1"/>
    <xf numFmtId="2" fontId="9" fillId="3" borderId="0" xfId="2" applyNumberFormat="1" applyFill="1"/>
    <xf numFmtId="0" fontId="5" fillId="5" borderId="0" xfId="2" applyFont="1" applyFill="1"/>
    <xf numFmtId="2" fontId="9" fillId="5" borderId="0" xfId="2" applyNumberFormat="1" applyFill="1"/>
    <xf numFmtId="4" fontId="9" fillId="5" borderId="0" xfId="2" applyNumberFormat="1" applyFill="1"/>
    <xf numFmtId="0" fontId="9" fillId="10" borderId="3" xfId="2" applyFill="1" applyBorder="1" applyProtection="1">
      <protection locked="0"/>
    </xf>
    <xf numFmtId="10" fontId="9" fillId="10" borderId="8" xfId="2" applyNumberFormat="1" applyFill="1" applyBorder="1" applyProtection="1">
      <protection locked="0"/>
    </xf>
    <xf numFmtId="164" fontId="5" fillId="10" borderId="6" xfId="5" applyNumberFormat="1" applyFill="1" applyBorder="1" applyProtection="1">
      <protection locked="0"/>
    </xf>
    <xf numFmtId="0" fontId="9" fillId="0" borderId="0" xfId="2" applyProtection="1">
      <protection hidden="1"/>
    </xf>
    <xf numFmtId="0" fontId="8" fillId="0" borderId="0" xfId="2" applyFont="1" applyProtection="1">
      <protection hidden="1"/>
    </xf>
    <xf numFmtId="0" fontId="11" fillId="0" borderId="0" xfId="2" applyFont="1" applyProtection="1">
      <protection hidden="1"/>
    </xf>
    <xf numFmtId="165" fontId="6" fillId="0" borderId="0" xfId="2" applyNumberFormat="1" applyFont="1" applyProtection="1">
      <protection hidden="1"/>
    </xf>
    <xf numFmtId="0" fontId="9" fillId="0" borderId="0" xfId="2" quotePrefix="1" applyProtection="1">
      <protection hidden="1"/>
    </xf>
    <xf numFmtId="14" fontId="9" fillId="0" borderId="0" xfId="2" applyNumberFormat="1" applyProtection="1">
      <protection hidden="1"/>
    </xf>
    <xf numFmtId="0" fontId="6" fillId="0" borderId="0" xfId="2" applyFont="1" applyProtection="1">
      <protection hidden="1"/>
    </xf>
    <xf numFmtId="166" fontId="9" fillId="0" borderId="0" xfId="2" applyNumberFormat="1" applyProtection="1">
      <protection hidden="1"/>
    </xf>
    <xf numFmtId="2" fontId="6" fillId="0" borderId="0" xfId="2" applyNumberFormat="1" applyFont="1" applyProtection="1">
      <protection hidden="1"/>
    </xf>
    <xf numFmtId="0" fontId="6" fillId="0" borderId="0" xfId="2" applyFont="1" applyAlignment="1" applyProtection="1">
      <alignment horizontal="right"/>
      <protection hidden="1"/>
    </xf>
    <xf numFmtId="0" fontId="9" fillId="0" borderId="0" xfId="2" applyAlignment="1" applyProtection="1">
      <alignment horizontal="right"/>
      <protection hidden="1"/>
    </xf>
    <xf numFmtId="0" fontId="8" fillId="0" borderId="0" xfId="2" applyFont="1" applyAlignment="1" applyProtection="1">
      <alignment horizontal="right"/>
      <protection hidden="1"/>
    </xf>
    <xf numFmtId="166" fontId="9" fillId="2" borderId="9" xfId="2" applyNumberFormat="1" applyFill="1" applyBorder="1" applyProtection="1">
      <protection hidden="1"/>
    </xf>
    <xf numFmtId="166" fontId="6" fillId="0" borderId="0" xfId="2" applyNumberFormat="1" applyFont="1" applyProtection="1">
      <protection hidden="1"/>
    </xf>
    <xf numFmtId="2" fontId="9" fillId="10" borderId="8" xfId="2" applyNumberFormat="1" applyFill="1" applyBorder="1" applyProtection="1">
      <protection locked="0"/>
    </xf>
    <xf numFmtId="10" fontId="5" fillId="11" borderId="9" xfId="5" applyNumberFormat="1" applyFill="1" applyBorder="1" applyProtection="1">
      <protection locked="0"/>
    </xf>
    <xf numFmtId="0" fontId="0" fillId="0" borderId="0" xfId="2" applyFont="1" applyAlignment="1" applyProtection="1">
      <alignment vertical="center" wrapText="1"/>
      <protection hidden="1"/>
    </xf>
    <xf numFmtId="0" fontId="9" fillId="0" borderId="0" xfId="2" applyAlignment="1" applyProtection="1">
      <alignment vertical="center" wrapText="1"/>
      <protection hidden="1"/>
    </xf>
    <xf numFmtId="4" fontId="5" fillId="10" borderId="8" xfId="5" applyNumberFormat="1" applyFill="1" applyBorder="1" applyProtection="1">
      <protection locked="0"/>
    </xf>
    <xf numFmtId="0" fontId="16" fillId="9" borderId="0" xfId="4" applyFont="1" applyFill="1" applyAlignment="1">
      <alignment vertical="center" wrapText="1"/>
    </xf>
    <xf numFmtId="0" fontId="6" fillId="5" borderId="7" xfId="0" applyFont="1" applyFill="1" applyBorder="1"/>
    <xf numFmtId="0" fontId="19" fillId="5" borderId="0" xfId="4" applyFont="1" applyFill="1"/>
    <xf numFmtId="0" fontId="20" fillId="5" borderId="0" xfId="1" applyFont="1" applyFill="1" applyBorder="1" applyAlignment="1"/>
    <xf numFmtId="0" fontId="0" fillId="5" borderId="0" xfId="0" applyFill="1"/>
    <xf numFmtId="0" fontId="20" fillId="5" borderId="0" xfId="1" applyFont="1" applyFill="1" applyBorder="1" applyAlignment="1">
      <alignment vertical="center"/>
    </xf>
    <xf numFmtId="0" fontId="20" fillId="5" borderId="0" xfId="1" applyFont="1" applyFill="1" applyBorder="1"/>
    <xf numFmtId="0" fontId="20" fillId="5" borderId="0" xfId="1" applyFont="1" applyFill="1" applyBorder="1" applyAlignment="1">
      <alignment vertical="center" wrapText="1"/>
    </xf>
    <xf numFmtId="0" fontId="0" fillId="5" borderId="0" xfId="0" applyFill="1" applyAlignment="1">
      <alignment wrapText="1"/>
    </xf>
    <xf numFmtId="0" fontId="0" fillId="5" borderId="8" xfId="0" applyFill="1" applyBorder="1" applyAlignment="1">
      <alignment wrapText="1"/>
    </xf>
    <xf numFmtId="0" fontId="0" fillId="5" borderId="7" xfId="0" applyFill="1" applyBorder="1"/>
    <xf numFmtId="0" fontId="19" fillId="5" borderId="8" xfId="4" applyFont="1" applyFill="1" applyBorder="1"/>
    <xf numFmtId="0" fontId="20" fillId="5" borderId="7" xfId="1" applyFont="1" applyFill="1" applyBorder="1" applyAlignment="1"/>
    <xf numFmtId="0" fontId="20" fillId="5" borderId="7" xfId="1" applyFont="1" applyFill="1" applyBorder="1" applyAlignment="1">
      <alignment vertical="center"/>
    </xf>
    <xf numFmtId="0" fontId="19" fillId="5" borderId="7" xfId="4" applyFont="1" applyFill="1" applyBorder="1"/>
    <xf numFmtId="0" fontId="20" fillId="5" borderId="7" xfId="1" applyFont="1" applyFill="1" applyBorder="1" applyAlignment="1">
      <alignment vertical="center" wrapText="1"/>
    </xf>
    <xf numFmtId="0" fontId="20" fillId="5" borderId="8" xfId="1" applyFont="1" applyFill="1" applyBorder="1" applyAlignment="1">
      <alignment vertical="center" wrapText="1"/>
    </xf>
    <xf numFmtId="0" fontId="20" fillId="5" borderId="0" xfId="1" applyFont="1" applyFill="1" applyBorder="1" applyProtection="1"/>
    <xf numFmtId="0" fontId="19" fillId="5" borderId="4" xfId="4" applyFont="1" applyFill="1" applyBorder="1"/>
    <xf numFmtId="0" fontId="19" fillId="5" borderId="5" xfId="4" applyFont="1" applyFill="1" applyBorder="1"/>
    <xf numFmtId="0" fontId="19" fillId="5" borderId="6" xfId="4" applyFont="1" applyFill="1" applyBorder="1"/>
    <xf numFmtId="0" fontId="7" fillId="3" borderId="0" xfId="1" applyFill="1" applyBorder="1" applyAlignment="1">
      <alignment vertical="center" wrapText="1"/>
    </xf>
    <xf numFmtId="0" fontId="6" fillId="5" borderId="1" xfId="0" applyFont="1" applyFill="1" applyBorder="1"/>
    <xf numFmtId="0" fontId="19" fillId="5" borderId="2" xfId="4" applyFont="1" applyFill="1" applyBorder="1"/>
    <xf numFmtId="0" fontId="19" fillId="5" borderId="3" xfId="4" applyFont="1" applyFill="1" applyBorder="1"/>
    <xf numFmtId="0" fontId="8" fillId="6" borderId="1" xfId="5" applyFont="1" applyFill="1" applyBorder="1" applyAlignment="1">
      <alignment vertical="center"/>
    </xf>
    <xf numFmtId="0" fontId="8" fillId="6" borderId="7" xfId="5" applyFont="1" applyFill="1" applyBorder="1" applyAlignment="1">
      <alignment vertical="center"/>
    </xf>
    <xf numFmtId="0" fontId="8" fillId="6" borderId="7" xfId="5" applyFont="1" applyFill="1" applyBorder="1"/>
    <xf numFmtId="0" fontId="8" fillId="6" borderId="7" xfId="2" applyFont="1" applyFill="1" applyBorder="1"/>
    <xf numFmtId="0" fontId="0" fillId="5" borderId="1" xfId="5" applyFont="1" applyFill="1" applyBorder="1" applyProtection="1">
      <protection hidden="1"/>
    </xf>
    <xf numFmtId="0" fontId="5" fillId="5" borderId="2" xfId="5" applyFill="1" applyBorder="1"/>
    <xf numFmtId="0" fontId="5" fillId="5" borderId="3" xfId="5" applyFill="1" applyBorder="1"/>
    <xf numFmtId="0" fontId="5" fillId="5" borderId="4" xfId="5" applyFill="1" applyBorder="1" applyProtection="1">
      <protection hidden="1"/>
    </xf>
    <xf numFmtId="0" fontId="5" fillId="5" borderId="5" xfId="5" applyFill="1" applyBorder="1" applyProtection="1">
      <protection hidden="1"/>
    </xf>
    <xf numFmtId="0" fontId="5" fillId="5" borderId="5" xfId="5" applyFill="1" applyBorder="1"/>
    <xf numFmtId="0" fontId="5" fillId="5" borderId="6" xfId="5" applyFill="1" applyBorder="1"/>
    <xf numFmtId="0" fontId="0" fillId="5" borderId="2" xfId="5" applyFont="1" applyFill="1" applyBorder="1" applyProtection="1">
      <protection hidden="1"/>
    </xf>
    <xf numFmtId="0" fontId="0" fillId="5" borderId="2" xfId="5" applyFont="1" applyFill="1" applyBorder="1"/>
    <xf numFmtId="0" fontId="5" fillId="5" borderId="0" xfId="5" applyFill="1"/>
    <xf numFmtId="0" fontId="5" fillId="5" borderId="0" xfId="5" applyFill="1" applyProtection="1">
      <protection hidden="1"/>
    </xf>
    <xf numFmtId="165" fontId="6" fillId="5" borderId="0" xfId="5" applyNumberFormat="1" applyFont="1" applyFill="1" applyProtection="1">
      <protection hidden="1"/>
    </xf>
    <xf numFmtId="0" fontId="6" fillId="5" borderId="0" xfId="5" applyFont="1" applyFill="1" applyAlignment="1" applyProtection="1">
      <alignment horizontal="right"/>
      <protection hidden="1"/>
    </xf>
    <xf numFmtId="0" fontId="6" fillId="5" borderId="0" xfId="5" applyFont="1" applyFill="1" applyProtection="1">
      <protection hidden="1"/>
    </xf>
    <xf numFmtId="2" fontId="6" fillId="5" borderId="0" xfId="5" applyNumberFormat="1" applyFont="1" applyFill="1" applyProtection="1">
      <protection hidden="1"/>
    </xf>
    <xf numFmtId="0" fontId="5" fillId="5" borderId="0" xfId="5" applyFill="1" applyAlignment="1" applyProtection="1">
      <alignment horizontal="right"/>
      <protection hidden="1"/>
    </xf>
    <xf numFmtId="166" fontId="5" fillId="5" borderId="0" xfId="5" applyNumberFormat="1" applyFill="1" applyProtection="1">
      <protection hidden="1"/>
    </xf>
    <xf numFmtId="166" fontId="6" fillId="5" borderId="9" xfId="5" applyNumberFormat="1" applyFont="1" applyFill="1" applyBorder="1" applyProtection="1">
      <protection hidden="1"/>
    </xf>
    <xf numFmtId="166" fontId="6" fillId="5" borderId="0" xfId="5" applyNumberFormat="1" applyFont="1" applyFill="1" applyProtection="1">
      <protection hidden="1"/>
    </xf>
    <xf numFmtId="2" fontId="5" fillId="10" borderId="8" xfId="5" applyNumberFormat="1" applyFill="1" applyBorder="1" applyProtection="1">
      <protection locked="0"/>
    </xf>
    <xf numFmtId="164" fontId="5" fillId="6" borderId="8" xfId="5" applyNumberFormat="1" applyFill="1" applyBorder="1"/>
    <xf numFmtId="0" fontId="6" fillId="13" borderId="7" xfId="5" applyFont="1" applyFill="1" applyBorder="1"/>
    <xf numFmtId="0" fontId="6" fillId="13" borderId="0" xfId="5" applyFont="1" applyFill="1"/>
    <xf numFmtId="0" fontId="6" fillId="13" borderId="7" xfId="5" applyFont="1" applyFill="1" applyBorder="1" applyAlignment="1">
      <alignment vertical="center"/>
    </xf>
    <xf numFmtId="0" fontId="6" fillId="13" borderId="0" xfId="5" applyFont="1" applyFill="1" applyAlignment="1">
      <alignment vertical="center"/>
    </xf>
    <xf numFmtId="0" fontId="6" fillId="13" borderId="7" xfId="2" applyFont="1" applyFill="1" applyBorder="1"/>
    <xf numFmtId="0" fontId="6" fillId="13" borderId="0" xfId="2" applyFont="1" applyFill="1"/>
    <xf numFmtId="10" fontId="5" fillId="5" borderId="0" xfId="5" applyNumberFormat="1" applyFill="1" applyProtection="1">
      <protection hidden="1"/>
    </xf>
    <xf numFmtId="0" fontId="0" fillId="5" borderId="0" xfId="5" applyFont="1" applyFill="1" applyProtection="1">
      <protection hidden="1"/>
    </xf>
    <xf numFmtId="0" fontId="2" fillId="5" borderId="0" xfId="4" applyFont="1" applyFill="1" applyProtection="1">
      <protection hidden="1"/>
    </xf>
    <xf numFmtId="0" fontId="21" fillId="5" borderId="0" xfId="4" applyFont="1" applyFill="1" applyProtection="1">
      <protection hidden="1"/>
    </xf>
    <xf numFmtId="0" fontId="12" fillId="5" borderId="10" xfId="4" applyFont="1" applyFill="1" applyBorder="1"/>
    <xf numFmtId="0" fontId="22" fillId="5" borderId="12" xfId="4" applyFont="1" applyFill="1" applyBorder="1"/>
    <xf numFmtId="0" fontId="3" fillId="5" borderId="13" xfId="4" applyFill="1" applyBorder="1"/>
    <xf numFmtId="0" fontId="2" fillId="5" borderId="15" xfId="4" applyFont="1" applyFill="1" applyBorder="1" applyProtection="1">
      <protection hidden="1"/>
    </xf>
    <xf numFmtId="10" fontId="3" fillId="5" borderId="0" xfId="4" applyNumberFormat="1" applyFill="1" applyProtection="1">
      <protection hidden="1"/>
    </xf>
    <xf numFmtId="0" fontId="2" fillId="5" borderId="17" xfId="4" applyFont="1" applyFill="1" applyBorder="1" applyProtection="1">
      <protection hidden="1"/>
    </xf>
    <xf numFmtId="0" fontId="3" fillId="5" borderId="18" xfId="4" applyFill="1" applyBorder="1" applyProtection="1">
      <protection hidden="1"/>
    </xf>
    <xf numFmtId="10" fontId="3" fillId="5" borderId="18" xfId="4" applyNumberFormat="1" applyFill="1" applyBorder="1" applyProtection="1">
      <protection hidden="1"/>
    </xf>
    <xf numFmtId="0" fontId="2" fillId="5" borderId="12" xfId="4" applyFont="1" applyFill="1" applyBorder="1"/>
    <xf numFmtId="10" fontId="3" fillId="5" borderId="13" xfId="4" applyNumberFormat="1" applyFill="1" applyBorder="1"/>
    <xf numFmtId="0" fontId="21" fillId="5" borderId="12" xfId="4" applyFont="1" applyFill="1" applyBorder="1"/>
    <xf numFmtId="0" fontId="21" fillId="5" borderId="13" xfId="4" applyFont="1" applyFill="1" applyBorder="1"/>
    <xf numFmtId="0" fontId="21" fillId="5" borderId="14" xfId="4" applyFont="1" applyFill="1" applyBorder="1"/>
    <xf numFmtId="2" fontId="3" fillId="5" borderId="12" xfId="4" applyNumberFormat="1" applyFill="1" applyBorder="1"/>
    <xf numFmtId="2" fontId="3" fillId="5" borderId="14" xfId="4" applyNumberFormat="1" applyFill="1" applyBorder="1"/>
    <xf numFmtId="2" fontId="3" fillId="5" borderId="15" xfId="4" applyNumberFormat="1" applyFill="1" applyBorder="1"/>
    <xf numFmtId="2" fontId="3" fillId="5" borderId="16" xfId="4" applyNumberFormat="1" applyFill="1" applyBorder="1"/>
    <xf numFmtId="2" fontId="3" fillId="5" borderId="17" xfId="4" applyNumberFormat="1" applyFill="1" applyBorder="1"/>
    <xf numFmtId="2" fontId="3" fillId="5" borderId="19" xfId="4" applyNumberFormat="1" applyFill="1" applyBorder="1"/>
    <xf numFmtId="0" fontId="7" fillId="5" borderId="0" xfId="1" applyFill="1" applyBorder="1" applyAlignment="1">
      <alignment vertical="center" wrapText="1"/>
    </xf>
    <xf numFmtId="0" fontId="21" fillId="5" borderId="10" xfId="4" applyFont="1" applyFill="1" applyBorder="1"/>
    <xf numFmtId="0" fontId="21" fillId="5" borderId="11" xfId="4" applyFont="1" applyFill="1" applyBorder="1"/>
    <xf numFmtId="0" fontId="3" fillId="5" borderId="11" xfId="4" applyFill="1" applyBorder="1"/>
    <xf numFmtId="4" fontId="3" fillId="5" borderId="11" xfId="4" applyNumberFormat="1" applyFill="1" applyBorder="1"/>
    <xf numFmtId="4" fontId="5" fillId="10" borderId="3" xfId="5" applyNumberFormat="1" applyFill="1" applyBorder="1" applyProtection="1">
      <protection locked="0"/>
    </xf>
    <xf numFmtId="0" fontId="20" fillId="5" borderId="0" xfId="1" applyFont="1" applyFill="1" applyBorder="1" applyAlignment="1">
      <alignment horizontal="left"/>
    </xf>
    <xf numFmtId="2" fontId="5" fillId="10" borderId="6" xfId="2" applyNumberFormat="1" applyFont="1" applyFill="1" applyBorder="1" applyProtection="1">
      <protection locked="0"/>
    </xf>
    <xf numFmtId="10" fontId="5" fillId="11" borderId="9" xfId="2" applyNumberFormat="1" applyFont="1" applyFill="1" applyBorder="1" applyProtection="1">
      <protection locked="0"/>
    </xf>
    <xf numFmtId="166" fontId="5" fillId="10" borderId="8" xfId="2" applyNumberFormat="1" applyFont="1" applyFill="1" applyBorder="1" applyProtection="1">
      <protection locked="0"/>
    </xf>
    <xf numFmtId="166" fontId="0" fillId="0" borderId="0" xfId="2" quotePrefix="1" applyNumberFormat="1" applyFont="1" applyProtection="1">
      <protection hidden="1"/>
    </xf>
    <xf numFmtId="15" fontId="9" fillId="10" borderId="8" xfId="2" applyNumberFormat="1" applyFill="1" applyBorder="1" applyProtection="1">
      <protection locked="0"/>
    </xf>
    <xf numFmtId="15" fontId="5" fillId="10" borderId="8" xfId="2" applyNumberFormat="1" applyFont="1" applyFill="1" applyBorder="1" applyProtection="1">
      <protection locked="0"/>
    </xf>
    <xf numFmtId="15" fontId="0" fillId="10" borderId="8" xfId="2" applyNumberFormat="1" applyFont="1" applyFill="1" applyBorder="1" applyProtection="1">
      <protection locked="0"/>
    </xf>
    <xf numFmtId="10" fontId="3" fillId="5" borderId="0" xfId="4" applyNumberFormat="1" applyFill="1"/>
    <xf numFmtId="0" fontId="1" fillId="5" borderId="15" xfId="4" applyFont="1" applyFill="1" applyBorder="1"/>
    <xf numFmtId="0" fontId="12" fillId="14" borderId="12" xfId="0" applyFont="1" applyFill="1" applyBorder="1"/>
    <xf numFmtId="0" fontId="12" fillId="14" borderId="13" xfId="0" applyFont="1" applyFill="1" applyBorder="1"/>
    <xf numFmtId="0" fontId="12" fillId="14" borderId="14" xfId="0" applyFont="1" applyFill="1" applyBorder="1"/>
    <xf numFmtId="167" fontId="12" fillId="14" borderId="17" xfId="0" applyNumberFormat="1" applyFont="1" applyFill="1" applyBorder="1"/>
    <xf numFmtId="167" fontId="12" fillId="14" borderId="18" xfId="0" applyNumberFormat="1" applyFont="1" applyFill="1" applyBorder="1"/>
    <xf numFmtId="167" fontId="12" fillId="14" borderId="19" xfId="0" applyNumberFormat="1" applyFont="1" applyFill="1" applyBorder="1"/>
    <xf numFmtId="0" fontId="0" fillId="9" borderId="15" xfId="0" applyFill="1" applyBorder="1"/>
    <xf numFmtId="0" fontId="12" fillId="9" borderId="12" xfId="0" applyFont="1" applyFill="1" applyBorder="1"/>
    <xf numFmtId="0" fontId="12" fillId="9" borderId="13" xfId="0" applyFont="1" applyFill="1" applyBorder="1"/>
    <xf numFmtId="0" fontId="12" fillId="9" borderId="13" xfId="0" applyFont="1" applyFill="1" applyBorder="1" applyAlignment="1">
      <alignment horizontal="left"/>
    </xf>
    <xf numFmtId="0" fontId="12" fillId="9" borderId="15" xfId="0" applyFont="1" applyFill="1" applyBorder="1"/>
    <xf numFmtId="0" fontId="12" fillId="9" borderId="0" xfId="0" applyFont="1" applyFill="1"/>
    <xf numFmtId="167" fontId="0" fillId="14" borderId="15" xfId="0" applyNumberFormat="1" applyFill="1" applyBorder="1"/>
    <xf numFmtId="167" fontId="0" fillId="14" borderId="16" xfId="0" applyNumberFormat="1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0" xfId="0" applyFill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6" fillId="15" borderId="12" xfId="0" applyFont="1" applyFill="1" applyBorder="1"/>
    <xf numFmtId="0" fontId="0" fillId="15" borderId="13" xfId="0" applyFill="1" applyBorder="1"/>
    <xf numFmtId="0" fontId="0" fillId="15" borderId="14" xfId="0" applyFill="1" applyBorder="1"/>
    <xf numFmtId="0" fontId="6" fillId="15" borderId="17" xfId="0" applyFont="1" applyFill="1" applyBorder="1"/>
    <xf numFmtId="0" fontId="6" fillId="15" borderId="18" xfId="0" applyFont="1" applyFill="1" applyBorder="1"/>
    <xf numFmtId="0" fontId="6" fillId="15" borderId="19" xfId="0" applyFont="1" applyFill="1" applyBorder="1"/>
    <xf numFmtId="167" fontId="0" fillId="14" borderId="12" xfId="0" applyNumberFormat="1" applyFill="1" applyBorder="1"/>
    <xf numFmtId="167" fontId="0" fillId="14" borderId="13" xfId="0" applyNumberFormat="1" applyFill="1" applyBorder="1"/>
    <xf numFmtId="167" fontId="0" fillId="14" borderId="14" xfId="0" applyNumberFormat="1" applyFill="1" applyBorder="1"/>
    <xf numFmtId="167" fontId="0" fillId="14" borderId="0" xfId="0" applyNumberFormat="1" applyFill="1"/>
    <xf numFmtId="167" fontId="0" fillId="14" borderId="17" xfId="0" applyNumberFormat="1" applyFill="1" applyBorder="1"/>
    <xf numFmtId="167" fontId="0" fillId="14" borderId="18" xfId="0" applyNumberFormat="1" applyFill="1" applyBorder="1"/>
    <xf numFmtId="167" fontId="0" fillId="14" borderId="19" xfId="0" applyNumberFormat="1" applyFill="1" applyBorder="1"/>
    <xf numFmtId="10" fontId="0" fillId="15" borderId="12" xfId="0" applyNumberFormat="1" applyFill="1" applyBorder="1"/>
    <xf numFmtId="10" fontId="0" fillId="15" borderId="13" xfId="0" applyNumberFormat="1" applyFill="1" applyBorder="1"/>
    <xf numFmtId="10" fontId="0" fillId="15" borderId="14" xfId="0" applyNumberFormat="1" applyFill="1" applyBorder="1"/>
    <xf numFmtId="10" fontId="0" fillId="15" borderId="15" xfId="0" applyNumberFormat="1" applyFill="1" applyBorder="1"/>
    <xf numFmtId="10" fontId="0" fillId="15" borderId="0" xfId="0" applyNumberFormat="1" applyFill="1"/>
    <xf numFmtId="10" fontId="0" fillId="15" borderId="16" xfId="0" applyNumberFormat="1" applyFill="1" applyBorder="1"/>
    <xf numFmtId="10" fontId="0" fillId="15" borderId="17" xfId="0" applyNumberFormat="1" applyFill="1" applyBorder="1"/>
    <xf numFmtId="10" fontId="0" fillId="15" borderId="18" xfId="0" applyNumberFormat="1" applyFill="1" applyBorder="1"/>
    <xf numFmtId="10" fontId="0" fillId="15" borderId="19" xfId="0" applyNumberFormat="1" applyFill="1" applyBorder="1"/>
    <xf numFmtId="0" fontId="6" fillId="5" borderId="9" xfId="5" applyFont="1" applyFill="1" applyBorder="1" applyAlignment="1" applyProtection="1">
      <alignment horizontal="center"/>
      <protection hidden="1"/>
    </xf>
    <xf numFmtId="0" fontId="0" fillId="5" borderId="1" xfId="5" applyFont="1" applyFill="1" applyBorder="1" applyAlignment="1" applyProtection="1">
      <alignment horizontal="center"/>
      <protection hidden="1"/>
    </xf>
    <xf numFmtId="0" fontId="0" fillId="5" borderId="2" xfId="5" applyFont="1" applyFill="1" applyBorder="1" applyAlignment="1" applyProtection="1">
      <alignment horizontal="center"/>
      <protection hidden="1"/>
    </xf>
    <xf numFmtId="0" fontId="0" fillId="5" borderId="3" xfId="5" applyFont="1" applyFill="1" applyBorder="1" applyAlignment="1" applyProtection="1">
      <alignment horizontal="center"/>
      <protection hidden="1"/>
    </xf>
    <xf numFmtId="0" fontId="0" fillId="5" borderId="4" xfId="5" applyFont="1" applyFill="1" applyBorder="1" applyAlignment="1" applyProtection="1">
      <alignment horizontal="center"/>
      <protection hidden="1"/>
    </xf>
    <xf numFmtId="0" fontId="0" fillId="5" borderId="5" xfId="5" applyFont="1" applyFill="1" applyBorder="1" applyAlignment="1" applyProtection="1">
      <alignment horizontal="center"/>
      <protection hidden="1"/>
    </xf>
    <xf numFmtId="0" fontId="0" fillId="5" borderId="6" xfId="5" applyFont="1" applyFill="1" applyBorder="1" applyAlignment="1" applyProtection="1">
      <alignment horizontal="center"/>
      <protection hidden="1"/>
    </xf>
    <xf numFmtId="0" fontId="0" fillId="5" borderId="1" xfId="5" applyFont="1" applyFill="1" applyBorder="1" applyAlignment="1">
      <alignment horizontal="center"/>
    </xf>
    <xf numFmtId="0" fontId="0" fillId="5" borderId="2" xfId="5" applyFont="1" applyFill="1" applyBorder="1" applyAlignment="1">
      <alignment horizontal="center"/>
    </xf>
    <xf numFmtId="0" fontId="0" fillId="5" borderId="3" xfId="5" applyFont="1" applyFill="1" applyBorder="1" applyAlignment="1">
      <alignment horizontal="center"/>
    </xf>
    <xf numFmtId="0" fontId="0" fillId="5" borderId="4" xfId="5" applyFont="1" applyFill="1" applyBorder="1" applyAlignment="1">
      <alignment horizontal="center"/>
    </xf>
    <xf numFmtId="0" fontId="0" fillId="5" borderId="5" xfId="5" applyFont="1" applyFill="1" applyBorder="1" applyAlignment="1">
      <alignment horizontal="center"/>
    </xf>
    <xf numFmtId="0" fontId="0" fillId="5" borderId="6" xfId="5" applyFont="1" applyFill="1" applyBorder="1" applyAlignment="1">
      <alignment horizontal="center"/>
    </xf>
    <xf numFmtId="0" fontId="20" fillId="5" borderId="0" xfId="1" applyFont="1" applyFill="1" applyBorder="1" applyAlignment="1">
      <alignment horizontal="left"/>
    </xf>
    <xf numFmtId="0" fontId="16" fillId="8" borderId="1" xfId="4" applyFont="1" applyFill="1" applyBorder="1" applyAlignment="1">
      <alignment horizontal="center" vertical="center" wrapText="1"/>
    </xf>
    <xf numFmtId="0" fontId="16" fillId="8" borderId="2" xfId="4" applyFont="1" applyFill="1" applyBorder="1" applyAlignment="1">
      <alignment horizontal="center" vertical="center" wrapText="1"/>
    </xf>
    <xf numFmtId="0" fontId="16" fillId="8" borderId="3" xfId="4" applyFont="1" applyFill="1" applyBorder="1" applyAlignment="1">
      <alignment horizontal="center" vertical="center" wrapText="1"/>
    </xf>
    <xf numFmtId="0" fontId="16" fillId="8" borderId="7" xfId="4" applyFont="1" applyFill="1" applyBorder="1" applyAlignment="1">
      <alignment horizontal="center" vertical="center" wrapText="1"/>
    </xf>
    <xf numFmtId="0" fontId="16" fillId="8" borderId="0" xfId="4" applyFont="1" applyFill="1" applyAlignment="1">
      <alignment horizontal="center" vertical="center" wrapText="1"/>
    </xf>
    <xf numFmtId="0" fontId="16" fillId="8" borderId="8" xfId="4" applyFont="1" applyFill="1" applyBorder="1" applyAlignment="1">
      <alignment horizontal="center" vertical="center" wrapText="1"/>
    </xf>
    <xf numFmtId="0" fontId="16" fillId="8" borderId="4" xfId="4" applyFont="1" applyFill="1" applyBorder="1" applyAlignment="1">
      <alignment horizontal="center" vertical="center" wrapText="1"/>
    </xf>
    <xf numFmtId="0" fontId="16" fillId="8" borderId="5" xfId="4" applyFont="1" applyFill="1" applyBorder="1" applyAlignment="1">
      <alignment horizontal="center" vertical="center" wrapText="1"/>
    </xf>
    <xf numFmtId="0" fontId="16" fillId="8" borderId="6" xfId="4" applyFont="1" applyFill="1" applyBorder="1" applyAlignment="1">
      <alignment horizontal="center" vertical="center" wrapText="1"/>
    </xf>
    <xf numFmtId="0" fontId="14" fillId="4" borderId="0" xfId="4" applyFont="1" applyFill="1" applyAlignment="1">
      <alignment horizontal="center" vertical="center"/>
    </xf>
    <xf numFmtId="0" fontId="15" fillId="4" borderId="0" xfId="4" applyFont="1" applyFill="1" applyAlignment="1">
      <alignment horizontal="center"/>
    </xf>
    <xf numFmtId="0" fontId="12" fillId="6" borderId="1" xfId="4" applyFont="1" applyFill="1" applyBorder="1" applyAlignment="1">
      <alignment horizontal="center" vertical="center"/>
    </xf>
    <xf numFmtId="0" fontId="12" fillId="6" borderId="3" xfId="4" applyFont="1" applyFill="1" applyBorder="1" applyAlignment="1">
      <alignment horizontal="center" vertical="center"/>
    </xf>
    <xf numFmtId="0" fontId="12" fillId="6" borderId="4" xfId="4" applyFont="1" applyFill="1" applyBorder="1" applyAlignment="1">
      <alignment horizontal="center" vertical="center"/>
    </xf>
    <xf numFmtId="0" fontId="12" fillId="6" borderId="6" xfId="4" applyFont="1" applyFill="1" applyBorder="1" applyAlignment="1">
      <alignment horizontal="center" vertical="center"/>
    </xf>
    <xf numFmtId="0" fontId="12" fillId="7" borderId="1" xfId="4" applyFont="1" applyFill="1" applyBorder="1" applyAlignment="1">
      <alignment horizontal="center" vertical="center"/>
    </xf>
    <xf numFmtId="0" fontId="12" fillId="7" borderId="2" xfId="4" applyFont="1" applyFill="1" applyBorder="1" applyAlignment="1">
      <alignment horizontal="center" vertical="center"/>
    </xf>
    <xf numFmtId="0" fontId="12" fillId="7" borderId="3" xfId="4" applyFont="1" applyFill="1" applyBorder="1" applyAlignment="1">
      <alignment horizontal="center" vertical="center"/>
    </xf>
    <xf numFmtId="0" fontId="12" fillId="7" borderId="4" xfId="4" applyFont="1" applyFill="1" applyBorder="1" applyAlignment="1">
      <alignment horizontal="center" vertical="center"/>
    </xf>
    <xf numFmtId="0" fontId="12" fillId="7" borderId="5" xfId="4" applyFont="1" applyFill="1" applyBorder="1" applyAlignment="1">
      <alignment horizontal="center" vertical="center"/>
    </xf>
    <xf numFmtId="0" fontId="12" fillId="7" borderId="6" xfId="4" applyFont="1" applyFill="1" applyBorder="1" applyAlignment="1">
      <alignment horizontal="center" vertical="center"/>
    </xf>
    <xf numFmtId="0" fontId="12" fillId="8" borderId="1" xfId="4" applyFont="1" applyFill="1" applyBorder="1" applyAlignment="1">
      <alignment horizontal="center" vertical="center"/>
    </xf>
    <xf numFmtId="0" fontId="12" fillId="8" borderId="2" xfId="4" applyFont="1" applyFill="1" applyBorder="1" applyAlignment="1">
      <alignment horizontal="center" vertical="center"/>
    </xf>
    <xf numFmtId="0" fontId="12" fillId="8" borderId="3" xfId="4" applyFont="1" applyFill="1" applyBorder="1" applyAlignment="1">
      <alignment horizontal="center" vertical="center"/>
    </xf>
    <xf numFmtId="0" fontId="12" fillId="8" borderId="4" xfId="4" applyFont="1" applyFill="1" applyBorder="1" applyAlignment="1">
      <alignment horizontal="center" vertical="center"/>
    </xf>
    <xf numFmtId="0" fontId="12" fillId="8" borderId="5" xfId="4" applyFont="1" applyFill="1" applyBorder="1" applyAlignment="1">
      <alignment horizontal="center" vertical="center"/>
    </xf>
    <xf numFmtId="0" fontId="12" fillId="8" borderId="6" xfId="4" applyFont="1" applyFill="1" applyBorder="1" applyAlignment="1">
      <alignment horizontal="center" vertical="center"/>
    </xf>
    <xf numFmtId="0" fontId="12" fillId="5" borderId="12" xfId="4" applyFont="1" applyFill="1" applyBorder="1" applyAlignment="1">
      <alignment horizontal="center"/>
    </xf>
    <xf numFmtId="0" fontId="12" fillId="5" borderId="14" xfId="4" applyFont="1" applyFill="1" applyBorder="1" applyAlignment="1">
      <alignment horizontal="center"/>
    </xf>
    <xf numFmtId="0" fontId="12" fillId="12" borderId="1" xfId="4" applyFont="1" applyFill="1" applyBorder="1" applyAlignment="1">
      <alignment horizontal="center" vertical="center"/>
    </xf>
    <xf numFmtId="0" fontId="12" fillId="12" borderId="2" xfId="4" applyFont="1" applyFill="1" applyBorder="1" applyAlignment="1">
      <alignment horizontal="center" vertical="center"/>
    </xf>
    <xf numFmtId="0" fontId="12" fillId="12" borderId="3" xfId="4" applyFont="1" applyFill="1" applyBorder="1" applyAlignment="1">
      <alignment horizontal="center" vertical="center"/>
    </xf>
    <xf numFmtId="0" fontId="12" fillId="12" borderId="4" xfId="4" applyFont="1" applyFill="1" applyBorder="1" applyAlignment="1">
      <alignment horizontal="center" vertical="center"/>
    </xf>
    <xf numFmtId="0" fontId="12" fillId="12" borderId="5" xfId="4" applyFont="1" applyFill="1" applyBorder="1" applyAlignment="1">
      <alignment horizontal="center" vertical="center"/>
    </xf>
    <xf numFmtId="0" fontId="12" fillId="12" borderId="6" xfId="4" applyFont="1" applyFill="1" applyBorder="1" applyAlignment="1">
      <alignment horizontal="center" vertical="center"/>
    </xf>
    <xf numFmtId="0" fontId="0" fillId="5" borderId="0" xfId="0" applyFill="1" applyAlignment="1">
      <alignment horizontal="left" wrapText="1"/>
    </xf>
    <xf numFmtId="0" fontId="12" fillId="5" borderId="13" xfId="4" applyFont="1" applyFill="1" applyBorder="1" applyAlignment="1">
      <alignment horizontal="center"/>
    </xf>
    <xf numFmtId="0" fontId="20" fillId="5" borderId="7" xfId="1" applyFont="1" applyFill="1" applyBorder="1" applyAlignment="1">
      <alignment horizontal="left" vertical="center" wrapText="1"/>
    </xf>
    <xf numFmtId="0" fontId="20" fillId="5" borderId="0" xfId="1" applyFont="1" applyFill="1" applyBorder="1" applyAlignment="1">
      <alignment horizontal="left" vertical="center" wrapText="1"/>
    </xf>
    <xf numFmtId="0" fontId="13" fillId="8" borderId="1" xfId="4" applyFont="1" applyFill="1" applyBorder="1" applyAlignment="1">
      <alignment horizontal="center" vertical="center" wrapText="1"/>
    </xf>
    <xf numFmtId="0" fontId="13" fillId="8" borderId="2" xfId="4" applyFont="1" applyFill="1" applyBorder="1" applyAlignment="1">
      <alignment horizontal="center" vertical="center" wrapText="1"/>
    </xf>
    <xf numFmtId="0" fontId="13" fillId="8" borderId="3" xfId="4" applyFont="1" applyFill="1" applyBorder="1" applyAlignment="1">
      <alignment horizontal="center" vertical="center" wrapText="1"/>
    </xf>
    <xf numFmtId="0" fontId="13" fillId="8" borderId="7" xfId="4" applyFont="1" applyFill="1" applyBorder="1" applyAlignment="1">
      <alignment horizontal="center" vertical="center" wrapText="1"/>
    </xf>
    <xf numFmtId="0" fontId="13" fillId="8" borderId="0" xfId="4" applyFont="1" applyFill="1" applyAlignment="1">
      <alignment horizontal="center" vertical="center" wrapText="1"/>
    </xf>
    <xf numFmtId="0" fontId="13" fillId="8" borderId="8" xfId="4" applyFont="1" applyFill="1" applyBorder="1" applyAlignment="1">
      <alignment horizontal="center" vertical="center" wrapText="1"/>
    </xf>
    <xf numFmtId="0" fontId="13" fillId="8" borderId="4" xfId="4" applyFont="1" applyFill="1" applyBorder="1" applyAlignment="1">
      <alignment horizontal="center" vertical="center" wrapText="1"/>
    </xf>
    <xf numFmtId="0" fontId="13" fillId="8" borderId="5" xfId="4" applyFont="1" applyFill="1" applyBorder="1" applyAlignment="1">
      <alignment horizontal="center" vertical="center" wrapText="1"/>
    </xf>
    <xf numFmtId="0" fontId="13" fillId="8" borderId="6" xfId="4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2" xr:uid="{00000000-0005-0000-0000-000002000000}"/>
    <cellStyle name="Normal 2 2" xfId="5" xr:uid="{00000000-0005-0000-0000-000003000000}"/>
    <cellStyle name="Normal 3" xfId="3" xr:uid="{00000000-0005-0000-0000-000004000000}"/>
    <cellStyle name="Normal 4" xfId="4" xr:uid="{00000000-0005-0000-0000-000005000000}"/>
  </cellStyles>
  <dxfs count="2"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637761</xdr:colOff>
      <xdr:row>4</xdr:row>
      <xdr:rowOff>139147</xdr:rowOff>
    </xdr:from>
    <xdr:ext cx="4076699" cy="2677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B2A170F-8C8D-48CE-B39A-AFA22E9BD3A6}"/>
                </a:ext>
              </a:extLst>
            </xdr:cNvPr>
            <xdr:cNvSpPr txBox="1"/>
          </xdr:nvSpPr>
          <xdr:spPr>
            <a:xfrm>
              <a:off x="10626587" y="942560"/>
              <a:ext cx="4076699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/>
                      </a:rPr>
                      <m:t>𝐴</m:t>
                    </m:r>
                    <m:r>
                      <a:rPr lang="en-GB" sz="1100" b="0" i="1">
                        <a:latin typeface="Cambria Math"/>
                      </a:rPr>
                      <m:t>    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      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𝐵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                     =                                                      </m:t>
                    </m:r>
                    <m:r>
                      <a:rPr lang="en-GB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B2A170F-8C8D-48CE-B39A-AFA22E9BD3A6}"/>
                </a:ext>
              </a:extLst>
            </xdr:cNvPr>
            <xdr:cNvSpPr txBox="1"/>
          </xdr:nvSpPr>
          <xdr:spPr>
            <a:xfrm>
              <a:off x="10626587" y="942560"/>
              <a:ext cx="4076699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GB" sz="1100" i="0">
                  <a:latin typeface="Cambria Math"/>
                </a:rPr>
                <a:t>𝐴</a:t>
              </a:r>
              <a:r>
                <a:rPr lang="en-GB" sz="1100" b="0" i="0">
                  <a:latin typeface="Cambria Math"/>
                </a:rPr>
                <a:t>     </a:t>
              </a:r>
              <a:r>
                <a:rPr lang="en-GB" sz="1100" b="0" i="0">
                  <a:latin typeface="Cambria Math" panose="02040503050406030204" pitchFamily="18" charset="0"/>
                </a:rPr>
                <a:t>+</a:t>
              </a:r>
              <a:r>
                <a:rPr lang="en-GB" sz="1100" b="0" i="0">
                  <a:latin typeface="Cambria Math"/>
                  <a:ea typeface="Cambria Math"/>
                </a:rPr>
                <a:t>      𝐵                     =                        </a:t>
              </a:r>
              <a:r>
                <a:rPr lang="en-GB" sz="1100" b="0" i="0">
                  <a:latin typeface="Cambria Math" panose="02040503050406030204" pitchFamily="18" charset="0"/>
                  <a:ea typeface="Cambria Math"/>
                </a:rPr>
                <a:t>                              </a:t>
              </a:r>
              <a:r>
                <a:rPr lang="en-GB" sz="1100" b="0" i="0">
                  <a:latin typeface="Cambria Math"/>
                </a:rPr>
                <a:t>𝐶</a:t>
              </a:r>
              <a:endParaRPr lang="en-GB" sz="1100"/>
            </a:p>
          </xdr:txBody>
        </xdr:sp>
      </mc:Fallback>
    </mc:AlternateContent>
    <xdr:clientData/>
  </xdr:oneCellAnchor>
  <xdr:twoCellAnchor editAs="oneCell">
    <xdr:from>
      <xdr:col>23</xdr:col>
      <xdr:colOff>598608</xdr:colOff>
      <xdr:row>17</xdr:row>
      <xdr:rowOff>2525</xdr:rowOff>
    </xdr:from>
    <xdr:to>
      <xdr:col>31</xdr:col>
      <xdr:colOff>745436</xdr:colOff>
      <xdr:row>34</xdr:row>
      <xdr:rowOff>103456</xdr:rowOff>
    </xdr:to>
    <xdr:pic>
      <xdr:nvPicPr>
        <xdr:cNvPr id="5" name="Picture 4" descr="Image result for normal distribution">
          <a:extLst>
            <a:ext uri="{FF2B5EF4-FFF2-40B4-BE49-F238E27FC236}">
              <a16:creationId xmlns:a16="http://schemas.microsoft.com/office/drawing/2014/main" id="{F4F110CA-4E37-4118-B515-786B3D265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7651" y="3323851"/>
          <a:ext cx="6333937" cy="314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57150</xdr:colOff>
      <xdr:row>17</xdr:row>
      <xdr:rowOff>76200</xdr:rowOff>
    </xdr:from>
    <xdr:to>
      <xdr:col>49</xdr:col>
      <xdr:colOff>742761</xdr:colOff>
      <xdr:row>34</xdr:row>
      <xdr:rowOff>72356</xdr:rowOff>
    </xdr:to>
    <xdr:pic>
      <xdr:nvPicPr>
        <xdr:cNvPr id="2" name="Picture 1" descr="Image result for normal distribution">
          <a:extLst>
            <a:ext uri="{FF2B5EF4-FFF2-40B4-BE49-F238E27FC236}">
              <a16:creationId xmlns:a16="http://schemas.microsoft.com/office/drawing/2014/main" id="{9680BA5F-3A96-4944-9665-238CE44F6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3028950"/>
          <a:ext cx="6333937" cy="314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57150</xdr:colOff>
      <xdr:row>14</xdr:row>
      <xdr:rowOff>9525</xdr:rowOff>
    </xdr:from>
    <xdr:to>
      <xdr:col>62</xdr:col>
      <xdr:colOff>780861</xdr:colOff>
      <xdr:row>32</xdr:row>
      <xdr:rowOff>15206</xdr:rowOff>
    </xdr:to>
    <xdr:pic>
      <xdr:nvPicPr>
        <xdr:cNvPr id="2" name="Picture 1" descr="Image result for normal distribution">
          <a:extLst>
            <a:ext uri="{FF2B5EF4-FFF2-40B4-BE49-F238E27FC236}">
              <a16:creationId xmlns:a16="http://schemas.microsoft.com/office/drawing/2014/main" id="{EFA39657-F0C2-417A-8732-46692CF00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314575"/>
          <a:ext cx="6333937" cy="314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reasury.gov/resource-center/data-chart-center/interest-rates/Pages/TextView.aspx?data=yield" TargetMode="External"/><Relationship Id="rId3" Type="http://schemas.openxmlformats.org/officeDocument/2006/relationships/hyperlink" Target="http://www.euronext.com/" TargetMode="External"/><Relationship Id="rId7" Type="http://schemas.openxmlformats.org/officeDocument/2006/relationships/hyperlink" Target="http://www.dividend.com/" TargetMode="External"/><Relationship Id="rId2" Type="http://schemas.openxmlformats.org/officeDocument/2006/relationships/hyperlink" Target="http://www.nasdaqtrader.com/" TargetMode="External"/><Relationship Id="rId1" Type="http://schemas.openxmlformats.org/officeDocument/2006/relationships/hyperlink" Target="http://www.cboe.com/" TargetMode="External"/><Relationship Id="rId6" Type="http://schemas.openxmlformats.org/officeDocument/2006/relationships/hyperlink" Target="http://finance.yahoo.com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://www.cboe.com/products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://nasdaq.com/options" TargetMode="External"/><Relationship Id="rId9" Type="http://schemas.openxmlformats.org/officeDocument/2006/relationships/hyperlink" Target="https://www.nasdaq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vidend.com/" TargetMode="External"/><Relationship Id="rId3" Type="http://schemas.openxmlformats.org/officeDocument/2006/relationships/hyperlink" Target="http://www.euronext.com/" TargetMode="External"/><Relationship Id="rId7" Type="http://schemas.openxmlformats.org/officeDocument/2006/relationships/hyperlink" Target="http://nasdaq.com/" TargetMode="External"/><Relationship Id="rId2" Type="http://schemas.openxmlformats.org/officeDocument/2006/relationships/hyperlink" Target="http://www.nasdaqtrader.com/" TargetMode="External"/><Relationship Id="rId1" Type="http://schemas.openxmlformats.org/officeDocument/2006/relationships/hyperlink" Target="http://www.cboe.com/" TargetMode="External"/><Relationship Id="rId6" Type="http://schemas.openxmlformats.org/officeDocument/2006/relationships/hyperlink" Target="http://finance.yahoo.com/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://www.cboe.com/products/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://nasdaq.com/options" TargetMode="External"/><Relationship Id="rId9" Type="http://schemas.openxmlformats.org/officeDocument/2006/relationships/hyperlink" Target="http://www.treasury.gov/resource-center/data-chart-center/interest-rates/Pages/TextView.aspx?data=yield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vidend.com/" TargetMode="External"/><Relationship Id="rId3" Type="http://schemas.openxmlformats.org/officeDocument/2006/relationships/hyperlink" Target="http://www.euronext.com/" TargetMode="External"/><Relationship Id="rId7" Type="http://schemas.openxmlformats.org/officeDocument/2006/relationships/hyperlink" Target="http://nasdaq.com/" TargetMode="External"/><Relationship Id="rId2" Type="http://schemas.openxmlformats.org/officeDocument/2006/relationships/hyperlink" Target="http://www.nasdaqtrader.com/" TargetMode="External"/><Relationship Id="rId1" Type="http://schemas.openxmlformats.org/officeDocument/2006/relationships/hyperlink" Target="http://www.cboe.com/" TargetMode="External"/><Relationship Id="rId6" Type="http://schemas.openxmlformats.org/officeDocument/2006/relationships/hyperlink" Target="http://finance.yahoo.com/" TargetMode="External"/><Relationship Id="rId11" Type="http://schemas.openxmlformats.org/officeDocument/2006/relationships/drawing" Target="../drawings/drawing3.xml"/><Relationship Id="rId5" Type="http://schemas.openxmlformats.org/officeDocument/2006/relationships/hyperlink" Target="http://www.cboe.com/products/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http://nasdaq.com/options" TargetMode="External"/><Relationship Id="rId9" Type="http://schemas.openxmlformats.org/officeDocument/2006/relationships/hyperlink" Target="http://www.treasury.gov/resource-center/data-chart-center/interest-rates/Pages/TextView.aspx?data=yiel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 tint="0.39997558519241921"/>
  </sheetPr>
  <dimension ref="A1:AF41"/>
  <sheetViews>
    <sheetView tabSelected="1" zoomScaleNormal="100" workbookViewId="0">
      <selection sqref="A1:K1"/>
    </sheetView>
  </sheetViews>
  <sheetFormatPr defaultColWidth="9.1328125" defaultRowHeight="14.25" x14ac:dyDescent="0.45"/>
  <cols>
    <col min="1" max="1" width="1.73046875" style="17" customWidth="1"/>
    <col min="2" max="2" width="21.86328125" style="17" customWidth="1"/>
    <col min="3" max="3" width="16.73046875" style="17" bestFit="1" customWidth="1"/>
    <col min="4" max="4" width="2.1328125" style="17" customWidth="1"/>
    <col min="5" max="5" width="8.59765625" style="17" customWidth="1"/>
    <col min="6" max="6" width="9.265625" style="17" customWidth="1"/>
    <col min="7" max="7" width="8.59765625" style="17" customWidth="1"/>
    <col min="8" max="8" width="2" style="17" customWidth="1"/>
    <col min="9" max="9" width="16.73046875" style="17" customWidth="1"/>
    <col min="10" max="10" width="20.265625" style="17" customWidth="1"/>
    <col min="11" max="11" width="19.1328125" style="17" customWidth="1"/>
    <col min="12" max="12" width="1.86328125" style="17" customWidth="1"/>
    <col min="13" max="13" width="14.59765625" style="17" customWidth="1"/>
    <col min="14" max="14" width="14.59765625" style="17" hidden="1" customWidth="1"/>
    <col min="15" max="15" width="14.59765625" style="5" hidden="1" customWidth="1"/>
    <col min="16" max="16" width="9.1328125" style="5" hidden="1" customWidth="1"/>
    <col min="17" max="17" width="12.1328125" style="5" hidden="1" customWidth="1"/>
    <col min="18" max="22" width="9.1328125" style="5" hidden="1" customWidth="1"/>
    <col min="23" max="23" width="0" style="5" hidden="1" customWidth="1"/>
    <col min="24" max="24" width="9.1328125" style="5"/>
    <col min="25" max="25" width="11.3984375" style="17" customWidth="1"/>
    <col min="26" max="27" width="9.1328125" style="17"/>
    <col min="28" max="28" width="16.1328125" style="17" customWidth="1"/>
    <col min="29" max="32" width="12.59765625" style="17" bestFit="1" customWidth="1"/>
    <col min="33" max="16384" width="9.1328125" style="17"/>
  </cols>
  <sheetData>
    <row r="1" spans="1:32" ht="27" customHeight="1" x14ac:dyDescent="0.45">
      <c r="A1" s="249" t="s">
        <v>38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Y1" s="226" t="s">
        <v>97</v>
      </c>
      <c r="Z1" s="226"/>
      <c r="AA1" s="226"/>
      <c r="AB1" s="226"/>
      <c r="AC1" s="226"/>
      <c r="AD1" s="226"/>
      <c r="AE1" s="226"/>
    </row>
    <row r="2" spans="1:32" x14ac:dyDescent="0.45">
      <c r="A2" s="250" t="s">
        <v>64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6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Y2" s="226"/>
      <c r="Z2" s="226"/>
      <c r="AA2" s="226"/>
      <c r="AB2" s="226"/>
      <c r="AC2" s="226"/>
      <c r="AD2" s="226"/>
      <c r="AE2" s="226"/>
    </row>
    <row r="3" spans="1:32" ht="7.5" customHeight="1" x14ac:dyDescent="0.45">
      <c r="A3" s="9"/>
      <c r="B3" s="10"/>
      <c r="C3" s="10"/>
      <c r="D3" s="11"/>
      <c r="E3" s="11"/>
      <c r="F3" s="11"/>
      <c r="G3" s="11"/>
      <c r="H3" s="11"/>
      <c r="I3" s="9"/>
      <c r="J3" s="10"/>
      <c r="K3" s="10"/>
      <c r="L3" s="11"/>
      <c r="M3" s="12"/>
      <c r="N3" s="12"/>
      <c r="O3" s="13"/>
      <c r="P3" s="13"/>
      <c r="Q3" s="13"/>
      <c r="R3" s="13"/>
      <c r="S3" s="13"/>
      <c r="T3" s="13"/>
      <c r="U3" s="13"/>
      <c r="V3" s="13"/>
      <c r="W3" s="13"/>
      <c r="Y3" s="227" t="s">
        <v>98</v>
      </c>
      <c r="Z3" s="228"/>
      <c r="AA3" s="228"/>
      <c r="AB3" s="229"/>
      <c r="AC3" s="233" t="s">
        <v>100</v>
      </c>
      <c r="AD3" s="234"/>
      <c r="AE3" s="235"/>
    </row>
    <row r="4" spans="1:32" ht="13.5" customHeight="1" x14ac:dyDescent="0.45">
      <c r="A4" s="9"/>
      <c r="B4" s="251" t="s">
        <v>39</v>
      </c>
      <c r="C4" s="252"/>
      <c r="D4" s="11"/>
      <c r="E4" s="255" t="s">
        <v>40</v>
      </c>
      <c r="F4" s="256"/>
      <c r="G4" s="257"/>
      <c r="H4" s="11"/>
      <c r="I4" s="261" t="s">
        <v>41</v>
      </c>
      <c r="J4" s="262"/>
      <c r="K4" s="263"/>
      <c r="L4" s="11"/>
      <c r="M4" s="12"/>
      <c r="N4" s="12"/>
      <c r="O4" s="13"/>
      <c r="P4" s="8"/>
      <c r="Q4" s="8"/>
      <c r="R4" s="8"/>
      <c r="S4" s="8"/>
      <c r="T4" s="8"/>
      <c r="U4" s="8"/>
      <c r="V4" s="8"/>
      <c r="W4" s="13"/>
      <c r="Y4" s="230"/>
      <c r="Z4" s="231"/>
      <c r="AA4" s="231"/>
      <c r="AB4" s="232"/>
      <c r="AC4" s="236"/>
      <c r="AD4" s="237"/>
      <c r="AE4" s="238"/>
    </row>
    <row r="5" spans="1:32" x14ac:dyDescent="0.45">
      <c r="A5" s="9"/>
      <c r="B5" s="253"/>
      <c r="C5" s="254"/>
      <c r="D5" s="11"/>
      <c r="E5" s="258"/>
      <c r="F5" s="259"/>
      <c r="G5" s="260"/>
      <c r="H5" s="11"/>
      <c r="I5" s="264"/>
      <c r="J5" s="265"/>
      <c r="K5" s="266"/>
      <c r="L5" s="11"/>
      <c r="M5" s="12"/>
      <c r="N5" s="12"/>
      <c r="O5" s="13"/>
      <c r="P5" s="8"/>
      <c r="Q5" s="8"/>
      <c r="R5" s="8"/>
      <c r="S5" s="8"/>
      <c r="T5" s="8"/>
      <c r="U5" s="8"/>
      <c r="V5" s="8"/>
      <c r="W5" s="13"/>
      <c r="Y5" s="116"/>
      <c r="Z5" s="123" t="s">
        <v>99</v>
      </c>
      <c r="AA5" s="124" t="s">
        <v>101</v>
      </c>
      <c r="AB5" s="117"/>
      <c r="AC5" s="117"/>
      <c r="AD5" s="124" t="s">
        <v>102</v>
      </c>
      <c r="AE5" s="118"/>
    </row>
    <row r="6" spans="1:32" ht="15" customHeight="1" x14ac:dyDescent="0.45">
      <c r="A6" s="9"/>
      <c r="B6" s="10"/>
      <c r="C6" s="10"/>
      <c r="D6" s="11"/>
      <c r="E6" s="11"/>
      <c r="F6" s="11"/>
      <c r="G6" s="11"/>
      <c r="H6" s="11"/>
      <c r="I6" s="11"/>
      <c r="J6" s="11"/>
      <c r="K6" s="11"/>
      <c r="L6" s="11"/>
      <c r="M6" s="12"/>
      <c r="N6" s="12"/>
      <c r="O6" s="13"/>
      <c r="P6" s="13"/>
      <c r="Q6" s="13"/>
      <c r="R6" s="13"/>
      <c r="S6" s="13"/>
      <c r="T6" s="13"/>
      <c r="U6" s="13"/>
      <c r="V6" s="13"/>
      <c r="W6" s="13"/>
      <c r="Y6" s="119"/>
      <c r="Z6" s="120"/>
      <c r="AA6" s="121"/>
      <c r="AB6" s="121"/>
      <c r="AC6" s="121"/>
      <c r="AD6" s="121"/>
      <c r="AE6" s="122"/>
    </row>
    <row r="7" spans="1:32" ht="15" customHeight="1" thickBot="1" x14ac:dyDescent="0.5">
      <c r="A7" s="9"/>
      <c r="B7" s="112" t="s">
        <v>0</v>
      </c>
      <c r="C7" s="171"/>
      <c r="D7" s="9"/>
      <c r="E7" s="14"/>
      <c r="F7" s="15" t="s">
        <v>42</v>
      </c>
      <c r="G7" s="16" t="s">
        <v>43</v>
      </c>
      <c r="H7" s="9"/>
      <c r="I7" s="240" t="s">
        <v>76</v>
      </c>
      <c r="J7" s="241"/>
      <c r="K7" s="242"/>
      <c r="L7" s="11"/>
      <c r="P7" s="18" t="s">
        <v>44</v>
      </c>
      <c r="Q7" s="18" t="s">
        <v>45</v>
      </c>
      <c r="R7" s="18" t="s">
        <v>46</v>
      </c>
    </row>
    <row r="8" spans="1:32" ht="14.65" thickBot="1" x14ac:dyDescent="0.5">
      <c r="A8" s="9"/>
      <c r="B8" s="113" t="s">
        <v>2</v>
      </c>
      <c r="C8" s="86"/>
      <c r="D8" s="20"/>
      <c r="E8" s="21" t="s">
        <v>47</v>
      </c>
      <c r="F8" s="22" t="e">
        <f ca="1">R10*R12</f>
        <v>#DIV/0!</v>
      </c>
      <c r="G8" s="23" t="e">
        <f ca="1">(R10-1)*R12</f>
        <v>#DIV/0!</v>
      </c>
      <c r="H8" s="9"/>
      <c r="I8" s="243"/>
      <c r="J8" s="244"/>
      <c r="K8" s="245"/>
      <c r="L8" s="9"/>
      <c r="P8" s="5" t="e">
        <f>LN(C7/C8)</f>
        <v>#DIV/0!</v>
      </c>
      <c r="Q8" s="5">
        <f ca="1">(C10-C11+POWER(C9,2)/2)*C15</f>
        <v>-0.61932876712328777</v>
      </c>
      <c r="R8" s="5" t="e">
        <f ca="1">C9*SQRT(C15)</f>
        <v>#NUM!</v>
      </c>
      <c r="Y8" s="147" t="s">
        <v>111</v>
      </c>
      <c r="Z8" s="169">
        <f>C7</f>
        <v>0</v>
      </c>
    </row>
    <row r="9" spans="1:32" ht="14.65" thickBot="1" x14ac:dyDescent="0.5">
      <c r="A9" s="9"/>
      <c r="B9" s="113" t="s">
        <v>66</v>
      </c>
      <c r="C9" s="83">
        <v>0.1</v>
      </c>
      <c r="D9" s="24"/>
      <c r="E9" s="21" t="s">
        <v>48</v>
      </c>
      <c r="F9" s="22" t="e">
        <f ca="1">(-(C7*EXP(-1*POWER(P10,2)/2)/SQRT(2*PI())*C9*R12/
(2*SQRT(C15)))-(C10*Q12*T10)+(C11*C7*R10*R12))/
365</f>
        <v>#DIV/0!</v>
      </c>
      <c r="G9" s="23" t="e">
        <f ca="1">(-(C7*EXP(-1*POWER(P10,2)/2)/SQRT(2*PI())*C9*R12/
(2*SQRT(C15)))+(C10*Q12*U10)-(C11*C7*S10*R12))/
365</f>
        <v>#DIV/0!</v>
      </c>
      <c r="H9" s="9"/>
      <c r="I9" s="243"/>
      <c r="J9" s="244"/>
      <c r="K9" s="245"/>
      <c r="L9" s="9"/>
      <c r="P9" s="18" t="s">
        <v>6</v>
      </c>
      <c r="Q9" s="18" t="s">
        <v>7</v>
      </c>
      <c r="R9" s="18" t="s">
        <v>49</v>
      </c>
      <c r="S9" s="25" t="s">
        <v>50</v>
      </c>
      <c r="T9" s="18" t="s">
        <v>51</v>
      </c>
      <c r="U9" s="18" t="s">
        <v>52</v>
      </c>
    </row>
    <row r="10" spans="1:32" ht="14.65" thickBot="1" x14ac:dyDescent="0.5">
      <c r="A10" s="9"/>
      <c r="B10" s="113" t="s">
        <v>3</v>
      </c>
      <c r="C10" s="50"/>
      <c r="D10" s="9"/>
      <c r="E10" s="21" t="s">
        <v>53</v>
      </c>
      <c r="F10" s="22" t="e">
        <f ca="1">EXP(-1*POWER(P10,2)/2)/SQRT(2*PI())*R12/(C7*R8)</f>
        <v>#DIV/0!</v>
      </c>
      <c r="G10" s="23"/>
      <c r="H10" s="9"/>
      <c r="I10" s="243"/>
      <c r="J10" s="244"/>
      <c r="K10" s="245"/>
      <c r="L10" s="9"/>
      <c r="P10" s="5" t="e">
        <f ca="1">(P8+Q8)/R8</f>
        <v>#DIV/0!</v>
      </c>
      <c r="Q10" s="5" t="e">
        <f ca="1">P10-R8</f>
        <v>#DIV/0!</v>
      </c>
      <c r="R10" s="5" t="e">
        <f ca="1">_xlfn.NORM.DIST(P10,0,1,TRUE)</f>
        <v>#DIV/0!</v>
      </c>
      <c r="S10" s="5" t="e">
        <f ca="1">_xlfn.NORM.DIST(-P10,0,1,TRUE)</f>
        <v>#DIV/0!</v>
      </c>
      <c r="T10" s="5" t="e">
        <f ca="1">_xlfn.NORM.DIST(Q10,0,1,TRUE)</f>
        <v>#DIV/0!</v>
      </c>
      <c r="U10" s="5" t="e">
        <f ca="1">_xlfn.NORM.DIST(-Q10,0,1,TRUE)</f>
        <v>#DIV/0!</v>
      </c>
      <c r="Y10" s="148" t="s">
        <v>103</v>
      </c>
      <c r="Z10" s="149"/>
      <c r="AA10" s="149"/>
      <c r="AB10" s="149"/>
      <c r="AC10" s="267" t="s">
        <v>114</v>
      </c>
      <c r="AD10" s="268"/>
      <c r="AE10" s="276" t="s">
        <v>115</v>
      </c>
      <c r="AF10" s="268"/>
    </row>
    <row r="11" spans="1:32" ht="14.65" thickBot="1" x14ac:dyDescent="0.5">
      <c r="A11" s="9"/>
      <c r="B11" s="113" t="s">
        <v>8</v>
      </c>
      <c r="C11" s="50"/>
      <c r="D11" s="9"/>
      <c r="E11" s="21" t="s">
        <v>54</v>
      </c>
      <c r="F11" s="22" t="e">
        <f ca="1">EXP(-1*POWER(P10,2)/2)/SQRT(2*PI())*R12*C7*SQRT(C15)/100</f>
        <v>#DIV/0!</v>
      </c>
      <c r="G11" s="23"/>
      <c r="H11" s="9"/>
      <c r="I11" s="243"/>
      <c r="J11" s="244"/>
      <c r="K11" s="245"/>
      <c r="L11" s="9"/>
      <c r="P11" s="18" t="s">
        <v>55</v>
      </c>
      <c r="Q11" s="18" t="s">
        <v>56</v>
      </c>
      <c r="R11" s="18" t="s">
        <v>57</v>
      </c>
      <c r="S11" s="18" t="s">
        <v>58</v>
      </c>
      <c r="Y11" s="157" t="s">
        <v>110</v>
      </c>
      <c r="Z11" s="149"/>
      <c r="AA11" s="149"/>
      <c r="AB11" s="158" t="s">
        <v>109</v>
      </c>
      <c r="AC11" s="157" t="s">
        <v>112</v>
      </c>
      <c r="AD11" s="159" t="s">
        <v>113</v>
      </c>
      <c r="AE11" s="158" t="s">
        <v>112</v>
      </c>
      <c r="AF11" s="159" t="s">
        <v>113</v>
      </c>
    </row>
    <row r="12" spans="1:32" s="5" customFormat="1" x14ac:dyDescent="0.45">
      <c r="A12" s="9"/>
      <c r="B12" s="113" t="s">
        <v>1</v>
      </c>
      <c r="C12" s="179"/>
      <c r="D12" s="9"/>
      <c r="E12" s="21" t="s">
        <v>59</v>
      </c>
      <c r="F12" s="22" t="e">
        <f ca="1">C8*C15*P12*T10/100</f>
        <v>#DIV/0!</v>
      </c>
      <c r="G12" s="23" t="e">
        <f ca="1">-C8*C15*P12*U10/100</f>
        <v>#DIV/0!</v>
      </c>
      <c r="H12" s="9"/>
      <c r="I12" s="243"/>
      <c r="J12" s="244"/>
      <c r="K12" s="245"/>
      <c r="L12" s="9"/>
      <c r="M12" s="17"/>
      <c r="N12" s="17"/>
      <c r="P12" s="5">
        <f ca="1">EXP(-C10*C15)</f>
        <v>1</v>
      </c>
      <c r="Q12" s="5">
        <f ca="1">C8*P12</f>
        <v>0</v>
      </c>
      <c r="R12" s="5">
        <f ca="1">EXP(-C11*C15)</f>
        <v>1</v>
      </c>
      <c r="S12" s="5">
        <f ca="1">C7*R12</f>
        <v>0</v>
      </c>
      <c r="Y12" s="155" t="s">
        <v>104</v>
      </c>
      <c r="Z12" s="149"/>
      <c r="AA12" s="149"/>
      <c r="AB12" s="156">
        <f>C9</f>
        <v>0.1</v>
      </c>
      <c r="AC12" s="160">
        <f>$Z$8*(1-AB12)</f>
        <v>0</v>
      </c>
      <c r="AD12" s="161">
        <f>$Z$8*(1+AB12)</f>
        <v>0</v>
      </c>
      <c r="AE12" s="160">
        <f>$Z$8*(1-2*AB12)</f>
        <v>0</v>
      </c>
      <c r="AF12" s="161">
        <f>$Z$8*(1+2*AB12)</f>
        <v>0</v>
      </c>
    </row>
    <row r="13" spans="1:32" s="5" customFormat="1" x14ac:dyDescent="0.45">
      <c r="A13" s="9"/>
      <c r="B13" s="139" t="s">
        <v>5</v>
      </c>
      <c r="C13" s="135"/>
      <c r="D13" s="9"/>
      <c r="E13" s="21"/>
      <c r="F13" s="22"/>
      <c r="G13" s="23"/>
      <c r="H13" s="9"/>
      <c r="I13" s="243"/>
      <c r="J13" s="244"/>
      <c r="K13" s="245"/>
      <c r="L13" s="9"/>
      <c r="M13" s="17"/>
      <c r="N13" s="17"/>
      <c r="Y13" s="181" t="s">
        <v>117</v>
      </c>
      <c r="Z13" s="17"/>
      <c r="AA13" s="17"/>
      <c r="AB13" s="151">
        <f>AB12*SQRT(1/4)</f>
        <v>0.05</v>
      </c>
      <c r="AC13" s="162">
        <f t="shared" ref="AC13" si="0">$Z$8*(1-AB13)</f>
        <v>0</v>
      </c>
      <c r="AD13" s="163">
        <f t="shared" ref="AD13" si="1">$Z$8*(1+AB13)</f>
        <v>0</v>
      </c>
      <c r="AE13" s="162">
        <f t="shared" ref="AE13" si="2">$Z$8*(1-2*AB13)</f>
        <v>0</v>
      </c>
      <c r="AF13" s="163">
        <f t="shared" ref="AF13" si="3">$Z$8*(1+2*AB13)</f>
        <v>0</v>
      </c>
    </row>
    <row r="14" spans="1:32" s="5" customFormat="1" x14ac:dyDescent="0.45">
      <c r="A14" s="9"/>
      <c r="B14" s="26" t="s">
        <v>60</v>
      </c>
      <c r="C14" s="40">
        <f ca="1">C12-TODAY()</f>
        <v>-45211</v>
      </c>
      <c r="D14" s="9"/>
      <c r="E14" s="27"/>
      <c r="F14" s="28"/>
      <c r="G14" s="29"/>
      <c r="H14" s="9"/>
      <c r="I14" s="243"/>
      <c r="J14" s="244"/>
      <c r="K14" s="245"/>
      <c r="L14" s="9"/>
      <c r="M14" s="17"/>
      <c r="N14" s="17"/>
      <c r="Y14" s="150" t="s">
        <v>105</v>
      </c>
      <c r="AB14" s="151">
        <f>AB12*SQRT(1/12)</f>
        <v>2.8867513459481287E-2</v>
      </c>
      <c r="AC14" s="162">
        <f t="shared" ref="AC14:AC17" si="4">$Z$8*(1-AB14)</f>
        <v>0</v>
      </c>
      <c r="AD14" s="163">
        <f t="shared" ref="AD14:AD17" si="5">$Z$8*(1+AB14)</f>
        <v>0</v>
      </c>
      <c r="AE14" s="162">
        <f t="shared" ref="AE14:AE17" si="6">$Z$8*(1-2*AB14)</f>
        <v>0</v>
      </c>
      <c r="AF14" s="163">
        <f t="shared" ref="AF14:AF17" si="7">$Z$8*(1+2*AB14)</f>
        <v>0</v>
      </c>
    </row>
    <row r="15" spans="1:32" s="5" customFormat="1" x14ac:dyDescent="0.45">
      <c r="A15" s="9"/>
      <c r="B15" s="19" t="s">
        <v>4</v>
      </c>
      <c r="C15" s="136">
        <f ca="1">C14/365</f>
        <v>-123.86575342465754</v>
      </c>
      <c r="D15" s="9"/>
      <c r="E15" s="27"/>
      <c r="F15" s="28"/>
      <c r="G15" s="29"/>
      <c r="H15" s="9"/>
      <c r="I15" s="243"/>
      <c r="J15" s="244"/>
      <c r="K15" s="245"/>
      <c r="L15" s="9"/>
      <c r="M15" s="17"/>
      <c r="N15" s="17"/>
      <c r="Y15" s="150" t="s">
        <v>106</v>
      </c>
      <c r="AB15" s="151">
        <f>AB12*SQRT(1/52)</f>
        <v>1.3867504905630729E-2</v>
      </c>
      <c r="AC15" s="162">
        <f t="shared" si="4"/>
        <v>0</v>
      </c>
      <c r="AD15" s="163">
        <f t="shared" si="5"/>
        <v>0</v>
      </c>
      <c r="AE15" s="162">
        <f t="shared" si="6"/>
        <v>0</v>
      </c>
      <c r="AF15" s="163">
        <f t="shared" si="7"/>
        <v>0</v>
      </c>
    </row>
    <row r="16" spans="1:32" s="5" customFormat="1" x14ac:dyDescent="0.45">
      <c r="A16" s="9"/>
      <c r="B16" s="48" t="s">
        <v>67</v>
      </c>
      <c r="C16" s="67" t="s">
        <v>42</v>
      </c>
      <c r="D16" s="9"/>
      <c r="E16" s="30"/>
      <c r="F16" s="31"/>
      <c r="G16" s="32"/>
      <c r="H16" s="9"/>
      <c r="I16" s="246"/>
      <c r="J16" s="247"/>
      <c r="K16" s="248"/>
      <c r="L16" s="9"/>
      <c r="M16" s="17"/>
      <c r="N16" s="17"/>
      <c r="Y16" s="150" t="s">
        <v>107</v>
      </c>
      <c r="AB16" s="151">
        <f>AB12*SQRT(1/365)</f>
        <v>5.2342392259021372E-3</v>
      </c>
      <c r="AC16" s="162">
        <f t="shared" si="4"/>
        <v>0</v>
      </c>
      <c r="AD16" s="163">
        <f t="shared" si="5"/>
        <v>0</v>
      </c>
      <c r="AE16" s="162">
        <f t="shared" si="6"/>
        <v>0</v>
      </c>
      <c r="AF16" s="163">
        <f t="shared" si="7"/>
        <v>0</v>
      </c>
    </row>
    <row r="17" spans="1:32" s="5" customFormat="1" ht="14.65" thickBot="1" x14ac:dyDescent="0.5">
      <c r="A17" s="9"/>
      <c r="B17" s="33" t="s">
        <v>65</v>
      </c>
      <c r="C17" s="51" t="e">
        <f ca="1">IF(C16="Call",(C13-B19)^2,(C13-C19)^2)</f>
        <v>#DIV/0!</v>
      </c>
      <c r="D17" s="9"/>
      <c r="E17" s="33"/>
      <c r="F17" s="33"/>
      <c r="G17" s="33"/>
      <c r="H17" s="9"/>
      <c r="I17" s="87"/>
      <c r="J17" s="87"/>
      <c r="K17" s="87"/>
      <c r="L17" s="9"/>
      <c r="M17" s="17"/>
      <c r="N17" s="17"/>
      <c r="Y17" s="152" t="s">
        <v>108</v>
      </c>
      <c r="Z17" s="153"/>
      <c r="AA17" s="153"/>
      <c r="AB17" s="154" t="e">
        <f ca="1">AB12*SQRT(C14/365)</f>
        <v>#NUM!</v>
      </c>
      <c r="AC17" s="164" t="e">
        <f t="shared" ca="1" si="4"/>
        <v>#NUM!</v>
      </c>
      <c r="AD17" s="165" t="e">
        <f t="shared" ca="1" si="5"/>
        <v>#NUM!</v>
      </c>
      <c r="AE17" s="164" t="e">
        <f t="shared" ca="1" si="6"/>
        <v>#NUM!</v>
      </c>
      <c r="AF17" s="165" t="e">
        <f t="shared" ca="1" si="7"/>
        <v>#NUM!</v>
      </c>
    </row>
    <row r="18" spans="1:32" s="5" customFormat="1" x14ac:dyDescent="0.45">
      <c r="A18" s="9"/>
      <c r="B18" s="140" t="s">
        <v>69</v>
      </c>
      <c r="C18" s="140" t="s">
        <v>70</v>
      </c>
      <c r="D18" s="9"/>
      <c r="E18" s="33"/>
      <c r="F18" s="33"/>
      <c r="G18" s="33"/>
      <c r="H18" s="9"/>
      <c r="I18" s="33"/>
      <c r="J18" s="33"/>
      <c r="K18" s="33"/>
      <c r="L18" s="9"/>
      <c r="M18" s="17"/>
      <c r="N18" s="17"/>
    </row>
    <row r="19" spans="1:32" s="5" customFormat="1" x14ac:dyDescent="0.45">
      <c r="A19" s="9"/>
      <c r="B19" s="34" t="e">
        <f ca="1">S12*R10-Q12*T10</f>
        <v>#DIV/0!</v>
      </c>
      <c r="C19" s="34" t="e">
        <f ca="1">Q12*U10-S12*S10</f>
        <v>#DIV/0!</v>
      </c>
      <c r="D19" s="9"/>
      <c r="E19" s="33"/>
      <c r="F19" s="33"/>
      <c r="G19" s="33"/>
      <c r="H19" s="9"/>
      <c r="I19" s="33"/>
      <c r="J19" s="33"/>
      <c r="K19" s="33"/>
      <c r="L19" s="9"/>
      <c r="M19" s="17"/>
      <c r="N19" s="17"/>
      <c r="Y19"/>
    </row>
    <row r="20" spans="1:32" s="5" customFormat="1" ht="10.5" customHeight="1" x14ac:dyDescent="0.4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17"/>
      <c r="N20" s="17"/>
    </row>
    <row r="21" spans="1:32" s="5" customFormat="1" x14ac:dyDescent="0.4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Y21" s="145"/>
    </row>
    <row r="22" spans="1:32" s="5" customFormat="1" ht="10.5" customHeight="1" x14ac:dyDescent="0.4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17"/>
      <c r="N22" s="17"/>
      <c r="Y22" s="145"/>
    </row>
    <row r="23" spans="1:32" s="5" customFormat="1" x14ac:dyDescent="0.45">
      <c r="A23" s="9"/>
      <c r="B23" s="269" t="s">
        <v>96</v>
      </c>
      <c r="C23" s="270"/>
      <c r="D23" s="270"/>
      <c r="E23" s="270"/>
      <c r="F23" s="270"/>
      <c r="G23" s="270"/>
      <c r="H23" s="270"/>
      <c r="I23" s="270"/>
      <c r="J23" s="270"/>
      <c r="K23" s="271"/>
      <c r="L23" s="9"/>
      <c r="M23" s="17"/>
      <c r="N23" s="17"/>
      <c r="Y23" s="146"/>
    </row>
    <row r="24" spans="1:32" s="5" customFormat="1" x14ac:dyDescent="0.45">
      <c r="A24" s="9"/>
      <c r="B24" s="272"/>
      <c r="C24" s="273"/>
      <c r="D24" s="273"/>
      <c r="E24" s="273"/>
      <c r="F24" s="273"/>
      <c r="G24" s="273"/>
      <c r="H24" s="273"/>
      <c r="I24" s="273"/>
      <c r="J24" s="273"/>
      <c r="K24" s="274"/>
      <c r="L24" s="9"/>
      <c r="M24" s="17"/>
      <c r="N24" s="17"/>
    </row>
    <row r="25" spans="1:32" s="5" customFormat="1" ht="9" customHeight="1" x14ac:dyDescent="0.45">
      <c r="A25" s="9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9"/>
      <c r="M25" s="17"/>
      <c r="N25" s="17"/>
      <c r="Y25" s="145"/>
    </row>
    <row r="26" spans="1:32" s="5" customFormat="1" x14ac:dyDescent="0.45">
      <c r="A26" s="9"/>
      <c r="B26" s="109" t="s">
        <v>88</v>
      </c>
      <c r="C26" s="110"/>
      <c r="D26" s="110"/>
      <c r="E26" s="110"/>
      <c r="F26" s="110"/>
      <c r="G26" s="110"/>
      <c r="H26" s="110"/>
      <c r="I26" s="110"/>
      <c r="J26" s="110"/>
      <c r="K26" s="111"/>
      <c r="L26" s="9"/>
      <c r="M26" s="17"/>
      <c r="N26" s="17"/>
      <c r="Y26" s="145"/>
    </row>
    <row r="27" spans="1:32" s="5" customFormat="1" x14ac:dyDescent="0.45">
      <c r="A27" s="9"/>
      <c r="B27" s="99" t="s">
        <v>78</v>
      </c>
      <c r="C27" s="239" t="s">
        <v>79</v>
      </c>
      <c r="D27" s="239"/>
      <c r="E27" s="239"/>
      <c r="F27" s="239" t="s">
        <v>80</v>
      </c>
      <c r="G27" s="239"/>
      <c r="H27" s="239"/>
      <c r="I27" s="239"/>
      <c r="J27" s="239"/>
      <c r="K27" s="98"/>
      <c r="L27" s="9"/>
      <c r="M27" s="17"/>
      <c r="N27" s="17"/>
      <c r="Y27" s="145"/>
    </row>
    <row r="28" spans="1:32" s="5" customFormat="1" x14ac:dyDescent="0.45">
      <c r="A28" s="9"/>
      <c r="B28" s="100" t="s">
        <v>81</v>
      </c>
      <c r="C28" s="239" t="s">
        <v>82</v>
      </c>
      <c r="D28" s="239"/>
      <c r="E28" s="239"/>
      <c r="F28" s="239" t="s">
        <v>83</v>
      </c>
      <c r="G28" s="239"/>
      <c r="H28" s="239"/>
      <c r="I28" s="239"/>
      <c r="J28" s="239"/>
      <c r="K28" s="98"/>
      <c r="L28" s="9"/>
      <c r="M28" s="17"/>
      <c r="N28" s="17"/>
    </row>
    <row r="29" spans="1:32" x14ac:dyDescent="0.45">
      <c r="A29" s="9"/>
      <c r="B29" s="100" t="s">
        <v>84</v>
      </c>
      <c r="C29" s="239" t="s">
        <v>85</v>
      </c>
      <c r="D29" s="239"/>
      <c r="E29" s="239"/>
      <c r="F29" s="91"/>
      <c r="G29" s="89"/>
      <c r="H29" s="89"/>
      <c r="I29" s="89"/>
      <c r="J29" s="89"/>
      <c r="K29" s="98"/>
      <c r="L29" s="9"/>
      <c r="Y29" s="5"/>
      <c r="Z29" s="5"/>
      <c r="AA29" s="5"/>
      <c r="AB29" s="5"/>
      <c r="AC29" s="5"/>
      <c r="AD29" s="5"/>
      <c r="AE29" s="5"/>
      <c r="AF29" s="5"/>
    </row>
    <row r="30" spans="1:32" x14ac:dyDescent="0.45">
      <c r="A30" s="9"/>
      <c r="B30" s="100" t="s">
        <v>86</v>
      </c>
      <c r="C30" s="239" t="s">
        <v>87</v>
      </c>
      <c r="D30" s="239"/>
      <c r="E30" s="239"/>
      <c r="F30" s="91"/>
      <c r="G30" s="89"/>
      <c r="H30" s="89"/>
      <c r="I30" s="89"/>
      <c r="J30" s="89"/>
      <c r="K30" s="98"/>
      <c r="L30" s="9"/>
      <c r="Y30" s="5"/>
      <c r="Z30" s="5"/>
      <c r="AA30" s="5"/>
      <c r="AB30" s="5"/>
      <c r="AC30" s="5"/>
      <c r="AD30" s="5"/>
      <c r="AE30" s="5"/>
    </row>
    <row r="31" spans="1:32" x14ac:dyDescent="0.45">
      <c r="A31" s="9"/>
      <c r="B31" s="101"/>
      <c r="C31" s="172"/>
      <c r="D31" s="172"/>
      <c r="E31" s="172"/>
      <c r="F31" s="89"/>
      <c r="G31" s="89"/>
      <c r="H31" s="89"/>
      <c r="I31" s="89"/>
      <c r="J31" s="89"/>
      <c r="K31" s="98"/>
      <c r="L31" s="9"/>
    </row>
    <row r="32" spans="1:32" x14ac:dyDescent="0.45">
      <c r="A32" s="9"/>
      <c r="B32" s="88" t="s">
        <v>89</v>
      </c>
      <c r="C32" s="89"/>
      <c r="D32" s="89"/>
      <c r="E32" s="89"/>
      <c r="F32" s="89"/>
      <c r="G32" s="89"/>
      <c r="H32" s="89"/>
      <c r="I32" s="89"/>
      <c r="J32" s="89"/>
      <c r="K32" s="98"/>
      <c r="L32" s="9"/>
    </row>
    <row r="33" spans="1:13" ht="15" customHeight="1" x14ac:dyDescent="0.45">
      <c r="A33" s="9"/>
      <c r="B33" s="277" t="s">
        <v>90</v>
      </c>
      <c r="C33" s="278"/>
      <c r="D33" s="278"/>
      <c r="E33" s="278"/>
      <c r="F33" s="275" t="s">
        <v>91</v>
      </c>
      <c r="G33" s="275"/>
      <c r="H33" s="275"/>
      <c r="I33" s="275"/>
      <c r="J33" s="275"/>
      <c r="K33" s="96"/>
      <c r="L33" s="9"/>
    </row>
    <row r="34" spans="1:13" x14ac:dyDescent="0.45">
      <c r="A34" s="9"/>
      <c r="B34" s="277"/>
      <c r="C34" s="278"/>
      <c r="D34" s="278"/>
      <c r="E34" s="278"/>
      <c r="F34" s="275"/>
      <c r="G34" s="275"/>
      <c r="H34" s="275"/>
      <c r="I34" s="275"/>
      <c r="J34" s="275"/>
      <c r="K34" s="96"/>
      <c r="L34" s="108"/>
      <c r="M34" s="166"/>
    </row>
    <row r="35" spans="1:13" x14ac:dyDescent="0.45">
      <c r="A35" s="9"/>
      <c r="B35" s="102"/>
      <c r="C35" s="94"/>
      <c r="D35" s="94"/>
      <c r="E35" s="94"/>
      <c r="F35" s="94"/>
      <c r="G35" s="95"/>
      <c r="H35" s="95"/>
      <c r="I35" s="95"/>
      <c r="J35" s="94"/>
      <c r="K35" s="103"/>
      <c r="L35" s="108"/>
      <c r="M35" s="166"/>
    </row>
    <row r="36" spans="1:13" x14ac:dyDescent="0.45">
      <c r="A36" s="9"/>
      <c r="B36" s="88" t="s">
        <v>92</v>
      </c>
      <c r="C36" s="89"/>
      <c r="D36" s="89"/>
      <c r="E36" s="89"/>
      <c r="F36" s="89"/>
      <c r="G36" s="89"/>
      <c r="H36" s="89"/>
      <c r="I36" s="89"/>
      <c r="J36" s="94"/>
      <c r="K36" s="103"/>
      <c r="L36" s="108"/>
      <c r="M36" s="166"/>
    </row>
    <row r="37" spans="1:13" x14ac:dyDescent="0.45">
      <c r="A37" s="9"/>
      <c r="B37" s="88"/>
      <c r="C37" s="239" t="s">
        <v>93</v>
      </c>
      <c r="D37" s="239"/>
      <c r="E37" s="239"/>
      <c r="F37" s="89"/>
      <c r="G37" s="89"/>
      <c r="H37" s="89"/>
      <c r="I37" s="89"/>
      <c r="J37" s="89"/>
      <c r="K37" s="98"/>
      <c r="L37" s="9"/>
    </row>
    <row r="38" spans="1:13" x14ac:dyDescent="0.45">
      <c r="A38" s="9"/>
      <c r="B38" s="97"/>
      <c r="C38" s="239" t="s">
        <v>129</v>
      </c>
      <c r="D38" s="239"/>
      <c r="E38" s="239"/>
      <c r="F38" s="89"/>
      <c r="G38" s="89"/>
      <c r="H38" s="89"/>
      <c r="I38" s="89"/>
      <c r="J38" s="89"/>
      <c r="K38" s="98"/>
      <c r="L38" s="9"/>
    </row>
    <row r="39" spans="1:13" x14ac:dyDescent="0.45">
      <c r="A39" s="9"/>
      <c r="B39" s="101"/>
      <c r="C39" s="239" t="s">
        <v>95</v>
      </c>
      <c r="D39" s="239"/>
      <c r="E39" s="239"/>
      <c r="F39" s="89"/>
      <c r="G39" s="89"/>
      <c r="H39" s="89"/>
      <c r="I39" s="89"/>
      <c r="J39" s="89"/>
      <c r="K39" s="98"/>
      <c r="L39" s="9"/>
    </row>
    <row r="40" spans="1:13" x14ac:dyDescent="0.45">
      <c r="A40" s="9"/>
      <c r="B40" s="105"/>
      <c r="C40" s="106"/>
      <c r="D40" s="106"/>
      <c r="E40" s="106"/>
      <c r="F40" s="106"/>
      <c r="G40" s="106"/>
      <c r="H40" s="106"/>
      <c r="I40" s="106"/>
      <c r="J40" s="106"/>
      <c r="K40" s="107"/>
      <c r="L40" s="9"/>
    </row>
    <row r="41" spans="1:13" ht="12" customHeight="1" x14ac:dyDescent="0.4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</row>
  </sheetData>
  <dataConsolidate/>
  <mergeCells count="23">
    <mergeCell ref="C39:E39"/>
    <mergeCell ref="C27:E27"/>
    <mergeCell ref="C28:E28"/>
    <mergeCell ref="C29:E29"/>
    <mergeCell ref="C30:E30"/>
    <mergeCell ref="B33:E34"/>
    <mergeCell ref="C38:E38"/>
    <mergeCell ref="Y1:AE2"/>
    <mergeCell ref="Y3:AB4"/>
    <mergeCell ref="AC3:AE4"/>
    <mergeCell ref="C37:E37"/>
    <mergeCell ref="I7:K16"/>
    <mergeCell ref="A1:K1"/>
    <mergeCell ref="A2:K2"/>
    <mergeCell ref="B4:C5"/>
    <mergeCell ref="E4:G5"/>
    <mergeCell ref="I4:K5"/>
    <mergeCell ref="AC10:AD10"/>
    <mergeCell ref="B23:K24"/>
    <mergeCell ref="F33:J34"/>
    <mergeCell ref="F27:J27"/>
    <mergeCell ref="F28:J28"/>
    <mergeCell ref="AE10:AF10"/>
  </mergeCells>
  <dataValidations disablePrompts="1" count="1">
    <dataValidation type="list" allowBlank="1" showInputMessage="1" showErrorMessage="1" error="Please select &quot;Call&quot; or &quot;Put&quot; from the dropdown menu." sqref="C16" xr:uid="{00000000-0002-0000-0000-000000000000}">
      <formula1>"Call, Put"</formula1>
    </dataValidation>
  </dataValidations>
  <hyperlinks>
    <hyperlink ref="C27" r:id="rId1" xr:uid="{00000000-0004-0000-0000-000000000000}"/>
    <hyperlink ref="C28" r:id="rId2" xr:uid="{00000000-0004-0000-0000-000001000000}"/>
    <hyperlink ref="C29" r:id="rId3" xr:uid="{00000000-0004-0000-0000-000002000000}"/>
    <hyperlink ref="C30" r:id="rId4" xr:uid="{00000000-0004-0000-0000-000003000000}"/>
    <hyperlink ref="F27" r:id="rId5" xr:uid="{00000000-0004-0000-0000-000004000000}"/>
    <hyperlink ref="C37" r:id="rId6" xr:uid="{00000000-0004-0000-0000-000005000000}"/>
    <hyperlink ref="C39" r:id="rId7" xr:uid="{00000000-0004-0000-0000-000007000000}"/>
    <hyperlink ref="B33" r:id="rId8" xr:uid="{00000000-0004-0000-0000-000008000000}"/>
    <hyperlink ref="C38" r:id="rId9" xr:uid="{432B212D-C94C-4C97-8C38-F69F62B88CD1}"/>
  </hyperlinks>
  <pageMargins left="0.7" right="0.7" top="0.75" bottom="0.75" header="0.3" footer="0.3"/>
  <pageSetup paperSize="9" orientation="portrait" horizontalDpi="0" verticalDpi="0" r:id="rId10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39997558519241921"/>
  </sheetPr>
  <dimension ref="A1:AX116"/>
  <sheetViews>
    <sheetView zoomScaleNormal="100" workbookViewId="0">
      <selection sqref="A1:K1"/>
    </sheetView>
  </sheetViews>
  <sheetFormatPr defaultRowHeight="12.75" x14ac:dyDescent="0.35"/>
  <cols>
    <col min="1" max="1" width="2.1328125" style="125" customWidth="1"/>
    <col min="2" max="2" width="24.265625" style="125" customWidth="1"/>
    <col min="3" max="3" width="11.1328125" style="125" customWidth="1"/>
    <col min="4" max="4" width="2.59765625" style="125" customWidth="1"/>
    <col min="5" max="5" width="9.1328125" style="125"/>
    <col min="6" max="6" width="10.265625" style="125" bestFit="1" customWidth="1"/>
    <col min="7" max="7" width="9.1328125" style="125"/>
    <col min="8" max="8" width="2.59765625" style="125" customWidth="1"/>
    <col min="9" max="9" width="16.265625" style="125" customWidth="1"/>
    <col min="10" max="10" width="10.1328125" style="125" customWidth="1"/>
    <col min="11" max="11" width="17.86328125" style="125" customWidth="1"/>
    <col min="12" max="12" width="2.265625" style="125" customWidth="1"/>
    <col min="13" max="13" width="9.1328125" style="126" customWidth="1"/>
    <col min="14" max="40" width="9.1328125" style="126" hidden="1" customWidth="1"/>
    <col min="41" max="42" width="9.1328125" style="126" customWidth="1"/>
    <col min="43" max="43" width="12.1328125" style="125" customWidth="1"/>
    <col min="44" max="45" width="9.1328125" style="125"/>
    <col min="46" max="46" width="16.59765625" style="125" bestFit="1" customWidth="1"/>
    <col min="47" max="50" width="12.59765625" style="125" bestFit="1" customWidth="1"/>
    <col min="51" max="262" width="9.1328125" style="125"/>
    <col min="263" max="263" width="25.73046875" style="125" customWidth="1"/>
    <col min="264" max="518" width="9.1328125" style="125"/>
    <col min="519" max="519" width="25.73046875" style="125" customWidth="1"/>
    <col min="520" max="774" width="9.1328125" style="125"/>
    <col min="775" max="775" width="25.73046875" style="125" customWidth="1"/>
    <col min="776" max="1030" width="9.1328125" style="125"/>
    <col min="1031" max="1031" width="25.73046875" style="125" customWidth="1"/>
    <col min="1032" max="1286" width="9.1328125" style="125"/>
    <col min="1287" max="1287" width="25.73046875" style="125" customWidth="1"/>
    <col min="1288" max="1542" width="9.1328125" style="125"/>
    <col min="1543" max="1543" width="25.73046875" style="125" customWidth="1"/>
    <col min="1544" max="1798" width="9.1328125" style="125"/>
    <col min="1799" max="1799" width="25.73046875" style="125" customWidth="1"/>
    <col min="1800" max="2054" width="9.1328125" style="125"/>
    <col min="2055" max="2055" width="25.73046875" style="125" customWidth="1"/>
    <col min="2056" max="2310" width="9.1328125" style="125"/>
    <col min="2311" max="2311" width="25.73046875" style="125" customWidth="1"/>
    <col min="2312" max="2566" width="9.1328125" style="125"/>
    <col min="2567" max="2567" width="25.73046875" style="125" customWidth="1"/>
    <col min="2568" max="2822" width="9.1328125" style="125"/>
    <col min="2823" max="2823" width="25.73046875" style="125" customWidth="1"/>
    <col min="2824" max="3078" width="9.1328125" style="125"/>
    <col min="3079" max="3079" width="25.73046875" style="125" customWidth="1"/>
    <col min="3080" max="3334" width="9.1328125" style="125"/>
    <col min="3335" max="3335" width="25.73046875" style="125" customWidth="1"/>
    <col min="3336" max="3590" width="9.1328125" style="125"/>
    <col min="3591" max="3591" width="25.73046875" style="125" customWidth="1"/>
    <col min="3592" max="3846" width="9.1328125" style="125"/>
    <col min="3847" max="3847" width="25.73046875" style="125" customWidth="1"/>
    <col min="3848" max="4102" width="9.1328125" style="125"/>
    <col min="4103" max="4103" width="25.73046875" style="125" customWidth="1"/>
    <col min="4104" max="4358" width="9.1328125" style="125"/>
    <col min="4359" max="4359" width="25.73046875" style="125" customWidth="1"/>
    <col min="4360" max="4614" width="9.1328125" style="125"/>
    <col min="4615" max="4615" width="25.73046875" style="125" customWidth="1"/>
    <col min="4616" max="4870" width="9.1328125" style="125"/>
    <col min="4871" max="4871" width="25.73046875" style="125" customWidth="1"/>
    <col min="4872" max="5126" width="9.1328125" style="125"/>
    <col min="5127" max="5127" width="25.73046875" style="125" customWidth="1"/>
    <col min="5128" max="5382" width="9.1328125" style="125"/>
    <col min="5383" max="5383" width="25.73046875" style="125" customWidth="1"/>
    <col min="5384" max="5638" width="9.1328125" style="125"/>
    <col min="5639" max="5639" width="25.73046875" style="125" customWidth="1"/>
    <col min="5640" max="5894" width="9.1328125" style="125"/>
    <col min="5895" max="5895" width="25.73046875" style="125" customWidth="1"/>
    <col min="5896" max="6150" width="9.1328125" style="125"/>
    <col min="6151" max="6151" width="25.73046875" style="125" customWidth="1"/>
    <col min="6152" max="6406" width="9.1328125" style="125"/>
    <col min="6407" max="6407" width="25.73046875" style="125" customWidth="1"/>
    <col min="6408" max="6662" width="9.1328125" style="125"/>
    <col min="6663" max="6663" width="25.73046875" style="125" customWidth="1"/>
    <col min="6664" max="6918" width="9.1328125" style="125"/>
    <col min="6919" max="6919" width="25.73046875" style="125" customWidth="1"/>
    <col min="6920" max="7174" width="9.1328125" style="125"/>
    <col min="7175" max="7175" width="25.73046875" style="125" customWidth="1"/>
    <col min="7176" max="7430" width="9.1328125" style="125"/>
    <col min="7431" max="7431" width="25.73046875" style="125" customWidth="1"/>
    <col min="7432" max="7686" width="9.1328125" style="125"/>
    <col min="7687" max="7687" width="25.73046875" style="125" customWidth="1"/>
    <col min="7688" max="7942" width="9.1328125" style="125"/>
    <col min="7943" max="7943" width="25.73046875" style="125" customWidth="1"/>
    <col min="7944" max="8198" width="9.1328125" style="125"/>
    <col min="8199" max="8199" width="25.73046875" style="125" customWidth="1"/>
    <col min="8200" max="8454" width="9.1328125" style="125"/>
    <col min="8455" max="8455" width="25.73046875" style="125" customWidth="1"/>
    <col min="8456" max="8710" width="9.1328125" style="125"/>
    <col min="8711" max="8711" width="25.73046875" style="125" customWidth="1"/>
    <col min="8712" max="8966" width="9.1328125" style="125"/>
    <col min="8967" max="8967" width="25.73046875" style="125" customWidth="1"/>
    <col min="8968" max="9222" width="9.1328125" style="125"/>
    <col min="9223" max="9223" width="25.73046875" style="125" customWidth="1"/>
    <col min="9224" max="9478" width="9.1328125" style="125"/>
    <col min="9479" max="9479" width="25.73046875" style="125" customWidth="1"/>
    <col min="9480" max="9734" width="9.1328125" style="125"/>
    <col min="9735" max="9735" width="25.73046875" style="125" customWidth="1"/>
    <col min="9736" max="9990" width="9.1328125" style="125"/>
    <col min="9991" max="9991" width="25.73046875" style="125" customWidth="1"/>
    <col min="9992" max="10246" width="9.1328125" style="125"/>
    <col min="10247" max="10247" width="25.73046875" style="125" customWidth="1"/>
    <col min="10248" max="10502" width="9.1328125" style="125"/>
    <col min="10503" max="10503" width="25.73046875" style="125" customWidth="1"/>
    <col min="10504" max="10758" width="9.1328125" style="125"/>
    <col min="10759" max="10759" width="25.73046875" style="125" customWidth="1"/>
    <col min="10760" max="11014" width="9.1328125" style="125"/>
    <col min="11015" max="11015" width="25.73046875" style="125" customWidth="1"/>
    <col min="11016" max="11270" width="9.1328125" style="125"/>
    <col min="11271" max="11271" width="25.73046875" style="125" customWidth="1"/>
    <col min="11272" max="11526" width="9.1328125" style="125"/>
    <col min="11527" max="11527" width="25.73046875" style="125" customWidth="1"/>
    <col min="11528" max="11782" width="9.1328125" style="125"/>
    <col min="11783" max="11783" width="25.73046875" style="125" customWidth="1"/>
    <col min="11784" max="12038" width="9.1328125" style="125"/>
    <col min="12039" max="12039" width="25.73046875" style="125" customWidth="1"/>
    <col min="12040" max="12294" width="9.1328125" style="125"/>
    <col min="12295" max="12295" width="25.73046875" style="125" customWidth="1"/>
    <col min="12296" max="12550" width="9.1328125" style="125"/>
    <col min="12551" max="12551" width="25.73046875" style="125" customWidth="1"/>
    <col min="12552" max="12806" width="9.1328125" style="125"/>
    <col min="12807" max="12807" width="25.73046875" style="125" customWidth="1"/>
    <col min="12808" max="13062" width="9.1328125" style="125"/>
    <col min="13063" max="13063" width="25.73046875" style="125" customWidth="1"/>
    <col min="13064" max="13318" width="9.1328125" style="125"/>
    <col min="13319" max="13319" width="25.73046875" style="125" customWidth="1"/>
    <col min="13320" max="13574" width="9.1328125" style="125"/>
    <col min="13575" max="13575" width="25.73046875" style="125" customWidth="1"/>
    <col min="13576" max="13830" width="9.1328125" style="125"/>
    <col min="13831" max="13831" width="25.73046875" style="125" customWidth="1"/>
    <col min="13832" max="14086" width="9.1328125" style="125"/>
    <col min="14087" max="14087" width="25.73046875" style="125" customWidth="1"/>
    <col min="14088" max="14342" width="9.1328125" style="125"/>
    <col min="14343" max="14343" width="25.73046875" style="125" customWidth="1"/>
    <col min="14344" max="14598" width="9.1328125" style="125"/>
    <col min="14599" max="14599" width="25.73046875" style="125" customWidth="1"/>
    <col min="14600" max="14854" width="9.1328125" style="125"/>
    <col min="14855" max="14855" width="25.73046875" style="125" customWidth="1"/>
    <col min="14856" max="15110" width="9.1328125" style="125"/>
    <col min="15111" max="15111" width="25.73046875" style="125" customWidth="1"/>
    <col min="15112" max="15366" width="9.1328125" style="125"/>
    <col min="15367" max="15367" width="25.73046875" style="125" customWidth="1"/>
    <col min="15368" max="15622" width="9.1328125" style="125"/>
    <col min="15623" max="15623" width="25.73046875" style="125" customWidth="1"/>
    <col min="15624" max="15878" width="9.1328125" style="125"/>
    <col min="15879" max="15879" width="25.73046875" style="125" customWidth="1"/>
    <col min="15880" max="16134" width="9.1328125" style="125"/>
    <col min="16135" max="16135" width="25.73046875" style="125" customWidth="1"/>
    <col min="16136" max="16384" width="9.1328125" style="125"/>
  </cols>
  <sheetData>
    <row r="1" spans="1:50" ht="15.75" x14ac:dyDescent="0.35">
      <c r="A1" s="249" t="s">
        <v>38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"/>
    </row>
    <row r="2" spans="1:50" ht="14.25" x14ac:dyDescent="0.45">
      <c r="A2" s="250" t="s">
        <v>74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6"/>
    </row>
    <row r="3" spans="1:50" ht="11.25" customHeight="1" x14ac:dyDescent="0.45">
      <c r="A3" s="9"/>
      <c r="B3" s="10"/>
      <c r="C3" s="10"/>
      <c r="D3" s="11"/>
      <c r="E3" s="11"/>
      <c r="F3" s="11"/>
      <c r="G3" s="11"/>
      <c r="H3" s="11"/>
      <c r="I3" s="9"/>
      <c r="J3" s="10"/>
      <c r="K3" s="10"/>
      <c r="L3" s="11"/>
    </row>
    <row r="4" spans="1:50" ht="14.25" x14ac:dyDescent="0.45">
      <c r="A4" s="9"/>
      <c r="B4" s="251" t="s">
        <v>39</v>
      </c>
      <c r="C4" s="252"/>
      <c r="D4" s="11"/>
      <c r="E4" s="255" t="s">
        <v>40</v>
      </c>
      <c r="F4" s="256"/>
      <c r="G4" s="257"/>
      <c r="H4" s="11"/>
      <c r="I4" s="261" t="s">
        <v>41</v>
      </c>
      <c r="J4" s="262"/>
      <c r="K4" s="263"/>
      <c r="L4" s="11"/>
    </row>
    <row r="5" spans="1:50" ht="14.25" x14ac:dyDescent="0.45">
      <c r="A5" s="9"/>
      <c r="B5" s="253"/>
      <c r="C5" s="254"/>
      <c r="D5" s="11"/>
      <c r="E5" s="258"/>
      <c r="F5" s="259"/>
      <c r="G5" s="260"/>
      <c r="H5" s="11"/>
      <c r="I5" s="264"/>
      <c r="J5" s="265"/>
      <c r="K5" s="266"/>
      <c r="L5" s="11"/>
    </row>
    <row r="6" spans="1:50" ht="9.75" customHeight="1" thickBot="1" x14ac:dyDescent="0.5">
      <c r="A6" s="9"/>
      <c r="B6" s="10"/>
      <c r="C6" s="10"/>
      <c r="D6" s="11"/>
      <c r="E6" s="11"/>
      <c r="F6" s="11"/>
      <c r="G6" s="11"/>
      <c r="H6" s="11"/>
      <c r="I6" s="11"/>
      <c r="J6" s="11"/>
      <c r="K6" s="11"/>
      <c r="L6" s="11"/>
    </row>
    <row r="7" spans="1:50" ht="15" customHeight="1" thickBot="1" x14ac:dyDescent="0.5">
      <c r="A7" s="35"/>
      <c r="B7" s="36" t="s">
        <v>9</v>
      </c>
      <c r="C7" s="49"/>
      <c r="D7" s="35"/>
      <c r="E7" s="14"/>
      <c r="F7" s="15"/>
      <c r="G7" s="16"/>
      <c r="H7" s="35"/>
      <c r="I7" s="279" t="s">
        <v>116</v>
      </c>
      <c r="J7" s="280"/>
      <c r="K7" s="281"/>
      <c r="L7" s="35"/>
      <c r="Q7" s="126" t="s">
        <v>10</v>
      </c>
      <c r="R7" s="127">
        <f ca="1">_T/_n</f>
        <v>-6.193287671232877</v>
      </c>
      <c r="AQ7" s="147" t="s">
        <v>111</v>
      </c>
      <c r="AR7" s="170">
        <f>C8</f>
        <v>0</v>
      </c>
      <c r="AS7" s="17"/>
      <c r="AT7" s="17"/>
      <c r="AU7" s="17"/>
      <c r="AV7" s="17"/>
      <c r="AW7" s="17"/>
      <c r="AX7" s="17"/>
    </row>
    <row r="8" spans="1:50" ht="14.65" thickBot="1" x14ac:dyDescent="0.5">
      <c r="A8" s="35"/>
      <c r="B8" s="114" t="s">
        <v>37</v>
      </c>
      <c r="C8" s="86"/>
      <c r="D8" s="35"/>
      <c r="E8" s="21" t="s">
        <v>47</v>
      </c>
      <c r="F8" s="22" t="e">
        <f ca="1">(S55-S56)/(S26-S27)</f>
        <v>#NUM!</v>
      </c>
      <c r="G8" s="23"/>
      <c r="H8" s="35"/>
      <c r="I8" s="282"/>
      <c r="J8" s="283"/>
      <c r="K8" s="284"/>
      <c r="L8" s="35"/>
      <c r="Q8" s="126" t="s">
        <v>11</v>
      </c>
      <c r="R8" s="127" t="e">
        <f ca="1">EXP($C$10*SQRT(_dt))</f>
        <v>#NUM!</v>
      </c>
      <c r="S8" s="126" t="s">
        <v>29</v>
      </c>
      <c r="AQ8" s="17"/>
      <c r="AR8" s="17"/>
      <c r="AS8" s="17"/>
      <c r="AT8" s="17"/>
      <c r="AU8" s="17"/>
      <c r="AV8" s="17"/>
      <c r="AW8" s="17"/>
      <c r="AX8" s="17"/>
    </row>
    <row r="9" spans="1:50" ht="14.65" thickBot="1" x14ac:dyDescent="0.5">
      <c r="A9" s="35"/>
      <c r="B9" s="114" t="s">
        <v>36</v>
      </c>
      <c r="C9" s="86"/>
      <c r="D9" s="35"/>
      <c r="E9" s="21" t="s">
        <v>48</v>
      </c>
      <c r="F9" s="22" t="e">
        <f ca="1">(T56-R55)/((2*S24)*365)</f>
        <v>#NUM!</v>
      </c>
      <c r="G9" s="23"/>
      <c r="H9" s="35"/>
      <c r="I9" s="282"/>
      <c r="J9" s="283"/>
      <c r="K9" s="284"/>
      <c r="L9" s="35"/>
      <c r="N9" s="144"/>
      <c r="Q9" s="126" t="s">
        <v>13</v>
      </c>
      <c r="R9" s="127" t="e">
        <f ca="1">1/R8</f>
        <v>#NUM!</v>
      </c>
      <c r="S9" s="126" t="s">
        <v>30</v>
      </c>
      <c r="AQ9" s="148" t="s">
        <v>103</v>
      </c>
      <c r="AR9" s="149"/>
      <c r="AS9" s="149"/>
      <c r="AT9" s="149"/>
      <c r="AU9" s="267" t="s">
        <v>114</v>
      </c>
      <c r="AV9" s="268"/>
      <c r="AW9" s="276" t="s">
        <v>115</v>
      </c>
      <c r="AX9" s="268"/>
    </row>
    <row r="10" spans="1:50" ht="14.65" thickBot="1" x14ac:dyDescent="0.5">
      <c r="A10" s="35"/>
      <c r="B10" s="114" t="s">
        <v>18</v>
      </c>
      <c r="C10" s="83">
        <v>0.1</v>
      </c>
      <c r="D10" s="35"/>
      <c r="E10" s="21" t="s">
        <v>53</v>
      </c>
      <c r="F10" s="22" t="e">
        <f ca="1">(((T55-T56)/(T26-T27))-((T56-T57)/(T27-T28)))/(0.5*(T26-T28))</f>
        <v>#NUM!</v>
      </c>
      <c r="G10" s="23"/>
      <c r="H10" s="35"/>
      <c r="I10" s="282"/>
      <c r="J10" s="283"/>
      <c r="K10" s="284"/>
      <c r="L10" s="35"/>
      <c r="N10" s="143"/>
      <c r="Q10" s="126" t="s">
        <v>16</v>
      </c>
      <c r="R10" s="127" t="e">
        <f ca="1">(EXP((_rr-C12)*_dt)-_d)/(_u-_d)</f>
        <v>#NUM!</v>
      </c>
      <c r="S10" s="126" t="s">
        <v>31</v>
      </c>
      <c r="AQ10" s="157" t="s">
        <v>110</v>
      </c>
      <c r="AR10" s="149"/>
      <c r="AS10" s="149"/>
      <c r="AT10" s="158" t="s">
        <v>109</v>
      </c>
      <c r="AU10" s="157" t="s">
        <v>112</v>
      </c>
      <c r="AV10" s="159" t="s">
        <v>113</v>
      </c>
      <c r="AW10" s="158" t="s">
        <v>112</v>
      </c>
      <c r="AX10" s="159" t="s">
        <v>113</v>
      </c>
    </row>
    <row r="11" spans="1:50" ht="14.25" x14ac:dyDescent="0.45">
      <c r="A11" s="35"/>
      <c r="B11" s="114" t="s">
        <v>15</v>
      </c>
      <c r="C11" s="50"/>
      <c r="D11" s="35"/>
      <c r="E11" s="21"/>
      <c r="F11" s="22"/>
      <c r="G11" s="23"/>
      <c r="H11" s="35"/>
      <c r="I11" s="282"/>
      <c r="J11" s="283"/>
      <c r="K11" s="284"/>
      <c r="L11" s="35"/>
      <c r="Q11" s="126" t="s">
        <v>19</v>
      </c>
      <c r="R11" s="127">
        <f ca="1">EXP(-_rr*_dt)</f>
        <v>1</v>
      </c>
      <c r="S11" s="126" t="s">
        <v>33</v>
      </c>
      <c r="AQ11" s="155" t="s">
        <v>104</v>
      </c>
      <c r="AR11" s="149"/>
      <c r="AS11" s="149"/>
      <c r="AT11" s="156">
        <f>C10</f>
        <v>0.1</v>
      </c>
      <c r="AU11" s="160">
        <f>$AR$7*(1-AT11)</f>
        <v>0</v>
      </c>
      <c r="AV11" s="161">
        <f>$AR$7*(1+AT11)</f>
        <v>0</v>
      </c>
      <c r="AW11" s="160">
        <f>$AR$7*(1-2*AT11)</f>
        <v>0</v>
      </c>
      <c r="AX11" s="161">
        <f>$AR$7*(1+2*AT11)</f>
        <v>0</v>
      </c>
    </row>
    <row r="12" spans="1:50" ht="14.25" x14ac:dyDescent="0.45">
      <c r="A12" s="35"/>
      <c r="B12" s="114" t="s">
        <v>32</v>
      </c>
      <c r="C12" s="50"/>
      <c r="D12" s="35"/>
      <c r="E12" s="21"/>
      <c r="F12" s="22"/>
      <c r="G12" s="23"/>
      <c r="H12" s="35"/>
      <c r="I12" s="282"/>
      <c r="J12" s="283"/>
      <c r="K12" s="284"/>
      <c r="L12" s="35"/>
      <c r="AQ12" s="181" t="s">
        <v>117</v>
      </c>
      <c r="AR12" s="17"/>
      <c r="AS12" s="17"/>
      <c r="AT12" s="180">
        <f>AT11*SQRT(1/4)</f>
        <v>0.05</v>
      </c>
      <c r="AU12" s="162">
        <f t="shared" ref="AU12" si="0">$AR$7*(1-AT12)</f>
        <v>0</v>
      </c>
      <c r="AV12" s="163">
        <f t="shared" ref="AV12" si="1">$AR$7*(1+AT12)</f>
        <v>0</v>
      </c>
      <c r="AW12" s="162">
        <f t="shared" ref="AW12" si="2">$AR$7*(1-2*AT12)</f>
        <v>0</v>
      </c>
      <c r="AX12" s="163">
        <f t="shared" ref="AX12" si="3">$AR$7*(1+2*AT12)</f>
        <v>0</v>
      </c>
    </row>
    <row r="13" spans="1:50" s="126" customFormat="1" ht="14.25" x14ac:dyDescent="0.45">
      <c r="A13" s="35"/>
      <c r="B13" s="114" t="s">
        <v>61</v>
      </c>
      <c r="C13" s="178"/>
      <c r="D13" s="35"/>
      <c r="E13" s="21"/>
      <c r="F13" s="38"/>
      <c r="G13" s="39"/>
      <c r="H13" s="35"/>
      <c r="I13" s="282"/>
      <c r="J13" s="283"/>
      <c r="K13" s="284"/>
      <c r="L13" s="35"/>
      <c r="AQ13" s="150" t="s">
        <v>105</v>
      </c>
      <c r="AR13" s="5"/>
      <c r="AS13" s="5"/>
      <c r="AT13" s="151">
        <f>AT11*SQRT(1/12)</f>
        <v>2.8867513459481287E-2</v>
      </c>
      <c r="AU13" s="162">
        <f t="shared" ref="AU13:AU16" si="4">$AR$7*(1-AT13)</f>
        <v>0</v>
      </c>
      <c r="AV13" s="163">
        <f t="shared" ref="AV13:AV16" si="5">$AR$7*(1+AT13)</f>
        <v>0</v>
      </c>
      <c r="AW13" s="162">
        <f t="shared" ref="AW13:AW16" si="6">$AR$7*(1-2*AT13)</f>
        <v>0</v>
      </c>
      <c r="AX13" s="163">
        <f t="shared" ref="AX13:AX16" si="7">$AR$7*(1+2*AT13)</f>
        <v>0</v>
      </c>
    </row>
    <row r="14" spans="1:50" s="126" customFormat="1" ht="14.25" x14ac:dyDescent="0.45">
      <c r="A14" s="35"/>
      <c r="B14" s="137" t="s">
        <v>5</v>
      </c>
      <c r="C14" s="135"/>
      <c r="D14" s="35"/>
      <c r="E14" s="21"/>
      <c r="F14" s="38"/>
      <c r="G14" s="39"/>
      <c r="H14" s="35"/>
      <c r="I14" s="282"/>
      <c r="J14" s="283"/>
      <c r="K14" s="284"/>
      <c r="L14" s="35"/>
      <c r="AQ14" s="150" t="s">
        <v>106</v>
      </c>
      <c r="AR14" s="5"/>
      <c r="AS14" s="5"/>
      <c r="AT14" s="151">
        <f>AT11*SQRT(1/52)</f>
        <v>1.3867504905630729E-2</v>
      </c>
      <c r="AU14" s="162">
        <f t="shared" si="4"/>
        <v>0</v>
      </c>
      <c r="AV14" s="163">
        <f t="shared" si="5"/>
        <v>0</v>
      </c>
      <c r="AW14" s="162">
        <f t="shared" si="6"/>
        <v>0</v>
      </c>
      <c r="AX14" s="163">
        <f t="shared" si="7"/>
        <v>0</v>
      </c>
    </row>
    <row r="15" spans="1:50" s="126" customFormat="1" ht="14.25" x14ac:dyDescent="0.45">
      <c r="A15" s="35"/>
      <c r="B15" s="37" t="s">
        <v>62</v>
      </c>
      <c r="C15" s="40">
        <f ca="1">C13-TODAY()</f>
        <v>-45211</v>
      </c>
      <c r="D15" s="35"/>
      <c r="E15" s="21"/>
      <c r="F15" s="38"/>
      <c r="G15" s="39"/>
      <c r="H15" s="35"/>
      <c r="I15" s="282"/>
      <c r="J15" s="283"/>
      <c r="K15" s="284"/>
      <c r="L15" s="35"/>
      <c r="AQ15" s="150" t="s">
        <v>107</v>
      </c>
      <c r="AR15" s="5"/>
      <c r="AS15" s="5"/>
      <c r="AT15" s="151">
        <f>AT11*SQRT(1/365)</f>
        <v>5.2342392259021372E-3</v>
      </c>
      <c r="AU15" s="162">
        <f t="shared" si="4"/>
        <v>0</v>
      </c>
      <c r="AV15" s="163">
        <f t="shared" si="5"/>
        <v>0</v>
      </c>
      <c r="AW15" s="162">
        <f t="shared" si="6"/>
        <v>0</v>
      </c>
      <c r="AX15" s="163">
        <f t="shared" si="7"/>
        <v>0</v>
      </c>
    </row>
    <row r="16" spans="1:50" s="126" customFormat="1" ht="14.65" thickBot="1" x14ac:dyDescent="0.5">
      <c r="A16" s="35"/>
      <c r="B16" s="37" t="s">
        <v>63</v>
      </c>
      <c r="C16" s="40">
        <f ca="1">C15/365</f>
        <v>-123.86575342465754</v>
      </c>
      <c r="D16" s="35"/>
      <c r="E16" s="21"/>
      <c r="F16" s="38"/>
      <c r="G16" s="39"/>
      <c r="H16" s="35"/>
      <c r="I16" s="282"/>
      <c r="J16" s="283"/>
      <c r="K16" s="284"/>
      <c r="L16" s="35"/>
      <c r="AQ16" s="152" t="s">
        <v>108</v>
      </c>
      <c r="AR16" s="153"/>
      <c r="AS16" s="153"/>
      <c r="AT16" s="154" t="e">
        <f ca="1">AT11*SQRT(C15/365)</f>
        <v>#NUM!</v>
      </c>
      <c r="AU16" s="164" t="e">
        <f t="shared" ca="1" si="4"/>
        <v>#NUM!</v>
      </c>
      <c r="AV16" s="165" t="e">
        <f t="shared" ca="1" si="5"/>
        <v>#NUM!</v>
      </c>
      <c r="AW16" s="164" t="e">
        <f t="shared" ca="1" si="6"/>
        <v>#NUM!</v>
      </c>
      <c r="AX16" s="165" t="e">
        <f t="shared" ca="1" si="7"/>
        <v>#NUM!</v>
      </c>
    </row>
    <row r="17" spans="1:50" s="126" customFormat="1" x14ac:dyDescent="0.35">
      <c r="A17" s="35"/>
      <c r="B17" s="41" t="s">
        <v>22</v>
      </c>
      <c r="C17" s="42">
        <v>20</v>
      </c>
      <c r="D17" s="35"/>
      <c r="E17" s="43"/>
      <c r="F17" s="44"/>
      <c r="G17" s="45"/>
      <c r="H17" s="35"/>
      <c r="I17" s="285"/>
      <c r="J17" s="286"/>
      <c r="K17" s="287"/>
      <c r="L17" s="35"/>
    </row>
    <row r="18" spans="1:50" s="126" customFormat="1" ht="14.25" x14ac:dyDescent="0.35">
      <c r="A18" s="35"/>
      <c r="B18" s="46" t="s">
        <v>65</v>
      </c>
      <c r="C18" s="51" t="e">
        <f ca="1">(C14-C19)^2</f>
        <v>#NUM!</v>
      </c>
      <c r="D18" s="35"/>
      <c r="E18" s="46"/>
      <c r="F18" s="46"/>
      <c r="G18" s="46"/>
      <c r="H18" s="35"/>
      <c r="I18" s="47"/>
      <c r="J18" s="47"/>
      <c r="K18" s="47"/>
      <c r="L18" s="35"/>
    </row>
    <row r="19" spans="1:50" s="126" customFormat="1" ht="14.25" x14ac:dyDescent="0.4">
      <c r="A19" s="35"/>
      <c r="B19" s="138" t="str">
        <f>Q55</f>
        <v>American put price (Model)</v>
      </c>
      <c r="C19" s="52" t="e">
        <f ca="1">R55</f>
        <v>#NUM!</v>
      </c>
      <c r="D19" s="35"/>
      <c r="E19" s="46"/>
      <c r="F19" s="46"/>
      <c r="G19" s="46"/>
      <c r="H19" s="35"/>
      <c r="I19" s="47"/>
      <c r="J19" s="47"/>
      <c r="K19" s="47"/>
      <c r="L19" s="35"/>
    </row>
    <row r="20" spans="1:50" s="126" customFormat="1" x14ac:dyDescent="0.3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</row>
    <row r="21" spans="1:50" s="126" customFormat="1" x14ac:dyDescent="0.35">
      <c r="A21" s="125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</row>
    <row r="22" spans="1:50" x14ac:dyDescent="0.35">
      <c r="AQ22" s="126"/>
      <c r="AR22" s="126"/>
      <c r="AS22" s="126"/>
      <c r="AT22" s="126"/>
      <c r="AU22" s="126"/>
      <c r="AV22" s="126"/>
      <c r="AW22" s="126"/>
      <c r="AX22" s="126"/>
    </row>
    <row r="23" spans="1:50" s="126" customFormat="1" ht="14.25" x14ac:dyDescent="0.4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Q23" s="128" t="s">
        <v>25</v>
      </c>
      <c r="R23" s="129">
        <v>0</v>
      </c>
      <c r="S23" s="129">
        <v>1</v>
      </c>
      <c r="T23" s="129">
        <v>2</v>
      </c>
      <c r="U23" s="129">
        <v>3</v>
      </c>
      <c r="V23" s="129">
        <v>4</v>
      </c>
      <c r="W23" s="129">
        <v>5</v>
      </c>
      <c r="X23" s="129">
        <v>6</v>
      </c>
      <c r="Y23" s="129">
        <v>7</v>
      </c>
      <c r="Z23" s="129">
        <v>8</v>
      </c>
      <c r="AA23" s="129">
        <v>9</v>
      </c>
      <c r="AB23" s="129">
        <v>10</v>
      </c>
      <c r="AC23" s="129">
        <v>11</v>
      </c>
      <c r="AD23" s="129">
        <v>12</v>
      </c>
      <c r="AE23" s="129">
        <v>13</v>
      </c>
      <c r="AF23" s="129">
        <v>14</v>
      </c>
      <c r="AG23" s="129">
        <v>15</v>
      </c>
      <c r="AH23" s="129">
        <v>16</v>
      </c>
      <c r="AI23" s="129">
        <v>17</v>
      </c>
      <c r="AJ23" s="129">
        <v>18</v>
      </c>
      <c r="AK23" s="129">
        <v>19</v>
      </c>
      <c r="AL23" s="129">
        <v>20</v>
      </c>
      <c r="AM23" s="129"/>
      <c r="AN23" s="129"/>
      <c r="AQ23" s="125"/>
      <c r="AR23" s="125"/>
      <c r="AS23" s="125"/>
      <c r="AT23" s="125"/>
      <c r="AU23" s="125"/>
      <c r="AV23" s="125"/>
      <c r="AW23" s="125"/>
      <c r="AX23" s="125"/>
    </row>
    <row r="24" spans="1:50" s="126" customFormat="1" ht="14.25" x14ac:dyDescent="0.45">
      <c r="A24" s="9"/>
      <c r="B24" s="269" t="s">
        <v>96</v>
      </c>
      <c r="C24" s="270"/>
      <c r="D24" s="270"/>
      <c r="E24" s="270"/>
      <c r="F24" s="270"/>
      <c r="G24" s="270"/>
      <c r="H24" s="270"/>
      <c r="I24" s="270"/>
      <c r="J24" s="270"/>
      <c r="K24" s="271"/>
      <c r="L24" s="9"/>
      <c r="Q24" s="128" t="s">
        <v>26</v>
      </c>
      <c r="R24" s="130">
        <f ca="1">R23*_dt</f>
        <v>0</v>
      </c>
      <c r="S24" s="130">
        <f t="shared" ref="S24:AL24" ca="1" si="8">S23*_dt</f>
        <v>-6.193287671232877</v>
      </c>
      <c r="T24" s="130">
        <f t="shared" ca="1" si="8"/>
        <v>-12.386575342465754</v>
      </c>
      <c r="U24" s="130">
        <f t="shared" ca="1" si="8"/>
        <v>-18.579863013698631</v>
      </c>
      <c r="V24" s="130">
        <f t="shared" ca="1" si="8"/>
        <v>-24.773150684931508</v>
      </c>
      <c r="W24" s="130">
        <f t="shared" ca="1" si="8"/>
        <v>-30.966438356164385</v>
      </c>
      <c r="X24" s="130">
        <f t="shared" ca="1" si="8"/>
        <v>-37.159726027397262</v>
      </c>
      <c r="Y24" s="130">
        <f t="shared" ca="1" si="8"/>
        <v>-43.353013698630136</v>
      </c>
      <c r="Z24" s="130">
        <f t="shared" ca="1" si="8"/>
        <v>-49.546301369863016</v>
      </c>
      <c r="AA24" s="130">
        <f t="shared" ca="1" si="8"/>
        <v>-55.739589041095897</v>
      </c>
      <c r="AB24" s="130">
        <f t="shared" ca="1" si="8"/>
        <v>-61.93287671232877</v>
      </c>
      <c r="AC24" s="130">
        <f t="shared" ca="1" si="8"/>
        <v>-68.126164383561644</v>
      </c>
      <c r="AD24" s="130">
        <f t="shared" ca="1" si="8"/>
        <v>-74.319452054794525</v>
      </c>
      <c r="AE24" s="130">
        <f t="shared" ca="1" si="8"/>
        <v>-80.512739726027405</v>
      </c>
      <c r="AF24" s="130">
        <f t="shared" ca="1" si="8"/>
        <v>-86.706027397260272</v>
      </c>
      <c r="AG24" s="130">
        <f t="shared" ca="1" si="8"/>
        <v>-92.899315068493152</v>
      </c>
      <c r="AH24" s="130">
        <f t="shared" ca="1" si="8"/>
        <v>-99.092602739726033</v>
      </c>
      <c r="AI24" s="130">
        <f t="shared" ca="1" si="8"/>
        <v>-105.28589041095891</v>
      </c>
      <c r="AJ24" s="130">
        <f t="shared" ca="1" si="8"/>
        <v>-111.47917808219179</v>
      </c>
      <c r="AK24" s="130">
        <f t="shared" ca="1" si="8"/>
        <v>-117.67246575342466</v>
      </c>
      <c r="AL24" s="130">
        <f t="shared" ca="1" si="8"/>
        <v>-123.86575342465754</v>
      </c>
      <c r="AM24" s="130"/>
      <c r="AN24" s="130"/>
    </row>
    <row r="25" spans="1:50" s="126" customFormat="1" ht="14.25" x14ac:dyDescent="0.45">
      <c r="A25" s="9"/>
      <c r="B25" s="272"/>
      <c r="C25" s="273"/>
      <c r="D25" s="273"/>
      <c r="E25" s="273"/>
      <c r="F25" s="273"/>
      <c r="G25" s="273"/>
      <c r="H25" s="273"/>
      <c r="I25" s="273"/>
      <c r="J25" s="273"/>
      <c r="K25" s="274"/>
      <c r="L25" s="9"/>
      <c r="Q25" s="131"/>
    </row>
    <row r="26" spans="1:50" s="126" customFormat="1" ht="14.25" x14ac:dyDescent="0.45">
      <c r="A26" s="9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9"/>
      <c r="Q26" s="128" t="s">
        <v>34</v>
      </c>
      <c r="R26" s="132">
        <f>_S</f>
        <v>0</v>
      </c>
      <c r="S26" s="132" t="e">
        <f ca="1">R26*_u</f>
        <v>#NUM!</v>
      </c>
      <c r="T26" s="132" t="e">
        <f ca="1">S26*_u</f>
        <v>#NUM!</v>
      </c>
      <c r="U26" s="132" t="e">
        <f ca="1">T26*_u</f>
        <v>#NUM!</v>
      </c>
      <c r="V26" s="132" t="e">
        <f t="shared" ref="V26:AA26" ca="1" si="9">U26*_u</f>
        <v>#NUM!</v>
      </c>
      <c r="W26" s="132" t="e">
        <f t="shared" ca="1" si="9"/>
        <v>#NUM!</v>
      </c>
      <c r="X26" s="132" t="e">
        <f t="shared" ca="1" si="9"/>
        <v>#NUM!</v>
      </c>
      <c r="Y26" s="132" t="e">
        <f t="shared" ca="1" si="9"/>
        <v>#NUM!</v>
      </c>
      <c r="Z26" s="132" t="e">
        <f t="shared" ca="1" si="9"/>
        <v>#NUM!</v>
      </c>
      <c r="AA26" s="132" t="e">
        <f t="shared" ca="1" si="9"/>
        <v>#NUM!</v>
      </c>
      <c r="AB26" s="132" t="e">
        <f t="shared" ref="AB26" ca="1" si="10">AA26*_u</f>
        <v>#NUM!</v>
      </c>
      <c r="AC26" s="132" t="e">
        <f t="shared" ref="AC26" ca="1" si="11">AB26*_u</f>
        <v>#NUM!</v>
      </c>
      <c r="AD26" s="132" t="e">
        <f t="shared" ref="AD26" ca="1" si="12">AC26*_u</f>
        <v>#NUM!</v>
      </c>
      <c r="AE26" s="132" t="e">
        <f t="shared" ref="AE26" ca="1" si="13">AD26*_u</f>
        <v>#NUM!</v>
      </c>
      <c r="AF26" s="132" t="e">
        <f t="shared" ref="AF26" ca="1" si="14">AE26*_u</f>
        <v>#NUM!</v>
      </c>
      <c r="AG26" s="132" t="e">
        <f t="shared" ref="AG26" ca="1" si="15">AF26*_u</f>
        <v>#NUM!</v>
      </c>
      <c r="AH26" s="132" t="e">
        <f t="shared" ref="AH26" ca="1" si="16">AG26*_u</f>
        <v>#NUM!</v>
      </c>
      <c r="AI26" s="132" t="e">
        <f t="shared" ref="AI26" ca="1" si="17">AH26*_u</f>
        <v>#NUM!</v>
      </c>
      <c r="AJ26" s="132" t="e">
        <f t="shared" ref="AJ26" ca="1" si="18">AI26*_u</f>
        <v>#NUM!</v>
      </c>
      <c r="AK26" s="132" t="e">
        <f t="shared" ref="AK26" ca="1" si="19">AJ26*_u</f>
        <v>#NUM!</v>
      </c>
      <c r="AL26" s="132" t="e">
        <f t="shared" ref="AL26" ca="1" si="20">AK26*_u</f>
        <v>#NUM!</v>
      </c>
      <c r="AM26" s="132"/>
      <c r="AN26" s="132"/>
    </row>
    <row r="27" spans="1:50" s="126" customFormat="1" ht="14.25" x14ac:dyDescent="0.45">
      <c r="A27" s="9"/>
      <c r="B27" s="109" t="s">
        <v>88</v>
      </c>
      <c r="C27" s="110"/>
      <c r="D27" s="110"/>
      <c r="E27" s="110"/>
      <c r="F27" s="110"/>
      <c r="G27" s="110"/>
      <c r="H27" s="110"/>
      <c r="I27" s="110"/>
      <c r="J27" s="110"/>
      <c r="K27" s="111"/>
      <c r="L27" s="9"/>
      <c r="Q27" s="131"/>
      <c r="R27" s="132"/>
      <c r="S27" s="132" t="e">
        <f t="shared" ref="S27:S35" ca="1" si="21">IF(ROW() -ROW($R$26)&gt;S$23,"",S26*_d/_u)</f>
        <v>#NUM!</v>
      </c>
      <c r="T27" s="132" t="e">
        <f t="shared" ref="T27:T35" ca="1" si="22">IF(ROW() -ROW($R$26)&gt;T$23,"",T26*_d/_u)</f>
        <v>#NUM!</v>
      </c>
      <c r="U27" s="132" t="e">
        <f t="shared" ref="U27:U35" ca="1" si="23">IF(ROW() -ROW($R$26)&gt;U$23,"",U26*_d/_u)</f>
        <v>#NUM!</v>
      </c>
      <c r="V27" s="132" t="e">
        <f t="shared" ref="V27:V35" ca="1" si="24">IF(ROW() -ROW($R$26)&gt;V$23,"",V26*_d/_u)</f>
        <v>#NUM!</v>
      </c>
      <c r="W27" s="132" t="e">
        <f t="shared" ref="W27:W35" ca="1" si="25">IF(ROW() -ROW($R$26)&gt;W$23,"",W26*_d/_u)</f>
        <v>#NUM!</v>
      </c>
      <c r="X27" s="132" t="e">
        <f t="shared" ref="X27:X35" ca="1" si="26">IF(ROW() -ROW($R$26)&gt;X$23,"",X26*_d/_u)</f>
        <v>#NUM!</v>
      </c>
      <c r="Y27" s="132" t="e">
        <f t="shared" ref="Y27:Y35" ca="1" si="27">IF(ROW() -ROW($R$26)&gt;Y$23,"",Y26*_d/_u)</f>
        <v>#NUM!</v>
      </c>
      <c r="Z27" s="132" t="e">
        <f t="shared" ref="Z27:Z35" ca="1" si="28">IF(ROW() -ROW($R$26)&gt;Z$23,"",Z26*_d/_u)</f>
        <v>#NUM!</v>
      </c>
      <c r="AA27" s="132" t="e">
        <f t="shared" ref="AA27:AL35" ca="1" si="29">IF(ROW() -ROW($R$26)&gt;AA$23,"",AA26*_d/_u)</f>
        <v>#NUM!</v>
      </c>
      <c r="AB27" s="132" t="e">
        <f t="shared" ca="1" si="29"/>
        <v>#NUM!</v>
      </c>
      <c r="AC27" s="132" t="e">
        <f t="shared" ca="1" si="29"/>
        <v>#NUM!</v>
      </c>
      <c r="AD27" s="132" t="e">
        <f t="shared" ca="1" si="29"/>
        <v>#NUM!</v>
      </c>
      <c r="AE27" s="132" t="e">
        <f t="shared" ca="1" si="29"/>
        <v>#NUM!</v>
      </c>
      <c r="AF27" s="132" t="e">
        <f t="shared" ca="1" si="29"/>
        <v>#NUM!</v>
      </c>
      <c r="AG27" s="132" t="e">
        <f t="shared" ca="1" si="29"/>
        <v>#NUM!</v>
      </c>
      <c r="AH27" s="132" t="e">
        <f t="shared" ca="1" si="29"/>
        <v>#NUM!</v>
      </c>
      <c r="AI27" s="132" t="e">
        <f t="shared" ca="1" si="29"/>
        <v>#NUM!</v>
      </c>
      <c r="AJ27" s="132" t="e">
        <f t="shared" ca="1" si="29"/>
        <v>#NUM!</v>
      </c>
      <c r="AK27" s="132" t="e">
        <f t="shared" ca="1" si="29"/>
        <v>#NUM!</v>
      </c>
      <c r="AL27" s="132" t="e">
        <f t="shared" ca="1" si="29"/>
        <v>#NUM!</v>
      </c>
      <c r="AM27" s="132"/>
      <c r="AN27" s="132"/>
    </row>
    <row r="28" spans="1:50" s="126" customFormat="1" ht="14.25" x14ac:dyDescent="0.45">
      <c r="A28" s="9"/>
      <c r="B28" s="99" t="s">
        <v>78</v>
      </c>
      <c r="C28" s="90" t="s">
        <v>79</v>
      </c>
      <c r="D28" s="91"/>
      <c r="E28" s="91"/>
      <c r="F28" s="90" t="s">
        <v>80</v>
      </c>
      <c r="G28" s="89"/>
      <c r="H28" s="89"/>
      <c r="I28" s="89"/>
      <c r="J28" s="89"/>
      <c r="K28" s="98"/>
      <c r="L28" s="9"/>
      <c r="Q28" s="131"/>
      <c r="R28" s="132"/>
      <c r="S28" s="132" t="str">
        <f t="shared" si="21"/>
        <v/>
      </c>
      <c r="T28" s="132" t="e">
        <f t="shared" ca="1" si="22"/>
        <v>#NUM!</v>
      </c>
      <c r="U28" s="132" t="e">
        <f t="shared" ca="1" si="23"/>
        <v>#NUM!</v>
      </c>
      <c r="V28" s="132" t="e">
        <f t="shared" ca="1" si="24"/>
        <v>#NUM!</v>
      </c>
      <c r="W28" s="132" t="e">
        <f t="shared" ca="1" si="25"/>
        <v>#NUM!</v>
      </c>
      <c r="X28" s="132" t="e">
        <f t="shared" ca="1" si="26"/>
        <v>#NUM!</v>
      </c>
      <c r="Y28" s="132" t="e">
        <f t="shared" ca="1" si="27"/>
        <v>#NUM!</v>
      </c>
      <c r="Z28" s="132" t="e">
        <f t="shared" ca="1" si="28"/>
        <v>#NUM!</v>
      </c>
      <c r="AA28" s="132" t="e">
        <f t="shared" ca="1" si="29"/>
        <v>#NUM!</v>
      </c>
      <c r="AB28" s="132" t="e">
        <f t="shared" ref="AB28:AL28" ca="1" si="30">IF(ROW() -ROW($R$26)&gt;AB$23,"",AB27*_d/_u)</f>
        <v>#NUM!</v>
      </c>
      <c r="AC28" s="132" t="e">
        <f t="shared" ca="1" si="30"/>
        <v>#NUM!</v>
      </c>
      <c r="AD28" s="132" t="e">
        <f t="shared" ca="1" si="30"/>
        <v>#NUM!</v>
      </c>
      <c r="AE28" s="132" t="e">
        <f t="shared" ca="1" si="30"/>
        <v>#NUM!</v>
      </c>
      <c r="AF28" s="132" t="e">
        <f t="shared" ca="1" si="30"/>
        <v>#NUM!</v>
      </c>
      <c r="AG28" s="132" t="e">
        <f t="shared" ca="1" si="30"/>
        <v>#NUM!</v>
      </c>
      <c r="AH28" s="132" t="e">
        <f t="shared" ca="1" si="30"/>
        <v>#NUM!</v>
      </c>
      <c r="AI28" s="132" t="e">
        <f t="shared" ca="1" si="30"/>
        <v>#NUM!</v>
      </c>
      <c r="AJ28" s="132" t="e">
        <f t="shared" ca="1" si="30"/>
        <v>#NUM!</v>
      </c>
      <c r="AK28" s="132" t="e">
        <f t="shared" ca="1" si="30"/>
        <v>#NUM!</v>
      </c>
      <c r="AL28" s="132" t="e">
        <f t="shared" ca="1" si="30"/>
        <v>#NUM!</v>
      </c>
      <c r="AM28" s="132"/>
      <c r="AN28" s="132"/>
    </row>
    <row r="29" spans="1:50" s="126" customFormat="1" ht="14.25" x14ac:dyDescent="0.45">
      <c r="A29" s="9"/>
      <c r="B29" s="100" t="s">
        <v>81</v>
      </c>
      <c r="C29" s="92" t="s">
        <v>82</v>
      </c>
      <c r="D29" s="92"/>
      <c r="E29" s="92"/>
      <c r="F29" s="90" t="s">
        <v>83</v>
      </c>
      <c r="G29" s="89"/>
      <c r="H29" s="89"/>
      <c r="I29" s="89"/>
      <c r="J29" s="89"/>
      <c r="K29" s="98"/>
      <c r="L29" s="9"/>
      <c r="Q29" s="131"/>
      <c r="R29" s="132"/>
      <c r="S29" s="132" t="str">
        <f t="shared" si="21"/>
        <v/>
      </c>
      <c r="T29" s="132" t="str">
        <f t="shared" si="22"/>
        <v/>
      </c>
      <c r="U29" s="132" t="e">
        <f ca="1">IF(ROW() -ROW($R$26)&gt;U$23,"",U28*_d/_u)</f>
        <v>#NUM!</v>
      </c>
      <c r="V29" s="132" t="e">
        <f t="shared" ca="1" si="24"/>
        <v>#NUM!</v>
      </c>
      <c r="W29" s="132" t="e">
        <f t="shared" ca="1" si="25"/>
        <v>#NUM!</v>
      </c>
      <c r="X29" s="132" t="e">
        <f t="shared" ca="1" si="26"/>
        <v>#NUM!</v>
      </c>
      <c r="Y29" s="132" t="e">
        <f t="shared" ca="1" si="27"/>
        <v>#NUM!</v>
      </c>
      <c r="Z29" s="132" t="e">
        <f t="shared" ca="1" si="28"/>
        <v>#NUM!</v>
      </c>
      <c r="AA29" s="132" t="e">
        <f t="shared" ca="1" si="29"/>
        <v>#NUM!</v>
      </c>
      <c r="AB29" s="132" t="e">
        <f t="shared" ref="AB29:AL29" ca="1" si="31">IF(ROW() -ROW($R$26)&gt;AB$23,"",AB28*_d/_u)</f>
        <v>#NUM!</v>
      </c>
      <c r="AC29" s="132" t="e">
        <f t="shared" ca="1" si="31"/>
        <v>#NUM!</v>
      </c>
      <c r="AD29" s="132" t="e">
        <f t="shared" ca="1" si="31"/>
        <v>#NUM!</v>
      </c>
      <c r="AE29" s="132" t="e">
        <f t="shared" ca="1" si="31"/>
        <v>#NUM!</v>
      </c>
      <c r="AF29" s="132" t="e">
        <f t="shared" ca="1" si="31"/>
        <v>#NUM!</v>
      </c>
      <c r="AG29" s="132" t="e">
        <f t="shared" ca="1" si="31"/>
        <v>#NUM!</v>
      </c>
      <c r="AH29" s="132" t="e">
        <f t="shared" ca="1" si="31"/>
        <v>#NUM!</v>
      </c>
      <c r="AI29" s="132" t="e">
        <f t="shared" ca="1" si="31"/>
        <v>#NUM!</v>
      </c>
      <c r="AJ29" s="132" t="e">
        <f t="shared" ca="1" si="31"/>
        <v>#NUM!</v>
      </c>
      <c r="AK29" s="132" t="e">
        <f t="shared" ca="1" si="31"/>
        <v>#NUM!</v>
      </c>
      <c r="AL29" s="132" t="e">
        <f t="shared" ca="1" si="31"/>
        <v>#NUM!</v>
      </c>
      <c r="AM29" s="132"/>
      <c r="AN29" s="132"/>
    </row>
    <row r="30" spans="1:50" s="126" customFormat="1" ht="14.25" x14ac:dyDescent="0.45">
      <c r="A30" s="9"/>
      <c r="B30" s="100" t="s">
        <v>84</v>
      </c>
      <c r="C30" s="92" t="s">
        <v>85</v>
      </c>
      <c r="D30" s="92"/>
      <c r="E30" s="92"/>
      <c r="F30" s="91"/>
      <c r="G30" s="89"/>
      <c r="H30" s="89"/>
      <c r="I30" s="89"/>
      <c r="J30" s="89"/>
      <c r="K30" s="98"/>
      <c r="L30" s="9"/>
      <c r="Q30" s="131"/>
      <c r="R30" s="132"/>
      <c r="S30" s="132" t="str">
        <f t="shared" si="21"/>
        <v/>
      </c>
      <c r="T30" s="132" t="str">
        <f t="shared" si="22"/>
        <v/>
      </c>
      <c r="U30" s="132" t="str">
        <f t="shared" si="23"/>
        <v/>
      </c>
      <c r="V30" s="132" t="e">
        <f t="shared" ca="1" si="24"/>
        <v>#NUM!</v>
      </c>
      <c r="W30" s="132" t="e">
        <f t="shared" ca="1" si="25"/>
        <v>#NUM!</v>
      </c>
      <c r="X30" s="132" t="e">
        <f t="shared" ca="1" si="26"/>
        <v>#NUM!</v>
      </c>
      <c r="Y30" s="132" t="e">
        <f t="shared" ca="1" si="27"/>
        <v>#NUM!</v>
      </c>
      <c r="Z30" s="132" t="e">
        <f t="shared" ca="1" si="28"/>
        <v>#NUM!</v>
      </c>
      <c r="AA30" s="132" t="e">
        <f t="shared" ca="1" si="29"/>
        <v>#NUM!</v>
      </c>
      <c r="AB30" s="132" t="e">
        <f t="shared" ref="AB30:AL30" ca="1" si="32">IF(ROW() -ROW($R$26)&gt;AB$23,"",AB29*_d/_u)</f>
        <v>#NUM!</v>
      </c>
      <c r="AC30" s="132" t="e">
        <f t="shared" ca="1" si="32"/>
        <v>#NUM!</v>
      </c>
      <c r="AD30" s="132" t="e">
        <f t="shared" ca="1" si="32"/>
        <v>#NUM!</v>
      </c>
      <c r="AE30" s="132" t="e">
        <f t="shared" ca="1" si="32"/>
        <v>#NUM!</v>
      </c>
      <c r="AF30" s="132" t="e">
        <f t="shared" ca="1" si="32"/>
        <v>#NUM!</v>
      </c>
      <c r="AG30" s="132" t="e">
        <f t="shared" ca="1" si="32"/>
        <v>#NUM!</v>
      </c>
      <c r="AH30" s="132" t="e">
        <f t="shared" ca="1" si="32"/>
        <v>#NUM!</v>
      </c>
      <c r="AI30" s="132" t="e">
        <f t="shared" ca="1" si="32"/>
        <v>#NUM!</v>
      </c>
      <c r="AJ30" s="132" t="e">
        <f t="shared" ca="1" si="32"/>
        <v>#NUM!</v>
      </c>
      <c r="AK30" s="132" t="e">
        <f t="shared" ca="1" si="32"/>
        <v>#NUM!</v>
      </c>
      <c r="AL30" s="132" t="e">
        <f t="shared" ca="1" si="32"/>
        <v>#NUM!</v>
      </c>
      <c r="AM30" s="132"/>
      <c r="AN30" s="132"/>
    </row>
    <row r="31" spans="1:50" s="126" customFormat="1" ht="14.25" x14ac:dyDescent="0.45">
      <c r="A31" s="9"/>
      <c r="B31" s="100" t="s">
        <v>86</v>
      </c>
      <c r="C31" s="93" t="s">
        <v>87</v>
      </c>
      <c r="D31" s="92"/>
      <c r="E31" s="92"/>
      <c r="F31" s="91"/>
      <c r="G31" s="89"/>
      <c r="H31" s="89"/>
      <c r="I31" s="89"/>
      <c r="J31" s="89"/>
      <c r="K31" s="98"/>
      <c r="L31" s="9"/>
      <c r="Q31" s="131"/>
      <c r="R31" s="132"/>
      <c r="S31" s="132" t="str">
        <f t="shared" si="21"/>
        <v/>
      </c>
      <c r="T31" s="132" t="str">
        <f t="shared" si="22"/>
        <v/>
      </c>
      <c r="U31" s="132" t="str">
        <f t="shared" si="23"/>
        <v/>
      </c>
      <c r="V31" s="132" t="str">
        <f t="shared" si="24"/>
        <v/>
      </c>
      <c r="W31" s="132" t="e">
        <f t="shared" ca="1" si="25"/>
        <v>#NUM!</v>
      </c>
      <c r="X31" s="132" t="e">
        <f t="shared" ca="1" si="26"/>
        <v>#NUM!</v>
      </c>
      <c r="Y31" s="132" t="e">
        <f t="shared" ca="1" si="27"/>
        <v>#NUM!</v>
      </c>
      <c r="Z31" s="132" t="e">
        <f t="shared" ca="1" si="28"/>
        <v>#NUM!</v>
      </c>
      <c r="AA31" s="132" t="e">
        <f t="shared" ca="1" si="29"/>
        <v>#NUM!</v>
      </c>
      <c r="AB31" s="132" t="e">
        <f t="shared" ref="AB31:AL31" ca="1" si="33">IF(ROW() -ROW($R$26)&gt;AB$23,"",AB30*_d/_u)</f>
        <v>#NUM!</v>
      </c>
      <c r="AC31" s="132" t="e">
        <f t="shared" ca="1" si="33"/>
        <v>#NUM!</v>
      </c>
      <c r="AD31" s="132" t="e">
        <f t="shared" ca="1" si="33"/>
        <v>#NUM!</v>
      </c>
      <c r="AE31" s="132" t="e">
        <f t="shared" ca="1" si="33"/>
        <v>#NUM!</v>
      </c>
      <c r="AF31" s="132" t="e">
        <f t="shared" ca="1" si="33"/>
        <v>#NUM!</v>
      </c>
      <c r="AG31" s="132" t="e">
        <f t="shared" ca="1" si="33"/>
        <v>#NUM!</v>
      </c>
      <c r="AH31" s="132" t="e">
        <f t="shared" ca="1" si="33"/>
        <v>#NUM!</v>
      </c>
      <c r="AI31" s="132" t="e">
        <f t="shared" ca="1" si="33"/>
        <v>#NUM!</v>
      </c>
      <c r="AJ31" s="132" t="e">
        <f t="shared" ca="1" si="33"/>
        <v>#NUM!</v>
      </c>
      <c r="AK31" s="132" t="e">
        <f t="shared" ca="1" si="33"/>
        <v>#NUM!</v>
      </c>
      <c r="AL31" s="132" t="e">
        <f t="shared" ca="1" si="33"/>
        <v>#NUM!</v>
      </c>
      <c r="AM31" s="132"/>
      <c r="AN31" s="132"/>
    </row>
    <row r="32" spans="1:50" s="126" customFormat="1" ht="14.25" x14ac:dyDescent="0.45">
      <c r="A32" s="9"/>
      <c r="B32" s="101"/>
      <c r="C32" s="89"/>
      <c r="D32" s="89"/>
      <c r="E32" s="89"/>
      <c r="F32" s="89"/>
      <c r="G32" s="89"/>
      <c r="H32" s="89"/>
      <c r="I32" s="89"/>
      <c r="J32" s="89"/>
      <c r="K32" s="98"/>
      <c r="L32" s="9"/>
      <c r="Q32" s="131"/>
      <c r="R32" s="132"/>
      <c r="S32" s="132" t="str">
        <f t="shared" si="21"/>
        <v/>
      </c>
      <c r="T32" s="132" t="str">
        <f t="shared" si="22"/>
        <v/>
      </c>
      <c r="U32" s="132" t="str">
        <f t="shared" si="23"/>
        <v/>
      </c>
      <c r="V32" s="132" t="str">
        <f t="shared" si="24"/>
        <v/>
      </c>
      <c r="W32" s="132" t="str">
        <f t="shared" si="25"/>
        <v/>
      </c>
      <c r="X32" s="132" t="e">
        <f t="shared" ca="1" si="26"/>
        <v>#NUM!</v>
      </c>
      <c r="Y32" s="132" t="e">
        <f t="shared" ca="1" si="27"/>
        <v>#NUM!</v>
      </c>
      <c r="Z32" s="132" t="e">
        <f t="shared" ca="1" si="28"/>
        <v>#NUM!</v>
      </c>
      <c r="AA32" s="132" t="e">
        <f t="shared" ca="1" si="29"/>
        <v>#NUM!</v>
      </c>
      <c r="AB32" s="132" t="e">
        <f t="shared" ref="AB32:AL32" ca="1" si="34">IF(ROW() -ROW($R$26)&gt;AB$23,"",AB31*_d/_u)</f>
        <v>#NUM!</v>
      </c>
      <c r="AC32" s="132" t="e">
        <f t="shared" ca="1" si="34"/>
        <v>#NUM!</v>
      </c>
      <c r="AD32" s="132" t="e">
        <f t="shared" ca="1" si="34"/>
        <v>#NUM!</v>
      </c>
      <c r="AE32" s="132" t="e">
        <f t="shared" ca="1" si="34"/>
        <v>#NUM!</v>
      </c>
      <c r="AF32" s="132" t="e">
        <f t="shared" ca="1" si="34"/>
        <v>#NUM!</v>
      </c>
      <c r="AG32" s="132" t="e">
        <f t="shared" ca="1" si="34"/>
        <v>#NUM!</v>
      </c>
      <c r="AH32" s="132" t="e">
        <f t="shared" ca="1" si="34"/>
        <v>#NUM!</v>
      </c>
      <c r="AI32" s="132" t="e">
        <f t="shared" ca="1" si="34"/>
        <v>#NUM!</v>
      </c>
      <c r="AJ32" s="132" t="e">
        <f t="shared" ca="1" si="34"/>
        <v>#NUM!</v>
      </c>
      <c r="AK32" s="132" t="e">
        <f t="shared" ca="1" si="34"/>
        <v>#NUM!</v>
      </c>
      <c r="AL32" s="132" t="e">
        <f t="shared" ca="1" si="34"/>
        <v>#NUM!</v>
      </c>
      <c r="AM32" s="132"/>
      <c r="AN32" s="132"/>
    </row>
    <row r="33" spans="1:50" s="126" customFormat="1" ht="14.25" x14ac:dyDescent="0.45">
      <c r="A33" s="9"/>
      <c r="B33" s="88" t="s">
        <v>89</v>
      </c>
      <c r="C33" s="89"/>
      <c r="D33" s="89"/>
      <c r="E33" s="89"/>
      <c r="F33" s="89"/>
      <c r="G33" s="89"/>
      <c r="H33" s="89"/>
      <c r="I33" s="89"/>
      <c r="J33" s="89"/>
      <c r="K33" s="98"/>
      <c r="L33" s="9"/>
      <c r="Q33" s="131"/>
      <c r="R33" s="132"/>
      <c r="S33" s="132" t="str">
        <f t="shared" si="21"/>
        <v/>
      </c>
      <c r="T33" s="132" t="str">
        <f t="shared" si="22"/>
        <v/>
      </c>
      <c r="U33" s="132" t="str">
        <f t="shared" si="23"/>
        <v/>
      </c>
      <c r="V33" s="132" t="str">
        <f t="shared" si="24"/>
        <v/>
      </c>
      <c r="W33" s="132" t="str">
        <f t="shared" si="25"/>
        <v/>
      </c>
      <c r="X33" s="132" t="str">
        <f t="shared" si="26"/>
        <v/>
      </c>
      <c r="Y33" s="132" t="e">
        <f t="shared" ca="1" si="27"/>
        <v>#NUM!</v>
      </c>
      <c r="Z33" s="132" t="e">
        <f t="shared" ca="1" si="28"/>
        <v>#NUM!</v>
      </c>
      <c r="AA33" s="132" t="e">
        <f t="shared" ca="1" si="29"/>
        <v>#NUM!</v>
      </c>
      <c r="AB33" s="132" t="e">
        <f t="shared" ref="AB33:AL33" ca="1" si="35">IF(ROW() -ROW($R$26)&gt;AB$23,"",AB32*_d/_u)</f>
        <v>#NUM!</v>
      </c>
      <c r="AC33" s="132" t="e">
        <f t="shared" ca="1" si="35"/>
        <v>#NUM!</v>
      </c>
      <c r="AD33" s="132" t="e">
        <f t="shared" ca="1" si="35"/>
        <v>#NUM!</v>
      </c>
      <c r="AE33" s="132" t="e">
        <f t="shared" ca="1" si="35"/>
        <v>#NUM!</v>
      </c>
      <c r="AF33" s="132" t="e">
        <f t="shared" ca="1" si="35"/>
        <v>#NUM!</v>
      </c>
      <c r="AG33" s="132" t="e">
        <f t="shared" ca="1" si="35"/>
        <v>#NUM!</v>
      </c>
      <c r="AH33" s="132" t="e">
        <f t="shared" ca="1" si="35"/>
        <v>#NUM!</v>
      </c>
      <c r="AI33" s="132" t="e">
        <f t="shared" ca="1" si="35"/>
        <v>#NUM!</v>
      </c>
      <c r="AJ33" s="132" t="e">
        <f t="shared" ca="1" si="35"/>
        <v>#NUM!</v>
      </c>
      <c r="AK33" s="132" t="e">
        <f t="shared" ca="1" si="35"/>
        <v>#NUM!</v>
      </c>
      <c r="AL33" s="132" t="e">
        <f t="shared" ca="1" si="35"/>
        <v>#NUM!</v>
      </c>
      <c r="AM33" s="132"/>
      <c r="AN33" s="132"/>
    </row>
    <row r="34" spans="1:50" s="126" customFormat="1" ht="14.25" x14ac:dyDescent="0.45">
      <c r="A34" s="9"/>
      <c r="B34" s="277" t="s">
        <v>90</v>
      </c>
      <c r="C34" s="278"/>
      <c r="D34" s="278"/>
      <c r="E34" s="278"/>
      <c r="F34" s="275" t="s">
        <v>91</v>
      </c>
      <c r="G34" s="275"/>
      <c r="H34" s="275"/>
      <c r="I34" s="275"/>
      <c r="J34" s="275"/>
      <c r="K34" s="96"/>
      <c r="L34" s="9"/>
      <c r="Q34" s="131"/>
      <c r="R34" s="132"/>
      <c r="S34" s="132" t="str">
        <f t="shared" si="21"/>
        <v/>
      </c>
      <c r="T34" s="132" t="str">
        <f t="shared" si="22"/>
        <v/>
      </c>
      <c r="U34" s="132" t="str">
        <f t="shared" si="23"/>
        <v/>
      </c>
      <c r="V34" s="132" t="str">
        <f t="shared" si="24"/>
        <v/>
      </c>
      <c r="W34" s="132" t="str">
        <f t="shared" si="25"/>
        <v/>
      </c>
      <c r="X34" s="132" t="str">
        <f t="shared" si="26"/>
        <v/>
      </c>
      <c r="Y34" s="132" t="str">
        <f t="shared" si="27"/>
        <v/>
      </c>
      <c r="Z34" s="132" t="e">
        <f t="shared" ca="1" si="28"/>
        <v>#NUM!</v>
      </c>
      <c r="AA34" s="132" t="e">
        <f t="shared" ca="1" si="29"/>
        <v>#NUM!</v>
      </c>
      <c r="AB34" s="132" t="e">
        <f t="shared" ref="AB34:AL34" ca="1" si="36">IF(ROW() -ROW($R$26)&gt;AB$23,"",AB33*_d/_u)</f>
        <v>#NUM!</v>
      </c>
      <c r="AC34" s="132" t="e">
        <f t="shared" ca="1" si="36"/>
        <v>#NUM!</v>
      </c>
      <c r="AD34" s="132" t="e">
        <f t="shared" ca="1" si="36"/>
        <v>#NUM!</v>
      </c>
      <c r="AE34" s="132" t="e">
        <f t="shared" ca="1" si="36"/>
        <v>#NUM!</v>
      </c>
      <c r="AF34" s="132" t="e">
        <f t="shared" ca="1" si="36"/>
        <v>#NUM!</v>
      </c>
      <c r="AG34" s="132" t="e">
        <f t="shared" ca="1" si="36"/>
        <v>#NUM!</v>
      </c>
      <c r="AH34" s="132" t="e">
        <f t="shared" ca="1" si="36"/>
        <v>#NUM!</v>
      </c>
      <c r="AI34" s="132" t="e">
        <f t="shared" ca="1" si="36"/>
        <v>#NUM!</v>
      </c>
      <c r="AJ34" s="132" t="e">
        <f t="shared" ca="1" si="36"/>
        <v>#NUM!</v>
      </c>
      <c r="AK34" s="132" t="e">
        <f t="shared" ca="1" si="36"/>
        <v>#NUM!</v>
      </c>
      <c r="AL34" s="132" t="e">
        <f t="shared" ca="1" si="36"/>
        <v>#NUM!</v>
      </c>
      <c r="AM34" s="132"/>
      <c r="AN34" s="132"/>
    </row>
    <row r="35" spans="1:50" s="126" customFormat="1" ht="14.25" x14ac:dyDescent="0.45">
      <c r="A35" s="9"/>
      <c r="B35" s="277"/>
      <c r="C35" s="278"/>
      <c r="D35" s="278"/>
      <c r="E35" s="278"/>
      <c r="F35" s="275"/>
      <c r="G35" s="275"/>
      <c r="H35" s="275"/>
      <c r="I35" s="275"/>
      <c r="J35" s="275"/>
      <c r="K35" s="96"/>
      <c r="L35" s="108"/>
      <c r="Q35" s="131"/>
      <c r="R35" s="132"/>
      <c r="S35" s="132" t="str">
        <f t="shared" si="21"/>
        <v/>
      </c>
      <c r="T35" s="132" t="str">
        <f t="shared" si="22"/>
        <v/>
      </c>
      <c r="U35" s="132" t="str">
        <f t="shared" si="23"/>
        <v/>
      </c>
      <c r="V35" s="132" t="str">
        <f t="shared" si="24"/>
        <v/>
      </c>
      <c r="W35" s="132" t="str">
        <f t="shared" si="25"/>
        <v/>
      </c>
      <c r="X35" s="132" t="str">
        <f t="shared" si="26"/>
        <v/>
      </c>
      <c r="Y35" s="132" t="str">
        <f t="shared" si="27"/>
        <v/>
      </c>
      <c r="Z35" s="132" t="str">
        <f t="shared" si="28"/>
        <v/>
      </c>
      <c r="AA35" s="132" t="e">
        <f t="shared" ca="1" si="29"/>
        <v>#NUM!</v>
      </c>
      <c r="AB35" s="132" t="e">
        <f t="shared" ref="AB35:AL36" ca="1" si="37">IF(ROW() -ROW($R$26)&gt;AB$23,"",AB34*_d/_u)</f>
        <v>#NUM!</v>
      </c>
      <c r="AC35" s="132" t="e">
        <f t="shared" ca="1" si="37"/>
        <v>#NUM!</v>
      </c>
      <c r="AD35" s="132" t="e">
        <f t="shared" ca="1" si="37"/>
        <v>#NUM!</v>
      </c>
      <c r="AE35" s="132" t="e">
        <f t="shared" ca="1" si="37"/>
        <v>#NUM!</v>
      </c>
      <c r="AF35" s="132" t="e">
        <f t="shared" ca="1" si="37"/>
        <v>#NUM!</v>
      </c>
      <c r="AG35" s="132" t="e">
        <f t="shared" ca="1" si="37"/>
        <v>#NUM!</v>
      </c>
      <c r="AH35" s="132" t="e">
        <f t="shared" ca="1" si="37"/>
        <v>#NUM!</v>
      </c>
      <c r="AI35" s="132" t="e">
        <f t="shared" ca="1" si="37"/>
        <v>#NUM!</v>
      </c>
      <c r="AJ35" s="132" t="e">
        <f t="shared" ca="1" si="37"/>
        <v>#NUM!</v>
      </c>
      <c r="AK35" s="132" t="e">
        <f t="shared" ca="1" si="37"/>
        <v>#NUM!</v>
      </c>
      <c r="AL35" s="132" t="e">
        <f t="shared" ca="1" si="37"/>
        <v>#NUM!</v>
      </c>
      <c r="AM35" s="132"/>
      <c r="AN35" s="132"/>
    </row>
    <row r="36" spans="1:50" s="126" customFormat="1" ht="14.25" x14ac:dyDescent="0.45">
      <c r="A36" s="9"/>
      <c r="B36" s="102"/>
      <c r="C36" s="94"/>
      <c r="D36" s="94"/>
      <c r="E36" s="94"/>
      <c r="F36" s="94"/>
      <c r="G36" s="95"/>
      <c r="H36" s="95"/>
      <c r="I36" s="95"/>
      <c r="J36" s="94"/>
      <c r="K36" s="103"/>
      <c r="L36" s="108"/>
      <c r="Q36" s="131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 t="e">
        <f t="shared" ca="1" si="37"/>
        <v>#NUM!</v>
      </c>
      <c r="AC36" s="132" t="e">
        <f t="shared" ref="AC36:AL36" ca="1" si="38">IF(ROW() -ROW($R$26)&gt;AC$23,"",AC35*_d/_u)</f>
        <v>#NUM!</v>
      </c>
      <c r="AD36" s="132" t="e">
        <f t="shared" ca="1" si="38"/>
        <v>#NUM!</v>
      </c>
      <c r="AE36" s="132" t="e">
        <f t="shared" ca="1" si="38"/>
        <v>#NUM!</v>
      </c>
      <c r="AF36" s="132" t="e">
        <f t="shared" ca="1" si="38"/>
        <v>#NUM!</v>
      </c>
      <c r="AG36" s="132" t="e">
        <f t="shared" ca="1" si="38"/>
        <v>#NUM!</v>
      </c>
      <c r="AH36" s="132" t="e">
        <f t="shared" ca="1" si="38"/>
        <v>#NUM!</v>
      </c>
      <c r="AI36" s="132" t="e">
        <f t="shared" ca="1" si="38"/>
        <v>#NUM!</v>
      </c>
      <c r="AJ36" s="132" t="e">
        <f t="shared" ca="1" si="38"/>
        <v>#NUM!</v>
      </c>
      <c r="AK36" s="132" t="e">
        <f t="shared" ca="1" si="38"/>
        <v>#NUM!</v>
      </c>
      <c r="AL36" s="132" t="e">
        <f t="shared" ca="1" si="38"/>
        <v>#NUM!</v>
      </c>
      <c r="AM36" s="132"/>
      <c r="AN36" s="132"/>
    </row>
    <row r="37" spans="1:50" s="126" customFormat="1" ht="14.25" x14ac:dyDescent="0.45">
      <c r="A37" s="9"/>
      <c r="B37" s="88" t="s">
        <v>92</v>
      </c>
      <c r="C37" s="89"/>
      <c r="D37" s="89"/>
      <c r="E37" s="89"/>
      <c r="F37" s="89"/>
      <c r="G37" s="89"/>
      <c r="H37" s="89"/>
      <c r="I37" s="89"/>
      <c r="J37" s="94"/>
      <c r="K37" s="103"/>
      <c r="L37" s="108"/>
      <c r="Q37" s="131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 t="e">
        <f t="shared" ref="AC37:AL37" ca="1" si="39">IF(ROW() -ROW($R$26)&gt;AC$23,"",AC36*_d/_u)</f>
        <v>#NUM!</v>
      </c>
      <c r="AD37" s="132" t="e">
        <f t="shared" ca="1" si="39"/>
        <v>#NUM!</v>
      </c>
      <c r="AE37" s="132" t="e">
        <f t="shared" ca="1" si="39"/>
        <v>#NUM!</v>
      </c>
      <c r="AF37" s="132" t="e">
        <f t="shared" ca="1" si="39"/>
        <v>#NUM!</v>
      </c>
      <c r="AG37" s="132" t="e">
        <f t="shared" ca="1" si="39"/>
        <v>#NUM!</v>
      </c>
      <c r="AH37" s="132" t="e">
        <f t="shared" ca="1" si="39"/>
        <v>#NUM!</v>
      </c>
      <c r="AI37" s="132" t="e">
        <f t="shared" ca="1" si="39"/>
        <v>#NUM!</v>
      </c>
      <c r="AJ37" s="132" t="e">
        <f t="shared" ca="1" si="39"/>
        <v>#NUM!</v>
      </c>
      <c r="AK37" s="132" t="e">
        <f t="shared" ca="1" si="39"/>
        <v>#NUM!</v>
      </c>
      <c r="AL37" s="132" t="e">
        <f t="shared" ca="1" si="39"/>
        <v>#NUM!</v>
      </c>
      <c r="AM37" s="132"/>
      <c r="AN37" s="132"/>
    </row>
    <row r="38" spans="1:50" s="126" customFormat="1" ht="14.25" x14ac:dyDescent="0.45">
      <c r="A38" s="9"/>
      <c r="B38" s="88"/>
      <c r="C38" s="90" t="s">
        <v>93</v>
      </c>
      <c r="D38" s="90"/>
      <c r="E38" s="90"/>
      <c r="F38" s="89"/>
      <c r="G38" s="89"/>
      <c r="H38" s="89"/>
      <c r="I38" s="89"/>
      <c r="J38" s="89"/>
      <c r="K38" s="98"/>
      <c r="L38" s="9"/>
      <c r="Q38" s="131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 t="e">
        <f t="shared" ref="AD38:AL38" ca="1" si="40">IF(ROW() -ROW($R$26)&gt;AD$23,"",AD37*_d/_u)</f>
        <v>#NUM!</v>
      </c>
      <c r="AE38" s="132" t="e">
        <f t="shared" ca="1" si="40"/>
        <v>#NUM!</v>
      </c>
      <c r="AF38" s="132" t="e">
        <f t="shared" ca="1" si="40"/>
        <v>#NUM!</v>
      </c>
      <c r="AG38" s="132" t="e">
        <f t="shared" ca="1" si="40"/>
        <v>#NUM!</v>
      </c>
      <c r="AH38" s="132" t="e">
        <f t="shared" ca="1" si="40"/>
        <v>#NUM!</v>
      </c>
      <c r="AI38" s="132" t="e">
        <f t="shared" ca="1" si="40"/>
        <v>#NUM!</v>
      </c>
      <c r="AJ38" s="132" t="e">
        <f t="shared" ca="1" si="40"/>
        <v>#NUM!</v>
      </c>
      <c r="AK38" s="132" t="e">
        <f t="shared" ca="1" si="40"/>
        <v>#NUM!</v>
      </c>
      <c r="AL38" s="132" t="e">
        <f t="shared" ca="1" si="40"/>
        <v>#NUM!</v>
      </c>
      <c r="AM38" s="132"/>
      <c r="AN38" s="132"/>
    </row>
    <row r="39" spans="1:50" s="126" customFormat="1" ht="14.25" x14ac:dyDescent="0.45">
      <c r="A39" s="9"/>
      <c r="B39" s="97"/>
      <c r="C39" s="93" t="s">
        <v>94</v>
      </c>
      <c r="D39" s="91"/>
      <c r="E39" s="91"/>
      <c r="F39" s="89"/>
      <c r="G39" s="89"/>
      <c r="H39" s="89"/>
      <c r="I39" s="89"/>
      <c r="J39" s="89"/>
      <c r="K39" s="98"/>
      <c r="L39" s="9"/>
      <c r="Q39" s="131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 t="e">
        <f t="shared" ref="AE39:AL39" ca="1" si="41">IF(ROW() -ROW($R$26)&gt;AE$23,"",AE38*_d/_u)</f>
        <v>#NUM!</v>
      </c>
      <c r="AF39" s="132" t="e">
        <f t="shared" ca="1" si="41"/>
        <v>#NUM!</v>
      </c>
      <c r="AG39" s="132" t="e">
        <f t="shared" ca="1" si="41"/>
        <v>#NUM!</v>
      </c>
      <c r="AH39" s="132" t="e">
        <f t="shared" ca="1" si="41"/>
        <v>#NUM!</v>
      </c>
      <c r="AI39" s="132" t="e">
        <f t="shared" ca="1" si="41"/>
        <v>#NUM!</v>
      </c>
      <c r="AJ39" s="132" t="e">
        <f t="shared" ca="1" si="41"/>
        <v>#NUM!</v>
      </c>
      <c r="AK39" s="132" t="e">
        <f t="shared" ca="1" si="41"/>
        <v>#NUM!</v>
      </c>
      <c r="AL39" s="132" t="e">
        <f t="shared" ca="1" si="41"/>
        <v>#NUM!</v>
      </c>
      <c r="AM39" s="132"/>
      <c r="AN39" s="132"/>
    </row>
    <row r="40" spans="1:50" s="126" customFormat="1" ht="14.25" x14ac:dyDescent="0.45">
      <c r="A40" s="9"/>
      <c r="B40" s="101"/>
      <c r="C40" s="104" t="s">
        <v>95</v>
      </c>
      <c r="D40" s="89"/>
      <c r="E40" s="89"/>
      <c r="F40" s="89"/>
      <c r="G40" s="89"/>
      <c r="H40" s="89"/>
      <c r="I40" s="89"/>
      <c r="J40" s="89"/>
      <c r="K40" s="98"/>
      <c r="L40" s="9"/>
      <c r="Q40" s="131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 t="e">
        <f t="shared" ref="AF40:AL40" ca="1" si="42">IF(ROW() -ROW($R$26)&gt;AF$23,"",AF39*_d/_u)</f>
        <v>#NUM!</v>
      </c>
      <c r="AG40" s="132" t="e">
        <f t="shared" ca="1" si="42"/>
        <v>#NUM!</v>
      </c>
      <c r="AH40" s="132" t="e">
        <f t="shared" ca="1" si="42"/>
        <v>#NUM!</v>
      </c>
      <c r="AI40" s="132" t="e">
        <f t="shared" ca="1" si="42"/>
        <v>#NUM!</v>
      </c>
      <c r="AJ40" s="132" t="e">
        <f t="shared" ca="1" si="42"/>
        <v>#NUM!</v>
      </c>
      <c r="AK40" s="132" t="e">
        <f t="shared" ca="1" si="42"/>
        <v>#NUM!</v>
      </c>
      <c r="AL40" s="132" t="e">
        <f t="shared" ca="1" si="42"/>
        <v>#NUM!</v>
      </c>
      <c r="AM40" s="132"/>
      <c r="AN40" s="132"/>
    </row>
    <row r="41" spans="1:50" s="126" customFormat="1" ht="14.25" x14ac:dyDescent="0.45">
      <c r="A41" s="9"/>
      <c r="B41" s="105"/>
      <c r="C41" s="106"/>
      <c r="D41" s="106"/>
      <c r="E41" s="106"/>
      <c r="F41" s="106"/>
      <c r="G41" s="106"/>
      <c r="H41" s="106"/>
      <c r="I41" s="106"/>
      <c r="J41" s="106"/>
      <c r="K41" s="107"/>
      <c r="L41" s="9"/>
      <c r="Q41" s="131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 t="e">
        <f t="shared" ref="AG41:AL41" ca="1" si="43">IF(ROW() -ROW($R$26)&gt;AG$23,"",AG40*_d/_u)</f>
        <v>#NUM!</v>
      </c>
      <c r="AH41" s="132" t="e">
        <f t="shared" ca="1" si="43"/>
        <v>#NUM!</v>
      </c>
      <c r="AI41" s="132" t="e">
        <f t="shared" ca="1" si="43"/>
        <v>#NUM!</v>
      </c>
      <c r="AJ41" s="132" t="e">
        <f t="shared" ca="1" si="43"/>
        <v>#NUM!</v>
      </c>
      <c r="AK41" s="132" t="e">
        <f t="shared" ca="1" si="43"/>
        <v>#NUM!</v>
      </c>
      <c r="AL41" s="132" t="e">
        <f t="shared" ca="1" si="43"/>
        <v>#NUM!</v>
      </c>
      <c r="AM41" s="132"/>
      <c r="AN41" s="132"/>
    </row>
    <row r="42" spans="1:50" s="126" customFormat="1" ht="14.25" x14ac:dyDescent="0.4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Q42" s="131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 t="e">
        <f t="shared" ref="AH42:AL42" ca="1" si="44">IF(ROW() -ROW($R$26)&gt;AH$23,"",AH41*_d/_u)</f>
        <v>#NUM!</v>
      </c>
      <c r="AI42" s="132" t="e">
        <f t="shared" ca="1" si="44"/>
        <v>#NUM!</v>
      </c>
      <c r="AJ42" s="132" t="e">
        <f t="shared" ca="1" si="44"/>
        <v>#NUM!</v>
      </c>
      <c r="AK42" s="132" t="e">
        <f t="shared" ca="1" si="44"/>
        <v>#NUM!</v>
      </c>
      <c r="AL42" s="132" t="e">
        <f t="shared" ca="1" si="44"/>
        <v>#NUM!</v>
      </c>
      <c r="AM42" s="132"/>
      <c r="AN42" s="132"/>
    </row>
    <row r="43" spans="1:50" s="126" customFormat="1" x14ac:dyDescent="0.35">
      <c r="A43" s="125"/>
      <c r="B43" s="125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Q43" s="131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 t="e">
        <f t="shared" ref="AI43:AL43" ca="1" si="45">IF(ROW() -ROW($R$26)&gt;AI$23,"",AI42*_d/_u)</f>
        <v>#NUM!</v>
      </c>
      <c r="AJ43" s="132" t="e">
        <f t="shared" ca="1" si="45"/>
        <v>#NUM!</v>
      </c>
      <c r="AK43" s="132" t="e">
        <f t="shared" ca="1" si="45"/>
        <v>#NUM!</v>
      </c>
      <c r="AL43" s="132" t="e">
        <f t="shared" ca="1" si="45"/>
        <v>#NUM!</v>
      </c>
      <c r="AM43" s="132"/>
      <c r="AN43" s="132"/>
    </row>
    <row r="44" spans="1:50" s="126" customFormat="1" x14ac:dyDescent="0.35">
      <c r="A44" s="125"/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Q44" s="131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 t="e">
        <f t="shared" ref="AJ44:AL45" ca="1" si="46">IF(ROW() -ROW($R$26)&gt;AJ$23,"",AJ43*_d/_u)</f>
        <v>#NUM!</v>
      </c>
      <c r="AK44" s="132" t="e">
        <f t="shared" ca="1" si="46"/>
        <v>#NUM!</v>
      </c>
      <c r="AL44" s="132" t="e">
        <f t="shared" ca="1" si="46"/>
        <v>#NUM!</v>
      </c>
      <c r="AM44" s="132"/>
      <c r="AN44" s="132"/>
    </row>
    <row r="45" spans="1:50" s="126" customFormat="1" x14ac:dyDescent="0.35">
      <c r="A45" s="125"/>
      <c r="B45" s="125"/>
      <c r="C45" s="125"/>
      <c r="D45" s="125"/>
      <c r="E45" s="125"/>
      <c r="F45" s="125"/>
      <c r="G45" s="125"/>
      <c r="H45" s="125"/>
      <c r="I45" s="125"/>
      <c r="J45" s="125"/>
      <c r="K45" s="125"/>
      <c r="L45" s="125"/>
      <c r="Q45" s="131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 t="e">
        <f t="shared" ca="1" si="46"/>
        <v>#NUM!</v>
      </c>
      <c r="AL45" s="132" t="e">
        <f t="shared" ref="AL45" ca="1" si="47">IF(ROW() -ROW($R$26)&gt;AL$23,"",AL44*_d/_u)</f>
        <v>#NUM!</v>
      </c>
      <c r="AM45" s="132"/>
      <c r="AN45" s="132"/>
    </row>
    <row r="46" spans="1:50" s="126" customFormat="1" x14ac:dyDescent="0.35">
      <c r="A46" s="125"/>
      <c r="B46" s="125"/>
      <c r="C46" s="125"/>
      <c r="D46" s="125"/>
      <c r="E46" s="125"/>
      <c r="F46" s="125"/>
      <c r="G46" s="125"/>
      <c r="H46" s="125"/>
      <c r="I46" s="125"/>
      <c r="J46" s="125"/>
      <c r="K46" s="125"/>
      <c r="L46" s="125"/>
      <c r="Q46" s="131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 t="e">
        <f t="shared" ref="AL46" ca="1" si="48">IF(ROW() -ROW($R$26)&gt;AL$23,"",AL45*_d/_u)</f>
        <v>#NUM!</v>
      </c>
      <c r="AM46" s="132"/>
      <c r="AN46" s="132"/>
    </row>
    <row r="47" spans="1:50" x14ac:dyDescent="0.35">
      <c r="Q47" s="131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Q47" s="126"/>
      <c r="AR47" s="126"/>
      <c r="AS47" s="126"/>
      <c r="AT47" s="126"/>
      <c r="AU47" s="126"/>
      <c r="AV47" s="126"/>
      <c r="AW47" s="126"/>
      <c r="AX47" s="126"/>
    </row>
    <row r="48" spans="1:50" s="126" customFormat="1" x14ac:dyDescent="0.35">
      <c r="A48" s="125"/>
      <c r="B48" s="125"/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Q48" s="131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Q48" s="125"/>
      <c r="AR48" s="125"/>
      <c r="AS48" s="125"/>
      <c r="AT48" s="125"/>
      <c r="AU48" s="125"/>
      <c r="AV48" s="125"/>
      <c r="AW48" s="125"/>
      <c r="AX48" s="125"/>
    </row>
    <row r="49" spans="1:50" s="126" customFormat="1" x14ac:dyDescent="0.35">
      <c r="A49" s="125"/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Q49" s="131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</row>
    <row r="50" spans="1:50" s="126" customFormat="1" x14ac:dyDescent="0.3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Q50" s="131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</row>
    <row r="51" spans="1:50" s="126" customFormat="1" x14ac:dyDescent="0.35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Q51" s="131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</row>
    <row r="52" spans="1:50" s="126" customFormat="1" x14ac:dyDescent="0.35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Q52" s="131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</row>
    <row r="53" spans="1:50" s="126" customFormat="1" x14ac:dyDescent="0.35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Q53" s="131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</row>
    <row r="54" spans="1:50" s="126" customFormat="1" x14ac:dyDescent="0.35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Q54" s="131"/>
    </row>
    <row r="55" spans="1:50" s="126" customFormat="1" ht="13.15" x14ac:dyDescent="0.4">
      <c r="A55" s="125"/>
      <c r="B55" s="125"/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Q55" s="128" t="str">
        <f>"American " &amp;  IF(_OptType=1,"call", "put") &amp; " price (Model)"</f>
        <v>American put price (Model)</v>
      </c>
      <c r="R55" s="133" t="e">
        <f t="shared" ref="R55:AK55" ca="1" si="49">IF(R26="","",MAX(MAX(_OptType*(R26-_K),0),(_p*S55+(1-_p)*S56)*_emrdt))</f>
        <v>#NUM!</v>
      </c>
      <c r="S55" s="132" t="e">
        <f t="shared" ca="1" si="49"/>
        <v>#NUM!</v>
      </c>
      <c r="T55" s="132" t="e">
        <f t="shared" ca="1" si="49"/>
        <v>#NUM!</v>
      </c>
      <c r="U55" s="132" t="e">
        <f t="shared" ca="1" si="49"/>
        <v>#NUM!</v>
      </c>
      <c r="V55" s="132" t="e">
        <f t="shared" ca="1" si="49"/>
        <v>#NUM!</v>
      </c>
      <c r="W55" s="132" t="e">
        <f t="shared" ca="1" si="49"/>
        <v>#NUM!</v>
      </c>
      <c r="X55" s="132" t="e">
        <f t="shared" ca="1" si="49"/>
        <v>#NUM!</v>
      </c>
      <c r="Y55" s="132" t="e">
        <f t="shared" ca="1" si="49"/>
        <v>#NUM!</v>
      </c>
      <c r="Z55" s="132" t="e">
        <f t="shared" ca="1" si="49"/>
        <v>#NUM!</v>
      </c>
      <c r="AA55" s="132" t="e">
        <f t="shared" ca="1" si="49"/>
        <v>#NUM!</v>
      </c>
      <c r="AB55" s="132" t="e">
        <f t="shared" ca="1" si="49"/>
        <v>#NUM!</v>
      </c>
      <c r="AC55" s="132" t="e">
        <f t="shared" ca="1" si="49"/>
        <v>#NUM!</v>
      </c>
      <c r="AD55" s="132" t="e">
        <f t="shared" ca="1" si="49"/>
        <v>#NUM!</v>
      </c>
      <c r="AE55" s="132" t="e">
        <f t="shared" ca="1" si="49"/>
        <v>#NUM!</v>
      </c>
      <c r="AF55" s="132" t="e">
        <f t="shared" ca="1" si="49"/>
        <v>#NUM!</v>
      </c>
      <c r="AG55" s="132" t="e">
        <f t="shared" ca="1" si="49"/>
        <v>#NUM!</v>
      </c>
      <c r="AH55" s="132" t="e">
        <f t="shared" ca="1" si="49"/>
        <v>#NUM!</v>
      </c>
      <c r="AI55" s="132" t="e">
        <f t="shared" ca="1" si="49"/>
        <v>#NUM!</v>
      </c>
      <c r="AJ55" s="132" t="e">
        <f t="shared" ca="1" si="49"/>
        <v>#NUM!</v>
      </c>
      <c r="AK55" s="132" t="e">
        <f t="shared" ca="1" si="49"/>
        <v>#NUM!</v>
      </c>
      <c r="AL55" s="132" t="e">
        <f t="shared" ref="AL55:AL75" ca="1" si="50">MAX(0,_OptType*(AL26-_K))</f>
        <v>#NUM!</v>
      </c>
      <c r="AM55" s="132"/>
      <c r="AN55" s="132"/>
    </row>
    <row r="56" spans="1:50" s="126" customFormat="1" x14ac:dyDescent="0.35">
      <c r="A56" s="125"/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R56" s="132" t="str">
        <f t="shared" ref="R56:AK56" si="51">IF(R27="","",MAX(MAX(_OptType*(R27-_K),0),(_p*S56+(1-_p)*S57)*_emrdt))</f>
        <v/>
      </c>
      <c r="S56" s="132" t="e">
        <f t="shared" ca="1" si="51"/>
        <v>#NUM!</v>
      </c>
      <c r="T56" s="132" t="e">
        <f t="shared" ca="1" si="51"/>
        <v>#NUM!</v>
      </c>
      <c r="U56" s="132" t="e">
        <f t="shared" ca="1" si="51"/>
        <v>#NUM!</v>
      </c>
      <c r="V56" s="132" t="e">
        <f t="shared" ca="1" si="51"/>
        <v>#NUM!</v>
      </c>
      <c r="W56" s="132" t="e">
        <f t="shared" ca="1" si="51"/>
        <v>#NUM!</v>
      </c>
      <c r="X56" s="132" t="e">
        <f t="shared" ca="1" si="51"/>
        <v>#NUM!</v>
      </c>
      <c r="Y56" s="132" t="e">
        <f t="shared" ca="1" si="51"/>
        <v>#NUM!</v>
      </c>
      <c r="Z56" s="132" t="e">
        <f t="shared" ca="1" si="51"/>
        <v>#NUM!</v>
      </c>
      <c r="AA56" s="132" t="e">
        <f t="shared" ca="1" si="51"/>
        <v>#NUM!</v>
      </c>
      <c r="AB56" s="132" t="e">
        <f t="shared" ca="1" si="51"/>
        <v>#NUM!</v>
      </c>
      <c r="AC56" s="132" t="e">
        <f t="shared" ca="1" si="51"/>
        <v>#NUM!</v>
      </c>
      <c r="AD56" s="132" t="e">
        <f t="shared" ca="1" si="51"/>
        <v>#NUM!</v>
      </c>
      <c r="AE56" s="132" t="e">
        <f t="shared" ca="1" si="51"/>
        <v>#NUM!</v>
      </c>
      <c r="AF56" s="132" t="e">
        <f t="shared" ca="1" si="51"/>
        <v>#NUM!</v>
      </c>
      <c r="AG56" s="132" t="e">
        <f t="shared" ca="1" si="51"/>
        <v>#NUM!</v>
      </c>
      <c r="AH56" s="132" t="e">
        <f t="shared" ca="1" si="51"/>
        <v>#NUM!</v>
      </c>
      <c r="AI56" s="132" t="e">
        <f t="shared" ca="1" si="51"/>
        <v>#NUM!</v>
      </c>
      <c r="AJ56" s="132" t="e">
        <f t="shared" ca="1" si="51"/>
        <v>#NUM!</v>
      </c>
      <c r="AK56" s="132" t="e">
        <f t="shared" ca="1" si="51"/>
        <v>#NUM!</v>
      </c>
      <c r="AL56" s="132" t="e">
        <f t="shared" ca="1" si="50"/>
        <v>#NUM!</v>
      </c>
      <c r="AM56" s="132"/>
      <c r="AN56" s="132"/>
    </row>
    <row r="57" spans="1:50" s="126" customFormat="1" x14ac:dyDescent="0.35">
      <c r="A57" s="125"/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R57" s="132" t="str">
        <f t="shared" ref="R57:AK57" si="52">IF(R28="","",MAX(MAX(_OptType*(R28-_K),0),(_p*S57+(1-_p)*S58)*_emrdt))</f>
        <v/>
      </c>
      <c r="S57" s="132" t="str">
        <f t="shared" si="52"/>
        <v/>
      </c>
      <c r="T57" s="132" t="e">
        <f t="shared" ca="1" si="52"/>
        <v>#NUM!</v>
      </c>
      <c r="U57" s="132" t="e">
        <f t="shared" ca="1" si="52"/>
        <v>#NUM!</v>
      </c>
      <c r="V57" s="132" t="e">
        <f t="shared" ca="1" si="52"/>
        <v>#NUM!</v>
      </c>
      <c r="W57" s="132" t="e">
        <f t="shared" ca="1" si="52"/>
        <v>#NUM!</v>
      </c>
      <c r="X57" s="132" t="e">
        <f t="shared" ca="1" si="52"/>
        <v>#NUM!</v>
      </c>
      <c r="Y57" s="132" t="e">
        <f t="shared" ca="1" si="52"/>
        <v>#NUM!</v>
      </c>
      <c r="Z57" s="132" t="e">
        <f t="shared" ca="1" si="52"/>
        <v>#NUM!</v>
      </c>
      <c r="AA57" s="132" t="e">
        <f t="shared" ca="1" si="52"/>
        <v>#NUM!</v>
      </c>
      <c r="AB57" s="132" t="e">
        <f t="shared" ca="1" si="52"/>
        <v>#NUM!</v>
      </c>
      <c r="AC57" s="132" t="e">
        <f t="shared" ca="1" si="52"/>
        <v>#NUM!</v>
      </c>
      <c r="AD57" s="132" t="e">
        <f t="shared" ca="1" si="52"/>
        <v>#NUM!</v>
      </c>
      <c r="AE57" s="132" t="e">
        <f t="shared" ca="1" si="52"/>
        <v>#NUM!</v>
      </c>
      <c r="AF57" s="132" t="e">
        <f t="shared" ca="1" si="52"/>
        <v>#NUM!</v>
      </c>
      <c r="AG57" s="132" t="e">
        <f t="shared" ca="1" si="52"/>
        <v>#NUM!</v>
      </c>
      <c r="AH57" s="132" t="e">
        <f t="shared" ca="1" si="52"/>
        <v>#NUM!</v>
      </c>
      <c r="AI57" s="132" t="e">
        <f t="shared" ca="1" si="52"/>
        <v>#NUM!</v>
      </c>
      <c r="AJ57" s="132" t="e">
        <f t="shared" ca="1" si="52"/>
        <v>#NUM!</v>
      </c>
      <c r="AK57" s="132" t="e">
        <f t="shared" ca="1" si="52"/>
        <v>#NUM!</v>
      </c>
      <c r="AL57" s="132" t="e">
        <f t="shared" ca="1" si="50"/>
        <v>#NUM!</v>
      </c>
      <c r="AM57" s="132"/>
      <c r="AN57" s="132"/>
    </row>
    <row r="58" spans="1:50" x14ac:dyDescent="0.35">
      <c r="R58" s="132" t="str">
        <f t="shared" ref="R58:AK58" si="53">IF(R29="","",MAX(MAX(_OptType*(R29-_K),0),(_p*S58+(1-_p)*S59)*_emrdt))</f>
        <v/>
      </c>
      <c r="S58" s="132" t="str">
        <f t="shared" si="53"/>
        <v/>
      </c>
      <c r="T58" s="132" t="str">
        <f t="shared" si="53"/>
        <v/>
      </c>
      <c r="U58" s="132" t="e">
        <f t="shared" ca="1" si="53"/>
        <v>#NUM!</v>
      </c>
      <c r="V58" s="132" t="e">
        <f t="shared" ca="1" si="53"/>
        <v>#NUM!</v>
      </c>
      <c r="W58" s="132" t="e">
        <f t="shared" ca="1" si="53"/>
        <v>#NUM!</v>
      </c>
      <c r="X58" s="132" t="e">
        <f t="shared" ca="1" si="53"/>
        <v>#NUM!</v>
      </c>
      <c r="Y58" s="132" t="e">
        <f t="shared" ca="1" si="53"/>
        <v>#NUM!</v>
      </c>
      <c r="Z58" s="132" t="e">
        <f t="shared" ca="1" si="53"/>
        <v>#NUM!</v>
      </c>
      <c r="AA58" s="132" t="e">
        <f t="shared" ca="1" si="53"/>
        <v>#NUM!</v>
      </c>
      <c r="AB58" s="132" t="e">
        <f t="shared" ca="1" si="53"/>
        <v>#NUM!</v>
      </c>
      <c r="AC58" s="132" t="e">
        <f t="shared" ca="1" si="53"/>
        <v>#NUM!</v>
      </c>
      <c r="AD58" s="132" t="e">
        <f t="shared" ca="1" si="53"/>
        <v>#NUM!</v>
      </c>
      <c r="AE58" s="132" t="e">
        <f t="shared" ca="1" si="53"/>
        <v>#NUM!</v>
      </c>
      <c r="AF58" s="132" t="e">
        <f t="shared" ca="1" si="53"/>
        <v>#NUM!</v>
      </c>
      <c r="AG58" s="132" t="e">
        <f t="shared" ca="1" si="53"/>
        <v>#NUM!</v>
      </c>
      <c r="AH58" s="132" t="e">
        <f t="shared" ca="1" si="53"/>
        <v>#NUM!</v>
      </c>
      <c r="AI58" s="132" t="e">
        <f t="shared" ca="1" si="53"/>
        <v>#NUM!</v>
      </c>
      <c r="AJ58" s="132" t="e">
        <f t="shared" ca="1" si="53"/>
        <v>#NUM!</v>
      </c>
      <c r="AK58" s="132" t="e">
        <f t="shared" ca="1" si="53"/>
        <v>#NUM!</v>
      </c>
      <c r="AL58" s="132" t="e">
        <f t="shared" ca="1" si="50"/>
        <v>#NUM!</v>
      </c>
      <c r="AM58" s="132"/>
      <c r="AN58" s="132"/>
      <c r="AQ58" s="126"/>
      <c r="AR58" s="126"/>
      <c r="AS58" s="126"/>
      <c r="AT58" s="126"/>
      <c r="AU58" s="126"/>
      <c r="AV58" s="126"/>
      <c r="AW58" s="126"/>
      <c r="AX58" s="126"/>
    </row>
    <row r="59" spans="1:50" x14ac:dyDescent="0.35">
      <c r="R59" s="132" t="str">
        <f t="shared" ref="R59:AK59" si="54">IF(R30="","",MAX(MAX(_OptType*(R30-_K),0),(_p*S59+(1-_p)*S60)*_emrdt))</f>
        <v/>
      </c>
      <c r="S59" s="132" t="str">
        <f t="shared" si="54"/>
        <v/>
      </c>
      <c r="T59" s="132" t="str">
        <f t="shared" si="54"/>
        <v/>
      </c>
      <c r="U59" s="132" t="str">
        <f t="shared" si="54"/>
        <v/>
      </c>
      <c r="V59" s="132" t="e">
        <f t="shared" ca="1" si="54"/>
        <v>#NUM!</v>
      </c>
      <c r="W59" s="132" t="e">
        <f t="shared" ca="1" si="54"/>
        <v>#NUM!</v>
      </c>
      <c r="X59" s="132" t="e">
        <f t="shared" ca="1" si="54"/>
        <v>#NUM!</v>
      </c>
      <c r="Y59" s="132" t="e">
        <f t="shared" ca="1" si="54"/>
        <v>#NUM!</v>
      </c>
      <c r="Z59" s="132" t="e">
        <f t="shared" ca="1" si="54"/>
        <v>#NUM!</v>
      </c>
      <c r="AA59" s="132" t="e">
        <f t="shared" ca="1" si="54"/>
        <v>#NUM!</v>
      </c>
      <c r="AB59" s="132" t="e">
        <f t="shared" ca="1" si="54"/>
        <v>#NUM!</v>
      </c>
      <c r="AC59" s="132" t="e">
        <f t="shared" ca="1" si="54"/>
        <v>#NUM!</v>
      </c>
      <c r="AD59" s="132" t="e">
        <f t="shared" ca="1" si="54"/>
        <v>#NUM!</v>
      </c>
      <c r="AE59" s="132" t="e">
        <f t="shared" ca="1" si="54"/>
        <v>#NUM!</v>
      </c>
      <c r="AF59" s="132" t="e">
        <f t="shared" ca="1" si="54"/>
        <v>#NUM!</v>
      </c>
      <c r="AG59" s="132" t="e">
        <f t="shared" ca="1" si="54"/>
        <v>#NUM!</v>
      </c>
      <c r="AH59" s="132" t="e">
        <f t="shared" ca="1" si="54"/>
        <v>#NUM!</v>
      </c>
      <c r="AI59" s="132" t="e">
        <f t="shared" ca="1" si="54"/>
        <v>#NUM!</v>
      </c>
      <c r="AJ59" s="132" t="e">
        <f t="shared" ca="1" si="54"/>
        <v>#NUM!</v>
      </c>
      <c r="AK59" s="132" t="e">
        <f t="shared" ca="1" si="54"/>
        <v>#NUM!</v>
      </c>
      <c r="AL59" s="132" t="e">
        <f t="shared" ca="1" si="50"/>
        <v>#NUM!</v>
      </c>
      <c r="AM59" s="132"/>
      <c r="AN59" s="132"/>
    </row>
    <row r="60" spans="1:50" x14ac:dyDescent="0.35">
      <c r="R60" s="132" t="str">
        <f t="shared" ref="R60:AK60" si="55">IF(R31="","",MAX(MAX(_OptType*(R31-_K),0),(_p*S60+(1-_p)*S61)*_emrdt))</f>
        <v/>
      </c>
      <c r="S60" s="132" t="str">
        <f t="shared" si="55"/>
        <v/>
      </c>
      <c r="T60" s="132" t="str">
        <f t="shared" si="55"/>
        <v/>
      </c>
      <c r="U60" s="132" t="str">
        <f t="shared" si="55"/>
        <v/>
      </c>
      <c r="V60" s="132" t="str">
        <f t="shared" si="55"/>
        <v/>
      </c>
      <c r="W60" s="132" t="e">
        <f t="shared" ca="1" si="55"/>
        <v>#NUM!</v>
      </c>
      <c r="X60" s="132" t="e">
        <f t="shared" ca="1" si="55"/>
        <v>#NUM!</v>
      </c>
      <c r="Y60" s="132" t="e">
        <f t="shared" ca="1" si="55"/>
        <v>#NUM!</v>
      </c>
      <c r="Z60" s="132" t="e">
        <f t="shared" ca="1" si="55"/>
        <v>#NUM!</v>
      </c>
      <c r="AA60" s="132" t="e">
        <f t="shared" ca="1" si="55"/>
        <v>#NUM!</v>
      </c>
      <c r="AB60" s="132" t="e">
        <f t="shared" ca="1" si="55"/>
        <v>#NUM!</v>
      </c>
      <c r="AC60" s="132" t="e">
        <f t="shared" ca="1" si="55"/>
        <v>#NUM!</v>
      </c>
      <c r="AD60" s="132" t="e">
        <f t="shared" ca="1" si="55"/>
        <v>#NUM!</v>
      </c>
      <c r="AE60" s="132" t="e">
        <f t="shared" ca="1" si="55"/>
        <v>#NUM!</v>
      </c>
      <c r="AF60" s="132" t="e">
        <f t="shared" ca="1" si="55"/>
        <v>#NUM!</v>
      </c>
      <c r="AG60" s="132" t="e">
        <f t="shared" ca="1" si="55"/>
        <v>#NUM!</v>
      </c>
      <c r="AH60" s="132" t="e">
        <f t="shared" ca="1" si="55"/>
        <v>#NUM!</v>
      </c>
      <c r="AI60" s="132" t="e">
        <f t="shared" ca="1" si="55"/>
        <v>#NUM!</v>
      </c>
      <c r="AJ60" s="132" t="e">
        <f t="shared" ca="1" si="55"/>
        <v>#NUM!</v>
      </c>
      <c r="AK60" s="132" t="e">
        <f t="shared" ca="1" si="55"/>
        <v>#NUM!</v>
      </c>
      <c r="AL60" s="132" t="e">
        <f t="shared" ca="1" si="50"/>
        <v>#NUM!</v>
      </c>
      <c r="AM60" s="132"/>
      <c r="AN60" s="132"/>
    </row>
    <row r="61" spans="1:50" x14ac:dyDescent="0.35">
      <c r="R61" s="132" t="str">
        <f t="shared" ref="R61:AK61" si="56">IF(R32="","",MAX(MAX(_OptType*(R32-_K),0),(_p*S61+(1-_p)*S62)*_emrdt))</f>
        <v/>
      </c>
      <c r="S61" s="132" t="str">
        <f t="shared" si="56"/>
        <v/>
      </c>
      <c r="T61" s="132" t="str">
        <f t="shared" si="56"/>
        <v/>
      </c>
      <c r="U61" s="132" t="str">
        <f t="shared" si="56"/>
        <v/>
      </c>
      <c r="V61" s="132" t="str">
        <f t="shared" si="56"/>
        <v/>
      </c>
      <c r="W61" s="132" t="str">
        <f t="shared" si="56"/>
        <v/>
      </c>
      <c r="X61" s="132" t="e">
        <f t="shared" ca="1" si="56"/>
        <v>#NUM!</v>
      </c>
      <c r="Y61" s="132" t="e">
        <f t="shared" ca="1" si="56"/>
        <v>#NUM!</v>
      </c>
      <c r="Z61" s="132" t="e">
        <f t="shared" ca="1" si="56"/>
        <v>#NUM!</v>
      </c>
      <c r="AA61" s="132" t="e">
        <f t="shared" ca="1" si="56"/>
        <v>#NUM!</v>
      </c>
      <c r="AB61" s="132" t="e">
        <f t="shared" ca="1" si="56"/>
        <v>#NUM!</v>
      </c>
      <c r="AC61" s="132" t="e">
        <f t="shared" ca="1" si="56"/>
        <v>#NUM!</v>
      </c>
      <c r="AD61" s="132" t="e">
        <f t="shared" ca="1" si="56"/>
        <v>#NUM!</v>
      </c>
      <c r="AE61" s="132" t="e">
        <f t="shared" ca="1" si="56"/>
        <v>#NUM!</v>
      </c>
      <c r="AF61" s="132" t="e">
        <f t="shared" ca="1" si="56"/>
        <v>#NUM!</v>
      </c>
      <c r="AG61" s="132" t="e">
        <f t="shared" ca="1" si="56"/>
        <v>#NUM!</v>
      </c>
      <c r="AH61" s="132" t="e">
        <f t="shared" ca="1" si="56"/>
        <v>#NUM!</v>
      </c>
      <c r="AI61" s="132" t="e">
        <f t="shared" ca="1" si="56"/>
        <v>#NUM!</v>
      </c>
      <c r="AJ61" s="132" t="e">
        <f t="shared" ca="1" si="56"/>
        <v>#NUM!</v>
      </c>
      <c r="AK61" s="132" t="e">
        <f t="shared" ca="1" si="56"/>
        <v>#NUM!</v>
      </c>
      <c r="AL61" s="132" t="e">
        <f t="shared" ca="1" si="50"/>
        <v>#NUM!</v>
      </c>
      <c r="AM61" s="132"/>
      <c r="AN61" s="132"/>
    </row>
    <row r="62" spans="1:50" x14ac:dyDescent="0.35">
      <c r="R62" s="132" t="str">
        <f t="shared" ref="R62:AK62" si="57">IF(R33="","",MAX(MAX(_OptType*(R33-_K),0),(_p*S62+(1-_p)*S63)*_emrdt))</f>
        <v/>
      </c>
      <c r="S62" s="132" t="str">
        <f t="shared" si="57"/>
        <v/>
      </c>
      <c r="T62" s="132" t="str">
        <f t="shared" si="57"/>
        <v/>
      </c>
      <c r="U62" s="132" t="str">
        <f t="shared" si="57"/>
        <v/>
      </c>
      <c r="V62" s="132" t="str">
        <f t="shared" si="57"/>
        <v/>
      </c>
      <c r="W62" s="132" t="str">
        <f t="shared" si="57"/>
        <v/>
      </c>
      <c r="X62" s="132" t="str">
        <f t="shared" si="57"/>
        <v/>
      </c>
      <c r="Y62" s="132" t="e">
        <f t="shared" ca="1" si="57"/>
        <v>#NUM!</v>
      </c>
      <c r="Z62" s="132" t="e">
        <f t="shared" ca="1" si="57"/>
        <v>#NUM!</v>
      </c>
      <c r="AA62" s="132" t="e">
        <f t="shared" ca="1" si="57"/>
        <v>#NUM!</v>
      </c>
      <c r="AB62" s="132" t="e">
        <f t="shared" ca="1" si="57"/>
        <v>#NUM!</v>
      </c>
      <c r="AC62" s="132" t="e">
        <f t="shared" ca="1" si="57"/>
        <v>#NUM!</v>
      </c>
      <c r="AD62" s="132" t="e">
        <f t="shared" ca="1" si="57"/>
        <v>#NUM!</v>
      </c>
      <c r="AE62" s="132" t="e">
        <f t="shared" ca="1" si="57"/>
        <v>#NUM!</v>
      </c>
      <c r="AF62" s="132" t="e">
        <f t="shared" ca="1" si="57"/>
        <v>#NUM!</v>
      </c>
      <c r="AG62" s="132" t="e">
        <f t="shared" ca="1" si="57"/>
        <v>#NUM!</v>
      </c>
      <c r="AH62" s="132" t="e">
        <f t="shared" ca="1" si="57"/>
        <v>#NUM!</v>
      </c>
      <c r="AI62" s="132" t="e">
        <f t="shared" ca="1" si="57"/>
        <v>#NUM!</v>
      </c>
      <c r="AJ62" s="132" t="e">
        <f t="shared" ca="1" si="57"/>
        <v>#NUM!</v>
      </c>
      <c r="AK62" s="132" t="e">
        <f t="shared" ca="1" si="57"/>
        <v>#NUM!</v>
      </c>
      <c r="AL62" s="132" t="e">
        <f t="shared" ca="1" si="50"/>
        <v>#NUM!</v>
      </c>
      <c r="AM62" s="132"/>
      <c r="AN62" s="132"/>
    </row>
    <row r="63" spans="1:50" x14ac:dyDescent="0.35">
      <c r="R63" s="132" t="str">
        <f t="shared" ref="R63:AK63" si="58">IF(R34="","",MAX(MAX(_OptType*(R34-_K),0),(_p*S63+(1-_p)*S64)*_emrdt))</f>
        <v/>
      </c>
      <c r="S63" s="132" t="str">
        <f t="shared" si="58"/>
        <v/>
      </c>
      <c r="T63" s="132" t="str">
        <f t="shared" si="58"/>
        <v/>
      </c>
      <c r="U63" s="132" t="str">
        <f t="shared" si="58"/>
        <v/>
      </c>
      <c r="V63" s="132" t="str">
        <f t="shared" si="58"/>
        <v/>
      </c>
      <c r="W63" s="132" t="str">
        <f t="shared" si="58"/>
        <v/>
      </c>
      <c r="X63" s="132" t="str">
        <f t="shared" si="58"/>
        <v/>
      </c>
      <c r="Y63" s="132" t="str">
        <f t="shared" si="58"/>
        <v/>
      </c>
      <c r="Z63" s="132" t="e">
        <f t="shared" ca="1" si="58"/>
        <v>#NUM!</v>
      </c>
      <c r="AA63" s="132" t="e">
        <f t="shared" ca="1" si="58"/>
        <v>#NUM!</v>
      </c>
      <c r="AB63" s="132" t="e">
        <f t="shared" ca="1" si="58"/>
        <v>#NUM!</v>
      </c>
      <c r="AC63" s="132" t="e">
        <f t="shared" ca="1" si="58"/>
        <v>#NUM!</v>
      </c>
      <c r="AD63" s="132" t="e">
        <f t="shared" ca="1" si="58"/>
        <v>#NUM!</v>
      </c>
      <c r="AE63" s="132" t="e">
        <f t="shared" ca="1" si="58"/>
        <v>#NUM!</v>
      </c>
      <c r="AF63" s="132" t="e">
        <f t="shared" ca="1" si="58"/>
        <v>#NUM!</v>
      </c>
      <c r="AG63" s="132" t="e">
        <f t="shared" ca="1" si="58"/>
        <v>#NUM!</v>
      </c>
      <c r="AH63" s="132" t="e">
        <f t="shared" ca="1" si="58"/>
        <v>#NUM!</v>
      </c>
      <c r="AI63" s="132" t="e">
        <f t="shared" ca="1" si="58"/>
        <v>#NUM!</v>
      </c>
      <c r="AJ63" s="132" t="e">
        <f t="shared" ca="1" si="58"/>
        <v>#NUM!</v>
      </c>
      <c r="AK63" s="132" t="e">
        <f t="shared" ca="1" si="58"/>
        <v>#NUM!</v>
      </c>
      <c r="AL63" s="132" t="e">
        <f t="shared" ca="1" si="50"/>
        <v>#NUM!</v>
      </c>
      <c r="AM63" s="132"/>
      <c r="AN63" s="132"/>
    </row>
    <row r="64" spans="1:50" x14ac:dyDescent="0.35">
      <c r="R64" s="132" t="str">
        <f t="shared" ref="R64:AK64" si="59">IF(R35="","",MAX(MAX(_OptType*(R35-_K),0),(_p*S64+(1-_p)*S65)*_emrdt))</f>
        <v/>
      </c>
      <c r="S64" s="132" t="str">
        <f t="shared" si="59"/>
        <v/>
      </c>
      <c r="T64" s="132" t="str">
        <f t="shared" si="59"/>
        <v/>
      </c>
      <c r="U64" s="132" t="str">
        <f t="shared" si="59"/>
        <v/>
      </c>
      <c r="V64" s="132" t="str">
        <f t="shared" si="59"/>
        <v/>
      </c>
      <c r="W64" s="132" t="str">
        <f t="shared" si="59"/>
        <v/>
      </c>
      <c r="X64" s="132" t="str">
        <f t="shared" si="59"/>
        <v/>
      </c>
      <c r="Y64" s="132" t="str">
        <f t="shared" si="59"/>
        <v/>
      </c>
      <c r="Z64" s="132" t="str">
        <f t="shared" si="59"/>
        <v/>
      </c>
      <c r="AA64" s="132" t="e">
        <f t="shared" ca="1" si="59"/>
        <v>#NUM!</v>
      </c>
      <c r="AB64" s="132" t="e">
        <f t="shared" ca="1" si="59"/>
        <v>#NUM!</v>
      </c>
      <c r="AC64" s="132" t="e">
        <f t="shared" ca="1" si="59"/>
        <v>#NUM!</v>
      </c>
      <c r="AD64" s="132" t="e">
        <f t="shared" ca="1" si="59"/>
        <v>#NUM!</v>
      </c>
      <c r="AE64" s="132" t="e">
        <f t="shared" ca="1" si="59"/>
        <v>#NUM!</v>
      </c>
      <c r="AF64" s="132" t="e">
        <f t="shared" ca="1" si="59"/>
        <v>#NUM!</v>
      </c>
      <c r="AG64" s="132" t="e">
        <f t="shared" ca="1" si="59"/>
        <v>#NUM!</v>
      </c>
      <c r="AH64" s="132" t="e">
        <f t="shared" ca="1" si="59"/>
        <v>#NUM!</v>
      </c>
      <c r="AI64" s="132" t="e">
        <f t="shared" ca="1" si="59"/>
        <v>#NUM!</v>
      </c>
      <c r="AJ64" s="132" t="e">
        <f t="shared" ca="1" si="59"/>
        <v>#NUM!</v>
      </c>
      <c r="AK64" s="132" t="e">
        <f t="shared" ca="1" si="59"/>
        <v>#NUM!</v>
      </c>
      <c r="AL64" s="132" t="e">
        <f t="shared" ca="1" si="50"/>
        <v>#NUM!</v>
      </c>
      <c r="AM64" s="132"/>
      <c r="AN64" s="132"/>
    </row>
    <row r="65" spans="28:38" x14ac:dyDescent="0.35">
      <c r="AB65" s="132" t="e">
        <f t="shared" ref="AB65:AK65" ca="1" si="60">IF(AB36="","",MAX(MAX(_OptType*(AB36-_K),0),(_p*AC65+(1-_p)*AC66)*_emrdt))</f>
        <v>#NUM!</v>
      </c>
      <c r="AC65" s="132" t="e">
        <f t="shared" ca="1" si="60"/>
        <v>#NUM!</v>
      </c>
      <c r="AD65" s="132" t="e">
        <f t="shared" ca="1" si="60"/>
        <v>#NUM!</v>
      </c>
      <c r="AE65" s="132" t="e">
        <f t="shared" ca="1" si="60"/>
        <v>#NUM!</v>
      </c>
      <c r="AF65" s="132" t="e">
        <f t="shared" ca="1" si="60"/>
        <v>#NUM!</v>
      </c>
      <c r="AG65" s="132" t="e">
        <f t="shared" ca="1" si="60"/>
        <v>#NUM!</v>
      </c>
      <c r="AH65" s="132" t="e">
        <f t="shared" ca="1" si="60"/>
        <v>#NUM!</v>
      </c>
      <c r="AI65" s="132" t="e">
        <f t="shared" ca="1" si="60"/>
        <v>#NUM!</v>
      </c>
      <c r="AJ65" s="132" t="e">
        <f t="shared" ca="1" si="60"/>
        <v>#NUM!</v>
      </c>
      <c r="AK65" s="132" t="e">
        <f t="shared" ca="1" si="60"/>
        <v>#NUM!</v>
      </c>
      <c r="AL65" s="132" t="e">
        <f t="shared" ca="1" si="50"/>
        <v>#NUM!</v>
      </c>
    </row>
    <row r="66" spans="28:38" x14ac:dyDescent="0.35">
      <c r="AC66" s="132" t="e">
        <f t="shared" ref="AC66:AK66" ca="1" si="61">IF(AC37="","",MAX(MAX(_OptType*(AC37-_K),0),(_p*AD66+(1-_p)*AD67)*_emrdt))</f>
        <v>#NUM!</v>
      </c>
      <c r="AD66" s="132" t="e">
        <f t="shared" ca="1" si="61"/>
        <v>#NUM!</v>
      </c>
      <c r="AE66" s="132" t="e">
        <f t="shared" ca="1" si="61"/>
        <v>#NUM!</v>
      </c>
      <c r="AF66" s="132" t="e">
        <f t="shared" ca="1" si="61"/>
        <v>#NUM!</v>
      </c>
      <c r="AG66" s="132" t="e">
        <f t="shared" ca="1" si="61"/>
        <v>#NUM!</v>
      </c>
      <c r="AH66" s="132" t="e">
        <f t="shared" ca="1" si="61"/>
        <v>#NUM!</v>
      </c>
      <c r="AI66" s="132" t="e">
        <f t="shared" ca="1" si="61"/>
        <v>#NUM!</v>
      </c>
      <c r="AJ66" s="132" t="e">
        <f t="shared" ca="1" si="61"/>
        <v>#NUM!</v>
      </c>
      <c r="AK66" s="132" t="e">
        <f t="shared" ca="1" si="61"/>
        <v>#NUM!</v>
      </c>
      <c r="AL66" s="132" t="e">
        <f t="shared" ca="1" si="50"/>
        <v>#NUM!</v>
      </c>
    </row>
    <row r="67" spans="28:38" x14ac:dyDescent="0.35">
      <c r="AD67" s="132" t="e">
        <f t="shared" ref="AD67:AK67" ca="1" si="62">IF(AD38="","",MAX(MAX(_OptType*(AD38-_K),0),(_p*AE67+(1-_p)*AE68)*_emrdt))</f>
        <v>#NUM!</v>
      </c>
      <c r="AE67" s="132" t="e">
        <f t="shared" ca="1" si="62"/>
        <v>#NUM!</v>
      </c>
      <c r="AF67" s="132" t="e">
        <f t="shared" ca="1" si="62"/>
        <v>#NUM!</v>
      </c>
      <c r="AG67" s="132" t="e">
        <f t="shared" ca="1" si="62"/>
        <v>#NUM!</v>
      </c>
      <c r="AH67" s="132" t="e">
        <f t="shared" ca="1" si="62"/>
        <v>#NUM!</v>
      </c>
      <c r="AI67" s="132" t="e">
        <f t="shared" ca="1" si="62"/>
        <v>#NUM!</v>
      </c>
      <c r="AJ67" s="132" t="e">
        <f t="shared" ca="1" si="62"/>
        <v>#NUM!</v>
      </c>
      <c r="AK67" s="132" t="e">
        <f t="shared" ca="1" si="62"/>
        <v>#NUM!</v>
      </c>
      <c r="AL67" s="132" t="e">
        <f t="shared" ca="1" si="50"/>
        <v>#NUM!</v>
      </c>
    </row>
    <row r="68" spans="28:38" x14ac:dyDescent="0.35">
      <c r="AE68" s="132" t="e">
        <f t="shared" ref="AE68:AK68" ca="1" si="63">IF(AE39="","",MAX(MAX(_OptType*(AE39-_K),0),(_p*AF68+(1-_p)*AF69)*_emrdt))</f>
        <v>#NUM!</v>
      </c>
      <c r="AF68" s="132" t="e">
        <f t="shared" ca="1" si="63"/>
        <v>#NUM!</v>
      </c>
      <c r="AG68" s="132" t="e">
        <f t="shared" ca="1" si="63"/>
        <v>#NUM!</v>
      </c>
      <c r="AH68" s="132" t="e">
        <f t="shared" ca="1" si="63"/>
        <v>#NUM!</v>
      </c>
      <c r="AI68" s="132" t="e">
        <f t="shared" ca="1" si="63"/>
        <v>#NUM!</v>
      </c>
      <c r="AJ68" s="132" t="e">
        <f t="shared" ca="1" si="63"/>
        <v>#NUM!</v>
      </c>
      <c r="AK68" s="132" t="e">
        <f t="shared" ca="1" si="63"/>
        <v>#NUM!</v>
      </c>
      <c r="AL68" s="132" t="e">
        <f t="shared" ca="1" si="50"/>
        <v>#NUM!</v>
      </c>
    </row>
    <row r="69" spans="28:38" x14ac:dyDescent="0.35">
      <c r="AF69" s="132" t="e">
        <f t="shared" ref="AF69:AK69" ca="1" si="64">IF(AF40="","",MAX(MAX(_OptType*(AF40-_K),0),(_p*AG69+(1-_p)*AG70)*_emrdt))</f>
        <v>#NUM!</v>
      </c>
      <c r="AG69" s="132" t="e">
        <f t="shared" ca="1" si="64"/>
        <v>#NUM!</v>
      </c>
      <c r="AH69" s="132" t="e">
        <f t="shared" ca="1" si="64"/>
        <v>#NUM!</v>
      </c>
      <c r="AI69" s="132" t="e">
        <f t="shared" ca="1" si="64"/>
        <v>#NUM!</v>
      </c>
      <c r="AJ69" s="132" t="e">
        <f t="shared" ca="1" si="64"/>
        <v>#NUM!</v>
      </c>
      <c r="AK69" s="132" t="e">
        <f t="shared" ca="1" si="64"/>
        <v>#NUM!</v>
      </c>
      <c r="AL69" s="132" t="e">
        <f t="shared" ca="1" si="50"/>
        <v>#NUM!</v>
      </c>
    </row>
    <row r="70" spans="28:38" x14ac:dyDescent="0.35">
      <c r="AG70" s="132" t="e">
        <f ca="1">IF(AG41="","",MAX(MAX(_OptType*(AG41-_K),0),(_p*AH70+(1-_p)*AH71)*_emrdt))</f>
        <v>#NUM!</v>
      </c>
      <c r="AH70" s="132" t="e">
        <f ca="1">IF(AH41="","",MAX(MAX(_OptType*(AH41-_K),0),(_p*AI70+(1-_p)*AI71)*_emrdt))</f>
        <v>#NUM!</v>
      </c>
      <c r="AI70" s="132" t="e">
        <f ca="1">IF(AI41="","",MAX(MAX(_OptType*(AI41-_K),0),(_p*AJ70+(1-_p)*AJ71)*_emrdt))</f>
        <v>#NUM!</v>
      </c>
      <c r="AJ70" s="132" t="e">
        <f ca="1">IF(AJ41="","",MAX(MAX(_OptType*(AJ41-_K),0),(_p*AK70+(1-_p)*AK71)*_emrdt))</f>
        <v>#NUM!</v>
      </c>
      <c r="AK70" s="132" t="e">
        <f ca="1">IF(AK41="","",MAX(MAX(_OptType*(AK41-_K),0),(_p*AL70+(1-_p)*AL71)*_emrdt))</f>
        <v>#NUM!</v>
      </c>
      <c r="AL70" s="132" t="e">
        <f t="shared" ca="1" si="50"/>
        <v>#NUM!</v>
      </c>
    </row>
    <row r="71" spans="28:38" x14ac:dyDescent="0.35">
      <c r="AH71" s="132" t="e">
        <f ca="1">IF(AH42="","",MAX(MAX(_OptType*(AH42-_K),0),(_p*AI71+(1-_p)*AI72)*_emrdt))</f>
        <v>#NUM!</v>
      </c>
      <c r="AI71" s="132" t="e">
        <f ca="1">IF(AI42="","",MAX(MAX(_OptType*(AI42-_K),0),(_p*AJ71+(1-_p)*AJ72)*_emrdt))</f>
        <v>#NUM!</v>
      </c>
      <c r="AJ71" s="132" t="e">
        <f ca="1">IF(AJ42="","",MAX(MAX(_OptType*(AJ42-_K),0),(_p*AK71+(1-_p)*AK72)*_emrdt))</f>
        <v>#NUM!</v>
      </c>
      <c r="AK71" s="132" t="e">
        <f ca="1">IF(AK42="","",MAX(MAX(_OptType*(AK42-_K),0),(_p*AL71+(1-_p)*AL72)*_emrdt))</f>
        <v>#NUM!</v>
      </c>
      <c r="AL71" s="132" t="e">
        <f t="shared" ca="1" si="50"/>
        <v>#NUM!</v>
      </c>
    </row>
    <row r="72" spans="28:38" x14ac:dyDescent="0.35">
      <c r="AI72" s="132" t="e">
        <f ca="1">IF(AI43="","",MAX(MAX(_OptType*(AI43-_K),0),(_p*AJ72+(1-_p)*AJ73)*_emrdt))</f>
        <v>#NUM!</v>
      </c>
      <c r="AJ72" s="132" t="e">
        <f ca="1">IF(AJ43="","",MAX(MAX(_OptType*(AJ43-_K),0),(_p*AK72+(1-_p)*AK73)*_emrdt))</f>
        <v>#NUM!</v>
      </c>
      <c r="AK72" s="132" t="e">
        <f ca="1">IF(AK43="","",MAX(MAX(_OptType*(AK43-_K),0),(_p*AL72+(1-_p)*AL73)*_emrdt))</f>
        <v>#NUM!</v>
      </c>
      <c r="AL72" s="132" t="e">
        <f t="shared" ca="1" si="50"/>
        <v>#NUM!</v>
      </c>
    </row>
    <row r="73" spans="28:38" x14ac:dyDescent="0.35">
      <c r="AJ73" s="132" t="e">
        <f ca="1">IF(AJ44="","",MAX(MAX(_OptType*(AJ44-_K),0),(_p*AK73+(1-_p)*AK74)*_emrdt))</f>
        <v>#NUM!</v>
      </c>
      <c r="AK73" s="132" t="e">
        <f ca="1">IF(AK44="","",MAX(MAX(_OptType*(AK44-_K),0),(_p*AL73+(1-_p)*AL74)*_emrdt))</f>
        <v>#NUM!</v>
      </c>
      <c r="AL73" s="132" t="e">
        <f t="shared" ca="1" si="50"/>
        <v>#NUM!</v>
      </c>
    </row>
    <row r="74" spans="28:38" x14ac:dyDescent="0.35">
      <c r="AK74" s="132" t="e">
        <f ca="1">IF(AK45="","",MAX(MAX(_OptType*(AK45-_K),0),(_p*AL74+(1-_p)*AL75)*_emrdt))</f>
        <v>#NUM!</v>
      </c>
      <c r="AL74" s="132" t="e">
        <f t="shared" ca="1" si="50"/>
        <v>#NUM!</v>
      </c>
    </row>
    <row r="75" spans="28:38" x14ac:dyDescent="0.35">
      <c r="AL75" s="132" t="e">
        <f t="shared" ca="1" si="50"/>
        <v>#NUM!</v>
      </c>
    </row>
    <row r="95" spans="17:40" x14ac:dyDescent="0.35">
      <c r="AL95" s="132"/>
    </row>
    <row r="96" spans="17:40" ht="13.15" x14ac:dyDescent="0.4">
      <c r="Q96" s="128" t="str">
        <f>"European " &amp;  IF(_OptType=1,"call", "put") &amp; " price"</f>
        <v>European put price</v>
      </c>
      <c r="R96" s="134" t="e">
        <f t="shared" ref="R96:AK96" ca="1" si="65">IF(R55="","",(_p*S96+(1-_p)*S97)*_emrdt)</f>
        <v>#NUM!</v>
      </c>
      <c r="S96" s="132" t="e">
        <f t="shared" ca="1" si="65"/>
        <v>#NUM!</v>
      </c>
      <c r="T96" s="132" t="e">
        <f t="shared" ca="1" si="65"/>
        <v>#NUM!</v>
      </c>
      <c r="U96" s="132" t="e">
        <f t="shared" ca="1" si="65"/>
        <v>#NUM!</v>
      </c>
      <c r="V96" s="132" t="e">
        <f t="shared" ca="1" si="65"/>
        <v>#NUM!</v>
      </c>
      <c r="W96" s="132" t="e">
        <f t="shared" ca="1" si="65"/>
        <v>#NUM!</v>
      </c>
      <c r="X96" s="132" t="e">
        <f t="shared" ca="1" si="65"/>
        <v>#NUM!</v>
      </c>
      <c r="Y96" s="132" t="e">
        <f t="shared" ca="1" si="65"/>
        <v>#NUM!</v>
      </c>
      <c r="Z96" s="132" t="e">
        <f t="shared" ca="1" si="65"/>
        <v>#NUM!</v>
      </c>
      <c r="AA96" s="132" t="e">
        <f t="shared" ca="1" si="65"/>
        <v>#NUM!</v>
      </c>
      <c r="AB96" s="132" t="e">
        <f t="shared" ca="1" si="65"/>
        <v>#NUM!</v>
      </c>
      <c r="AC96" s="132" t="e">
        <f t="shared" ca="1" si="65"/>
        <v>#NUM!</v>
      </c>
      <c r="AD96" s="132" t="e">
        <f t="shared" ca="1" si="65"/>
        <v>#NUM!</v>
      </c>
      <c r="AE96" s="132" t="e">
        <f t="shared" ca="1" si="65"/>
        <v>#NUM!</v>
      </c>
      <c r="AF96" s="132" t="e">
        <f t="shared" ca="1" si="65"/>
        <v>#NUM!</v>
      </c>
      <c r="AG96" s="132" t="e">
        <f t="shared" ca="1" si="65"/>
        <v>#NUM!</v>
      </c>
      <c r="AH96" s="132" t="e">
        <f t="shared" ca="1" si="65"/>
        <v>#NUM!</v>
      </c>
      <c r="AI96" s="132" t="e">
        <f t="shared" ca="1" si="65"/>
        <v>#NUM!</v>
      </c>
      <c r="AJ96" s="132" t="e">
        <f t="shared" ca="1" si="65"/>
        <v>#NUM!</v>
      </c>
      <c r="AK96" s="132" t="e">
        <f t="shared" ca="1" si="65"/>
        <v>#NUM!</v>
      </c>
      <c r="AL96" s="132" t="e">
        <f t="shared" ref="AL96:AL116" ca="1" si="66">MAX(0,_OptType*(AL26-_K))</f>
        <v>#NUM!</v>
      </c>
      <c r="AM96" s="132"/>
      <c r="AN96" s="132"/>
    </row>
    <row r="97" spans="18:40" x14ac:dyDescent="0.35">
      <c r="R97" s="132" t="str">
        <f t="shared" ref="R97:AK97" si="67">IF(R56="","",(_p*S97+(1-_p)*S98)*_emrdt)</f>
        <v/>
      </c>
      <c r="S97" s="132" t="e">
        <f t="shared" ca="1" si="67"/>
        <v>#NUM!</v>
      </c>
      <c r="T97" s="132" t="e">
        <f t="shared" ca="1" si="67"/>
        <v>#NUM!</v>
      </c>
      <c r="U97" s="132" t="e">
        <f t="shared" ca="1" si="67"/>
        <v>#NUM!</v>
      </c>
      <c r="V97" s="132" t="e">
        <f t="shared" ca="1" si="67"/>
        <v>#NUM!</v>
      </c>
      <c r="W97" s="132" t="e">
        <f t="shared" ca="1" si="67"/>
        <v>#NUM!</v>
      </c>
      <c r="X97" s="132" t="e">
        <f t="shared" ca="1" si="67"/>
        <v>#NUM!</v>
      </c>
      <c r="Y97" s="132" t="e">
        <f t="shared" ca="1" si="67"/>
        <v>#NUM!</v>
      </c>
      <c r="Z97" s="132" t="e">
        <f t="shared" ca="1" si="67"/>
        <v>#NUM!</v>
      </c>
      <c r="AA97" s="132" t="e">
        <f t="shared" ca="1" si="67"/>
        <v>#NUM!</v>
      </c>
      <c r="AB97" s="132" t="e">
        <f t="shared" ca="1" si="67"/>
        <v>#NUM!</v>
      </c>
      <c r="AC97" s="132" t="e">
        <f t="shared" ca="1" si="67"/>
        <v>#NUM!</v>
      </c>
      <c r="AD97" s="132" t="e">
        <f t="shared" ca="1" si="67"/>
        <v>#NUM!</v>
      </c>
      <c r="AE97" s="132" t="e">
        <f t="shared" ca="1" si="67"/>
        <v>#NUM!</v>
      </c>
      <c r="AF97" s="132" t="e">
        <f t="shared" ca="1" si="67"/>
        <v>#NUM!</v>
      </c>
      <c r="AG97" s="132" t="e">
        <f t="shared" ca="1" si="67"/>
        <v>#NUM!</v>
      </c>
      <c r="AH97" s="132" t="e">
        <f t="shared" ca="1" si="67"/>
        <v>#NUM!</v>
      </c>
      <c r="AI97" s="132" t="e">
        <f t="shared" ca="1" si="67"/>
        <v>#NUM!</v>
      </c>
      <c r="AJ97" s="132" t="e">
        <f t="shared" ca="1" si="67"/>
        <v>#NUM!</v>
      </c>
      <c r="AK97" s="132" t="e">
        <f t="shared" ca="1" si="67"/>
        <v>#NUM!</v>
      </c>
      <c r="AL97" s="132" t="e">
        <f t="shared" ca="1" si="66"/>
        <v>#NUM!</v>
      </c>
      <c r="AM97" s="132"/>
      <c r="AN97" s="132"/>
    </row>
    <row r="98" spans="18:40" x14ac:dyDescent="0.35">
      <c r="R98" s="132" t="str">
        <f t="shared" ref="R98:AK98" si="68">IF(R57="","",(_p*S98+(1-_p)*S99)*_emrdt)</f>
        <v/>
      </c>
      <c r="S98" s="132" t="str">
        <f t="shared" si="68"/>
        <v/>
      </c>
      <c r="T98" s="132" t="e">
        <f t="shared" ca="1" si="68"/>
        <v>#NUM!</v>
      </c>
      <c r="U98" s="132" t="e">
        <f t="shared" ca="1" si="68"/>
        <v>#NUM!</v>
      </c>
      <c r="V98" s="132" t="e">
        <f t="shared" ca="1" si="68"/>
        <v>#NUM!</v>
      </c>
      <c r="W98" s="132" t="e">
        <f t="shared" ca="1" si="68"/>
        <v>#NUM!</v>
      </c>
      <c r="X98" s="132" t="e">
        <f t="shared" ca="1" si="68"/>
        <v>#NUM!</v>
      </c>
      <c r="Y98" s="132" t="e">
        <f t="shared" ca="1" si="68"/>
        <v>#NUM!</v>
      </c>
      <c r="Z98" s="132" t="e">
        <f t="shared" ca="1" si="68"/>
        <v>#NUM!</v>
      </c>
      <c r="AA98" s="132" t="e">
        <f t="shared" ca="1" si="68"/>
        <v>#NUM!</v>
      </c>
      <c r="AB98" s="132" t="e">
        <f t="shared" ca="1" si="68"/>
        <v>#NUM!</v>
      </c>
      <c r="AC98" s="132" t="e">
        <f t="shared" ca="1" si="68"/>
        <v>#NUM!</v>
      </c>
      <c r="AD98" s="132" t="e">
        <f t="shared" ca="1" si="68"/>
        <v>#NUM!</v>
      </c>
      <c r="AE98" s="132" t="e">
        <f t="shared" ca="1" si="68"/>
        <v>#NUM!</v>
      </c>
      <c r="AF98" s="132" t="e">
        <f t="shared" ca="1" si="68"/>
        <v>#NUM!</v>
      </c>
      <c r="AG98" s="132" t="e">
        <f t="shared" ca="1" si="68"/>
        <v>#NUM!</v>
      </c>
      <c r="AH98" s="132" t="e">
        <f t="shared" ca="1" si="68"/>
        <v>#NUM!</v>
      </c>
      <c r="AI98" s="132" t="e">
        <f t="shared" ca="1" si="68"/>
        <v>#NUM!</v>
      </c>
      <c r="AJ98" s="132" t="e">
        <f t="shared" ca="1" si="68"/>
        <v>#NUM!</v>
      </c>
      <c r="AK98" s="132" t="e">
        <f t="shared" ca="1" si="68"/>
        <v>#NUM!</v>
      </c>
      <c r="AL98" s="132" t="e">
        <f t="shared" ca="1" si="66"/>
        <v>#NUM!</v>
      </c>
      <c r="AM98" s="132"/>
      <c r="AN98" s="132"/>
    </row>
    <row r="99" spans="18:40" x14ac:dyDescent="0.35">
      <c r="R99" s="132" t="str">
        <f t="shared" ref="R99:AK99" si="69">IF(R58="","",(_p*S99+(1-_p)*S100)*_emrdt)</f>
        <v/>
      </c>
      <c r="S99" s="132" t="str">
        <f t="shared" si="69"/>
        <v/>
      </c>
      <c r="T99" s="132" t="str">
        <f t="shared" si="69"/>
        <v/>
      </c>
      <c r="U99" s="132" t="e">
        <f t="shared" ca="1" si="69"/>
        <v>#NUM!</v>
      </c>
      <c r="V99" s="132" t="e">
        <f t="shared" ca="1" si="69"/>
        <v>#NUM!</v>
      </c>
      <c r="W99" s="132" t="e">
        <f t="shared" ca="1" si="69"/>
        <v>#NUM!</v>
      </c>
      <c r="X99" s="132" t="e">
        <f t="shared" ca="1" si="69"/>
        <v>#NUM!</v>
      </c>
      <c r="Y99" s="132" t="e">
        <f t="shared" ca="1" si="69"/>
        <v>#NUM!</v>
      </c>
      <c r="Z99" s="132" t="e">
        <f t="shared" ca="1" si="69"/>
        <v>#NUM!</v>
      </c>
      <c r="AA99" s="132" t="e">
        <f t="shared" ca="1" si="69"/>
        <v>#NUM!</v>
      </c>
      <c r="AB99" s="132" t="e">
        <f t="shared" ca="1" si="69"/>
        <v>#NUM!</v>
      </c>
      <c r="AC99" s="132" t="e">
        <f t="shared" ca="1" si="69"/>
        <v>#NUM!</v>
      </c>
      <c r="AD99" s="132" t="e">
        <f t="shared" ca="1" si="69"/>
        <v>#NUM!</v>
      </c>
      <c r="AE99" s="132" t="e">
        <f t="shared" ca="1" si="69"/>
        <v>#NUM!</v>
      </c>
      <c r="AF99" s="132" t="e">
        <f t="shared" ca="1" si="69"/>
        <v>#NUM!</v>
      </c>
      <c r="AG99" s="132" t="e">
        <f t="shared" ca="1" si="69"/>
        <v>#NUM!</v>
      </c>
      <c r="AH99" s="132" t="e">
        <f t="shared" ca="1" si="69"/>
        <v>#NUM!</v>
      </c>
      <c r="AI99" s="132" t="e">
        <f t="shared" ca="1" si="69"/>
        <v>#NUM!</v>
      </c>
      <c r="AJ99" s="132" t="e">
        <f t="shared" ca="1" si="69"/>
        <v>#NUM!</v>
      </c>
      <c r="AK99" s="132" t="e">
        <f t="shared" ca="1" si="69"/>
        <v>#NUM!</v>
      </c>
      <c r="AL99" s="132" t="e">
        <f t="shared" ca="1" si="66"/>
        <v>#NUM!</v>
      </c>
      <c r="AM99" s="132"/>
      <c r="AN99" s="132"/>
    </row>
    <row r="100" spans="18:40" x14ac:dyDescent="0.35">
      <c r="R100" s="132" t="str">
        <f t="shared" ref="R100:AK100" si="70">IF(R59="","",(_p*S100+(1-_p)*S101)*_emrdt)</f>
        <v/>
      </c>
      <c r="S100" s="132" t="str">
        <f t="shared" si="70"/>
        <v/>
      </c>
      <c r="T100" s="132" t="str">
        <f t="shared" si="70"/>
        <v/>
      </c>
      <c r="U100" s="132" t="str">
        <f t="shared" si="70"/>
        <v/>
      </c>
      <c r="V100" s="132" t="e">
        <f t="shared" ca="1" si="70"/>
        <v>#NUM!</v>
      </c>
      <c r="W100" s="132" t="e">
        <f t="shared" ca="1" si="70"/>
        <v>#NUM!</v>
      </c>
      <c r="X100" s="132" t="e">
        <f t="shared" ca="1" si="70"/>
        <v>#NUM!</v>
      </c>
      <c r="Y100" s="132" t="e">
        <f t="shared" ca="1" si="70"/>
        <v>#NUM!</v>
      </c>
      <c r="Z100" s="132" t="e">
        <f t="shared" ca="1" si="70"/>
        <v>#NUM!</v>
      </c>
      <c r="AA100" s="132" t="e">
        <f t="shared" ca="1" si="70"/>
        <v>#NUM!</v>
      </c>
      <c r="AB100" s="132" t="e">
        <f t="shared" ca="1" si="70"/>
        <v>#NUM!</v>
      </c>
      <c r="AC100" s="132" t="e">
        <f t="shared" ca="1" si="70"/>
        <v>#NUM!</v>
      </c>
      <c r="AD100" s="132" t="e">
        <f t="shared" ca="1" si="70"/>
        <v>#NUM!</v>
      </c>
      <c r="AE100" s="132" t="e">
        <f t="shared" ca="1" si="70"/>
        <v>#NUM!</v>
      </c>
      <c r="AF100" s="132" t="e">
        <f t="shared" ca="1" si="70"/>
        <v>#NUM!</v>
      </c>
      <c r="AG100" s="132" t="e">
        <f t="shared" ca="1" si="70"/>
        <v>#NUM!</v>
      </c>
      <c r="AH100" s="132" t="e">
        <f t="shared" ca="1" si="70"/>
        <v>#NUM!</v>
      </c>
      <c r="AI100" s="132" t="e">
        <f t="shared" ca="1" si="70"/>
        <v>#NUM!</v>
      </c>
      <c r="AJ100" s="132" t="e">
        <f t="shared" ca="1" si="70"/>
        <v>#NUM!</v>
      </c>
      <c r="AK100" s="132" t="e">
        <f t="shared" ca="1" si="70"/>
        <v>#NUM!</v>
      </c>
      <c r="AL100" s="132" t="e">
        <f t="shared" ca="1" si="66"/>
        <v>#NUM!</v>
      </c>
      <c r="AM100" s="132"/>
      <c r="AN100" s="132"/>
    </row>
    <row r="101" spans="18:40" x14ac:dyDescent="0.35">
      <c r="R101" s="132" t="str">
        <f t="shared" ref="R101:AK101" si="71">IF(R60="","",(_p*S101+(1-_p)*S102)*_emrdt)</f>
        <v/>
      </c>
      <c r="S101" s="132" t="str">
        <f t="shared" si="71"/>
        <v/>
      </c>
      <c r="T101" s="132" t="str">
        <f t="shared" si="71"/>
        <v/>
      </c>
      <c r="U101" s="132" t="str">
        <f t="shared" si="71"/>
        <v/>
      </c>
      <c r="V101" s="132" t="str">
        <f t="shared" si="71"/>
        <v/>
      </c>
      <c r="W101" s="132" t="e">
        <f t="shared" ca="1" si="71"/>
        <v>#NUM!</v>
      </c>
      <c r="X101" s="132" t="e">
        <f t="shared" ca="1" si="71"/>
        <v>#NUM!</v>
      </c>
      <c r="Y101" s="132" t="e">
        <f t="shared" ca="1" si="71"/>
        <v>#NUM!</v>
      </c>
      <c r="Z101" s="132" t="e">
        <f t="shared" ca="1" si="71"/>
        <v>#NUM!</v>
      </c>
      <c r="AA101" s="132" t="e">
        <f t="shared" ca="1" si="71"/>
        <v>#NUM!</v>
      </c>
      <c r="AB101" s="132" t="e">
        <f t="shared" ca="1" si="71"/>
        <v>#NUM!</v>
      </c>
      <c r="AC101" s="132" t="e">
        <f t="shared" ca="1" si="71"/>
        <v>#NUM!</v>
      </c>
      <c r="AD101" s="132" t="e">
        <f t="shared" ca="1" si="71"/>
        <v>#NUM!</v>
      </c>
      <c r="AE101" s="132" t="e">
        <f t="shared" ca="1" si="71"/>
        <v>#NUM!</v>
      </c>
      <c r="AF101" s="132" t="e">
        <f t="shared" ca="1" si="71"/>
        <v>#NUM!</v>
      </c>
      <c r="AG101" s="132" t="e">
        <f t="shared" ca="1" si="71"/>
        <v>#NUM!</v>
      </c>
      <c r="AH101" s="132" t="e">
        <f t="shared" ca="1" si="71"/>
        <v>#NUM!</v>
      </c>
      <c r="AI101" s="132" t="e">
        <f t="shared" ca="1" si="71"/>
        <v>#NUM!</v>
      </c>
      <c r="AJ101" s="132" t="e">
        <f t="shared" ca="1" si="71"/>
        <v>#NUM!</v>
      </c>
      <c r="AK101" s="132" t="e">
        <f t="shared" ca="1" si="71"/>
        <v>#NUM!</v>
      </c>
      <c r="AL101" s="132" t="e">
        <f t="shared" ca="1" si="66"/>
        <v>#NUM!</v>
      </c>
      <c r="AM101" s="132"/>
      <c r="AN101" s="132"/>
    </row>
    <row r="102" spans="18:40" x14ac:dyDescent="0.35">
      <c r="R102" s="132" t="str">
        <f t="shared" ref="R102:AK102" si="72">IF(R61="","",(_p*S102+(1-_p)*S103)*_emrdt)</f>
        <v/>
      </c>
      <c r="S102" s="132" t="str">
        <f t="shared" si="72"/>
        <v/>
      </c>
      <c r="T102" s="132" t="str">
        <f t="shared" si="72"/>
        <v/>
      </c>
      <c r="U102" s="132" t="str">
        <f t="shared" si="72"/>
        <v/>
      </c>
      <c r="V102" s="132" t="str">
        <f t="shared" si="72"/>
        <v/>
      </c>
      <c r="W102" s="132" t="str">
        <f t="shared" si="72"/>
        <v/>
      </c>
      <c r="X102" s="132" t="e">
        <f t="shared" ca="1" si="72"/>
        <v>#NUM!</v>
      </c>
      <c r="Y102" s="132" t="e">
        <f t="shared" ca="1" si="72"/>
        <v>#NUM!</v>
      </c>
      <c r="Z102" s="132" t="e">
        <f t="shared" ca="1" si="72"/>
        <v>#NUM!</v>
      </c>
      <c r="AA102" s="132" t="e">
        <f t="shared" ca="1" si="72"/>
        <v>#NUM!</v>
      </c>
      <c r="AB102" s="132" t="e">
        <f t="shared" ca="1" si="72"/>
        <v>#NUM!</v>
      </c>
      <c r="AC102" s="132" t="e">
        <f t="shared" ca="1" si="72"/>
        <v>#NUM!</v>
      </c>
      <c r="AD102" s="132" t="e">
        <f t="shared" ca="1" si="72"/>
        <v>#NUM!</v>
      </c>
      <c r="AE102" s="132" t="e">
        <f t="shared" ca="1" si="72"/>
        <v>#NUM!</v>
      </c>
      <c r="AF102" s="132" t="e">
        <f t="shared" ca="1" si="72"/>
        <v>#NUM!</v>
      </c>
      <c r="AG102" s="132" t="e">
        <f t="shared" ca="1" si="72"/>
        <v>#NUM!</v>
      </c>
      <c r="AH102" s="132" t="e">
        <f t="shared" ca="1" si="72"/>
        <v>#NUM!</v>
      </c>
      <c r="AI102" s="132" t="e">
        <f t="shared" ca="1" si="72"/>
        <v>#NUM!</v>
      </c>
      <c r="AJ102" s="132" t="e">
        <f t="shared" ca="1" si="72"/>
        <v>#NUM!</v>
      </c>
      <c r="AK102" s="132" t="e">
        <f t="shared" ca="1" si="72"/>
        <v>#NUM!</v>
      </c>
      <c r="AL102" s="132" t="e">
        <f t="shared" ca="1" si="66"/>
        <v>#NUM!</v>
      </c>
      <c r="AM102" s="132"/>
      <c r="AN102" s="132"/>
    </row>
    <row r="103" spans="18:40" x14ac:dyDescent="0.35">
      <c r="R103" s="132" t="str">
        <f t="shared" ref="R103:AK103" si="73">IF(R62="","",(_p*S103+(1-_p)*S104)*_emrdt)</f>
        <v/>
      </c>
      <c r="S103" s="132" t="str">
        <f t="shared" si="73"/>
        <v/>
      </c>
      <c r="T103" s="132" t="str">
        <f t="shared" si="73"/>
        <v/>
      </c>
      <c r="U103" s="132" t="str">
        <f t="shared" si="73"/>
        <v/>
      </c>
      <c r="V103" s="132" t="str">
        <f t="shared" si="73"/>
        <v/>
      </c>
      <c r="W103" s="132" t="str">
        <f t="shared" si="73"/>
        <v/>
      </c>
      <c r="X103" s="132" t="str">
        <f t="shared" si="73"/>
        <v/>
      </c>
      <c r="Y103" s="132" t="e">
        <f t="shared" ca="1" si="73"/>
        <v>#NUM!</v>
      </c>
      <c r="Z103" s="132" t="e">
        <f t="shared" ca="1" si="73"/>
        <v>#NUM!</v>
      </c>
      <c r="AA103" s="132" t="e">
        <f t="shared" ca="1" si="73"/>
        <v>#NUM!</v>
      </c>
      <c r="AB103" s="132" t="e">
        <f t="shared" ca="1" si="73"/>
        <v>#NUM!</v>
      </c>
      <c r="AC103" s="132" t="e">
        <f t="shared" ca="1" si="73"/>
        <v>#NUM!</v>
      </c>
      <c r="AD103" s="132" t="e">
        <f t="shared" ca="1" si="73"/>
        <v>#NUM!</v>
      </c>
      <c r="AE103" s="132" t="e">
        <f t="shared" ca="1" si="73"/>
        <v>#NUM!</v>
      </c>
      <c r="AF103" s="132" t="e">
        <f t="shared" ca="1" si="73"/>
        <v>#NUM!</v>
      </c>
      <c r="AG103" s="132" t="e">
        <f t="shared" ca="1" si="73"/>
        <v>#NUM!</v>
      </c>
      <c r="AH103" s="132" t="e">
        <f t="shared" ca="1" si="73"/>
        <v>#NUM!</v>
      </c>
      <c r="AI103" s="132" t="e">
        <f t="shared" ca="1" si="73"/>
        <v>#NUM!</v>
      </c>
      <c r="AJ103" s="132" t="e">
        <f t="shared" ca="1" si="73"/>
        <v>#NUM!</v>
      </c>
      <c r="AK103" s="132" t="e">
        <f t="shared" ca="1" si="73"/>
        <v>#NUM!</v>
      </c>
      <c r="AL103" s="132" t="e">
        <f t="shared" ca="1" si="66"/>
        <v>#NUM!</v>
      </c>
      <c r="AM103" s="132"/>
      <c r="AN103" s="132"/>
    </row>
    <row r="104" spans="18:40" x14ac:dyDescent="0.35">
      <c r="R104" s="132" t="str">
        <f t="shared" ref="R104:AK104" si="74">IF(R63="","",(_p*S104+(1-_p)*S105)*_emrdt)</f>
        <v/>
      </c>
      <c r="S104" s="132" t="str">
        <f t="shared" si="74"/>
        <v/>
      </c>
      <c r="T104" s="132" t="str">
        <f t="shared" si="74"/>
        <v/>
      </c>
      <c r="U104" s="132" t="str">
        <f t="shared" si="74"/>
        <v/>
      </c>
      <c r="V104" s="132" t="str">
        <f t="shared" si="74"/>
        <v/>
      </c>
      <c r="W104" s="132" t="str">
        <f t="shared" si="74"/>
        <v/>
      </c>
      <c r="X104" s="132" t="str">
        <f t="shared" si="74"/>
        <v/>
      </c>
      <c r="Y104" s="132" t="str">
        <f t="shared" si="74"/>
        <v/>
      </c>
      <c r="Z104" s="132" t="e">
        <f t="shared" ca="1" si="74"/>
        <v>#NUM!</v>
      </c>
      <c r="AA104" s="132" t="e">
        <f t="shared" ca="1" si="74"/>
        <v>#NUM!</v>
      </c>
      <c r="AB104" s="132" t="e">
        <f t="shared" ca="1" si="74"/>
        <v>#NUM!</v>
      </c>
      <c r="AC104" s="132" t="e">
        <f t="shared" ca="1" si="74"/>
        <v>#NUM!</v>
      </c>
      <c r="AD104" s="132" t="e">
        <f t="shared" ca="1" si="74"/>
        <v>#NUM!</v>
      </c>
      <c r="AE104" s="132" t="e">
        <f t="shared" ca="1" si="74"/>
        <v>#NUM!</v>
      </c>
      <c r="AF104" s="132" t="e">
        <f t="shared" ca="1" si="74"/>
        <v>#NUM!</v>
      </c>
      <c r="AG104" s="132" t="e">
        <f t="shared" ca="1" si="74"/>
        <v>#NUM!</v>
      </c>
      <c r="AH104" s="132" t="e">
        <f t="shared" ca="1" si="74"/>
        <v>#NUM!</v>
      </c>
      <c r="AI104" s="132" t="e">
        <f t="shared" ca="1" si="74"/>
        <v>#NUM!</v>
      </c>
      <c r="AJ104" s="132" t="e">
        <f t="shared" ca="1" si="74"/>
        <v>#NUM!</v>
      </c>
      <c r="AK104" s="132" t="e">
        <f t="shared" ca="1" si="74"/>
        <v>#NUM!</v>
      </c>
      <c r="AL104" s="132" t="e">
        <f t="shared" ca="1" si="66"/>
        <v>#NUM!</v>
      </c>
      <c r="AM104" s="132"/>
      <c r="AN104" s="132"/>
    </row>
    <row r="105" spans="18:40" x14ac:dyDescent="0.35">
      <c r="R105" s="132" t="str">
        <f t="shared" ref="R105:Z105" si="75">IF(R64="","",(_p*S105+(1-_p)*C58)*_emrdt)</f>
        <v/>
      </c>
      <c r="S105" s="132" t="str">
        <f t="shared" si="75"/>
        <v/>
      </c>
      <c r="T105" s="132" t="str">
        <f t="shared" si="75"/>
        <v/>
      </c>
      <c r="U105" s="132" t="str">
        <f t="shared" si="75"/>
        <v/>
      </c>
      <c r="V105" s="132" t="str">
        <f t="shared" si="75"/>
        <v/>
      </c>
      <c r="W105" s="132" t="str">
        <f t="shared" si="75"/>
        <v/>
      </c>
      <c r="X105" s="132" t="str">
        <f t="shared" si="75"/>
        <v/>
      </c>
      <c r="Y105" s="132" t="str">
        <f t="shared" si="75"/>
        <v/>
      </c>
      <c r="Z105" s="132" t="str">
        <f t="shared" si="75"/>
        <v/>
      </c>
      <c r="AA105" s="132" t="e">
        <f t="shared" ref="AA105:AK105" ca="1" si="76">IF(AA64="","",(_p*AB105+(1-_p)*AB106)*_emrdt)</f>
        <v>#NUM!</v>
      </c>
      <c r="AB105" s="132" t="e">
        <f t="shared" ca="1" si="76"/>
        <v>#NUM!</v>
      </c>
      <c r="AC105" s="132" t="e">
        <f t="shared" ca="1" si="76"/>
        <v>#NUM!</v>
      </c>
      <c r="AD105" s="132" t="e">
        <f t="shared" ca="1" si="76"/>
        <v>#NUM!</v>
      </c>
      <c r="AE105" s="132" t="e">
        <f t="shared" ca="1" si="76"/>
        <v>#NUM!</v>
      </c>
      <c r="AF105" s="132" t="e">
        <f t="shared" ca="1" si="76"/>
        <v>#NUM!</v>
      </c>
      <c r="AG105" s="132" t="e">
        <f t="shared" ca="1" si="76"/>
        <v>#NUM!</v>
      </c>
      <c r="AH105" s="132" t="e">
        <f t="shared" ca="1" si="76"/>
        <v>#NUM!</v>
      </c>
      <c r="AI105" s="132" t="e">
        <f t="shared" ca="1" si="76"/>
        <v>#NUM!</v>
      </c>
      <c r="AJ105" s="132" t="e">
        <f t="shared" ca="1" si="76"/>
        <v>#NUM!</v>
      </c>
      <c r="AK105" s="132" t="e">
        <f t="shared" ca="1" si="76"/>
        <v>#NUM!</v>
      </c>
      <c r="AL105" s="132" t="e">
        <f t="shared" ca="1" si="66"/>
        <v>#NUM!</v>
      </c>
      <c r="AM105" s="132"/>
      <c r="AN105" s="132"/>
    </row>
    <row r="106" spans="18:40" x14ac:dyDescent="0.35">
      <c r="AB106" s="132" t="e">
        <f t="shared" ref="AB106:AK106" ca="1" si="77">IF(AB65="","",(_p*AC106+(1-_p)*AC107)*_emrdt)</f>
        <v>#NUM!</v>
      </c>
      <c r="AC106" s="132" t="e">
        <f t="shared" ca="1" si="77"/>
        <v>#NUM!</v>
      </c>
      <c r="AD106" s="132" t="e">
        <f t="shared" ca="1" si="77"/>
        <v>#NUM!</v>
      </c>
      <c r="AE106" s="132" t="e">
        <f t="shared" ca="1" si="77"/>
        <v>#NUM!</v>
      </c>
      <c r="AF106" s="132" t="e">
        <f t="shared" ca="1" si="77"/>
        <v>#NUM!</v>
      </c>
      <c r="AG106" s="132" t="e">
        <f t="shared" ca="1" si="77"/>
        <v>#NUM!</v>
      </c>
      <c r="AH106" s="132" t="e">
        <f t="shared" ca="1" si="77"/>
        <v>#NUM!</v>
      </c>
      <c r="AI106" s="132" t="e">
        <f t="shared" ca="1" si="77"/>
        <v>#NUM!</v>
      </c>
      <c r="AJ106" s="132" t="e">
        <f t="shared" ca="1" si="77"/>
        <v>#NUM!</v>
      </c>
      <c r="AK106" s="132" t="e">
        <f t="shared" ca="1" si="77"/>
        <v>#NUM!</v>
      </c>
      <c r="AL106" s="132" t="e">
        <f t="shared" ca="1" si="66"/>
        <v>#NUM!</v>
      </c>
    </row>
    <row r="107" spans="18:40" x14ac:dyDescent="0.35">
      <c r="AC107" s="132" t="e">
        <f t="shared" ref="AC107:AK107" ca="1" si="78">IF(AC66="","",(_p*AD107+(1-_p)*AD108)*_emrdt)</f>
        <v>#NUM!</v>
      </c>
      <c r="AD107" s="132" t="e">
        <f t="shared" ca="1" si="78"/>
        <v>#NUM!</v>
      </c>
      <c r="AE107" s="132" t="e">
        <f t="shared" ca="1" si="78"/>
        <v>#NUM!</v>
      </c>
      <c r="AF107" s="132" t="e">
        <f t="shared" ca="1" si="78"/>
        <v>#NUM!</v>
      </c>
      <c r="AG107" s="132" t="e">
        <f t="shared" ca="1" si="78"/>
        <v>#NUM!</v>
      </c>
      <c r="AH107" s="132" t="e">
        <f t="shared" ca="1" si="78"/>
        <v>#NUM!</v>
      </c>
      <c r="AI107" s="132" t="e">
        <f t="shared" ca="1" si="78"/>
        <v>#NUM!</v>
      </c>
      <c r="AJ107" s="132" t="e">
        <f t="shared" ca="1" si="78"/>
        <v>#NUM!</v>
      </c>
      <c r="AK107" s="132" t="e">
        <f t="shared" ca="1" si="78"/>
        <v>#NUM!</v>
      </c>
      <c r="AL107" s="132" t="e">
        <f t="shared" ca="1" si="66"/>
        <v>#NUM!</v>
      </c>
    </row>
    <row r="108" spans="18:40" x14ac:dyDescent="0.35">
      <c r="AD108" s="132" t="e">
        <f t="shared" ref="AD108:AK108" ca="1" si="79">IF(AD67="","",(_p*AE108+(1-_p)*AE109)*_emrdt)</f>
        <v>#NUM!</v>
      </c>
      <c r="AE108" s="132" t="e">
        <f t="shared" ca="1" si="79"/>
        <v>#NUM!</v>
      </c>
      <c r="AF108" s="132" t="e">
        <f t="shared" ca="1" si="79"/>
        <v>#NUM!</v>
      </c>
      <c r="AG108" s="132" t="e">
        <f t="shared" ca="1" si="79"/>
        <v>#NUM!</v>
      </c>
      <c r="AH108" s="132" t="e">
        <f t="shared" ca="1" si="79"/>
        <v>#NUM!</v>
      </c>
      <c r="AI108" s="132" t="e">
        <f t="shared" ca="1" si="79"/>
        <v>#NUM!</v>
      </c>
      <c r="AJ108" s="132" t="e">
        <f t="shared" ca="1" si="79"/>
        <v>#NUM!</v>
      </c>
      <c r="AK108" s="132" t="e">
        <f t="shared" ca="1" si="79"/>
        <v>#NUM!</v>
      </c>
      <c r="AL108" s="132" t="e">
        <f t="shared" ca="1" si="66"/>
        <v>#NUM!</v>
      </c>
    </row>
    <row r="109" spans="18:40" x14ac:dyDescent="0.35">
      <c r="AE109" s="132" t="e">
        <f t="shared" ref="AE109:AK109" ca="1" si="80">IF(AE68="","",(_p*AF109+(1-_p)*AF110)*_emrdt)</f>
        <v>#NUM!</v>
      </c>
      <c r="AF109" s="132" t="e">
        <f t="shared" ca="1" si="80"/>
        <v>#NUM!</v>
      </c>
      <c r="AG109" s="132" t="e">
        <f t="shared" ca="1" si="80"/>
        <v>#NUM!</v>
      </c>
      <c r="AH109" s="132" t="e">
        <f t="shared" ca="1" si="80"/>
        <v>#NUM!</v>
      </c>
      <c r="AI109" s="132" t="e">
        <f t="shared" ca="1" si="80"/>
        <v>#NUM!</v>
      </c>
      <c r="AJ109" s="132" t="e">
        <f t="shared" ca="1" si="80"/>
        <v>#NUM!</v>
      </c>
      <c r="AK109" s="132" t="e">
        <f t="shared" ca="1" si="80"/>
        <v>#NUM!</v>
      </c>
      <c r="AL109" s="132" t="e">
        <f t="shared" ca="1" si="66"/>
        <v>#NUM!</v>
      </c>
    </row>
    <row r="110" spans="18:40" x14ac:dyDescent="0.35">
      <c r="AF110" s="132" t="e">
        <f t="shared" ref="AF110:AK110" ca="1" si="81">IF(AF69="","",(_p*AG110+(1-_p)*AG111)*_emrdt)</f>
        <v>#NUM!</v>
      </c>
      <c r="AG110" s="132" t="e">
        <f t="shared" ca="1" si="81"/>
        <v>#NUM!</v>
      </c>
      <c r="AH110" s="132" t="e">
        <f t="shared" ca="1" si="81"/>
        <v>#NUM!</v>
      </c>
      <c r="AI110" s="132" t="e">
        <f t="shared" ca="1" si="81"/>
        <v>#NUM!</v>
      </c>
      <c r="AJ110" s="132" t="e">
        <f t="shared" ca="1" si="81"/>
        <v>#NUM!</v>
      </c>
      <c r="AK110" s="132" t="e">
        <f t="shared" ca="1" si="81"/>
        <v>#NUM!</v>
      </c>
      <c r="AL110" s="132" t="e">
        <f t="shared" ca="1" si="66"/>
        <v>#NUM!</v>
      </c>
    </row>
    <row r="111" spans="18:40" x14ac:dyDescent="0.35">
      <c r="AG111" s="132" t="e">
        <f ca="1">IF(AG70="","",(_p*AH111+(1-_p)*AH112)*_emrdt)</f>
        <v>#NUM!</v>
      </c>
      <c r="AH111" s="132" t="e">
        <f ca="1">IF(AH70="","",(_p*AI111+(1-_p)*AI112)*_emrdt)</f>
        <v>#NUM!</v>
      </c>
      <c r="AI111" s="132" t="e">
        <f ca="1">IF(AI70="","",(_p*AJ111+(1-_p)*AJ112)*_emrdt)</f>
        <v>#NUM!</v>
      </c>
      <c r="AJ111" s="132" t="e">
        <f ca="1">IF(AJ70="","",(_p*AK111+(1-_p)*AK112)*_emrdt)</f>
        <v>#NUM!</v>
      </c>
      <c r="AK111" s="132" t="e">
        <f ca="1">IF(AK70="","",(_p*AL111+(1-_p)*AL112)*_emrdt)</f>
        <v>#NUM!</v>
      </c>
      <c r="AL111" s="132" t="e">
        <f t="shared" ca="1" si="66"/>
        <v>#NUM!</v>
      </c>
    </row>
    <row r="112" spans="18:40" x14ac:dyDescent="0.35">
      <c r="AH112" s="132" t="e">
        <f ca="1">IF(AH71="","",(_p*AI112+(1-_p)*AI113)*_emrdt)</f>
        <v>#NUM!</v>
      </c>
      <c r="AI112" s="132" t="e">
        <f ca="1">IF(AI71="","",(_p*AJ112+(1-_p)*AJ113)*_emrdt)</f>
        <v>#NUM!</v>
      </c>
      <c r="AJ112" s="132" t="e">
        <f ca="1">IF(AJ71="","",(_p*AK112+(1-_p)*AK113)*_emrdt)</f>
        <v>#NUM!</v>
      </c>
      <c r="AK112" s="132" t="e">
        <f ca="1">IF(AK71="","",(_p*AL112+(1-_p)*AL113)*_emrdt)</f>
        <v>#NUM!</v>
      </c>
      <c r="AL112" s="132" t="e">
        <f t="shared" ca="1" si="66"/>
        <v>#NUM!</v>
      </c>
    </row>
    <row r="113" spans="35:38" x14ac:dyDescent="0.35">
      <c r="AI113" s="132" t="e">
        <f ca="1">IF(AI72="","",(_p*AJ113+(1-_p)*AJ114)*_emrdt)</f>
        <v>#NUM!</v>
      </c>
      <c r="AJ113" s="132" t="e">
        <f ca="1">IF(AJ72="","",(_p*AK113+(1-_p)*AK114)*_emrdt)</f>
        <v>#NUM!</v>
      </c>
      <c r="AK113" s="132" t="e">
        <f ca="1">IF(AK72="","",(_p*AL113+(1-_p)*AL114)*_emrdt)</f>
        <v>#NUM!</v>
      </c>
      <c r="AL113" s="132" t="e">
        <f t="shared" ca="1" si="66"/>
        <v>#NUM!</v>
      </c>
    </row>
    <row r="114" spans="35:38" x14ac:dyDescent="0.35">
      <c r="AJ114" s="132" t="e">
        <f ca="1">IF(AJ73="","",(_p*AK114+(1-_p)*AK115)*_emrdt)</f>
        <v>#NUM!</v>
      </c>
      <c r="AK114" s="132" t="e">
        <f ca="1">IF(AK73="","",(_p*AL114+(1-_p)*AL115)*_emrdt)</f>
        <v>#NUM!</v>
      </c>
      <c r="AL114" s="132" t="e">
        <f t="shared" ca="1" si="66"/>
        <v>#NUM!</v>
      </c>
    </row>
    <row r="115" spans="35:38" x14ac:dyDescent="0.35">
      <c r="AK115" s="132" t="e">
        <f ca="1">IF(AK74="","",(_p*AL115+(1-_p)*AL116)*_emrdt)</f>
        <v>#NUM!</v>
      </c>
      <c r="AL115" s="132" t="e">
        <f t="shared" ca="1" si="66"/>
        <v>#NUM!</v>
      </c>
    </row>
    <row r="116" spans="35:38" x14ac:dyDescent="0.35">
      <c r="AL116" s="132" t="e">
        <f t="shared" ca="1" si="66"/>
        <v>#NUM!</v>
      </c>
    </row>
  </sheetData>
  <mergeCells count="11">
    <mergeCell ref="A1:K1"/>
    <mergeCell ref="A2:K2"/>
    <mergeCell ref="B4:C5"/>
    <mergeCell ref="E4:G5"/>
    <mergeCell ref="I4:K5"/>
    <mergeCell ref="AU9:AV9"/>
    <mergeCell ref="AW9:AX9"/>
    <mergeCell ref="B24:K25"/>
    <mergeCell ref="B34:E35"/>
    <mergeCell ref="F34:J35"/>
    <mergeCell ref="I7:K17"/>
  </mergeCells>
  <conditionalFormatting sqref="AA55:AK55 R55:Z64 AA56:AA64 AB56:AB65 AC56:AC66 AD56:AD67 AE56:AE68 AF56:AF69 AG56:AG70 AH56:AH71 AI56:AI72 AJ56:AJ73 AK56:AK74">
    <cfRule type="expression" dxfId="1" priority="1" stopIfTrue="1">
      <formula>ABS(R96-R55)&gt;0.001</formula>
    </cfRule>
  </conditionalFormatting>
  <dataValidations count="1">
    <dataValidation type="list" allowBlank="1" showInputMessage="1" showErrorMessage="1" error="Please enter &quot;1&quot; for a Call option and &quot;-1&quot; for a Put option" sqref="C7" xr:uid="{00000000-0002-0000-0100-000000000000}">
      <formula1>"1,-1"</formula1>
    </dataValidation>
  </dataValidations>
  <hyperlinks>
    <hyperlink ref="C28" r:id="rId1" xr:uid="{00000000-0004-0000-0100-000000000000}"/>
    <hyperlink ref="C29" r:id="rId2" xr:uid="{00000000-0004-0000-0100-000001000000}"/>
    <hyperlink ref="C30" r:id="rId3" xr:uid="{00000000-0004-0000-0100-000002000000}"/>
    <hyperlink ref="C31" r:id="rId4" xr:uid="{00000000-0004-0000-0100-000003000000}"/>
    <hyperlink ref="F28" r:id="rId5" xr:uid="{00000000-0004-0000-0100-000004000000}"/>
    <hyperlink ref="C38" r:id="rId6" xr:uid="{00000000-0004-0000-0100-000005000000}"/>
    <hyperlink ref="C39" r:id="rId7" xr:uid="{00000000-0004-0000-0100-000006000000}"/>
    <hyperlink ref="C40" r:id="rId8" xr:uid="{00000000-0004-0000-0100-000007000000}"/>
    <hyperlink ref="B34" r:id="rId9" xr:uid="{00000000-0004-0000-0100-000008000000}"/>
  </hyperlinks>
  <pageMargins left="0.75" right="0.75" top="1" bottom="1" header="0.5" footer="0.5"/>
  <pageSetup orientation="portrait" r:id="rId10"/>
  <headerFooter alignWithMargins="0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39997558519241921"/>
  </sheetPr>
  <dimension ref="A1:BK204"/>
  <sheetViews>
    <sheetView showGridLines="0" zoomScaleNormal="100" workbookViewId="0">
      <selection sqref="A1:G1"/>
    </sheetView>
  </sheetViews>
  <sheetFormatPr defaultRowHeight="12.75" x14ac:dyDescent="0.35"/>
  <cols>
    <col min="1" max="1" width="2.1328125" style="1" customWidth="1"/>
    <col min="2" max="2" width="33.86328125" style="1" bestFit="1" customWidth="1"/>
    <col min="3" max="3" width="12.73046875" style="1" customWidth="1"/>
    <col min="4" max="4" width="3.73046875" style="1" customWidth="1"/>
    <col min="5" max="5" width="11.265625" style="1" customWidth="1"/>
    <col min="6" max="6" width="13.3984375" style="1" customWidth="1"/>
    <col min="7" max="7" width="19.3984375" style="1" customWidth="1"/>
    <col min="8" max="8" width="2.73046875" style="1" customWidth="1"/>
    <col min="9" max="11" width="9.1328125" style="68" customWidth="1"/>
    <col min="12" max="12" width="2.73046875" style="68" customWidth="1"/>
    <col min="13" max="13" width="9.1328125" style="68" customWidth="1"/>
    <col min="14" max="53" width="9.1328125" style="68" hidden="1" customWidth="1"/>
    <col min="54" max="54" width="9.1328125" style="1" hidden="1" customWidth="1"/>
    <col min="55" max="55" width="9.1328125" style="1" customWidth="1"/>
    <col min="56" max="56" width="11.59765625" style="1" customWidth="1"/>
    <col min="57" max="58" width="9.1328125" style="1"/>
    <col min="59" max="59" width="16.59765625" style="1" bestFit="1" customWidth="1"/>
    <col min="60" max="63" width="12.59765625" style="1" bestFit="1" customWidth="1"/>
    <col min="64" max="277" width="9.1328125" style="1"/>
    <col min="278" max="278" width="25.73046875" style="1" customWidth="1"/>
    <col min="279" max="533" width="9.1328125" style="1"/>
    <col min="534" max="534" width="25.73046875" style="1" customWidth="1"/>
    <col min="535" max="789" width="9.1328125" style="1"/>
    <col min="790" max="790" width="25.73046875" style="1" customWidth="1"/>
    <col min="791" max="1045" width="9.1328125" style="1"/>
    <col min="1046" max="1046" width="25.73046875" style="1" customWidth="1"/>
    <col min="1047" max="1301" width="9.1328125" style="1"/>
    <col min="1302" max="1302" width="25.73046875" style="1" customWidth="1"/>
    <col min="1303" max="1557" width="9.1328125" style="1"/>
    <col min="1558" max="1558" width="25.73046875" style="1" customWidth="1"/>
    <col min="1559" max="1813" width="9.1328125" style="1"/>
    <col min="1814" max="1814" width="25.73046875" style="1" customWidth="1"/>
    <col min="1815" max="2069" width="9.1328125" style="1"/>
    <col min="2070" max="2070" width="25.73046875" style="1" customWidth="1"/>
    <col min="2071" max="2325" width="9.1328125" style="1"/>
    <col min="2326" max="2326" width="25.73046875" style="1" customWidth="1"/>
    <col min="2327" max="2581" width="9.1328125" style="1"/>
    <col min="2582" max="2582" width="25.73046875" style="1" customWidth="1"/>
    <col min="2583" max="2837" width="9.1328125" style="1"/>
    <col min="2838" max="2838" width="25.73046875" style="1" customWidth="1"/>
    <col min="2839" max="3093" width="9.1328125" style="1"/>
    <col min="3094" max="3094" width="25.73046875" style="1" customWidth="1"/>
    <col min="3095" max="3349" width="9.1328125" style="1"/>
    <col min="3350" max="3350" width="25.73046875" style="1" customWidth="1"/>
    <col min="3351" max="3605" width="9.1328125" style="1"/>
    <col min="3606" max="3606" width="25.73046875" style="1" customWidth="1"/>
    <col min="3607" max="3861" width="9.1328125" style="1"/>
    <col min="3862" max="3862" width="25.73046875" style="1" customWidth="1"/>
    <col min="3863" max="4117" width="9.1328125" style="1"/>
    <col min="4118" max="4118" width="25.73046875" style="1" customWidth="1"/>
    <col min="4119" max="4373" width="9.1328125" style="1"/>
    <col min="4374" max="4374" width="25.73046875" style="1" customWidth="1"/>
    <col min="4375" max="4629" width="9.1328125" style="1"/>
    <col min="4630" max="4630" width="25.73046875" style="1" customWidth="1"/>
    <col min="4631" max="4885" width="9.1328125" style="1"/>
    <col min="4886" max="4886" width="25.73046875" style="1" customWidth="1"/>
    <col min="4887" max="5141" width="9.1328125" style="1"/>
    <col min="5142" max="5142" width="25.73046875" style="1" customWidth="1"/>
    <col min="5143" max="5397" width="9.1328125" style="1"/>
    <col min="5398" max="5398" width="25.73046875" style="1" customWidth="1"/>
    <col min="5399" max="5653" width="9.1328125" style="1"/>
    <col min="5654" max="5654" width="25.73046875" style="1" customWidth="1"/>
    <col min="5655" max="5909" width="9.1328125" style="1"/>
    <col min="5910" max="5910" width="25.73046875" style="1" customWidth="1"/>
    <col min="5911" max="6165" width="9.1328125" style="1"/>
    <col min="6166" max="6166" width="25.73046875" style="1" customWidth="1"/>
    <col min="6167" max="6421" width="9.1328125" style="1"/>
    <col min="6422" max="6422" width="25.73046875" style="1" customWidth="1"/>
    <col min="6423" max="6677" width="9.1328125" style="1"/>
    <col min="6678" max="6678" width="25.73046875" style="1" customWidth="1"/>
    <col min="6679" max="6933" width="9.1328125" style="1"/>
    <col min="6934" max="6934" width="25.73046875" style="1" customWidth="1"/>
    <col min="6935" max="7189" width="9.1328125" style="1"/>
    <col min="7190" max="7190" width="25.73046875" style="1" customWidth="1"/>
    <col min="7191" max="7445" width="9.1328125" style="1"/>
    <col min="7446" max="7446" width="25.73046875" style="1" customWidth="1"/>
    <col min="7447" max="7701" width="9.1328125" style="1"/>
    <col min="7702" max="7702" width="25.73046875" style="1" customWidth="1"/>
    <col min="7703" max="7957" width="9.1328125" style="1"/>
    <col min="7958" max="7958" width="25.73046875" style="1" customWidth="1"/>
    <col min="7959" max="8213" width="9.1328125" style="1"/>
    <col min="8214" max="8214" width="25.73046875" style="1" customWidth="1"/>
    <col min="8215" max="8469" width="9.1328125" style="1"/>
    <col min="8470" max="8470" width="25.73046875" style="1" customWidth="1"/>
    <col min="8471" max="8725" width="9.1328125" style="1"/>
    <col min="8726" max="8726" width="25.73046875" style="1" customWidth="1"/>
    <col min="8727" max="8981" width="9.1328125" style="1"/>
    <col min="8982" max="8982" width="25.73046875" style="1" customWidth="1"/>
    <col min="8983" max="9237" width="9.1328125" style="1"/>
    <col min="9238" max="9238" width="25.73046875" style="1" customWidth="1"/>
    <col min="9239" max="9493" width="9.1328125" style="1"/>
    <col min="9494" max="9494" width="25.73046875" style="1" customWidth="1"/>
    <col min="9495" max="9749" width="9.1328125" style="1"/>
    <col min="9750" max="9750" width="25.73046875" style="1" customWidth="1"/>
    <col min="9751" max="10005" width="9.1328125" style="1"/>
    <col min="10006" max="10006" width="25.73046875" style="1" customWidth="1"/>
    <col min="10007" max="10261" width="9.1328125" style="1"/>
    <col min="10262" max="10262" width="25.73046875" style="1" customWidth="1"/>
    <col min="10263" max="10517" width="9.1328125" style="1"/>
    <col min="10518" max="10518" width="25.73046875" style="1" customWidth="1"/>
    <col min="10519" max="10773" width="9.1328125" style="1"/>
    <col min="10774" max="10774" width="25.73046875" style="1" customWidth="1"/>
    <col min="10775" max="11029" width="9.1328125" style="1"/>
    <col min="11030" max="11030" width="25.73046875" style="1" customWidth="1"/>
    <col min="11031" max="11285" width="9.1328125" style="1"/>
    <col min="11286" max="11286" width="25.73046875" style="1" customWidth="1"/>
    <col min="11287" max="11541" width="9.1328125" style="1"/>
    <col min="11542" max="11542" width="25.73046875" style="1" customWidth="1"/>
    <col min="11543" max="11797" width="9.1328125" style="1"/>
    <col min="11798" max="11798" width="25.73046875" style="1" customWidth="1"/>
    <col min="11799" max="12053" width="9.1328125" style="1"/>
    <col min="12054" max="12054" width="25.73046875" style="1" customWidth="1"/>
    <col min="12055" max="12309" width="9.1328125" style="1"/>
    <col min="12310" max="12310" width="25.73046875" style="1" customWidth="1"/>
    <col min="12311" max="12565" width="9.1328125" style="1"/>
    <col min="12566" max="12566" width="25.73046875" style="1" customWidth="1"/>
    <col min="12567" max="12821" width="9.1328125" style="1"/>
    <col min="12822" max="12822" width="25.73046875" style="1" customWidth="1"/>
    <col min="12823" max="13077" width="9.1328125" style="1"/>
    <col min="13078" max="13078" width="25.73046875" style="1" customWidth="1"/>
    <col min="13079" max="13333" width="9.1328125" style="1"/>
    <col min="13334" max="13334" width="25.73046875" style="1" customWidth="1"/>
    <col min="13335" max="13589" width="9.1328125" style="1"/>
    <col min="13590" max="13590" width="25.73046875" style="1" customWidth="1"/>
    <col min="13591" max="13845" width="9.1328125" style="1"/>
    <col min="13846" max="13846" width="25.73046875" style="1" customWidth="1"/>
    <col min="13847" max="14101" width="9.1328125" style="1"/>
    <col min="14102" max="14102" width="25.73046875" style="1" customWidth="1"/>
    <col min="14103" max="14357" width="9.1328125" style="1"/>
    <col min="14358" max="14358" width="25.73046875" style="1" customWidth="1"/>
    <col min="14359" max="14613" width="9.1328125" style="1"/>
    <col min="14614" max="14614" width="25.73046875" style="1" customWidth="1"/>
    <col min="14615" max="14869" width="9.1328125" style="1"/>
    <col min="14870" max="14870" width="25.73046875" style="1" customWidth="1"/>
    <col min="14871" max="15125" width="9.1328125" style="1"/>
    <col min="15126" max="15126" width="25.73046875" style="1" customWidth="1"/>
    <col min="15127" max="15381" width="9.1328125" style="1"/>
    <col min="15382" max="15382" width="25.73046875" style="1" customWidth="1"/>
    <col min="15383" max="15637" width="9.1328125" style="1"/>
    <col min="15638" max="15638" width="25.73046875" style="1" customWidth="1"/>
    <col min="15639" max="15893" width="9.1328125" style="1"/>
    <col min="15894" max="15894" width="25.73046875" style="1" customWidth="1"/>
    <col min="15895" max="16149" width="9.1328125" style="1"/>
    <col min="16150" max="16150" width="25.73046875" style="1" customWidth="1"/>
    <col min="16151" max="16384" width="9.1328125" style="1"/>
  </cols>
  <sheetData>
    <row r="1" spans="1:63" ht="15.75" x14ac:dyDescent="0.35">
      <c r="A1" s="249" t="s">
        <v>38</v>
      </c>
      <c r="B1" s="249"/>
      <c r="C1" s="249"/>
      <c r="D1" s="249"/>
      <c r="E1" s="249"/>
      <c r="F1" s="249"/>
      <c r="G1" s="249"/>
      <c r="H1" s="54"/>
    </row>
    <row r="2" spans="1:63" ht="14.25" x14ac:dyDescent="0.45">
      <c r="A2" s="250" t="s">
        <v>71</v>
      </c>
      <c r="B2" s="250"/>
      <c r="C2" s="250"/>
      <c r="D2" s="250"/>
      <c r="E2" s="250"/>
      <c r="F2" s="250"/>
      <c r="G2" s="250"/>
      <c r="H2" s="54"/>
    </row>
    <row r="3" spans="1:63" ht="14.65" thickBot="1" x14ac:dyDescent="0.5">
      <c r="A3" s="9"/>
      <c r="B3" s="10"/>
      <c r="C3" s="10"/>
      <c r="D3" s="11"/>
      <c r="E3" s="9"/>
      <c r="F3" s="10"/>
      <c r="G3" s="10"/>
      <c r="H3" s="54"/>
      <c r="L3" s="69"/>
      <c r="M3" s="70"/>
    </row>
    <row r="4" spans="1:63" ht="14.65" thickBot="1" x14ac:dyDescent="0.5">
      <c r="A4" s="9"/>
      <c r="B4" s="251" t="s">
        <v>39</v>
      </c>
      <c r="C4" s="252"/>
      <c r="D4" s="11"/>
      <c r="E4" s="261" t="s">
        <v>41</v>
      </c>
      <c r="F4" s="262"/>
      <c r="G4" s="263"/>
      <c r="H4" s="54"/>
      <c r="R4" s="68" t="s">
        <v>10</v>
      </c>
      <c r="S4" s="71">
        <f ca="1">_T/_n</f>
        <v>-6.193287671232877</v>
      </c>
      <c r="BB4" s="68"/>
      <c r="BC4" s="68"/>
      <c r="BD4" s="147" t="s">
        <v>111</v>
      </c>
      <c r="BE4" s="170">
        <f>_S</f>
        <v>0</v>
      </c>
      <c r="BF4" s="17"/>
      <c r="BG4" s="17"/>
      <c r="BH4" s="17"/>
      <c r="BI4" s="17"/>
      <c r="BJ4" s="17"/>
      <c r="BK4" s="17"/>
    </row>
    <row r="5" spans="1:63" ht="14.65" thickBot="1" x14ac:dyDescent="0.5">
      <c r="A5" s="9"/>
      <c r="B5" s="253"/>
      <c r="C5" s="254"/>
      <c r="D5" s="11"/>
      <c r="E5" s="264"/>
      <c r="F5" s="265"/>
      <c r="G5" s="266"/>
      <c r="H5" s="54"/>
      <c r="R5" s="68" t="s">
        <v>11</v>
      </c>
      <c r="S5" s="71" t="e">
        <f ca="1">EXP($C$11*SQRT(_dt))</f>
        <v>#NUM!</v>
      </c>
      <c r="T5" s="68" t="s">
        <v>12</v>
      </c>
      <c r="BB5" s="68"/>
      <c r="BC5" s="68"/>
      <c r="BD5" s="17"/>
      <c r="BE5" s="17"/>
      <c r="BF5" s="17"/>
      <c r="BG5" s="17"/>
      <c r="BH5" s="17"/>
      <c r="BI5" s="17"/>
      <c r="BJ5" s="17"/>
      <c r="BK5" s="17"/>
    </row>
    <row r="6" spans="1:63" ht="14.25" customHeight="1" thickBot="1" x14ac:dyDescent="0.5">
      <c r="A6" s="53"/>
      <c r="B6" s="54"/>
      <c r="C6" s="54"/>
      <c r="D6" s="54"/>
      <c r="E6" s="54"/>
      <c r="F6" s="54"/>
      <c r="G6" s="54"/>
      <c r="H6" s="54"/>
      <c r="R6" s="68" t="s">
        <v>13</v>
      </c>
      <c r="S6" s="71" t="e">
        <f ca="1">1/_u</f>
        <v>#NUM!</v>
      </c>
      <c r="T6" s="68" t="s">
        <v>14</v>
      </c>
      <c r="BB6" s="68"/>
      <c r="BC6" s="68"/>
      <c r="BD6" s="148" t="s">
        <v>103</v>
      </c>
      <c r="BE6" s="149"/>
      <c r="BF6" s="149"/>
      <c r="BG6" s="149"/>
      <c r="BH6" s="267" t="s">
        <v>114</v>
      </c>
      <c r="BI6" s="268"/>
      <c r="BJ6" s="276" t="s">
        <v>115</v>
      </c>
      <c r="BK6" s="268"/>
    </row>
    <row r="7" spans="1:63" ht="12.75" customHeight="1" thickBot="1" x14ac:dyDescent="0.5">
      <c r="A7" s="54"/>
      <c r="B7" s="55" t="s">
        <v>9</v>
      </c>
      <c r="C7" s="65"/>
      <c r="D7" s="54"/>
      <c r="E7" s="279" t="s">
        <v>77</v>
      </c>
      <c r="F7" s="280"/>
      <c r="G7" s="281"/>
      <c r="H7" s="54"/>
      <c r="R7" s="68" t="s">
        <v>16</v>
      </c>
      <c r="S7" s="71" t="e">
        <f ca="1">(EXP(_rr*_dt)-_d)/(_u-_d)</f>
        <v>#NUM!</v>
      </c>
      <c r="T7" s="68" t="s">
        <v>17</v>
      </c>
      <c r="BB7" s="68"/>
      <c r="BC7" s="68"/>
      <c r="BD7" s="157" t="s">
        <v>110</v>
      </c>
      <c r="BE7" s="149"/>
      <c r="BF7" s="149"/>
      <c r="BG7" s="158" t="s">
        <v>109</v>
      </c>
      <c r="BH7" s="167" t="s">
        <v>112</v>
      </c>
      <c r="BI7" s="168" t="s">
        <v>113</v>
      </c>
      <c r="BJ7" s="167" t="s">
        <v>112</v>
      </c>
      <c r="BK7" s="168" t="s">
        <v>113</v>
      </c>
    </row>
    <row r="8" spans="1:63" ht="12.75" customHeight="1" x14ac:dyDescent="0.45">
      <c r="A8" s="54"/>
      <c r="B8" s="115" t="s">
        <v>37</v>
      </c>
      <c r="C8" s="86"/>
      <c r="D8" s="54"/>
      <c r="E8" s="282"/>
      <c r="F8" s="283"/>
      <c r="G8" s="284"/>
      <c r="H8" s="54"/>
      <c r="R8" s="68" t="s">
        <v>19</v>
      </c>
      <c r="S8" s="71">
        <f ca="1">EXP(-_rr*_dt)</f>
        <v>1</v>
      </c>
      <c r="T8" s="72" t="s">
        <v>20</v>
      </c>
      <c r="BB8" s="68"/>
      <c r="BC8" s="68"/>
      <c r="BD8" s="155" t="s">
        <v>104</v>
      </c>
      <c r="BE8" s="149"/>
      <c r="BF8" s="149"/>
      <c r="BG8" s="156">
        <f>C11</f>
        <v>0.1</v>
      </c>
      <c r="BH8" s="162">
        <f>$BE$4*(1-BG8)</f>
        <v>0</v>
      </c>
      <c r="BI8" s="163">
        <f>$BE$4*(1+BG8)</f>
        <v>0</v>
      </c>
      <c r="BJ8" s="162">
        <f>$BE$4*(1-2*BG8)</f>
        <v>0</v>
      </c>
      <c r="BK8" s="163">
        <f>$BE$4*(1+2*BG8)</f>
        <v>0</v>
      </c>
    </row>
    <row r="9" spans="1:63" ht="12.75" customHeight="1" x14ac:dyDescent="0.45">
      <c r="A9" s="54"/>
      <c r="B9" s="115" t="s">
        <v>36</v>
      </c>
      <c r="C9" s="86"/>
      <c r="D9" s="54"/>
      <c r="E9" s="282"/>
      <c r="F9" s="283"/>
      <c r="G9" s="284"/>
      <c r="H9" s="60"/>
      <c r="I9" s="73"/>
      <c r="J9" s="73"/>
      <c r="K9" s="73"/>
      <c r="BD9" s="181" t="s">
        <v>117</v>
      </c>
      <c r="BE9" s="17"/>
      <c r="BF9" s="17"/>
      <c r="BG9" s="151">
        <f>BG8*SQRT(1/4)</f>
        <v>0.05</v>
      </c>
      <c r="BH9" s="162">
        <f t="shared" ref="BH9" si="0">$BE$4*(1-BG9)</f>
        <v>0</v>
      </c>
      <c r="BI9" s="163">
        <f t="shared" ref="BI9" si="1">$BE$4*(1+BG9)</f>
        <v>0</v>
      </c>
      <c r="BJ9" s="162">
        <f t="shared" ref="BJ9" si="2">$BE$4*(1-2*BG9)</f>
        <v>0</v>
      </c>
      <c r="BK9" s="163">
        <f t="shared" ref="BK9" si="3">$BE$4*(1+2*BG9)</f>
        <v>0</v>
      </c>
    </row>
    <row r="10" spans="1:63" ht="12.75" customHeight="1" x14ac:dyDescent="0.45">
      <c r="A10" s="54"/>
      <c r="B10" s="115" t="s">
        <v>15</v>
      </c>
      <c r="C10" s="66"/>
      <c r="D10" s="54"/>
      <c r="E10" s="282"/>
      <c r="F10" s="283"/>
      <c r="G10" s="284"/>
      <c r="H10" s="60"/>
      <c r="I10" s="73"/>
      <c r="J10" s="73"/>
      <c r="K10" s="73"/>
      <c r="BD10" s="150" t="s">
        <v>105</v>
      </c>
      <c r="BE10" s="5"/>
      <c r="BF10" s="5"/>
      <c r="BG10" s="151">
        <f>BG8*SQRT(1/12)</f>
        <v>2.8867513459481287E-2</v>
      </c>
      <c r="BH10" s="162">
        <f t="shared" ref="BH10:BH13" si="4">$BE$4*(1-BG10)</f>
        <v>0</v>
      </c>
      <c r="BI10" s="163">
        <f t="shared" ref="BI10:BI13" si="5">$BE$4*(1+BG10)</f>
        <v>0</v>
      </c>
      <c r="BJ10" s="162">
        <f t="shared" ref="BJ10:BJ13" si="6">$BE$4*(1-2*BG10)</f>
        <v>0</v>
      </c>
      <c r="BK10" s="163">
        <f t="shared" ref="BK10:BK13" si="7">$BE$4*(1+2*BG10)</f>
        <v>0</v>
      </c>
    </row>
    <row r="11" spans="1:63" ht="12.75" customHeight="1" x14ac:dyDescent="0.45">
      <c r="A11" s="54"/>
      <c r="B11" s="115" t="s">
        <v>18</v>
      </c>
      <c r="C11" s="174">
        <v>0.1</v>
      </c>
      <c r="D11" s="54"/>
      <c r="E11" s="282"/>
      <c r="F11" s="283"/>
      <c r="G11" s="284"/>
      <c r="H11" s="60"/>
      <c r="I11" s="73"/>
      <c r="J11" s="73"/>
      <c r="K11" s="73"/>
      <c r="BD11" s="150" t="s">
        <v>106</v>
      </c>
      <c r="BE11" s="5"/>
      <c r="BF11" s="5"/>
      <c r="BG11" s="151">
        <f>BG8*SQRT(1/52)</f>
        <v>1.3867504905630729E-2</v>
      </c>
      <c r="BH11" s="162">
        <f t="shared" si="4"/>
        <v>0</v>
      </c>
      <c r="BI11" s="163">
        <f t="shared" si="5"/>
        <v>0</v>
      </c>
      <c r="BJ11" s="162">
        <f t="shared" si="6"/>
        <v>0</v>
      </c>
      <c r="BK11" s="163">
        <f t="shared" si="7"/>
        <v>0</v>
      </c>
    </row>
    <row r="12" spans="1:63" ht="12.75" customHeight="1" x14ac:dyDescent="0.45">
      <c r="A12" s="54"/>
      <c r="B12" s="115" t="s">
        <v>1</v>
      </c>
      <c r="C12" s="177"/>
      <c r="D12" s="54"/>
      <c r="E12" s="282"/>
      <c r="F12" s="283"/>
      <c r="G12" s="284"/>
      <c r="H12" s="60"/>
      <c r="I12" s="73"/>
      <c r="J12" s="73"/>
      <c r="K12" s="73"/>
      <c r="BD12" s="150" t="s">
        <v>107</v>
      </c>
      <c r="BE12" s="5"/>
      <c r="BF12" s="5"/>
      <c r="BG12" s="151">
        <f>BG8*SQRT(1/365)</f>
        <v>5.2342392259021372E-3</v>
      </c>
      <c r="BH12" s="162">
        <f t="shared" si="4"/>
        <v>0</v>
      </c>
      <c r="BI12" s="163">
        <f t="shared" si="5"/>
        <v>0</v>
      </c>
      <c r="BJ12" s="162">
        <f t="shared" si="6"/>
        <v>0</v>
      </c>
      <c r="BK12" s="163">
        <f t="shared" si="7"/>
        <v>0</v>
      </c>
    </row>
    <row r="13" spans="1:63" ht="12.75" customHeight="1" thickBot="1" x14ac:dyDescent="0.5">
      <c r="A13" s="54"/>
      <c r="B13" s="56" t="s">
        <v>21</v>
      </c>
      <c r="C13" s="57">
        <f ca="1">(C12-TODAY())/365</f>
        <v>-123.86575342465754</v>
      </c>
      <c r="D13" s="60"/>
      <c r="E13" s="282"/>
      <c r="F13" s="283"/>
      <c r="G13" s="284"/>
      <c r="H13" s="60"/>
      <c r="I13" s="73"/>
      <c r="J13" s="73"/>
      <c r="BD13" s="152" t="s">
        <v>108</v>
      </c>
      <c r="BE13" s="153"/>
      <c r="BF13" s="153"/>
      <c r="BG13" s="154" t="e">
        <f ca="1">BG8*SQRT(_T)</f>
        <v>#NUM!</v>
      </c>
      <c r="BH13" s="164" t="e">
        <f t="shared" ca="1" si="4"/>
        <v>#NUM!</v>
      </c>
      <c r="BI13" s="165" t="e">
        <f t="shared" ca="1" si="5"/>
        <v>#NUM!</v>
      </c>
      <c r="BJ13" s="164" t="e">
        <f t="shared" ca="1" si="6"/>
        <v>#NUM!</v>
      </c>
      <c r="BK13" s="165" t="e">
        <f t="shared" ca="1" si="7"/>
        <v>#NUM!</v>
      </c>
    </row>
    <row r="14" spans="1:63" ht="12.75" customHeight="1" x14ac:dyDescent="0.35">
      <c r="A14" s="54"/>
      <c r="B14" s="56" t="s">
        <v>22</v>
      </c>
      <c r="C14" s="58">
        <v>20</v>
      </c>
      <c r="D14" s="61"/>
      <c r="E14" s="282"/>
      <c r="F14" s="283"/>
      <c r="G14" s="284"/>
      <c r="H14" s="60"/>
      <c r="I14" s="73"/>
      <c r="J14" s="73"/>
      <c r="K14" s="73"/>
    </row>
    <row r="15" spans="1:63" ht="12.75" customHeight="1" x14ac:dyDescent="0.4">
      <c r="A15" s="54"/>
      <c r="B15" s="115" t="s">
        <v>23</v>
      </c>
      <c r="C15" s="175"/>
      <c r="D15" s="54"/>
      <c r="E15" s="282"/>
      <c r="F15" s="283"/>
      <c r="G15" s="284"/>
      <c r="H15" s="60"/>
      <c r="I15" s="73"/>
      <c r="J15" s="73"/>
      <c r="K15" s="73"/>
    </row>
    <row r="16" spans="1:63" ht="12.75" customHeight="1" x14ac:dyDescent="0.4">
      <c r="A16" s="54"/>
      <c r="B16" s="115" t="s">
        <v>68</v>
      </c>
      <c r="C16" s="177"/>
      <c r="D16" s="54"/>
      <c r="E16" s="282"/>
      <c r="F16" s="283"/>
      <c r="G16" s="284"/>
      <c r="H16" s="60"/>
      <c r="I16" s="73"/>
      <c r="J16" s="73"/>
      <c r="K16" s="73"/>
    </row>
    <row r="17" spans="1:53" ht="12.75" customHeight="1" x14ac:dyDescent="0.35">
      <c r="A17" s="54"/>
      <c r="B17" s="56" t="s">
        <v>24</v>
      </c>
      <c r="C17" s="57">
        <f ca="1">(C16-TODAY())/365</f>
        <v>-123.86575342465754</v>
      </c>
      <c r="D17" s="54"/>
      <c r="E17" s="282"/>
      <c r="F17" s="283"/>
      <c r="G17" s="284"/>
      <c r="H17" s="60"/>
      <c r="I17" s="73"/>
      <c r="J17" s="73"/>
    </row>
    <row r="18" spans="1:53" ht="12.75" customHeight="1" x14ac:dyDescent="0.4">
      <c r="A18" s="54"/>
      <c r="B18" s="141" t="s">
        <v>35</v>
      </c>
      <c r="C18" s="82">
        <v>8.6999999999999993</v>
      </c>
      <c r="D18" s="54"/>
      <c r="E18" s="282"/>
      <c r="F18" s="283"/>
      <c r="G18" s="284"/>
      <c r="H18" s="60"/>
      <c r="I18" s="73"/>
      <c r="J18" s="73"/>
      <c r="K18" s="73"/>
      <c r="U18" s="74"/>
      <c r="V18" s="74"/>
    </row>
    <row r="19" spans="1:53" ht="15" customHeight="1" x14ac:dyDescent="0.4">
      <c r="A19" s="54"/>
      <c r="B19" s="59" t="s">
        <v>73</v>
      </c>
      <c r="C19" s="173" t="s">
        <v>75</v>
      </c>
      <c r="D19" s="54"/>
      <c r="E19" s="285"/>
      <c r="F19" s="286"/>
      <c r="G19" s="287"/>
      <c r="H19" s="60"/>
      <c r="I19" s="73"/>
      <c r="J19" s="73"/>
      <c r="K19" s="73"/>
      <c r="U19" s="74"/>
      <c r="V19" s="74"/>
    </row>
    <row r="20" spans="1:53" x14ac:dyDescent="0.35">
      <c r="A20" s="54"/>
      <c r="B20" s="62" t="s">
        <v>65</v>
      </c>
      <c r="C20" s="63" t="e">
        <f ca="1">IF(C19="European",(C18-C22)^2,(C18-C21)^2)</f>
        <v>#NUM!</v>
      </c>
      <c r="D20" s="54"/>
      <c r="H20" s="54"/>
    </row>
    <row r="21" spans="1:53" ht="13.15" x14ac:dyDescent="0.4">
      <c r="A21" s="54"/>
      <c r="B21" s="142" t="str">
        <f>Q101</f>
        <v>American put price (Model)</v>
      </c>
      <c r="C21" s="64" t="e">
        <f ca="1">R101</f>
        <v>#NUM!</v>
      </c>
      <c r="D21" s="54"/>
      <c r="H21" s="54"/>
      <c r="T21" s="75"/>
      <c r="U21" s="75"/>
    </row>
    <row r="22" spans="1:53" ht="13.15" x14ac:dyDescent="0.4">
      <c r="A22" s="54"/>
      <c r="B22" s="142" t="s">
        <v>72</v>
      </c>
      <c r="C22" s="64" t="e">
        <f ca="1">R135</f>
        <v>#NUM!</v>
      </c>
      <c r="D22" s="54"/>
      <c r="H22" s="54"/>
      <c r="T22" s="75"/>
      <c r="U22" s="75"/>
    </row>
    <row r="23" spans="1:53" x14ac:dyDescent="0.35">
      <c r="A23" s="54"/>
      <c r="B23" s="54"/>
      <c r="C23" s="54"/>
      <c r="D23" s="54"/>
      <c r="E23" s="54"/>
      <c r="F23" s="54"/>
      <c r="G23" s="54"/>
      <c r="H23" s="54"/>
      <c r="T23" s="75"/>
      <c r="U23" s="75"/>
    </row>
    <row r="24" spans="1:53" x14ac:dyDescent="0.35">
      <c r="L24" s="84"/>
      <c r="M24" s="85"/>
      <c r="N24" s="85"/>
      <c r="O24" s="85"/>
      <c r="P24" s="85"/>
      <c r="Z24" s="75"/>
      <c r="AA24" s="75"/>
    </row>
    <row r="25" spans="1:53" ht="13.15" x14ac:dyDescent="0.4">
      <c r="L25" s="85"/>
      <c r="M25" s="85"/>
      <c r="N25" s="85"/>
      <c r="O25" s="85"/>
      <c r="P25" s="85"/>
      <c r="Y25" s="74"/>
      <c r="Z25" s="75"/>
      <c r="AA25" s="75"/>
    </row>
    <row r="26" spans="1:53" ht="14.25" x14ac:dyDescent="0.4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85"/>
      <c r="N26" s="85"/>
      <c r="O26" s="85"/>
      <c r="P26" s="85"/>
      <c r="Y26" s="76"/>
      <c r="Z26" s="75"/>
      <c r="AA26" s="75"/>
    </row>
    <row r="27" spans="1:53" ht="14.25" x14ac:dyDescent="0.45">
      <c r="A27" s="9"/>
      <c r="B27" s="269" t="s">
        <v>96</v>
      </c>
      <c r="C27" s="270"/>
      <c r="D27" s="270"/>
      <c r="E27" s="270"/>
      <c r="F27" s="270"/>
      <c r="G27" s="270"/>
      <c r="H27" s="270"/>
      <c r="I27" s="270"/>
      <c r="J27" s="270"/>
      <c r="K27" s="271"/>
      <c r="L27" s="9"/>
      <c r="Z27" s="75"/>
      <c r="AA27" s="75"/>
    </row>
    <row r="28" spans="1:53" ht="14.25" x14ac:dyDescent="0.45">
      <c r="A28" s="9"/>
      <c r="B28" s="272"/>
      <c r="C28" s="273"/>
      <c r="D28" s="273"/>
      <c r="E28" s="273"/>
      <c r="F28" s="273"/>
      <c r="G28" s="273"/>
      <c r="H28" s="273"/>
      <c r="I28" s="273"/>
      <c r="J28" s="273"/>
      <c r="K28" s="274"/>
      <c r="L28" s="9"/>
      <c r="Q28" s="77" t="s">
        <v>25</v>
      </c>
      <c r="R28" s="74">
        <v>0</v>
      </c>
      <c r="S28" s="74">
        <v>1</v>
      </c>
      <c r="T28" s="74">
        <v>2</v>
      </c>
      <c r="U28" s="74">
        <v>3</v>
      </c>
      <c r="V28" s="74">
        <v>4</v>
      </c>
      <c r="W28" s="74">
        <v>5</v>
      </c>
      <c r="X28" s="74">
        <v>6</v>
      </c>
      <c r="Y28" s="74">
        <v>7</v>
      </c>
      <c r="Z28" s="74">
        <v>8</v>
      </c>
      <c r="AA28" s="74">
        <v>9</v>
      </c>
      <c r="AB28" s="74">
        <v>10</v>
      </c>
      <c r="AC28" s="74">
        <v>11</v>
      </c>
      <c r="AD28" s="74">
        <v>12</v>
      </c>
      <c r="AE28" s="74">
        <v>13</v>
      </c>
      <c r="AF28" s="74">
        <v>14</v>
      </c>
      <c r="AG28" s="74">
        <v>15</v>
      </c>
      <c r="AH28" s="74">
        <v>16</v>
      </c>
      <c r="AI28" s="74">
        <v>17</v>
      </c>
      <c r="AJ28" s="74">
        <v>18</v>
      </c>
      <c r="AK28" s="74">
        <v>19</v>
      </c>
      <c r="AL28" s="74">
        <v>20</v>
      </c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</row>
    <row r="29" spans="1:53" ht="14.25" x14ac:dyDescent="0.45">
      <c r="A29" s="9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9"/>
      <c r="Q29" s="77" t="s">
        <v>26</v>
      </c>
      <c r="R29" s="76">
        <f t="shared" ref="R29:AL29" ca="1" si="8">R28*_dt</f>
        <v>0</v>
      </c>
      <c r="S29" s="76">
        <f t="shared" ca="1" si="8"/>
        <v>-6.193287671232877</v>
      </c>
      <c r="T29" s="76">
        <f t="shared" ca="1" si="8"/>
        <v>-12.386575342465754</v>
      </c>
      <c r="U29" s="76">
        <f t="shared" ca="1" si="8"/>
        <v>-18.579863013698631</v>
      </c>
      <c r="V29" s="76">
        <f t="shared" ca="1" si="8"/>
        <v>-24.773150684931508</v>
      </c>
      <c r="W29" s="76">
        <f t="shared" ca="1" si="8"/>
        <v>-30.966438356164385</v>
      </c>
      <c r="X29" s="76">
        <f t="shared" ca="1" si="8"/>
        <v>-37.159726027397262</v>
      </c>
      <c r="Y29" s="76">
        <f t="shared" ca="1" si="8"/>
        <v>-43.353013698630136</v>
      </c>
      <c r="Z29" s="76">
        <f t="shared" ca="1" si="8"/>
        <v>-49.546301369863016</v>
      </c>
      <c r="AA29" s="76">
        <f t="shared" ca="1" si="8"/>
        <v>-55.739589041095897</v>
      </c>
      <c r="AB29" s="76">
        <f t="shared" ca="1" si="8"/>
        <v>-61.93287671232877</v>
      </c>
      <c r="AC29" s="76">
        <f t="shared" ca="1" si="8"/>
        <v>-68.126164383561644</v>
      </c>
      <c r="AD29" s="76">
        <f t="shared" ca="1" si="8"/>
        <v>-74.319452054794525</v>
      </c>
      <c r="AE29" s="76">
        <f t="shared" ca="1" si="8"/>
        <v>-80.512739726027405</v>
      </c>
      <c r="AF29" s="76">
        <f t="shared" ca="1" si="8"/>
        <v>-86.706027397260272</v>
      </c>
      <c r="AG29" s="76">
        <f t="shared" ca="1" si="8"/>
        <v>-92.899315068493152</v>
      </c>
      <c r="AH29" s="76">
        <f t="shared" ca="1" si="8"/>
        <v>-99.092602739726033</v>
      </c>
      <c r="AI29" s="76">
        <f t="shared" ca="1" si="8"/>
        <v>-105.28589041095891</v>
      </c>
      <c r="AJ29" s="76">
        <f t="shared" ca="1" si="8"/>
        <v>-111.47917808219179</v>
      </c>
      <c r="AK29" s="76">
        <f t="shared" ca="1" si="8"/>
        <v>-117.67246575342466</v>
      </c>
      <c r="AL29" s="76">
        <f t="shared" ca="1" si="8"/>
        <v>-123.86575342465754</v>
      </c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</row>
    <row r="30" spans="1:53" ht="14.25" x14ac:dyDescent="0.45">
      <c r="A30" s="9"/>
      <c r="B30" s="109" t="s">
        <v>88</v>
      </c>
      <c r="C30" s="110"/>
      <c r="D30" s="110"/>
      <c r="E30" s="110"/>
      <c r="F30" s="110"/>
      <c r="G30" s="110"/>
      <c r="H30" s="110"/>
      <c r="I30" s="110"/>
      <c r="J30" s="110"/>
      <c r="K30" s="111"/>
      <c r="L30" s="9"/>
      <c r="Q30" s="78"/>
      <c r="Y30" s="75"/>
      <c r="Z30" s="75"/>
      <c r="AA30" s="75"/>
    </row>
    <row r="31" spans="1:53" ht="14.25" x14ac:dyDescent="0.45">
      <c r="A31" s="9"/>
      <c r="B31" s="99" t="s">
        <v>78</v>
      </c>
      <c r="C31" s="90" t="s">
        <v>79</v>
      </c>
      <c r="D31" s="91"/>
      <c r="E31" s="91"/>
      <c r="F31" s="90" t="s">
        <v>80</v>
      </c>
      <c r="G31" s="89"/>
      <c r="H31" s="89"/>
      <c r="I31" s="89"/>
      <c r="J31" s="89"/>
      <c r="K31" s="98"/>
      <c r="L31" s="9"/>
      <c r="Q31" s="77" t="s">
        <v>27</v>
      </c>
      <c r="R31" s="75">
        <f ca="1">(_S-_div*EXP(-_rr*_exdiv))</f>
        <v>0</v>
      </c>
      <c r="S31" s="75" t="e">
        <f t="shared" ref="S31:AB31" ca="1" si="9">R31*_u</f>
        <v>#NUM!</v>
      </c>
      <c r="T31" s="75" t="e">
        <f t="shared" ca="1" si="9"/>
        <v>#NUM!</v>
      </c>
      <c r="U31" s="75" t="e">
        <f t="shared" ca="1" si="9"/>
        <v>#NUM!</v>
      </c>
      <c r="V31" s="75" t="e">
        <f t="shared" ca="1" si="9"/>
        <v>#NUM!</v>
      </c>
      <c r="W31" s="75" t="e">
        <f t="shared" ca="1" si="9"/>
        <v>#NUM!</v>
      </c>
      <c r="X31" s="75" t="e">
        <f t="shared" ca="1" si="9"/>
        <v>#NUM!</v>
      </c>
      <c r="Y31" s="75" t="e">
        <f t="shared" ca="1" si="9"/>
        <v>#NUM!</v>
      </c>
      <c r="Z31" s="75" t="e">
        <f t="shared" ca="1" si="9"/>
        <v>#NUM!</v>
      </c>
      <c r="AA31" s="75" t="e">
        <f t="shared" ca="1" si="9"/>
        <v>#NUM!</v>
      </c>
      <c r="AB31" s="75" t="e">
        <f t="shared" ca="1" si="9"/>
        <v>#NUM!</v>
      </c>
      <c r="AC31" s="75" t="e">
        <f t="shared" ref="AC31" ca="1" si="10">AB31*_u</f>
        <v>#NUM!</v>
      </c>
      <c r="AD31" s="75" t="e">
        <f t="shared" ref="AD31" ca="1" si="11">AC31*_u</f>
        <v>#NUM!</v>
      </c>
      <c r="AE31" s="75" t="e">
        <f t="shared" ref="AE31" ca="1" si="12">AD31*_u</f>
        <v>#NUM!</v>
      </c>
      <c r="AF31" s="75" t="e">
        <f t="shared" ref="AF31" ca="1" si="13">AE31*_u</f>
        <v>#NUM!</v>
      </c>
      <c r="AG31" s="75" t="e">
        <f t="shared" ref="AG31" ca="1" si="14">AF31*_u</f>
        <v>#NUM!</v>
      </c>
      <c r="AH31" s="75" t="e">
        <f t="shared" ref="AH31" ca="1" si="15">AG31*_u</f>
        <v>#NUM!</v>
      </c>
      <c r="AI31" s="75" t="e">
        <f t="shared" ref="AI31" ca="1" si="16">AH31*_u</f>
        <v>#NUM!</v>
      </c>
      <c r="AJ31" s="75" t="e">
        <f t="shared" ref="AJ31" ca="1" si="17">AI31*_u</f>
        <v>#NUM!</v>
      </c>
      <c r="AK31" s="75" t="e">
        <f t="shared" ref="AK31" ca="1" si="18">AJ31*_u</f>
        <v>#NUM!</v>
      </c>
      <c r="AL31" s="75" t="e">
        <f t="shared" ref="AL31" ca="1" si="19">AK31*_u</f>
        <v>#NUM!</v>
      </c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</row>
    <row r="32" spans="1:53" ht="14.25" x14ac:dyDescent="0.45">
      <c r="A32" s="9"/>
      <c r="B32" s="100" t="s">
        <v>81</v>
      </c>
      <c r="C32" s="92" t="s">
        <v>82</v>
      </c>
      <c r="D32" s="92"/>
      <c r="E32" s="92"/>
      <c r="F32" s="90" t="s">
        <v>83</v>
      </c>
      <c r="G32" s="89"/>
      <c r="H32" s="89"/>
      <c r="I32" s="89"/>
      <c r="J32" s="89"/>
      <c r="K32" s="98"/>
      <c r="L32" s="9"/>
      <c r="Q32" s="78"/>
      <c r="R32" s="75"/>
      <c r="S32" s="75" t="e">
        <f t="shared" ref="S32:X37" ca="1" si="20">IF(ROW() -ROW($R$31)&gt;S$28,"",S31*_d/_u)</f>
        <v>#NUM!</v>
      </c>
      <c r="T32" s="75" t="e">
        <f t="shared" ca="1" si="20"/>
        <v>#NUM!</v>
      </c>
      <c r="U32" s="75" t="e">
        <f t="shared" ca="1" si="20"/>
        <v>#NUM!</v>
      </c>
      <c r="V32" s="75" t="e">
        <f t="shared" ca="1" si="20"/>
        <v>#NUM!</v>
      </c>
      <c r="W32" s="75" t="e">
        <f t="shared" ca="1" si="20"/>
        <v>#NUM!</v>
      </c>
      <c r="X32" s="75" t="e">
        <f t="shared" ca="1" si="20"/>
        <v>#NUM!</v>
      </c>
      <c r="Y32" s="75" t="e">
        <f t="shared" ref="Y32:Y38" ca="1" si="21">IF(ROW() -ROW($R$31)&gt;Y$28,"",Y31*_d/_u)</f>
        <v>#NUM!</v>
      </c>
      <c r="Z32" s="75" t="e">
        <f t="shared" ref="Z32:Z39" ca="1" si="22">IF(ROW() -ROW($R$31)&gt;Z$28,"",Z31*_d/_u)</f>
        <v>#NUM!</v>
      </c>
      <c r="AA32" s="75" t="e">
        <f t="shared" ref="AA32:AA40" ca="1" si="23">IF(ROW() -ROW($R$31)&gt;AA$28,"",AA31*_d/_u)</f>
        <v>#NUM!</v>
      </c>
      <c r="AB32" s="75" t="e">
        <f t="shared" ref="AB32:AL41" ca="1" si="24">IF(ROW() -ROW($R$31)&gt;AB$28,"",AB31*_d/_u)</f>
        <v>#NUM!</v>
      </c>
      <c r="AC32" s="75" t="e">
        <f t="shared" ca="1" si="24"/>
        <v>#NUM!</v>
      </c>
      <c r="AD32" s="75" t="e">
        <f t="shared" ca="1" si="24"/>
        <v>#NUM!</v>
      </c>
      <c r="AE32" s="75" t="e">
        <f t="shared" ca="1" si="24"/>
        <v>#NUM!</v>
      </c>
      <c r="AF32" s="75" t="e">
        <f t="shared" ca="1" si="24"/>
        <v>#NUM!</v>
      </c>
      <c r="AG32" s="75" t="e">
        <f t="shared" ca="1" si="24"/>
        <v>#NUM!</v>
      </c>
      <c r="AH32" s="75" t="e">
        <f t="shared" ca="1" si="24"/>
        <v>#NUM!</v>
      </c>
      <c r="AI32" s="75" t="e">
        <f t="shared" ca="1" si="24"/>
        <v>#NUM!</v>
      </c>
      <c r="AJ32" s="75" t="e">
        <f t="shared" ca="1" si="24"/>
        <v>#NUM!</v>
      </c>
      <c r="AK32" s="75" t="e">
        <f t="shared" ca="1" si="24"/>
        <v>#NUM!</v>
      </c>
      <c r="AL32" s="75" t="e">
        <f t="shared" ca="1" si="24"/>
        <v>#NUM!</v>
      </c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</row>
    <row r="33" spans="1:53" ht="14.25" x14ac:dyDescent="0.45">
      <c r="A33" s="9"/>
      <c r="B33" s="100" t="s">
        <v>84</v>
      </c>
      <c r="C33" s="92" t="s">
        <v>85</v>
      </c>
      <c r="D33" s="92"/>
      <c r="E33" s="92"/>
      <c r="F33" s="91"/>
      <c r="G33" s="89"/>
      <c r="H33" s="89"/>
      <c r="I33" s="89"/>
      <c r="J33" s="89"/>
      <c r="K33" s="98"/>
      <c r="L33" s="9"/>
      <c r="Q33" s="78"/>
      <c r="R33" s="75"/>
      <c r="S33" s="75" t="str">
        <f t="shared" si="20"/>
        <v/>
      </c>
      <c r="T33" s="75" t="e">
        <f t="shared" ca="1" si="20"/>
        <v>#NUM!</v>
      </c>
      <c r="U33" s="75" t="e">
        <f t="shared" ca="1" si="20"/>
        <v>#NUM!</v>
      </c>
      <c r="V33" s="75" t="e">
        <f t="shared" ca="1" si="20"/>
        <v>#NUM!</v>
      </c>
      <c r="W33" s="75" t="e">
        <f t="shared" ca="1" si="20"/>
        <v>#NUM!</v>
      </c>
      <c r="X33" s="75" t="e">
        <f t="shared" ca="1" si="20"/>
        <v>#NUM!</v>
      </c>
      <c r="Y33" s="75" t="e">
        <f t="shared" ca="1" si="21"/>
        <v>#NUM!</v>
      </c>
      <c r="Z33" s="75" t="e">
        <f t="shared" ca="1" si="22"/>
        <v>#NUM!</v>
      </c>
      <c r="AA33" s="75" t="e">
        <f t="shared" ca="1" si="23"/>
        <v>#NUM!</v>
      </c>
      <c r="AB33" s="75" t="e">
        <f t="shared" ca="1" si="24"/>
        <v>#NUM!</v>
      </c>
      <c r="AC33" s="75" t="e">
        <f t="shared" ref="AC33:AL33" ca="1" si="25">IF(ROW() -ROW($R$31)&gt;AC$28,"",AC32*_d/_u)</f>
        <v>#NUM!</v>
      </c>
      <c r="AD33" s="75" t="e">
        <f t="shared" ca="1" si="25"/>
        <v>#NUM!</v>
      </c>
      <c r="AE33" s="75" t="e">
        <f t="shared" ca="1" si="25"/>
        <v>#NUM!</v>
      </c>
      <c r="AF33" s="75" t="e">
        <f t="shared" ca="1" si="25"/>
        <v>#NUM!</v>
      </c>
      <c r="AG33" s="75" t="e">
        <f t="shared" ca="1" si="25"/>
        <v>#NUM!</v>
      </c>
      <c r="AH33" s="75" t="e">
        <f t="shared" ca="1" si="25"/>
        <v>#NUM!</v>
      </c>
      <c r="AI33" s="75" t="e">
        <f t="shared" ca="1" si="25"/>
        <v>#NUM!</v>
      </c>
      <c r="AJ33" s="75" t="e">
        <f t="shared" ca="1" si="25"/>
        <v>#NUM!</v>
      </c>
      <c r="AK33" s="75" t="e">
        <f t="shared" ca="1" si="25"/>
        <v>#NUM!</v>
      </c>
      <c r="AL33" s="75" t="e">
        <f t="shared" ca="1" si="25"/>
        <v>#NUM!</v>
      </c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</row>
    <row r="34" spans="1:53" ht="14.25" x14ac:dyDescent="0.45">
      <c r="A34" s="9"/>
      <c r="B34" s="100" t="s">
        <v>86</v>
      </c>
      <c r="C34" s="93" t="s">
        <v>87</v>
      </c>
      <c r="D34" s="92"/>
      <c r="E34" s="92"/>
      <c r="F34" s="91"/>
      <c r="G34" s="89"/>
      <c r="H34" s="89"/>
      <c r="I34" s="89"/>
      <c r="J34" s="89"/>
      <c r="K34" s="98"/>
      <c r="L34" s="9"/>
      <c r="Q34" s="78"/>
      <c r="R34" s="75"/>
      <c r="S34" s="75" t="str">
        <f t="shared" si="20"/>
        <v/>
      </c>
      <c r="T34" s="75" t="str">
        <f t="shared" si="20"/>
        <v/>
      </c>
      <c r="U34" s="75" t="e">
        <f t="shared" ca="1" si="20"/>
        <v>#NUM!</v>
      </c>
      <c r="V34" s="75" t="e">
        <f t="shared" ca="1" si="20"/>
        <v>#NUM!</v>
      </c>
      <c r="W34" s="75" t="e">
        <f t="shared" ca="1" si="20"/>
        <v>#NUM!</v>
      </c>
      <c r="X34" s="75" t="e">
        <f t="shared" ca="1" si="20"/>
        <v>#NUM!</v>
      </c>
      <c r="Y34" s="75" t="e">
        <f t="shared" ca="1" si="21"/>
        <v>#NUM!</v>
      </c>
      <c r="Z34" s="75" t="e">
        <f t="shared" ca="1" si="22"/>
        <v>#NUM!</v>
      </c>
      <c r="AA34" s="75" t="e">
        <f t="shared" ca="1" si="23"/>
        <v>#NUM!</v>
      </c>
      <c r="AB34" s="75" t="e">
        <f t="shared" ca="1" si="24"/>
        <v>#NUM!</v>
      </c>
      <c r="AC34" s="75" t="e">
        <f t="shared" ref="AC34:AL34" ca="1" si="26">IF(ROW() -ROW($R$31)&gt;AC$28,"",AC33*_d/_u)</f>
        <v>#NUM!</v>
      </c>
      <c r="AD34" s="75" t="e">
        <f t="shared" ca="1" si="26"/>
        <v>#NUM!</v>
      </c>
      <c r="AE34" s="75" t="e">
        <f t="shared" ca="1" si="26"/>
        <v>#NUM!</v>
      </c>
      <c r="AF34" s="75" t="e">
        <f t="shared" ca="1" si="26"/>
        <v>#NUM!</v>
      </c>
      <c r="AG34" s="75" t="e">
        <f t="shared" ca="1" si="26"/>
        <v>#NUM!</v>
      </c>
      <c r="AH34" s="75" t="e">
        <f t="shared" ca="1" si="26"/>
        <v>#NUM!</v>
      </c>
      <c r="AI34" s="75" t="e">
        <f t="shared" ca="1" si="26"/>
        <v>#NUM!</v>
      </c>
      <c r="AJ34" s="75" t="e">
        <f t="shared" ca="1" si="26"/>
        <v>#NUM!</v>
      </c>
      <c r="AK34" s="75" t="e">
        <f t="shared" ca="1" si="26"/>
        <v>#NUM!</v>
      </c>
      <c r="AL34" s="75" t="e">
        <f t="shared" ca="1" si="26"/>
        <v>#NUM!</v>
      </c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</row>
    <row r="35" spans="1:53" ht="14.25" x14ac:dyDescent="0.45">
      <c r="A35" s="9"/>
      <c r="B35" s="101"/>
      <c r="C35" s="89"/>
      <c r="D35" s="89"/>
      <c r="E35" s="89"/>
      <c r="F35" s="89"/>
      <c r="G35" s="89"/>
      <c r="H35" s="89"/>
      <c r="I35" s="89"/>
      <c r="J35" s="89"/>
      <c r="K35" s="98"/>
      <c r="L35" s="9"/>
      <c r="Q35" s="78"/>
      <c r="R35" s="75"/>
      <c r="S35" s="75" t="str">
        <f t="shared" si="20"/>
        <v/>
      </c>
      <c r="T35" s="75" t="str">
        <f t="shared" si="20"/>
        <v/>
      </c>
      <c r="U35" s="75" t="str">
        <f t="shared" si="20"/>
        <v/>
      </c>
      <c r="V35" s="75" t="e">
        <f t="shared" ca="1" si="20"/>
        <v>#NUM!</v>
      </c>
      <c r="W35" s="75" t="e">
        <f t="shared" ca="1" si="20"/>
        <v>#NUM!</v>
      </c>
      <c r="X35" s="75" t="e">
        <f t="shared" ca="1" si="20"/>
        <v>#NUM!</v>
      </c>
      <c r="Y35" s="75" t="e">
        <f t="shared" ca="1" si="21"/>
        <v>#NUM!</v>
      </c>
      <c r="Z35" s="75" t="e">
        <f t="shared" ca="1" si="22"/>
        <v>#NUM!</v>
      </c>
      <c r="AA35" s="75" t="e">
        <f t="shared" ca="1" si="23"/>
        <v>#NUM!</v>
      </c>
      <c r="AB35" s="75" t="e">
        <f t="shared" ca="1" si="24"/>
        <v>#NUM!</v>
      </c>
      <c r="AC35" s="75" t="e">
        <f t="shared" ref="AC35:AL35" ca="1" si="27">IF(ROW() -ROW($R$31)&gt;AC$28,"",AC34*_d/_u)</f>
        <v>#NUM!</v>
      </c>
      <c r="AD35" s="75" t="e">
        <f t="shared" ca="1" si="27"/>
        <v>#NUM!</v>
      </c>
      <c r="AE35" s="75" t="e">
        <f t="shared" ca="1" si="27"/>
        <v>#NUM!</v>
      </c>
      <c r="AF35" s="75" t="e">
        <f t="shared" ca="1" si="27"/>
        <v>#NUM!</v>
      </c>
      <c r="AG35" s="75" t="e">
        <f t="shared" ca="1" si="27"/>
        <v>#NUM!</v>
      </c>
      <c r="AH35" s="75" t="e">
        <f t="shared" ca="1" si="27"/>
        <v>#NUM!</v>
      </c>
      <c r="AI35" s="75" t="e">
        <f t="shared" ca="1" si="27"/>
        <v>#NUM!</v>
      </c>
      <c r="AJ35" s="75" t="e">
        <f t="shared" ca="1" si="27"/>
        <v>#NUM!</v>
      </c>
      <c r="AK35" s="75" t="e">
        <f t="shared" ca="1" si="27"/>
        <v>#NUM!</v>
      </c>
      <c r="AL35" s="75" t="e">
        <f t="shared" ca="1" si="27"/>
        <v>#NUM!</v>
      </c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</row>
    <row r="36" spans="1:53" ht="14.25" x14ac:dyDescent="0.45">
      <c r="A36" s="9"/>
      <c r="B36" s="88" t="s">
        <v>89</v>
      </c>
      <c r="C36" s="89"/>
      <c r="D36" s="89"/>
      <c r="E36" s="89"/>
      <c r="F36" s="89"/>
      <c r="G36" s="89"/>
      <c r="H36" s="89"/>
      <c r="I36" s="89"/>
      <c r="J36" s="89"/>
      <c r="K36" s="98"/>
      <c r="L36" s="9"/>
      <c r="Q36" s="78"/>
      <c r="R36" s="75"/>
      <c r="S36" s="75" t="str">
        <f t="shared" si="20"/>
        <v/>
      </c>
      <c r="T36" s="75" t="str">
        <f t="shared" si="20"/>
        <v/>
      </c>
      <c r="U36" s="75" t="str">
        <f t="shared" si="20"/>
        <v/>
      </c>
      <c r="V36" s="75" t="str">
        <f t="shared" si="20"/>
        <v/>
      </c>
      <c r="W36" s="75" t="e">
        <f t="shared" ca="1" si="20"/>
        <v>#NUM!</v>
      </c>
      <c r="X36" s="75" t="e">
        <f t="shared" ca="1" si="20"/>
        <v>#NUM!</v>
      </c>
      <c r="Y36" s="75" t="e">
        <f t="shared" ca="1" si="21"/>
        <v>#NUM!</v>
      </c>
      <c r="Z36" s="75" t="e">
        <f t="shared" ca="1" si="22"/>
        <v>#NUM!</v>
      </c>
      <c r="AA36" s="75" t="e">
        <f t="shared" ca="1" si="23"/>
        <v>#NUM!</v>
      </c>
      <c r="AB36" s="75" t="e">
        <f t="shared" ca="1" si="24"/>
        <v>#NUM!</v>
      </c>
      <c r="AC36" s="75" t="e">
        <f t="shared" ref="AC36:AL36" ca="1" si="28">IF(ROW() -ROW($R$31)&gt;AC$28,"",AC35*_d/_u)</f>
        <v>#NUM!</v>
      </c>
      <c r="AD36" s="75" t="e">
        <f t="shared" ca="1" si="28"/>
        <v>#NUM!</v>
      </c>
      <c r="AE36" s="75" t="e">
        <f t="shared" ca="1" si="28"/>
        <v>#NUM!</v>
      </c>
      <c r="AF36" s="75" t="e">
        <f t="shared" ca="1" si="28"/>
        <v>#NUM!</v>
      </c>
      <c r="AG36" s="75" t="e">
        <f t="shared" ca="1" si="28"/>
        <v>#NUM!</v>
      </c>
      <c r="AH36" s="75" t="e">
        <f t="shared" ca="1" si="28"/>
        <v>#NUM!</v>
      </c>
      <c r="AI36" s="75" t="e">
        <f t="shared" ca="1" si="28"/>
        <v>#NUM!</v>
      </c>
      <c r="AJ36" s="75" t="e">
        <f t="shared" ca="1" si="28"/>
        <v>#NUM!</v>
      </c>
      <c r="AK36" s="75" t="e">
        <f t="shared" ca="1" si="28"/>
        <v>#NUM!</v>
      </c>
      <c r="AL36" s="75" t="e">
        <f t="shared" ca="1" si="28"/>
        <v>#NUM!</v>
      </c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</row>
    <row r="37" spans="1:53" ht="15" customHeight="1" x14ac:dyDescent="0.45">
      <c r="A37" s="9"/>
      <c r="B37" s="277" t="s">
        <v>90</v>
      </c>
      <c r="C37" s="278"/>
      <c r="D37" s="278"/>
      <c r="E37" s="278"/>
      <c r="F37" s="275" t="s">
        <v>91</v>
      </c>
      <c r="G37" s="275"/>
      <c r="H37" s="275"/>
      <c r="I37" s="275"/>
      <c r="J37" s="275"/>
      <c r="K37" s="96"/>
      <c r="L37" s="9"/>
      <c r="Q37" s="78"/>
      <c r="R37" s="75"/>
      <c r="S37" s="75"/>
      <c r="T37" s="75"/>
      <c r="U37" s="75"/>
      <c r="V37" s="75"/>
      <c r="W37" s="75"/>
      <c r="X37" s="75" t="e">
        <f t="shared" ca="1" si="20"/>
        <v>#NUM!</v>
      </c>
      <c r="Y37" s="75" t="e">
        <f t="shared" ca="1" si="21"/>
        <v>#NUM!</v>
      </c>
      <c r="Z37" s="75" t="e">
        <f t="shared" ca="1" si="22"/>
        <v>#NUM!</v>
      </c>
      <c r="AA37" s="75" t="e">
        <f t="shared" ca="1" si="23"/>
        <v>#NUM!</v>
      </c>
      <c r="AB37" s="75" t="e">
        <f t="shared" ca="1" si="24"/>
        <v>#NUM!</v>
      </c>
      <c r="AC37" s="75" t="e">
        <f t="shared" ref="AC37:AL37" ca="1" si="29">IF(ROW() -ROW($R$31)&gt;AC$28,"",AC36*_d/_u)</f>
        <v>#NUM!</v>
      </c>
      <c r="AD37" s="75" t="e">
        <f t="shared" ca="1" si="29"/>
        <v>#NUM!</v>
      </c>
      <c r="AE37" s="75" t="e">
        <f t="shared" ca="1" si="29"/>
        <v>#NUM!</v>
      </c>
      <c r="AF37" s="75" t="e">
        <f t="shared" ca="1" si="29"/>
        <v>#NUM!</v>
      </c>
      <c r="AG37" s="75" t="e">
        <f t="shared" ca="1" si="29"/>
        <v>#NUM!</v>
      </c>
      <c r="AH37" s="75" t="e">
        <f t="shared" ca="1" si="29"/>
        <v>#NUM!</v>
      </c>
      <c r="AI37" s="75" t="e">
        <f t="shared" ca="1" si="29"/>
        <v>#NUM!</v>
      </c>
      <c r="AJ37" s="75" t="e">
        <f t="shared" ca="1" si="29"/>
        <v>#NUM!</v>
      </c>
      <c r="AK37" s="75" t="e">
        <f t="shared" ca="1" si="29"/>
        <v>#NUM!</v>
      </c>
      <c r="AL37" s="75" t="e">
        <f t="shared" ca="1" si="29"/>
        <v>#NUM!</v>
      </c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</row>
    <row r="38" spans="1:53" ht="14.25" x14ac:dyDescent="0.45">
      <c r="A38" s="9"/>
      <c r="B38" s="277"/>
      <c r="C38" s="278"/>
      <c r="D38" s="278"/>
      <c r="E38" s="278"/>
      <c r="F38" s="275"/>
      <c r="G38" s="275"/>
      <c r="H38" s="275"/>
      <c r="I38" s="275"/>
      <c r="J38" s="275"/>
      <c r="K38" s="96"/>
      <c r="L38" s="108"/>
      <c r="Q38" s="78"/>
      <c r="R38" s="75"/>
      <c r="S38" s="75"/>
      <c r="T38" s="75"/>
      <c r="U38" s="75"/>
      <c r="V38" s="75"/>
      <c r="W38" s="75"/>
      <c r="X38" s="75"/>
      <c r="Y38" s="75" t="e">
        <f t="shared" ca="1" si="21"/>
        <v>#NUM!</v>
      </c>
      <c r="Z38" s="75" t="e">
        <f t="shared" ca="1" si="22"/>
        <v>#NUM!</v>
      </c>
      <c r="AA38" s="75" t="e">
        <f t="shared" ca="1" si="23"/>
        <v>#NUM!</v>
      </c>
      <c r="AB38" s="75" t="e">
        <f t="shared" ca="1" si="24"/>
        <v>#NUM!</v>
      </c>
      <c r="AC38" s="75" t="e">
        <f t="shared" ref="AC38:AL38" ca="1" si="30">IF(ROW() -ROW($R$31)&gt;AC$28,"",AC37*_d/_u)</f>
        <v>#NUM!</v>
      </c>
      <c r="AD38" s="75" t="e">
        <f t="shared" ca="1" si="30"/>
        <v>#NUM!</v>
      </c>
      <c r="AE38" s="75" t="e">
        <f t="shared" ca="1" si="30"/>
        <v>#NUM!</v>
      </c>
      <c r="AF38" s="75" t="e">
        <f t="shared" ca="1" si="30"/>
        <v>#NUM!</v>
      </c>
      <c r="AG38" s="75" t="e">
        <f t="shared" ca="1" si="30"/>
        <v>#NUM!</v>
      </c>
      <c r="AH38" s="75" t="e">
        <f t="shared" ca="1" si="30"/>
        <v>#NUM!</v>
      </c>
      <c r="AI38" s="75" t="e">
        <f t="shared" ca="1" si="30"/>
        <v>#NUM!</v>
      </c>
      <c r="AJ38" s="75" t="e">
        <f t="shared" ca="1" si="30"/>
        <v>#NUM!</v>
      </c>
      <c r="AK38" s="75" t="e">
        <f t="shared" ca="1" si="30"/>
        <v>#NUM!</v>
      </c>
      <c r="AL38" s="75" t="e">
        <f t="shared" ca="1" si="30"/>
        <v>#NUM!</v>
      </c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</row>
    <row r="39" spans="1:53" ht="14.25" x14ac:dyDescent="0.45">
      <c r="A39" s="9"/>
      <c r="B39" s="102"/>
      <c r="C39" s="94"/>
      <c r="D39" s="94"/>
      <c r="E39" s="94"/>
      <c r="F39" s="94"/>
      <c r="G39" s="95"/>
      <c r="H39" s="95"/>
      <c r="I39" s="95"/>
      <c r="J39" s="94"/>
      <c r="K39" s="103"/>
      <c r="L39" s="108"/>
      <c r="Q39" s="78"/>
      <c r="R39" s="75"/>
      <c r="S39" s="75"/>
      <c r="T39" s="75"/>
      <c r="U39" s="75"/>
      <c r="V39" s="75"/>
      <c r="W39" s="75"/>
      <c r="X39" s="75"/>
      <c r="Y39" s="75"/>
      <c r="Z39" s="75" t="e">
        <f t="shared" ca="1" si="22"/>
        <v>#NUM!</v>
      </c>
      <c r="AA39" s="75" t="e">
        <f t="shared" ca="1" si="23"/>
        <v>#NUM!</v>
      </c>
      <c r="AB39" s="75" t="e">
        <f t="shared" ca="1" si="24"/>
        <v>#NUM!</v>
      </c>
      <c r="AC39" s="75" t="e">
        <f t="shared" ref="AC39:AL39" ca="1" si="31">IF(ROW() -ROW($R$31)&gt;AC$28,"",AC38*_d/_u)</f>
        <v>#NUM!</v>
      </c>
      <c r="AD39" s="75" t="e">
        <f t="shared" ca="1" si="31"/>
        <v>#NUM!</v>
      </c>
      <c r="AE39" s="75" t="e">
        <f t="shared" ca="1" si="31"/>
        <v>#NUM!</v>
      </c>
      <c r="AF39" s="75" t="e">
        <f t="shared" ca="1" si="31"/>
        <v>#NUM!</v>
      </c>
      <c r="AG39" s="75" t="e">
        <f t="shared" ca="1" si="31"/>
        <v>#NUM!</v>
      </c>
      <c r="AH39" s="75" t="e">
        <f t="shared" ca="1" si="31"/>
        <v>#NUM!</v>
      </c>
      <c r="AI39" s="75" t="e">
        <f t="shared" ca="1" si="31"/>
        <v>#NUM!</v>
      </c>
      <c r="AJ39" s="75" t="e">
        <f t="shared" ca="1" si="31"/>
        <v>#NUM!</v>
      </c>
      <c r="AK39" s="75" t="e">
        <f t="shared" ca="1" si="31"/>
        <v>#NUM!</v>
      </c>
      <c r="AL39" s="75" t="e">
        <f t="shared" ca="1" si="31"/>
        <v>#NUM!</v>
      </c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</row>
    <row r="40" spans="1:53" ht="14.25" x14ac:dyDescent="0.45">
      <c r="A40" s="9"/>
      <c r="B40" s="88" t="s">
        <v>92</v>
      </c>
      <c r="C40" s="89"/>
      <c r="D40" s="89"/>
      <c r="E40" s="89"/>
      <c r="F40" s="89"/>
      <c r="G40" s="89"/>
      <c r="H40" s="89"/>
      <c r="I40" s="89"/>
      <c r="J40" s="94"/>
      <c r="K40" s="103"/>
      <c r="L40" s="108"/>
      <c r="Q40" s="78"/>
      <c r="R40" s="75"/>
      <c r="S40" s="75"/>
      <c r="T40" s="75"/>
      <c r="U40" s="75"/>
      <c r="V40" s="75"/>
      <c r="W40" s="75"/>
      <c r="X40" s="75"/>
      <c r="Y40" s="75"/>
      <c r="Z40" s="75"/>
      <c r="AA40" s="75" t="e">
        <f t="shared" ca="1" si="23"/>
        <v>#NUM!</v>
      </c>
      <c r="AB40" s="75" t="e">
        <f t="shared" ca="1" si="24"/>
        <v>#NUM!</v>
      </c>
      <c r="AC40" s="75" t="e">
        <f t="shared" ref="AC40:AL40" ca="1" si="32">IF(ROW() -ROW($R$31)&gt;AC$28,"",AC39*_d/_u)</f>
        <v>#NUM!</v>
      </c>
      <c r="AD40" s="75" t="e">
        <f t="shared" ca="1" si="32"/>
        <v>#NUM!</v>
      </c>
      <c r="AE40" s="75" t="e">
        <f t="shared" ca="1" si="32"/>
        <v>#NUM!</v>
      </c>
      <c r="AF40" s="75" t="e">
        <f t="shared" ca="1" si="32"/>
        <v>#NUM!</v>
      </c>
      <c r="AG40" s="75" t="e">
        <f t="shared" ca="1" si="32"/>
        <v>#NUM!</v>
      </c>
      <c r="AH40" s="75" t="e">
        <f t="shared" ca="1" si="32"/>
        <v>#NUM!</v>
      </c>
      <c r="AI40" s="75" t="e">
        <f t="shared" ca="1" si="32"/>
        <v>#NUM!</v>
      </c>
      <c r="AJ40" s="75" t="e">
        <f t="shared" ca="1" si="32"/>
        <v>#NUM!</v>
      </c>
      <c r="AK40" s="75" t="e">
        <f t="shared" ca="1" si="32"/>
        <v>#NUM!</v>
      </c>
      <c r="AL40" s="75" t="e">
        <f t="shared" ca="1" si="32"/>
        <v>#NUM!</v>
      </c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</row>
    <row r="41" spans="1:53" ht="14.25" x14ac:dyDescent="0.45">
      <c r="A41" s="9"/>
      <c r="B41" s="88"/>
      <c r="C41" s="90" t="s">
        <v>93</v>
      </c>
      <c r="D41" s="90"/>
      <c r="E41" s="90"/>
      <c r="F41" s="89"/>
      <c r="G41" s="89"/>
      <c r="H41" s="89"/>
      <c r="I41" s="89"/>
      <c r="J41" s="89"/>
      <c r="K41" s="98"/>
      <c r="L41" s="9"/>
      <c r="Q41" s="78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 t="e">
        <f t="shared" ca="1" si="24"/>
        <v>#NUM!</v>
      </c>
      <c r="AC41" s="75" t="e">
        <f t="shared" ref="AC41:AL43" ca="1" si="33">IF(ROW() -ROW($R$31)&gt;AC$28,"",AC40*_d/_u)</f>
        <v>#NUM!</v>
      </c>
      <c r="AD41" s="75" t="e">
        <f t="shared" ca="1" si="33"/>
        <v>#NUM!</v>
      </c>
      <c r="AE41" s="75" t="e">
        <f t="shared" ca="1" si="33"/>
        <v>#NUM!</v>
      </c>
      <c r="AF41" s="75" t="e">
        <f t="shared" ca="1" si="33"/>
        <v>#NUM!</v>
      </c>
      <c r="AG41" s="75" t="e">
        <f t="shared" ca="1" si="33"/>
        <v>#NUM!</v>
      </c>
      <c r="AH41" s="75" t="e">
        <f t="shared" ca="1" si="33"/>
        <v>#NUM!</v>
      </c>
      <c r="AI41" s="75" t="e">
        <f t="shared" ca="1" si="33"/>
        <v>#NUM!</v>
      </c>
      <c r="AJ41" s="75" t="e">
        <f t="shared" ca="1" si="33"/>
        <v>#NUM!</v>
      </c>
      <c r="AK41" s="75" t="e">
        <f t="shared" ca="1" si="33"/>
        <v>#NUM!</v>
      </c>
      <c r="AL41" s="75" t="e">
        <f t="shared" ca="1" si="33"/>
        <v>#NUM!</v>
      </c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</row>
    <row r="42" spans="1:53" ht="14.25" x14ac:dyDescent="0.45">
      <c r="A42" s="9"/>
      <c r="B42" s="97"/>
      <c r="C42" s="93" t="s">
        <v>94</v>
      </c>
      <c r="D42" s="91"/>
      <c r="E42" s="91"/>
      <c r="F42" s="89"/>
      <c r="G42" s="89"/>
      <c r="H42" s="89"/>
      <c r="I42" s="89"/>
      <c r="J42" s="89"/>
      <c r="K42" s="98"/>
      <c r="L42" s="9"/>
      <c r="Q42" s="78"/>
      <c r="R42" s="75"/>
      <c r="S42" s="75"/>
      <c r="T42" s="75"/>
      <c r="U42" s="75"/>
      <c r="V42" s="75"/>
      <c r="W42" s="75"/>
      <c r="X42" s="75"/>
      <c r="Y42" s="75"/>
      <c r="Z42" s="75"/>
      <c r="AA42" s="75"/>
      <c r="AC42" s="75" t="e">
        <f t="shared" ca="1" si="33"/>
        <v>#NUM!</v>
      </c>
      <c r="AD42" s="75" t="e">
        <f t="shared" ca="1" si="33"/>
        <v>#NUM!</v>
      </c>
      <c r="AE42" s="75" t="e">
        <f t="shared" ref="AE42:AL42" ca="1" si="34">IF(ROW() -ROW($R$31)&gt;AE$28,"",AE41*_d/_u)</f>
        <v>#NUM!</v>
      </c>
      <c r="AF42" s="75" t="e">
        <f t="shared" ca="1" si="34"/>
        <v>#NUM!</v>
      </c>
      <c r="AG42" s="75" t="e">
        <f t="shared" ca="1" si="34"/>
        <v>#NUM!</v>
      </c>
      <c r="AH42" s="75" t="e">
        <f t="shared" ca="1" si="34"/>
        <v>#NUM!</v>
      </c>
      <c r="AI42" s="75" t="e">
        <f t="shared" ca="1" si="34"/>
        <v>#NUM!</v>
      </c>
      <c r="AJ42" s="75" t="e">
        <f t="shared" ca="1" si="34"/>
        <v>#NUM!</v>
      </c>
      <c r="AK42" s="75" t="e">
        <f t="shared" ca="1" si="34"/>
        <v>#NUM!</v>
      </c>
      <c r="AL42" s="75" t="e">
        <f t="shared" ca="1" si="34"/>
        <v>#NUM!</v>
      </c>
    </row>
    <row r="43" spans="1:53" ht="14.25" x14ac:dyDescent="0.45">
      <c r="A43" s="9"/>
      <c r="B43" s="101"/>
      <c r="C43" s="104" t="s">
        <v>95</v>
      </c>
      <c r="D43" s="89"/>
      <c r="E43" s="89"/>
      <c r="F43" s="89"/>
      <c r="G43" s="89"/>
      <c r="H43" s="89"/>
      <c r="I43" s="89"/>
      <c r="J43" s="89"/>
      <c r="K43" s="98"/>
      <c r="L43" s="9"/>
      <c r="Q43" s="78"/>
      <c r="R43" s="75"/>
      <c r="S43" s="75"/>
      <c r="T43" s="75"/>
      <c r="U43" s="75"/>
      <c r="V43" s="75"/>
      <c r="W43" s="75"/>
      <c r="X43" s="75"/>
      <c r="Y43" s="75"/>
      <c r="Z43" s="75"/>
      <c r="AA43" s="75"/>
      <c r="AD43" s="75" t="e">
        <f t="shared" ca="1" si="33"/>
        <v>#NUM!</v>
      </c>
      <c r="AE43" s="75" t="e">
        <f t="shared" ref="AE43:AL43" ca="1" si="35">IF(ROW() -ROW($R$31)&gt;AE$28,"",AE42*_d/_u)</f>
        <v>#NUM!</v>
      </c>
      <c r="AF43" s="75" t="e">
        <f t="shared" ca="1" si="35"/>
        <v>#NUM!</v>
      </c>
      <c r="AG43" s="75" t="e">
        <f t="shared" ca="1" si="35"/>
        <v>#NUM!</v>
      </c>
      <c r="AH43" s="75" t="e">
        <f t="shared" ca="1" si="35"/>
        <v>#NUM!</v>
      </c>
      <c r="AI43" s="75" t="e">
        <f t="shared" ca="1" si="35"/>
        <v>#NUM!</v>
      </c>
      <c r="AJ43" s="75" t="e">
        <f t="shared" ca="1" si="35"/>
        <v>#NUM!</v>
      </c>
      <c r="AK43" s="75" t="e">
        <f t="shared" ca="1" si="35"/>
        <v>#NUM!</v>
      </c>
      <c r="AL43" s="75" t="e">
        <f t="shared" ca="1" si="35"/>
        <v>#NUM!</v>
      </c>
    </row>
    <row r="44" spans="1:53" ht="14.25" x14ac:dyDescent="0.45">
      <c r="A44" s="9"/>
      <c r="B44" s="105"/>
      <c r="C44" s="106"/>
      <c r="D44" s="106"/>
      <c r="E44" s="106"/>
      <c r="F44" s="106"/>
      <c r="G44" s="106"/>
      <c r="H44" s="106"/>
      <c r="I44" s="106"/>
      <c r="J44" s="106"/>
      <c r="K44" s="107"/>
      <c r="L44" s="9"/>
      <c r="Q44" s="78"/>
      <c r="R44" s="75"/>
      <c r="S44" s="75"/>
      <c r="T44" s="75"/>
      <c r="U44" s="75"/>
      <c r="V44" s="75"/>
      <c r="W44" s="75"/>
      <c r="X44" s="75"/>
      <c r="Y44" s="75"/>
      <c r="Z44" s="75"/>
      <c r="AA44" s="75"/>
      <c r="AE44" s="75" t="e">
        <f t="shared" ref="AE44:AL44" ca="1" si="36">IF(ROW() -ROW($R$31)&gt;AE$28,"",AE43*_d/_u)</f>
        <v>#NUM!</v>
      </c>
      <c r="AF44" s="75" t="e">
        <f t="shared" ca="1" si="36"/>
        <v>#NUM!</v>
      </c>
      <c r="AG44" s="75" t="e">
        <f t="shared" ca="1" si="36"/>
        <v>#NUM!</v>
      </c>
      <c r="AH44" s="75" t="e">
        <f t="shared" ca="1" si="36"/>
        <v>#NUM!</v>
      </c>
      <c r="AI44" s="75" t="e">
        <f t="shared" ca="1" si="36"/>
        <v>#NUM!</v>
      </c>
      <c r="AJ44" s="75" t="e">
        <f t="shared" ca="1" si="36"/>
        <v>#NUM!</v>
      </c>
      <c r="AK44" s="75" t="e">
        <f t="shared" ca="1" si="36"/>
        <v>#NUM!</v>
      </c>
      <c r="AL44" s="75" t="e">
        <f t="shared" ca="1" si="36"/>
        <v>#NUM!</v>
      </c>
    </row>
    <row r="45" spans="1:53" ht="14.25" x14ac:dyDescent="0.4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Q45" s="78"/>
      <c r="R45" s="75"/>
      <c r="S45" s="75"/>
      <c r="T45" s="75"/>
      <c r="U45" s="75"/>
      <c r="V45" s="75"/>
      <c r="W45" s="75"/>
      <c r="X45" s="75"/>
      <c r="Y45" s="75"/>
      <c r="Z45" s="75"/>
      <c r="AA45" s="75"/>
      <c r="AF45" s="75" t="e">
        <f t="shared" ref="AF45:AL45" ca="1" si="37">IF(ROW() -ROW($R$31)&gt;AF$28,"",AF44*_d/_u)</f>
        <v>#NUM!</v>
      </c>
      <c r="AG45" s="75" t="e">
        <f t="shared" ca="1" si="37"/>
        <v>#NUM!</v>
      </c>
      <c r="AH45" s="75" t="e">
        <f t="shared" ca="1" si="37"/>
        <v>#NUM!</v>
      </c>
      <c r="AI45" s="75" t="e">
        <f t="shared" ca="1" si="37"/>
        <v>#NUM!</v>
      </c>
      <c r="AJ45" s="75" t="e">
        <f t="shared" ca="1" si="37"/>
        <v>#NUM!</v>
      </c>
      <c r="AK45" s="75" t="e">
        <f t="shared" ca="1" si="37"/>
        <v>#NUM!</v>
      </c>
      <c r="AL45" s="75" t="e">
        <f t="shared" ca="1" si="37"/>
        <v>#NUM!</v>
      </c>
    </row>
    <row r="46" spans="1:53" x14ac:dyDescent="0.35">
      <c r="Q46" s="78"/>
      <c r="R46" s="75"/>
      <c r="S46" s="75"/>
      <c r="T46" s="75"/>
      <c r="U46" s="75"/>
      <c r="V46" s="75"/>
      <c r="W46" s="75"/>
      <c r="X46" s="75"/>
      <c r="Y46" s="75"/>
      <c r="Z46" s="75"/>
      <c r="AA46" s="75"/>
      <c r="AF46" s="75"/>
      <c r="AG46" s="75" t="e">
        <f t="shared" ref="AG46:AL46" ca="1" si="38">IF(ROW() -ROW($R$31)&gt;AG$28,"",AG45*_d/_u)</f>
        <v>#NUM!</v>
      </c>
      <c r="AH46" s="75" t="e">
        <f t="shared" ca="1" si="38"/>
        <v>#NUM!</v>
      </c>
      <c r="AI46" s="75" t="e">
        <f t="shared" ca="1" si="38"/>
        <v>#NUM!</v>
      </c>
      <c r="AJ46" s="75" t="e">
        <f t="shared" ca="1" si="38"/>
        <v>#NUM!</v>
      </c>
      <c r="AK46" s="75" t="e">
        <f t="shared" ca="1" si="38"/>
        <v>#NUM!</v>
      </c>
      <c r="AL46" s="75" t="e">
        <f t="shared" ca="1" si="38"/>
        <v>#NUM!</v>
      </c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</row>
    <row r="47" spans="1:53" x14ac:dyDescent="0.35">
      <c r="Q47" s="78"/>
      <c r="R47" s="75"/>
      <c r="S47" s="75"/>
      <c r="T47" s="75"/>
      <c r="U47" s="75"/>
      <c r="V47" s="75"/>
      <c r="W47" s="75"/>
      <c r="X47" s="75"/>
      <c r="Y47" s="75"/>
      <c r="Z47" s="75"/>
      <c r="AA47" s="75"/>
      <c r="AF47" s="75"/>
      <c r="AG47" s="75"/>
      <c r="AH47" s="75" t="e">
        <f t="shared" ref="AH47:AL47" ca="1" si="39">IF(ROW() -ROW($R$31)&gt;AH$28,"",AH46*_d/_u)</f>
        <v>#NUM!</v>
      </c>
      <c r="AI47" s="75" t="e">
        <f t="shared" ca="1" si="39"/>
        <v>#NUM!</v>
      </c>
      <c r="AJ47" s="75" t="e">
        <f t="shared" ca="1" si="39"/>
        <v>#NUM!</v>
      </c>
      <c r="AK47" s="75" t="e">
        <f t="shared" ca="1" si="39"/>
        <v>#NUM!</v>
      </c>
      <c r="AL47" s="75" t="e">
        <f t="shared" ca="1" si="39"/>
        <v>#NUM!</v>
      </c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</row>
    <row r="48" spans="1:53" x14ac:dyDescent="0.35">
      <c r="Q48" s="78"/>
      <c r="R48" s="75"/>
      <c r="S48" s="75"/>
      <c r="T48" s="75"/>
      <c r="U48" s="75"/>
      <c r="V48" s="75"/>
      <c r="W48" s="75"/>
      <c r="X48" s="75"/>
      <c r="Y48" s="75"/>
      <c r="Z48" s="75"/>
      <c r="AA48" s="75"/>
      <c r="AF48" s="75"/>
      <c r="AG48" s="75"/>
      <c r="AH48" s="75"/>
      <c r="AI48" s="75" t="e">
        <f t="shared" ref="AI48:AL48" ca="1" si="40">IF(ROW() -ROW($R$31)&gt;AI$28,"",AI47*_d/_u)</f>
        <v>#NUM!</v>
      </c>
      <c r="AJ48" s="75" t="e">
        <f t="shared" ca="1" si="40"/>
        <v>#NUM!</v>
      </c>
      <c r="AK48" s="75" t="e">
        <f t="shared" ca="1" si="40"/>
        <v>#NUM!</v>
      </c>
      <c r="AL48" s="75" t="e">
        <f t="shared" ca="1" si="40"/>
        <v>#NUM!</v>
      </c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</row>
    <row r="49" spans="17:53" x14ac:dyDescent="0.35">
      <c r="Q49" s="78"/>
      <c r="R49" s="75"/>
      <c r="S49" s="75"/>
      <c r="T49" s="75"/>
      <c r="U49" s="75"/>
      <c r="V49" s="75"/>
      <c r="W49" s="75"/>
      <c r="X49" s="75"/>
      <c r="Y49" s="75"/>
      <c r="Z49" s="75"/>
      <c r="AA49" s="75"/>
      <c r="AF49" s="75"/>
      <c r="AG49" s="75"/>
      <c r="AH49" s="75"/>
      <c r="AI49" s="75"/>
      <c r="AJ49" s="75" t="e">
        <f t="shared" ref="AJ49:AL49" ca="1" si="41">IF(ROW() -ROW($R$31)&gt;AJ$28,"",AJ48*_d/_u)</f>
        <v>#NUM!</v>
      </c>
      <c r="AK49" s="75" t="e">
        <f t="shared" ca="1" si="41"/>
        <v>#NUM!</v>
      </c>
      <c r="AL49" s="75" t="e">
        <f t="shared" ca="1" si="41"/>
        <v>#NUM!</v>
      </c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</row>
    <row r="50" spans="17:53" x14ac:dyDescent="0.35">
      <c r="Q50" s="78"/>
      <c r="R50" s="75"/>
      <c r="S50" s="75"/>
      <c r="T50" s="75"/>
      <c r="U50" s="75"/>
      <c r="V50" s="75"/>
      <c r="W50" s="75"/>
      <c r="X50" s="75"/>
      <c r="Y50" s="75"/>
      <c r="Z50" s="75"/>
      <c r="AA50" s="75"/>
      <c r="AF50" s="75"/>
      <c r="AG50" s="75"/>
      <c r="AH50" s="75"/>
      <c r="AI50" s="75"/>
      <c r="AJ50" s="75"/>
      <c r="AK50" s="75" t="e">
        <f t="shared" ref="AK50:AL50" ca="1" si="42">IF(ROW() -ROW($R$31)&gt;AK$28,"",AK49*_d/_u)</f>
        <v>#NUM!</v>
      </c>
      <c r="AL50" s="75" t="e">
        <f t="shared" ca="1" si="42"/>
        <v>#NUM!</v>
      </c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</row>
    <row r="51" spans="17:53" x14ac:dyDescent="0.35">
      <c r="Q51" s="78"/>
      <c r="R51" s="75"/>
      <c r="S51" s="75"/>
      <c r="T51" s="75"/>
      <c r="U51" s="75"/>
      <c r="V51" s="75"/>
      <c r="W51" s="75"/>
      <c r="X51" s="75"/>
      <c r="Y51" s="75"/>
      <c r="Z51" s="75"/>
      <c r="AA51" s="75"/>
      <c r="AF51" s="75"/>
      <c r="AG51" s="75"/>
      <c r="AH51" s="75"/>
      <c r="AI51" s="75"/>
      <c r="AJ51" s="75"/>
      <c r="AK51" s="75"/>
      <c r="AL51" s="75" t="e">
        <f t="shared" ref="AL51" ca="1" si="43">IF(ROW() -ROW($R$31)&gt;AL$28,"",AL50*_d/_u)</f>
        <v>#NUM!</v>
      </c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</row>
    <row r="52" spans="17:53" x14ac:dyDescent="0.35">
      <c r="Q52" s="78"/>
      <c r="R52" s="75"/>
      <c r="S52" s="75"/>
      <c r="T52" s="75"/>
      <c r="U52" s="75"/>
      <c r="V52" s="75"/>
      <c r="W52" s="75"/>
      <c r="X52" s="75"/>
      <c r="Y52" s="75"/>
      <c r="Z52" s="75"/>
      <c r="AA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</row>
    <row r="53" spans="17:53" x14ac:dyDescent="0.35">
      <c r="Q53" s="78"/>
      <c r="R53" s="75"/>
      <c r="S53" s="75"/>
      <c r="T53" s="75"/>
      <c r="U53" s="75"/>
      <c r="V53" s="75"/>
      <c r="W53" s="75"/>
      <c r="X53" s="75"/>
      <c r="Y53" s="75"/>
      <c r="Z53" s="75"/>
      <c r="AA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</row>
    <row r="54" spans="17:53" x14ac:dyDescent="0.35">
      <c r="Q54" s="78"/>
      <c r="R54" s="75"/>
      <c r="S54" s="75"/>
      <c r="T54" s="75"/>
      <c r="U54" s="75"/>
      <c r="V54" s="75"/>
      <c r="W54" s="75"/>
      <c r="X54" s="75"/>
      <c r="Y54" s="75"/>
      <c r="Z54" s="75"/>
      <c r="AA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</row>
    <row r="55" spans="17:53" x14ac:dyDescent="0.35">
      <c r="Q55" s="78"/>
      <c r="R55" s="75"/>
      <c r="S55" s="75"/>
      <c r="T55" s="75"/>
      <c r="U55" s="75"/>
      <c r="V55" s="75"/>
      <c r="W55" s="75"/>
      <c r="X55" s="75"/>
      <c r="Y55" s="75"/>
      <c r="Z55" s="75"/>
      <c r="AA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</row>
    <row r="56" spans="17:53" x14ac:dyDescent="0.35">
      <c r="Q56" s="78"/>
      <c r="R56" s="75"/>
      <c r="S56" s="75"/>
      <c r="T56" s="75"/>
      <c r="U56" s="75"/>
      <c r="V56" s="75"/>
      <c r="W56" s="75"/>
      <c r="X56" s="75"/>
      <c r="Y56" s="75"/>
      <c r="Z56" s="75"/>
      <c r="AA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</row>
    <row r="57" spans="17:53" x14ac:dyDescent="0.35">
      <c r="Q57" s="78"/>
      <c r="R57" s="75"/>
      <c r="S57" s="75"/>
      <c r="T57" s="75"/>
      <c r="U57" s="75"/>
      <c r="V57" s="75"/>
      <c r="W57" s="75"/>
      <c r="X57" s="75"/>
      <c r="Y57" s="75"/>
      <c r="Z57" s="75"/>
      <c r="AA57" s="75"/>
    </row>
    <row r="58" spans="17:53" x14ac:dyDescent="0.35">
      <c r="Q58" s="78"/>
      <c r="R58" s="75"/>
      <c r="S58" s="75"/>
      <c r="T58" s="75"/>
      <c r="U58" s="75"/>
      <c r="V58" s="75"/>
      <c r="W58" s="75"/>
      <c r="X58" s="75"/>
      <c r="Y58" s="75"/>
      <c r="Z58" s="75"/>
      <c r="AA58" s="75"/>
    </row>
    <row r="59" spans="17:53" x14ac:dyDescent="0.35">
      <c r="Q59" s="78"/>
      <c r="R59" s="75"/>
      <c r="S59" s="75"/>
      <c r="T59" s="75"/>
      <c r="U59" s="75"/>
      <c r="V59" s="75"/>
      <c r="W59" s="75"/>
      <c r="X59" s="75"/>
      <c r="Y59" s="75"/>
      <c r="Z59" s="75"/>
      <c r="AA59" s="75"/>
    </row>
    <row r="60" spans="17:53" x14ac:dyDescent="0.35">
      <c r="Q60" s="78"/>
      <c r="R60" s="75"/>
      <c r="S60" s="75"/>
      <c r="T60" s="75"/>
      <c r="U60" s="75"/>
      <c r="V60" s="75"/>
      <c r="W60" s="75"/>
      <c r="X60" s="75"/>
      <c r="Y60" s="75"/>
      <c r="Z60" s="75"/>
      <c r="AA60" s="75"/>
    </row>
    <row r="61" spans="17:53" x14ac:dyDescent="0.35">
      <c r="Q61" s="78"/>
      <c r="R61" s="75"/>
      <c r="S61" s="75"/>
      <c r="T61" s="75"/>
      <c r="U61" s="75"/>
      <c r="V61" s="75"/>
      <c r="W61" s="75"/>
      <c r="X61" s="75"/>
      <c r="Y61" s="75"/>
      <c r="Z61" s="75"/>
      <c r="AA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</row>
    <row r="62" spans="17:53" x14ac:dyDescent="0.35">
      <c r="Q62" s="78"/>
      <c r="R62" s="75"/>
      <c r="S62" s="75"/>
      <c r="T62" s="75"/>
      <c r="U62" s="75"/>
      <c r="V62" s="75"/>
      <c r="W62" s="75"/>
      <c r="X62" s="75"/>
      <c r="Y62" s="75"/>
      <c r="Z62" s="75"/>
      <c r="AA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</row>
    <row r="63" spans="17:53" x14ac:dyDescent="0.35">
      <c r="Q63" s="78"/>
      <c r="R63" s="75"/>
      <c r="S63" s="75"/>
      <c r="T63" s="75"/>
      <c r="U63" s="75"/>
      <c r="V63" s="75"/>
      <c r="W63" s="75"/>
      <c r="X63" s="75"/>
      <c r="Y63" s="75"/>
      <c r="Z63" s="75"/>
      <c r="AA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</row>
    <row r="64" spans="17:53" x14ac:dyDescent="0.35">
      <c r="Q64" s="78"/>
      <c r="R64" s="75"/>
      <c r="S64" s="75" t="str">
        <f>IF(ROW() -ROW($R$31)&gt;S$28,"",S36*_d/_u)</f>
        <v/>
      </c>
      <c r="T64" s="75" t="str">
        <f>IF(ROW() -ROW($R$31)&gt;T$28,"",T36*_d/_u)</f>
        <v/>
      </c>
      <c r="U64" s="75" t="str">
        <f>IF(ROW() -ROW($R$31)&gt;U$28,"",U36*_d/_u)</f>
        <v/>
      </c>
      <c r="V64" s="75" t="str">
        <f>IF(ROW() -ROW($R$31)&gt;V$28,"",V36*_d/_u)</f>
        <v/>
      </c>
      <c r="W64" s="75"/>
      <c r="Y64" s="75"/>
      <c r="Z64" s="75"/>
      <c r="AA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</row>
    <row r="65" spans="17:53" ht="13.15" x14ac:dyDescent="0.4">
      <c r="Q65" s="77" t="s">
        <v>28</v>
      </c>
      <c r="R65" s="75">
        <f t="shared" ref="R65:AL65" ca="1" si="44">IF(R31="","",IF(R$29&lt;_exdiv,R31+_div*EXP(_rr*(R$29-_exdiv)),R31))</f>
        <v>0</v>
      </c>
      <c r="S65" s="75" t="e">
        <f t="shared" ca="1" si="44"/>
        <v>#NUM!</v>
      </c>
      <c r="T65" s="75" t="e">
        <f t="shared" ca="1" si="44"/>
        <v>#NUM!</v>
      </c>
      <c r="U65" s="75" t="e">
        <f t="shared" ca="1" si="44"/>
        <v>#NUM!</v>
      </c>
      <c r="V65" s="75" t="e">
        <f t="shared" ca="1" si="44"/>
        <v>#NUM!</v>
      </c>
      <c r="W65" s="75" t="e">
        <f t="shared" ca="1" si="44"/>
        <v>#NUM!</v>
      </c>
      <c r="X65" s="75" t="e">
        <f t="shared" ca="1" si="44"/>
        <v>#NUM!</v>
      </c>
      <c r="Y65" s="75" t="e">
        <f t="shared" ca="1" si="44"/>
        <v>#NUM!</v>
      </c>
      <c r="Z65" s="75" t="e">
        <f t="shared" ca="1" si="44"/>
        <v>#NUM!</v>
      </c>
      <c r="AA65" s="75" t="e">
        <f t="shared" ca="1" si="44"/>
        <v>#NUM!</v>
      </c>
      <c r="AB65" s="75" t="e">
        <f t="shared" ca="1" si="44"/>
        <v>#NUM!</v>
      </c>
      <c r="AC65" s="75" t="e">
        <f t="shared" ca="1" si="44"/>
        <v>#NUM!</v>
      </c>
      <c r="AD65" s="75" t="e">
        <f t="shared" ca="1" si="44"/>
        <v>#NUM!</v>
      </c>
      <c r="AE65" s="75" t="e">
        <f t="shared" ca="1" si="44"/>
        <v>#NUM!</v>
      </c>
      <c r="AF65" s="75" t="e">
        <f t="shared" ca="1" si="44"/>
        <v>#NUM!</v>
      </c>
      <c r="AG65" s="75" t="e">
        <f t="shared" ca="1" si="44"/>
        <v>#NUM!</v>
      </c>
      <c r="AH65" s="75" t="e">
        <f t="shared" ca="1" si="44"/>
        <v>#NUM!</v>
      </c>
      <c r="AI65" s="75" t="e">
        <f t="shared" ca="1" si="44"/>
        <v>#NUM!</v>
      </c>
      <c r="AJ65" s="75" t="e">
        <f t="shared" ca="1" si="44"/>
        <v>#NUM!</v>
      </c>
      <c r="AK65" s="75" t="e">
        <f t="shared" ca="1" si="44"/>
        <v>#NUM!</v>
      </c>
      <c r="AL65" s="75" t="e">
        <f t="shared" ca="1" si="44"/>
        <v>#NUM!</v>
      </c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</row>
    <row r="66" spans="17:53" x14ac:dyDescent="0.35">
      <c r="Q66" s="78"/>
      <c r="R66" s="75"/>
      <c r="S66" s="75" t="e">
        <f t="shared" ref="S66:AL66" ca="1" si="45">IF(S32="","",IF(S$29&lt;_exdiv,S32+_div*EXP(_rr*(S$29-_exdiv)),S32))</f>
        <v>#NUM!</v>
      </c>
      <c r="T66" s="75" t="e">
        <f t="shared" ca="1" si="45"/>
        <v>#NUM!</v>
      </c>
      <c r="U66" s="75" t="e">
        <f t="shared" ca="1" si="45"/>
        <v>#NUM!</v>
      </c>
      <c r="V66" s="75" t="e">
        <f t="shared" ca="1" si="45"/>
        <v>#NUM!</v>
      </c>
      <c r="W66" s="75" t="e">
        <f t="shared" ca="1" si="45"/>
        <v>#NUM!</v>
      </c>
      <c r="X66" s="75" t="e">
        <f t="shared" ca="1" si="45"/>
        <v>#NUM!</v>
      </c>
      <c r="Y66" s="75" t="e">
        <f t="shared" ca="1" si="45"/>
        <v>#NUM!</v>
      </c>
      <c r="Z66" s="75" t="e">
        <f t="shared" ca="1" si="45"/>
        <v>#NUM!</v>
      </c>
      <c r="AA66" s="75" t="e">
        <f t="shared" ca="1" si="45"/>
        <v>#NUM!</v>
      </c>
      <c r="AB66" s="75" t="e">
        <f t="shared" ca="1" si="45"/>
        <v>#NUM!</v>
      </c>
      <c r="AC66" s="75" t="e">
        <f t="shared" ca="1" si="45"/>
        <v>#NUM!</v>
      </c>
      <c r="AD66" s="75" t="e">
        <f t="shared" ca="1" si="45"/>
        <v>#NUM!</v>
      </c>
      <c r="AE66" s="75" t="e">
        <f t="shared" ca="1" si="45"/>
        <v>#NUM!</v>
      </c>
      <c r="AF66" s="75" t="e">
        <f t="shared" ca="1" si="45"/>
        <v>#NUM!</v>
      </c>
      <c r="AG66" s="75" t="e">
        <f t="shared" ca="1" si="45"/>
        <v>#NUM!</v>
      </c>
      <c r="AH66" s="75" t="e">
        <f t="shared" ca="1" si="45"/>
        <v>#NUM!</v>
      </c>
      <c r="AI66" s="75" t="e">
        <f t="shared" ca="1" si="45"/>
        <v>#NUM!</v>
      </c>
      <c r="AJ66" s="75" t="e">
        <f t="shared" ca="1" si="45"/>
        <v>#NUM!</v>
      </c>
      <c r="AK66" s="75" t="e">
        <f t="shared" ca="1" si="45"/>
        <v>#NUM!</v>
      </c>
      <c r="AL66" s="75" t="e">
        <f t="shared" ca="1" si="45"/>
        <v>#NUM!</v>
      </c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</row>
    <row r="67" spans="17:53" ht="14.25" customHeight="1" x14ac:dyDescent="0.35">
      <c r="Q67" s="78"/>
      <c r="R67" s="75"/>
      <c r="S67" s="75"/>
      <c r="T67" s="75" t="e">
        <f t="shared" ref="T67:AL67" ca="1" si="46">IF(T33="","",IF(T$29&lt;_exdiv,T33+_div*EXP(_rr*(T$29-_exdiv)),T33))</f>
        <v>#NUM!</v>
      </c>
      <c r="U67" s="75" t="e">
        <f t="shared" ca="1" si="46"/>
        <v>#NUM!</v>
      </c>
      <c r="V67" s="75" t="e">
        <f t="shared" ca="1" si="46"/>
        <v>#NUM!</v>
      </c>
      <c r="W67" s="75" t="e">
        <f t="shared" ca="1" si="46"/>
        <v>#NUM!</v>
      </c>
      <c r="X67" s="75" t="e">
        <f t="shared" ca="1" si="46"/>
        <v>#NUM!</v>
      </c>
      <c r="Y67" s="75" t="e">
        <f t="shared" ca="1" si="46"/>
        <v>#NUM!</v>
      </c>
      <c r="Z67" s="75" t="e">
        <f t="shared" ca="1" si="46"/>
        <v>#NUM!</v>
      </c>
      <c r="AA67" s="75" t="e">
        <f t="shared" ca="1" si="46"/>
        <v>#NUM!</v>
      </c>
      <c r="AB67" s="75" t="e">
        <f t="shared" ca="1" si="46"/>
        <v>#NUM!</v>
      </c>
      <c r="AC67" s="75" t="e">
        <f t="shared" ca="1" si="46"/>
        <v>#NUM!</v>
      </c>
      <c r="AD67" s="75" t="e">
        <f t="shared" ca="1" si="46"/>
        <v>#NUM!</v>
      </c>
      <c r="AE67" s="75" t="e">
        <f t="shared" ca="1" si="46"/>
        <v>#NUM!</v>
      </c>
      <c r="AF67" s="75" t="e">
        <f t="shared" ca="1" si="46"/>
        <v>#NUM!</v>
      </c>
      <c r="AG67" s="75" t="e">
        <f t="shared" ca="1" si="46"/>
        <v>#NUM!</v>
      </c>
      <c r="AH67" s="75" t="e">
        <f t="shared" ca="1" si="46"/>
        <v>#NUM!</v>
      </c>
      <c r="AI67" s="75" t="e">
        <f t="shared" ca="1" si="46"/>
        <v>#NUM!</v>
      </c>
      <c r="AJ67" s="75" t="e">
        <f t="shared" ca="1" si="46"/>
        <v>#NUM!</v>
      </c>
      <c r="AK67" s="75" t="e">
        <f t="shared" ca="1" si="46"/>
        <v>#NUM!</v>
      </c>
      <c r="AL67" s="75" t="e">
        <f t="shared" ca="1" si="46"/>
        <v>#NUM!</v>
      </c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</row>
    <row r="68" spans="17:53" ht="14.25" customHeight="1" x14ac:dyDescent="0.35">
      <c r="Q68" s="78"/>
      <c r="R68" s="75"/>
      <c r="S68" s="75"/>
      <c r="T68" s="75"/>
      <c r="U68" s="75" t="e">
        <f t="shared" ref="U68:AL68" ca="1" si="47">IF(U34="","",IF(U$29&lt;_exdiv,U34+_div*EXP(_rr*(U$29-_exdiv)),U34))</f>
        <v>#NUM!</v>
      </c>
      <c r="V68" s="75" t="e">
        <f t="shared" ca="1" si="47"/>
        <v>#NUM!</v>
      </c>
      <c r="W68" s="75" t="e">
        <f t="shared" ca="1" si="47"/>
        <v>#NUM!</v>
      </c>
      <c r="X68" s="75" t="e">
        <f t="shared" ca="1" si="47"/>
        <v>#NUM!</v>
      </c>
      <c r="Y68" s="75" t="e">
        <f t="shared" ca="1" si="47"/>
        <v>#NUM!</v>
      </c>
      <c r="Z68" s="75" t="e">
        <f t="shared" ca="1" si="47"/>
        <v>#NUM!</v>
      </c>
      <c r="AA68" s="75" t="e">
        <f t="shared" ca="1" si="47"/>
        <v>#NUM!</v>
      </c>
      <c r="AB68" s="75" t="e">
        <f t="shared" ca="1" si="47"/>
        <v>#NUM!</v>
      </c>
      <c r="AC68" s="75" t="e">
        <f t="shared" ca="1" si="47"/>
        <v>#NUM!</v>
      </c>
      <c r="AD68" s="75" t="e">
        <f t="shared" ca="1" si="47"/>
        <v>#NUM!</v>
      </c>
      <c r="AE68" s="75" t="e">
        <f t="shared" ca="1" si="47"/>
        <v>#NUM!</v>
      </c>
      <c r="AF68" s="75" t="e">
        <f t="shared" ca="1" si="47"/>
        <v>#NUM!</v>
      </c>
      <c r="AG68" s="75" t="e">
        <f t="shared" ca="1" si="47"/>
        <v>#NUM!</v>
      </c>
      <c r="AH68" s="75" t="e">
        <f t="shared" ca="1" si="47"/>
        <v>#NUM!</v>
      </c>
      <c r="AI68" s="75" t="e">
        <f t="shared" ca="1" si="47"/>
        <v>#NUM!</v>
      </c>
      <c r="AJ68" s="75" t="e">
        <f t="shared" ca="1" si="47"/>
        <v>#NUM!</v>
      </c>
      <c r="AK68" s="75" t="e">
        <f t="shared" ca="1" si="47"/>
        <v>#NUM!</v>
      </c>
      <c r="AL68" s="75" t="e">
        <f t="shared" ca="1" si="47"/>
        <v>#NUM!</v>
      </c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</row>
    <row r="69" spans="17:53" ht="14.25" customHeight="1" x14ac:dyDescent="0.35">
      <c r="Q69" s="78"/>
      <c r="R69" s="75"/>
      <c r="S69" s="75"/>
      <c r="T69" s="75"/>
      <c r="U69" s="75"/>
      <c r="V69" s="75" t="e">
        <f t="shared" ref="V69:AL69" ca="1" si="48">IF(V35="","",IF(V$29&lt;_exdiv,V35+_div*EXP(_rr*(V$29-_exdiv)),V35))</f>
        <v>#NUM!</v>
      </c>
      <c r="W69" s="75" t="e">
        <f t="shared" ca="1" si="48"/>
        <v>#NUM!</v>
      </c>
      <c r="X69" s="75" t="e">
        <f t="shared" ca="1" si="48"/>
        <v>#NUM!</v>
      </c>
      <c r="Y69" s="75" t="e">
        <f t="shared" ca="1" si="48"/>
        <v>#NUM!</v>
      </c>
      <c r="Z69" s="75" t="e">
        <f t="shared" ca="1" si="48"/>
        <v>#NUM!</v>
      </c>
      <c r="AA69" s="75" t="e">
        <f t="shared" ca="1" si="48"/>
        <v>#NUM!</v>
      </c>
      <c r="AB69" s="75" t="e">
        <f t="shared" ca="1" si="48"/>
        <v>#NUM!</v>
      </c>
      <c r="AC69" s="75" t="e">
        <f t="shared" ca="1" si="48"/>
        <v>#NUM!</v>
      </c>
      <c r="AD69" s="75" t="e">
        <f t="shared" ca="1" si="48"/>
        <v>#NUM!</v>
      </c>
      <c r="AE69" s="75" t="e">
        <f t="shared" ca="1" si="48"/>
        <v>#NUM!</v>
      </c>
      <c r="AF69" s="75" t="e">
        <f t="shared" ca="1" si="48"/>
        <v>#NUM!</v>
      </c>
      <c r="AG69" s="75" t="e">
        <f t="shared" ca="1" si="48"/>
        <v>#NUM!</v>
      </c>
      <c r="AH69" s="75" t="e">
        <f t="shared" ca="1" si="48"/>
        <v>#NUM!</v>
      </c>
      <c r="AI69" s="75" t="e">
        <f t="shared" ca="1" si="48"/>
        <v>#NUM!</v>
      </c>
      <c r="AJ69" s="75" t="e">
        <f t="shared" ca="1" si="48"/>
        <v>#NUM!</v>
      </c>
      <c r="AK69" s="75" t="e">
        <f t="shared" ca="1" si="48"/>
        <v>#NUM!</v>
      </c>
      <c r="AL69" s="75" t="e">
        <f t="shared" ca="1" si="48"/>
        <v>#NUM!</v>
      </c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</row>
    <row r="70" spans="17:53" ht="14.25" customHeight="1" x14ac:dyDescent="0.35">
      <c r="Q70" s="78"/>
      <c r="R70" s="75"/>
      <c r="S70" s="75"/>
      <c r="T70" s="75"/>
      <c r="U70" s="75"/>
      <c r="V70" s="75"/>
      <c r="W70" s="75" t="e">
        <f t="shared" ref="W70:AL70" ca="1" si="49">IF(W36="","",IF(W$29&lt;_exdiv,W36+_div*EXP(_rr*(W$29-_exdiv)),W36))</f>
        <v>#NUM!</v>
      </c>
      <c r="X70" s="75" t="e">
        <f t="shared" ca="1" si="49"/>
        <v>#NUM!</v>
      </c>
      <c r="Y70" s="75" t="e">
        <f t="shared" ca="1" si="49"/>
        <v>#NUM!</v>
      </c>
      <c r="Z70" s="75" t="e">
        <f t="shared" ca="1" si="49"/>
        <v>#NUM!</v>
      </c>
      <c r="AA70" s="75" t="e">
        <f t="shared" ca="1" si="49"/>
        <v>#NUM!</v>
      </c>
      <c r="AB70" s="75" t="e">
        <f t="shared" ca="1" si="49"/>
        <v>#NUM!</v>
      </c>
      <c r="AC70" s="75" t="e">
        <f t="shared" ca="1" si="49"/>
        <v>#NUM!</v>
      </c>
      <c r="AD70" s="75" t="e">
        <f t="shared" ca="1" si="49"/>
        <v>#NUM!</v>
      </c>
      <c r="AE70" s="75" t="e">
        <f t="shared" ca="1" si="49"/>
        <v>#NUM!</v>
      </c>
      <c r="AF70" s="75" t="e">
        <f t="shared" ca="1" si="49"/>
        <v>#NUM!</v>
      </c>
      <c r="AG70" s="75" t="e">
        <f t="shared" ca="1" si="49"/>
        <v>#NUM!</v>
      </c>
      <c r="AH70" s="75" t="e">
        <f t="shared" ca="1" si="49"/>
        <v>#NUM!</v>
      </c>
      <c r="AI70" s="75" t="e">
        <f t="shared" ca="1" si="49"/>
        <v>#NUM!</v>
      </c>
      <c r="AJ70" s="75" t="e">
        <f t="shared" ca="1" si="49"/>
        <v>#NUM!</v>
      </c>
      <c r="AK70" s="75" t="e">
        <f t="shared" ca="1" si="49"/>
        <v>#NUM!</v>
      </c>
      <c r="AL70" s="75" t="e">
        <f t="shared" ca="1" si="49"/>
        <v>#NUM!</v>
      </c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</row>
    <row r="71" spans="17:53" ht="14.25" customHeight="1" x14ac:dyDescent="0.35">
      <c r="Q71" s="78"/>
      <c r="R71" s="75"/>
      <c r="S71" s="75"/>
      <c r="T71" s="75"/>
      <c r="U71" s="75"/>
      <c r="V71" s="75"/>
      <c r="W71" s="75"/>
      <c r="X71" s="75" t="e">
        <f t="shared" ref="X71:AL71" ca="1" si="50">IF(X37="","",IF(X$29&lt;_exdiv,X37+_div*EXP(_rr*(X$29-_exdiv)),X37))</f>
        <v>#NUM!</v>
      </c>
      <c r="Y71" s="75" t="e">
        <f t="shared" ca="1" si="50"/>
        <v>#NUM!</v>
      </c>
      <c r="Z71" s="75" t="e">
        <f t="shared" ca="1" si="50"/>
        <v>#NUM!</v>
      </c>
      <c r="AA71" s="75" t="e">
        <f t="shared" ca="1" si="50"/>
        <v>#NUM!</v>
      </c>
      <c r="AB71" s="75" t="e">
        <f t="shared" ca="1" si="50"/>
        <v>#NUM!</v>
      </c>
      <c r="AC71" s="75" t="e">
        <f t="shared" ca="1" si="50"/>
        <v>#NUM!</v>
      </c>
      <c r="AD71" s="75" t="e">
        <f t="shared" ca="1" si="50"/>
        <v>#NUM!</v>
      </c>
      <c r="AE71" s="75" t="e">
        <f t="shared" ca="1" si="50"/>
        <v>#NUM!</v>
      </c>
      <c r="AF71" s="75" t="e">
        <f t="shared" ca="1" si="50"/>
        <v>#NUM!</v>
      </c>
      <c r="AG71" s="75" t="e">
        <f t="shared" ca="1" si="50"/>
        <v>#NUM!</v>
      </c>
      <c r="AH71" s="75" t="e">
        <f t="shared" ca="1" si="50"/>
        <v>#NUM!</v>
      </c>
      <c r="AI71" s="75" t="e">
        <f t="shared" ca="1" si="50"/>
        <v>#NUM!</v>
      </c>
      <c r="AJ71" s="75" t="e">
        <f t="shared" ca="1" si="50"/>
        <v>#NUM!</v>
      </c>
      <c r="AK71" s="75" t="e">
        <f t="shared" ca="1" si="50"/>
        <v>#NUM!</v>
      </c>
      <c r="AL71" s="75" t="e">
        <f t="shared" ca="1" si="50"/>
        <v>#NUM!</v>
      </c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</row>
    <row r="72" spans="17:53" ht="14.25" customHeight="1" x14ac:dyDescent="0.35">
      <c r="Q72" s="78"/>
      <c r="R72" s="75"/>
      <c r="S72" s="75"/>
      <c r="T72" s="75"/>
      <c r="U72" s="75"/>
      <c r="V72" s="75"/>
      <c r="W72" s="75"/>
      <c r="X72" s="75"/>
      <c r="Y72" s="75" t="e">
        <f t="shared" ref="Y72:AL72" ca="1" si="51">IF(Y38="","",IF(Y$29&lt;_exdiv,Y38+_div*EXP(_rr*(Y$29-_exdiv)),Y38))</f>
        <v>#NUM!</v>
      </c>
      <c r="Z72" s="75" t="e">
        <f t="shared" ca="1" si="51"/>
        <v>#NUM!</v>
      </c>
      <c r="AA72" s="75" t="e">
        <f t="shared" ca="1" si="51"/>
        <v>#NUM!</v>
      </c>
      <c r="AB72" s="75" t="e">
        <f t="shared" ca="1" si="51"/>
        <v>#NUM!</v>
      </c>
      <c r="AC72" s="75" t="e">
        <f t="shared" ca="1" si="51"/>
        <v>#NUM!</v>
      </c>
      <c r="AD72" s="75" t="e">
        <f t="shared" ca="1" si="51"/>
        <v>#NUM!</v>
      </c>
      <c r="AE72" s="75" t="e">
        <f t="shared" ca="1" si="51"/>
        <v>#NUM!</v>
      </c>
      <c r="AF72" s="75" t="e">
        <f t="shared" ca="1" si="51"/>
        <v>#NUM!</v>
      </c>
      <c r="AG72" s="75" t="e">
        <f t="shared" ca="1" si="51"/>
        <v>#NUM!</v>
      </c>
      <c r="AH72" s="75" t="e">
        <f t="shared" ca="1" si="51"/>
        <v>#NUM!</v>
      </c>
      <c r="AI72" s="75" t="e">
        <f t="shared" ca="1" si="51"/>
        <v>#NUM!</v>
      </c>
      <c r="AJ72" s="75" t="e">
        <f t="shared" ca="1" si="51"/>
        <v>#NUM!</v>
      </c>
      <c r="AK72" s="75" t="e">
        <f t="shared" ca="1" si="51"/>
        <v>#NUM!</v>
      </c>
      <c r="AL72" s="75" t="e">
        <f t="shared" ca="1" si="51"/>
        <v>#NUM!</v>
      </c>
    </row>
    <row r="73" spans="17:53" ht="14.25" customHeight="1" x14ac:dyDescent="0.35">
      <c r="Q73" s="78"/>
      <c r="R73" s="75"/>
      <c r="S73" s="75"/>
      <c r="T73" s="75"/>
      <c r="U73" s="75"/>
      <c r="V73" s="75"/>
      <c r="W73" s="75"/>
      <c r="X73" s="75"/>
      <c r="Y73" s="75"/>
      <c r="Z73" s="75" t="e">
        <f t="shared" ref="Z73:AL73" ca="1" si="52">IF(Z39="","",IF(Z$29&lt;_exdiv,Z39+_div*EXP(_rr*(Z$29-_exdiv)),Z39))</f>
        <v>#NUM!</v>
      </c>
      <c r="AA73" s="75" t="e">
        <f t="shared" ca="1" si="52"/>
        <v>#NUM!</v>
      </c>
      <c r="AB73" s="75" t="e">
        <f t="shared" ca="1" si="52"/>
        <v>#NUM!</v>
      </c>
      <c r="AC73" s="75" t="e">
        <f t="shared" ca="1" si="52"/>
        <v>#NUM!</v>
      </c>
      <c r="AD73" s="75" t="e">
        <f t="shared" ca="1" si="52"/>
        <v>#NUM!</v>
      </c>
      <c r="AE73" s="75" t="e">
        <f t="shared" ca="1" si="52"/>
        <v>#NUM!</v>
      </c>
      <c r="AF73" s="75" t="e">
        <f t="shared" ca="1" si="52"/>
        <v>#NUM!</v>
      </c>
      <c r="AG73" s="75" t="e">
        <f t="shared" ca="1" si="52"/>
        <v>#NUM!</v>
      </c>
      <c r="AH73" s="75" t="e">
        <f t="shared" ca="1" si="52"/>
        <v>#NUM!</v>
      </c>
      <c r="AI73" s="75" t="e">
        <f t="shared" ca="1" si="52"/>
        <v>#NUM!</v>
      </c>
      <c r="AJ73" s="75" t="e">
        <f t="shared" ca="1" si="52"/>
        <v>#NUM!</v>
      </c>
      <c r="AK73" s="75" t="e">
        <f t="shared" ca="1" si="52"/>
        <v>#NUM!</v>
      </c>
      <c r="AL73" s="75" t="e">
        <f t="shared" ca="1" si="52"/>
        <v>#NUM!</v>
      </c>
    </row>
    <row r="74" spans="17:53" x14ac:dyDescent="0.35">
      <c r="Q74" s="78"/>
      <c r="R74" s="75"/>
      <c r="S74" s="75"/>
      <c r="T74" s="75"/>
      <c r="U74" s="75"/>
      <c r="V74" s="75"/>
      <c r="W74" s="75"/>
      <c r="X74" s="75"/>
      <c r="Y74" s="75"/>
      <c r="AA74" s="75" t="e">
        <f t="shared" ref="AA74:AL74" ca="1" si="53">IF(AA40="","",IF(AA$29&lt;_exdiv,AA40+_div*EXP(_rr*(AA$29-_exdiv)),AA40))</f>
        <v>#NUM!</v>
      </c>
      <c r="AB74" s="75" t="e">
        <f t="shared" ca="1" si="53"/>
        <v>#NUM!</v>
      </c>
      <c r="AC74" s="75" t="e">
        <f t="shared" ca="1" si="53"/>
        <v>#NUM!</v>
      </c>
      <c r="AD74" s="75" t="e">
        <f t="shared" ca="1" si="53"/>
        <v>#NUM!</v>
      </c>
      <c r="AE74" s="75" t="e">
        <f t="shared" ca="1" si="53"/>
        <v>#NUM!</v>
      </c>
      <c r="AF74" s="75" t="e">
        <f t="shared" ca="1" si="53"/>
        <v>#NUM!</v>
      </c>
      <c r="AG74" s="75" t="e">
        <f t="shared" ca="1" si="53"/>
        <v>#NUM!</v>
      </c>
      <c r="AH74" s="75" t="e">
        <f t="shared" ca="1" si="53"/>
        <v>#NUM!</v>
      </c>
      <c r="AI74" s="75" t="e">
        <f t="shared" ca="1" si="53"/>
        <v>#NUM!</v>
      </c>
      <c r="AJ74" s="75" t="e">
        <f t="shared" ca="1" si="53"/>
        <v>#NUM!</v>
      </c>
      <c r="AK74" s="75" t="e">
        <f t="shared" ca="1" si="53"/>
        <v>#NUM!</v>
      </c>
      <c r="AL74" s="75" t="e">
        <f t="shared" ca="1" si="53"/>
        <v>#NUM!</v>
      </c>
    </row>
    <row r="75" spans="17:53" x14ac:dyDescent="0.35">
      <c r="Q75" s="78"/>
      <c r="R75" s="75"/>
      <c r="S75" s="75"/>
      <c r="T75" s="75"/>
      <c r="U75" s="75"/>
      <c r="V75" s="75"/>
      <c r="W75" s="75"/>
      <c r="X75" s="75"/>
      <c r="Y75" s="75"/>
      <c r="AB75" s="75" t="e">
        <f t="shared" ref="AB75:AL75" ca="1" si="54">IF(AB41="","",IF(AB$29&lt;_exdiv,AB41+_div*EXP(_rr*(AB$29-_exdiv)),AB41))</f>
        <v>#NUM!</v>
      </c>
      <c r="AC75" s="75" t="e">
        <f t="shared" ca="1" si="54"/>
        <v>#NUM!</v>
      </c>
      <c r="AD75" s="75" t="e">
        <f t="shared" ca="1" si="54"/>
        <v>#NUM!</v>
      </c>
      <c r="AE75" s="75" t="e">
        <f t="shared" ca="1" si="54"/>
        <v>#NUM!</v>
      </c>
      <c r="AF75" s="75" t="e">
        <f t="shared" ca="1" si="54"/>
        <v>#NUM!</v>
      </c>
      <c r="AG75" s="75" t="e">
        <f t="shared" ca="1" si="54"/>
        <v>#NUM!</v>
      </c>
      <c r="AH75" s="75" t="e">
        <f t="shared" ca="1" si="54"/>
        <v>#NUM!</v>
      </c>
      <c r="AI75" s="75" t="e">
        <f t="shared" ca="1" si="54"/>
        <v>#NUM!</v>
      </c>
      <c r="AJ75" s="75" t="e">
        <f t="shared" ca="1" si="54"/>
        <v>#NUM!</v>
      </c>
      <c r="AK75" s="75" t="e">
        <f t="shared" ca="1" si="54"/>
        <v>#NUM!</v>
      </c>
      <c r="AL75" s="75" t="e">
        <f t="shared" ca="1" si="54"/>
        <v>#NUM!</v>
      </c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</row>
    <row r="76" spans="17:53" x14ac:dyDescent="0.35">
      <c r="Q76" s="78"/>
      <c r="R76" s="75"/>
      <c r="S76" s="75"/>
      <c r="T76" s="75"/>
      <c r="U76" s="75"/>
      <c r="V76" s="75"/>
      <c r="W76" s="75"/>
      <c r="X76" s="75"/>
      <c r="Y76" s="75"/>
      <c r="AB76" s="75"/>
      <c r="AC76" s="75" t="e">
        <f t="shared" ref="AC76:AL76" ca="1" si="55">IF(AC42="","",IF(AC$29&lt;_exdiv,AC42+_div*EXP(_rr*(AC$29-_exdiv)),AC42))</f>
        <v>#NUM!</v>
      </c>
      <c r="AD76" s="75" t="e">
        <f t="shared" ca="1" si="55"/>
        <v>#NUM!</v>
      </c>
      <c r="AE76" s="75" t="e">
        <f t="shared" ca="1" si="55"/>
        <v>#NUM!</v>
      </c>
      <c r="AF76" s="75" t="e">
        <f t="shared" ca="1" si="55"/>
        <v>#NUM!</v>
      </c>
      <c r="AG76" s="75" t="e">
        <f t="shared" ca="1" si="55"/>
        <v>#NUM!</v>
      </c>
      <c r="AH76" s="75" t="e">
        <f t="shared" ca="1" si="55"/>
        <v>#NUM!</v>
      </c>
      <c r="AI76" s="75" t="e">
        <f t="shared" ca="1" si="55"/>
        <v>#NUM!</v>
      </c>
      <c r="AJ76" s="75" t="e">
        <f t="shared" ca="1" si="55"/>
        <v>#NUM!</v>
      </c>
      <c r="AK76" s="75" t="e">
        <f t="shared" ca="1" si="55"/>
        <v>#NUM!</v>
      </c>
      <c r="AL76" s="75" t="e">
        <f t="shared" ca="1" si="55"/>
        <v>#NUM!</v>
      </c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</row>
    <row r="77" spans="17:53" x14ac:dyDescent="0.35">
      <c r="Q77" s="78"/>
      <c r="R77" s="75"/>
      <c r="S77" s="75"/>
      <c r="T77" s="75"/>
      <c r="U77" s="75"/>
      <c r="V77" s="75"/>
      <c r="W77" s="75"/>
      <c r="X77" s="75"/>
      <c r="Y77" s="75"/>
      <c r="AB77" s="75"/>
      <c r="AD77" s="75" t="e">
        <f t="shared" ref="AD77:AL77" ca="1" si="56">IF(AD43="","",IF(AD$29&lt;_exdiv,AD43+_div*EXP(_rr*(AD$29-_exdiv)),AD43))</f>
        <v>#NUM!</v>
      </c>
      <c r="AE77" s="75" t="e">
        <f t="shared" ca="1" si="56"/>
        <v>#NUM!</v>
      </c>
      <c r="AF77" s="75" t="e">
        <f t="shared" ca="1" si="56"/>
        <v>#NUM!</v>
      </c>
      <c r="AG77" s="75" t="e">
        <f t="shared" ca="1" si="56"/>
        <v>#NUM!</v>
      </c>
      <c r="AH77" s="75" t="e">
        <f t="shared" ca="1" si="56"/>
        <v>#NUM!</v>
      </c>
      <c r="AI77" s="75" t="e">
        <f t="shared" ca="1" si="56"/>
        <v>#NUM!</v>
      </c>
      <c r="AJ77" s="75" t="e">
        <f t="shared" ca="1" si="56"/>
        <v>#NUM!</v>
      </c>
      <c r="AK77" s="75" t="e">
        <f t="shared" ca="1" si="56"/>
        <v>#NUM!</v>
      </c>
      <c r="AL77" s="75" t="e">
        <f t="shared" ca="1" si="56"/>
        <v>#NUM!</v>
      </c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</row>
    <row r="78" spans="17:53" x14ac:dyDescent="0.35">
      <c r="Q78" s="78"/>
      <c r="R78" s="75"/>
      <c r="S78" s="75"/>
      <c r="T78" s="75"/>
      <c r="U78" s="75"/>
      <c r="V78" s="75"/>
      <c r="W78" s="75"/>
      <c r="X78" s="75"/>
      <c r="Y78" s="75"/>
      <c r="AB78" s="75"/>
      <c r="AD78" s="75"/>
      <c r="AE78" s="75" t="e">
        <f t="shared" ref="AE78:AL78" ca="1" si="57">IF(AE44="","",IF(AE$29&lt;_exdiv,AE44+_div*EXP(_rr*(AE$29-_exdiv)),AE44))</f>
        <v>#NUM!</v>
      </c>
      <c r="AF78" s="75" t="e">
        <f t="shared" ca="1" si="57"/>
        <v>#NUM!</v>
      </c>
      <c r="AG78" s="75" t="e">
        <f t="shared" ca="1" si="57"/>
        <v>#NUM!</v>
      </c>
      <c r="AH78" s="75" t="e">
        <f t="shared" ca="1" si="57"/>
        <v>#NUM!</v>
      </c>
      <c r="AI78" s="75" t="e">
        <f t="shared" ca="1" si="57"/>
        <v>#NUM!</v>
      </c>
      <c r="AJ78" s="75" t="e">
        <f t="shared" ca="1" si="57"/>
        <v>#NUM!</v>
      </c>
      <c r="AK78" s="75" t="e">
        <f t="shared" ca="1" si="57"/>
        <v>#NUM!</v>
      </c>
      <c r="AL78" s="75" t="e">
        <f t="shared" ca="1" si="57"/>
        <v>#NUM!</v>
      </c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</row>
    <row r="79" spans="17:53" x14ac:dyDescent="0.35">
      <c r="Q79" s="78"/>
      <c r="R79" s="75"/>
      <c r="S79" s="75"/>
      <c r="T79" s="75"/>
      <c r="U79" s="75"/>
      <c r="V79" s="75"/>
      <c r="W79" s="75"/>
      <c r="X79" s="75"/>
      <c r="Y79" s="75"/>
      <c r="AB79" s="75"/>
      <c r="AD79" s="75"/>
      <c r="AE79" s="75"/>
      <c r="AF79" s="75" t="e">
        <f t="shared" ref="AF79:AL79" ca="1" si="58">IF(AF45="","",IF(AF$29&lt;_exdiv,AF45+_div*EXP(_rr*(AF$29-_exdiv)),AF45))</f>
        <v>#NUM!</v>
      </c>
      <c r="AG79" s="75" t="e">
        <f t="shared" ca="1" si="58"/>
        <v>#NUM!</v>
      </c>
      <c r="AH79" s="75" t="e">
        <f t="shared" ca="1" si="58"/>
        <v>#NUM!</v>
      </c>
      <c r="AI79" s="75" t="e">
        <f t="shared" ca="1" si="58"/>
        <v>#NUM!</v>
      </c>
      <c r="AJ79" s="75" t="e">
        <f t="shared" ca="1" si="58"/>
        <v>#NUM!</v>
      </c>
      <c r="AK79" s="75" t="e">
        <f t="shared" ca="1" si="58"/>
        <v>#NUM!</v>
      </c>
      <c r="AL79" s="75" t="e">
        <f t="shared" ca="1" si="58"/>
        <v>#NUM!</v>
      </c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</row>
    <row r="80" spans="17:53" x14ac:dyDescent="0.35">
      <c r="Q80" s="78"/>
      <c r="R80" s="75"/>
      <c r="S80" s="75"/>
      <c r="T80" s="75"/>
      <c r="U80" s="75"/>
      <c r="V80" s="75"/>
      <c r="W80" s="75"/>
      <c r="X80" s="75"/>
      <c r="Y80" s="75"/>
      <c r="AB80" s="75"/>
      <c r="AD80" s="75"/>
      <c r="AE80" s="75"/>
      <c r="AF80" s="75"/>
      <c r="AG80" s="75" t="e">
        <f t="shared" ref="AG80:AL80" ca="1" si="59">IF(AG46="","",IF(AG$29&lt;_exdiv,AG46+_div*EXP(_rr*(AG$29-_exdiv)),AG46))</f>
        <v>#NUM!</v>
      </c>
      <c r="AH80" s="75" t="e">
        <f t="shared" ca="1" si="59"/>
        <v>#NUM!</v>
      </c>
      <c r="AI80" s="75" t="e">
        <f t="shared" ca="1" si="59"/>
        <v>#NUM!</v>
      </c>
      <c r="AJ80" s="75" t="e">
        <f t="shared" ca="1" si="59"/>
        <v>#NUM!</v>
      </c>
      <c r="AK80" s="75" t="e">
        <f t="shared" ca="1" si="59"/>
        <v>#NUM!</v>
      </c>
      <c r="AL80" s="75" t="e">
        <f t="shared" ca="1" si="59"/>
        <v>#NUM!</v>
      </c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</row>
    <row r="81" spans="17:53" x14ac:dyDescent="0.35">
      <c r="Q81" s="78"/>
      <c r="R81" s="75"/>
      <c r="S81" s="75"/>
      <c r="T81" s="75"/>
      <c r="U81" s="75"/>
      <c r="V81" s="75"/>
      <c r="W81" s="75"/>
      <c r="X81" s="75"/>
      <c r="Y81" s="75"/>
      <c r="AB81" s="75"/>
      <c r="AD81" s="75"/>
      <c r="AE81" s="75"/>
      <c r="AF81" s="75"/>
      <c r="AG81" s="75"/>
      <c r="AH81" s="75" t="e">
        <f ca="1">IF(AH47="","",IF(AH$29&lt;_exdiv,AH47+_div*EXP(_rr*(AH$29-_exdiv)),AH47))</f>
        <v>#NUM!</v>
      </c>
      <c r="AI81" s="75" t="e">
        <f ca="1">IF(AI47="","",IF(AI$29&lt;_exdiv,AI47+_div*EXP(_rr*(AI$29-_exdiv)),AI47))</f>
        <v>#NUM!</v>
      </c>
      <c r="AJ81" s="75" t="e">
        <f ca="1">IF(AJ47="","",IF(AJ$29&lt;_exdiv,AJ47+_div*EXP(_rr*(AJ$29-_exdiv)),AJ47))</f>
        <v>#NUM!</v>
      </c>
      <c r="AK81" s="75" t="e">
        <f ca="1">IF(AK47="","",IF(AK$29&lt;_exdiv,AK47+_div*EXP(_rr*(AK$29-_exdiv)),AK47))</f>
        <v>#NUM!</v>
      </c>
      <c r="AL81" s="75" t="e">
        <f ca="1">IF(AL47="","",IF(AL$29&lt;_exdiv,AL47+_div*EXP(_rr*(AL$29-_exdiv)),AL47))</f>
        <v>#NUM!</v>
      </c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</row>
    <row r="82" spans="17:53" x14ac:dyDescent="0.35">
      <c r="Q82" s="78"/>
      <c r="R82" s="75"/>
      <c r="S82" s="75"/>
      <c r="T82" s="75"/>
      <c r="U82" s="75"/>
      <c r="V82" s="75"/>
      <c r="W82" s="75"/>
      <c r="X82" s="75"/>
      <c r="Y82" s="75"/>
      <c r="AB82" s="75"/>
      <c r="AD82" s="75"/>
      <c r="AE82" s="75"/>
      <c r="AF82" s="75"/>
      <c r="AG82" s="75"/>
      <c r="AH82" s="75"/>
      <c r="AI82" s="75" t="e">
        <f ca="1">IF(AI48="","",IF(AI$29&lt;_exdiv,AI48+_div*EXP(_rr*(AI$29-_exdiv)),AI48))</f>
        <v>#NUM!</v>
      </c>
      <c r="AJ82" s="75" t="e">
        <f ca="1">IF(AJ48="","",IF(AJ$29&lt;_exdiv,AJ48+_div*EXP(_rr*(AJ$29-_exdiv)),AJ48))</f>
        <v>#NUM!</v>
      </c>
      <c r="AK82" s="75" t="e">
        <f ca="1">IF(AK48="","",IF(AK$29&lt;_exdiv,AK48+_div*EXP(_rr*(AK$29-_exdiv)),AK48))</f>
        <v>#NUM!</v>
      </c>
      <c r="AL82" s="75" t="e">
        <f ca="1">IF(AL48="","",IF(AL$29&lt;_exdiv,AL48+_div*EXP(_rr*(AL$29-_exdiv)),AL48))</f>
        <v>#NUM!</v>
      </c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</row>
    <row r="83" spans="17:53" x14ac:dyDescent="0.35">
      <c r="Q83" s="78"/>
      <c r="R83" s="75"/>
      <c r="S83" s="75"/>
      <c r="T83" s="75"/>
      <c r="U83" s="75"/>
      <c r="V83" s="75"/>
      <c r="W83" s="75"/>
      <c r="X83" s="75"/>
      <c r="Y83" s="75"/>
      <c r="AB83" s="75"/>
      <c r="AD83" s="75"/>
      <c r="AE83" s="75"/>
      <c r="AF83" s="75"/>
      <c r="AG83" s="75"/>
      <c r="AH83" s="75"/>
      <c r="AI83" s="75"/>
      <c r="AJ83" s="75" t="e">
        <f ca="1">IF(AJ49="","",IF(AJ$29&lt;_exdiv,AJ49+_div*EXP(_rr*(AJ$29-_exdiv)),AJ49))</f>
        <v>#NUM!</v>
      </c>
      <c r="AK83" s="75" t="e">
        <f ca="1">IF(AK49="","",IF(AK$29&lt;_exdiv,AK49+_div*EXP(_rr*(AK$29-_exdiv)),AK49))</f>
        <v>#NUM!</v>
      </c>
      <c r="AL83" s="75" t="e">
        <f ca="1">IF(AL49="","",IF(AL$29&lt;_exdiv,AL49+_div*EXP(_rr*(AL$29-_exdiv)),AL49))</f>
        <v>#NUM!</v>
      </c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</row>
    <row r="84" spans="17:53" x14ac:dyDescent="0.35">
      <c r="Q84" s="78"/>
      <c r="R84" s="75"/>
      <c r="S84" s="75"/>
      <c r="T84" s="75"/>
      <c r="U84" s="75"/>
      <c r="V84" s="75"/>
      <c r="W84" s="75"/>
      <c r="X84" s="75"/>
      <c r="Y84" s="75"/>
      <c r="AB84" s="75"/>
      <c r="AD84" s="75"/>
      <c r="AE84" s="75"/>
      <c r="AF84" s="75"/>
      <c r="AG84" s="75"/>
      <c r="AH84" s="75"/>
      <c r="AI84" s="75"/>
      <c r="AJ84" s="75"/>
      <c r="AK84" s="75" t="e">
        <f ca="1">IF(AK50="","",IF(AK$29&lt;_exdiv,AK50+_div*EXP(_rr*(AK$29-_exdiv)),AK50))</f>
        <v>#NUM!</v>
      </c>
      <c r="AL84" s="75" t="e">
        <f ca="1">IF(AL50="","",IF(AL$29&lt;_exdiv,AL50+_div*EXP(_rr*(AL$29-_exdiv)),AL50))</f>
        <v>#NUM!</v>
      </c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</row>
    <row r="85" spans="17:53" x14ac:dyDescent="0.35">
      <c r="Q85" s="78"/>
      <c r="R85" s="75"/>
      <c r="S85" s="75"/>
      <c r="T85" s="75"/>
      <c r="U85" s="75"/>
      <c r="V85" s="75"/>
      <c r="W85" s="75"/>
      <c r="X85" s="75"/>
      <c r="Y85" s="75"/>
      <c r="AB85" s="75"/>
      <c r="AD85" s="75"/>
      <c r="AE85" s="75"/>
      <c r="AF85" s="75"/>
      <c r="AG85" s="75"/>
      <c r="AH85" s="75"/>
      <c r="AI85" s="75"/>
      <c r="AJ85" s="75"/>
      <c r="AK85" s="75"/>
      <c r="AL85" s="75" t="e">
        <f ca="1">IF(AL51="","",IF(AL$29&lt;_exdiv,AL51+_div*EXP(_rr*(AL$29-_exdiv)),AL51))</f>
        <v>#NUM!</v>
      </c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</row>
    <row r="86" spans="17:53" x14ac:dyDescent="0.35">
      <c r="Q86" s="78"/>
      <c r="R86" s="75"/>
      <c r="S86" s="75"/>
      <c r="T86" s="75"/>
      <c r="U86" s="75"/>
      <c r="V86" s="75"/>
      <c r="W86" s="75"/>
      <c r="X86" s="75"/>
      <c r="Y86" s="75"/>
      <c r="AB86" s="75"/>
      <c r="AD86" s="75"/>
      <c r="AE86" s="75"/>
    </row>
    <row r="87" spans="17:53" x14ac:dyDescent="0.35">
      <c r="Q87" s="78"/>
      <c r="R87" s="75"/>
      <c r="S87" s="75"/>
      <c r="T87" s="75"/>
      <c r="U87" s="75"/>
      <c r="V87" s="75"/>
      <c r="W87" s="75"/>
      <c r="X87" s="75"/>
      <c r="Y87" s="75"/>
      <c r="AB87" s="75"/>
      <c r="AD87" s="75"/>
      <c r="AE87" s="75"/>
    </row>
    <row r="88" spans="17:53" x14ac:dyDescent="0.35">
      <c r="Q88" s="78"/>
      <c r="R88" s="75"/>
      <c r="S88" s="75"/>
      <c r="T88" s="75"/>
      <c r="U88" s="75"/>
      <c r="V88" s="75"/>
      <c r="W88" s="75"/>
      <c r="X88" s="75"/>
      <c r="Y88" s="75"/>
      <c r="AB88" s="75"/>
      <c r="AD88" s="75"/>
      <c r="AE88" s="75"/>
    </row>
    <row r="89" spans="17:53" x14ac:dyDescent="0.35">
      <c r="Q89" s="78"/>
      <c r="R89" s="75"/>
      <c r="S89" s="75"/>
      <c r="T89" s="75"/>
      <c r="U89" s="75"/>
      <c r="V89" s="75"/>
      <c r="W89" s="75"/>
      <c r="X89" s="75"/>
      <c r="Y89" s="75"/>
      <c r="AB89" s="75"/>
    </row>
    <row r="90" spans="17:53" x14ac:dyDescent="0.35">
      <c r="Q90" s="78"/>
      <c r="R90" s="75"/>
      <c r="S90" s="75"/>
      <c r="T90" s="75"/>
      <c r="U90" s="75"/>
      <c r="V90" s="75"/>
      <c r="W90" s="75"/>
      <c r="X90" s="75"/>
      <c r="Y90" s="75"/>
      <c r="AB90" s="75"/>
    </row>
    <row r="91" spans="17:53" x14ac:dyDescent="0.35">
      <c r="Q91" s="78"/>
      <c r="R91" s="75"/>
      <c r="S91" s="75"/>
      <c r="T91" s="75"/>
      <c r="U91" s="75"/>
      <c r="V91" s="75"/>
      <c r="W91" s="75"/>
      <c r="X91" s="75"/>
      <c r="Y91" s="75"/>
      <c r="AB91" s="75"/>
    </row>
    <row r="92" spans="17:53" x14ac:dyDescent="0.35">
      <c r="Q92" s="78"/>
      <c r="R92" s="75"/>
      <c r="S92" s="75"/>
      <c r="T92" s="75"/>
      <c r="U92" s="75"/>
      <c r="V92" s="75"/>
      <c r="W92" s="75"/>
      <c r="X92" s="75"/>
      <c r="Y92" s="75"/>
      <c r="AB92" s="75"/>
      <c r="AD92" s="75"/>
      <c r="AE92" s="75"/>
    </row>
    <row r="93" spans="17:53" x14ac:dyDescent="0.35">
      <c r="Q93" s="78"/>
      <c r="R93" s="75"/>
      <c r="S93" s="75"/>
      <c r="T93" s="75"/>
      <c r="U93" s="75"/>
      <c r="V93" s="75"/>
      <c r="W93" s="75"/>
      <c r="X93" s="75"/>
      <c r="Y93" s="75"/>
      <c r="AB93" s="75"/>
      <c r="AD93" s="75"/>
      <c r="AE93" s="75"/>
    </row>
    <row r="94" spans="17:53" x14ac:dyDescent="0.35">
      <c r="Q94" s="78"/>
      <c r="R94" s="75"/>
      <c r="S94" s="75"/>
      <c r="T94" s="75"/>
      <c r="U94" s="75"/>
      <c r="V94" s="75"/>
      <c r="W94" s="75"/>
      <c r="X94" s="75"/>
      <c r="Y94" s="75"/>
      <c r="AB94" s="75"/>
      <c r="AD94" s="75"/>
      <c r="AE94" s="75"/>
    </row>
    <row r="95" spans="17:53" x14ac:dyDescent="0.35">
      <c r="Q95" s="78"/>
      <c r="R95" s="75"/>
      <c r="S95" s="75"/>
      <c r="T95" s="75"/>
      <c r="U95" s="75"/>
      <c r="V95" s="75"/>
      <c r="W95" s="75"/>
      <c r="X95" s="75"/>
      <c r="Y95" s="75"/>
      <c r="AB95" s="75"/>
      <c r="AD95" s="75"/>
      <c r="AE95" s="75"/>
    </row>
    <row r="96" spans="17:53" x14ac:dyDescent="0.35">
      <c r="Q96" s="78"/>
      <c r="R96" s="75"/>
      <c r="S96" s="75"/>
      <c r="T96" s="75"/>
      <c r="U96" s="75"/>
      <c r="V96" s="75"/>
      <c r="W96" s="75"/>
      <c r="X96" s="75"/>
      <c r="Y96" s="75"/>
      <c r="AB96" s="75"/>
      <c r="AD96" s="75"/>
      <c r="AE96" s="75"/>
    </row>
    <row r="97" spans="17:38" x14ac:dyDescent="0.35">
      <c r="Q97" s="78"/>
      <c r="R97" s="75"/>
      <c r="S97" s="75"/>
      <c r="T97" s="75"/>
      <c r="U97" s="75"/>
      <c r="V97" s="75"/>
      <c r="W97" s="75"/>
      <c r="X97" s="75"/>
      <c r="Y97" s="75"/>
      <c r="AB97" s="75"/>
      <c r="AC97" s="75"/>
      <c r="AD97" s="75"/>
      <c r="AE97" s="75"/>
    </row>
    <row r="98" spans="17:38" x14ac:dyDescent="0.35">
      <c r="Q98" s="78"/>
      <c r="R98" s="75"/>
      <c r="S98" s="75"/>
      <c r="T98" s="75"/>
      <c r="U98" s="75"/>
      <c r="V98" s="75"/>
      <c r="W98" s="75"/>
      <c r="X98" s="75"/>
      <c r="Y98" s="75"/>
      <c r="AB98" s="75"/>
      <c r="AC98" s="75"/>
      <c r="AD98" s="75"/>
      <c r="AE98" s="75"/>
    </row>
    <row r="99" spans="17:38" x14ac:dyDescent="0.35">
      <c r="Q99" s="78"/>
      <c r="R99" s="75"/>
      <c r="S99" s="75"/>
      <c r="T99" s="75"/>
      <c r="U99" s="75"/>
      <c r="V99" s="75"/>
      <c r="W99" s="75"/>
      <c r="X99" s="75"/>
      <c r="Y99" s="75"/>
      <c r="AB99" s="75"/>
      <c r="AC99" s="75"/>
      <c r="AD99" s="75"/>
      <c r="AE99" s="75"/>
    </row>
    <row r="100" spans="17:38" x14ac:dyDescent="0.35">
      <c r="Q100" s="78"/>
      <c r="R100" s="75"/>
      <c r="S100" s="75"/>
      <c r="T100" s="75"/>
      <c r="U100" s="75"/>
      <c r="V100" s="75"/>
      <c r="W100" s="75"/>
      <c r="Y100" s="75"/>
      <c r="Z100" s="75"/>
      <c r="AA100" s="75"/>
      <c r="AC100" s="75"/>
      <c r="AD100" s="75"/>
      <c r="AE100" s="75"/>
    </row>
    <row r="101" spans="17:38" ht="13.15" x14ac:dyDescent="0.4">
      <c r="Q101" s="79" t="str">
        <f>"American " &amp; IF(_OptType=1,"call", "put") &amp; " price (Model)"</f>
        <v>American put price (Model)</v>
      </c>
      <c r="R101" s="80" t="e">
        <f t="shared" ref="R101:AK101" ca="1" si="60">IF(R65="","",MAX(MAX(_OptType*(R65-_K),0),(_p*S101+(1-_p)*S102)*_emrdt))</f>
        <v>#NUM!</v>
      </c>
      <c r="S101" s="75" t="e">
        <f t="shared" ca="1" si="60"/>
        <v>#NUM!</v>
      </c>
      <c r="T101" s="75" t="e">
        <f t="shared" ca="1" si="60"/>
        <v>#NUM!</v>
      </c>
      <c r="U101" s="75" t="e">
        <f t="shared" ca="1" si="60"/>
        <v>#NUM!</v>
      </c>
      <c r="V101" s="75" t="e">
        <f t="shared" ca="1" si="60"/>
        <v>#NUM!</v>
      </c>
      <c r="W101" s="75" t="e">
        <f t="shared" ca="1" si="60"/>
        <v>#NUM!</v>
      </c>
      <c r="X101" s="75" t="e">
        <f t="shared" ca="1" si="60"/>
        <v>#NUM!</v>
      </c>
      <c r="Y101" s="75" t="e">
        <f t="shared" ca="1" si="60"/>
        <v>#NUM!</v>
      </c>
      <c r="Z101" s="75" t="e">
        <f t="shared" ca="1" si="60"/>
        <v>#NUM!</v>
      </c>
      <c r="AA101" s="75" t="e">
        <f t="shared" ca="1" si="60"/>
        <v>#NUM!</v>
      </c>
      <c r="AB101" s="75" t="e">
        <f t="shared" ca="1" si="60"/>
        <v>#NUM!</v>
      </c>
      <c r="AC101" s="75" t="e">
        <f t="shared" ca="1" si="60"/>
        <v>#NUM!</v>
      </c>
      <c r="AD101" s="75" t="e">
        <f t="shared" ca="1" si="60"/>
        <v>#NUM!</v>
      </c>
      <c r="AE101" s="75" t="e">
        <f t="shared" ca="1" si="60"/>
        <v>#NUM!</v>
      </c>
      <c r="AF101" s="75" t="e">
        <f t="shared" ca="1" si="60"/>
        <v>#NUM!</v>
      </c>
      <c r="AG101" s="75" t="e">
        <f t="shared" ca="1" si="60"/>
        <v>#NUM!</v>
      </c>
      <c r="AH101" s="75" t="e">
        <f t="shared" ca="1" si="60"/>
        <v>#NUM!</v>
      </c>
      <c r="AI101" s="75" t="e">
        <f t="shared" ca="1" si="60"/>
        <v>#NUM!</v>
      </c>
      <c r="AJ101" s="75" t="e">
        <f t="shared" ca="1" si="60"/>
        <v>#NUM!</v>
      </c>
      <c r="AK101" s="75" t="e">
        <f t="shared" ca="1" si="60"/>
        <v>#NUM!</v>
      </c>
      <c r="AL101" s="75" t="e">
        <f t="shared" ref="AL101:AL121" ca="1" si="61">MAX(0,_OptType*(AL65-_K))</f>
        <v>#NUM!</v>
      </c>
    </row>
    <row r="102" spans="17:38" x14ac:dyDescent="0.35">
      <c r="R102" s="75" t="str">
        <f t="shared" ref="R102:AK102" si="62">IF(R66="","",MAX(MAX(_OptType*(R66-_K),0),(_p*S102+(1-_p)*S103)*_emrdt))</f>
        <v/>
      </c>
      <c r="S102" s="75" t="e">
        <f t="shared" ca="1" si="62"/>
        <v>#NUM!</v>
      </c>
      <c r="T102" s="75" t="e">
        <f t="shared" ca="1" si="62"/>
        <v>#NUM!</v>
      </c>
      <c r="U102" s="75" t="e">
        <f t="shared" ca="1" si="62"/>
        <v>#NUM!</v>
      </c>
      <c r="V102" s="75" t="e">
        <f t="shared" ca="1" si="62"/>
        <v>#NUM!</v>
      </c>
      <c r="W102" s="75" t="e">
        <f t="shared" ca="1" si="62"/>
        <v>#NUM!</v>
      </c>
      <c r="X102" s="75" t="e">
        <f t="shared" ca="1" si="62"/>
        <v>#NUM!</v>
      </c>
      <c r="Y102" s="75" t="e">
        <f t="shared" ca="1" si="62"/>
        <v>#NUM!</v>
      </c>
      <c r="Z102" s="75" t="e">
        <f t="shared" ca="1" si="62"/>
        <v>#NUM!</v>
      </c>
      <c r="AA102" s="75" t="e">
        <f t="shared" ca="1" si="62"/>
        <v>#NUM!</v>
      </c>
      <c r="AB102" s="75" t="e">
        <f t="shared" ca="1" si="62"/>
        <v>#NUM!</v>
      </c>
      <c r="AC102" s="75" t="e">
        <f t="shared" ca="1" si="62"/>
        <v>#NUM!</v>
      </c>
      <c r="AD102" s="75" t="e">
        <f t="shared" ca="1" si="62"/>
        <v>#NUM!</v>
      </c>
      <c r="AE102" s="75" t="e">
        <f t="shared" ca="1" si="62"/>
        <v>#NUM!</v>
      </c>
      <c r="AF102" s="75" t="e">
        <f t="shared" ca="1" si="62"/>
        <v>#NUM!</v>
      </c>
      <c r="AG102" s="75" t="e">
        <f t="shared" ca="1" si="62"/>
        <v>#NUM!</v>
      </c>
      <c r="AH102" s="75" t="e">
        <f t="shared" ca="1" si="62"/>
        <v>#NUM!</v>
      </c>
      <c r="AI102" s="75" t="e">
        <f t="shared" ca="1" si="62"/>
        <v>#NUM!</v>
      </c>
      <c r="AJ102" s="75" t="e">
        <f t="shared" ca="1" si="62"/>
        <v>#NUM!</v>
      </c>
      <c r="AK102" s="75" t="e">
        <f t="shared" ca="1" si="62"/>
        <v>#NUM!</v>
      </c>
      <c r="AL102" s="75" t="e">
        <f t="shared" ca="1" si="61"/>
        <v>#NUM!</v>
      </c>
    </row>
    <row r="103" spans="17:38" x14ac:dyDescent="0.35">
      <c r="R103" s="75" t="str">
        <f t="shared" ref="R103:AK103" si="63">IF(R67="","",MAX(MAX(_OptType*(R67-_K),0),(_p*S103+(1-_p)*S104)*_emrdt))</f>
        <v/>
      </c>
      <c r="S103" s="75" t="str">
        <f t="shared" si="63"/>
        <v/>
      </c>
      <c r="T103" s="75" t="e">
        <f t="shared" ca="1" si="63"/>
        <v>#NUM!</v>
      </c>
      <c r="U103" s="75" t="e">
        <f t="shared" ca="1" si="63"/>
        <v>#NUM!</v>
      </c>
      <c r="V103" s="75" t="e">
        <f t="shared" ca="1" si="63"/>
        <v>#NUM!</v>
      </c>
      <c r="W103" s="75" t="e">
        <f t="shared" ca="1" si="63"/>
        <v>#NUM!</v>
      </c>
      <c r="X103" s="75" t="e">
        <f t="shared" ca="1" si="63"/>
        <v>#NUM!</v>
      </c>
      <c r="Y103" s="75" t="e">
        <f t="shared" ca="1" si="63"/>
        <v>#NUM!</v>
      </c>
      <c r="Z103" s="75" t="e">
        <f t="shared" ca="1" si="63"/>
        <v>#NUM!</v>
      </c>
      <c r="AA103" s="75" t="e">
        <f t="shared" ca="1" si="63"/>
        <v>#NUM!</v>
      </c>
      <c r="AB103" s="75" t="e">
        <f t="shared" ca="1" si="63"/>
        <v>#NUM!</v>
      </c>
      <c r="AC103" s="75" t="e">
        <f t="shared" ca="1" si="63"/>
        <v>#NUM!</v>
      </c>
      <c r="AD103" s="75" t="e">
        <f t="shared" ca="1" si="63"/>
        <v>#NUM!</v>
      </c>
      <c r="AE103" s="75" t="e">
        <f t="shared" ca="1" si="63"/>
        <v>#NUM!</v>
      </c>
      <c r="AF103" s="75" t="e">
        <f t="shared" ca="1" si="63"/>
        <v>#NUM!</v>
      </c>
      <c r="AG103" s="75" t="e">
        <f t="shared" ca="1" si="63"/>
        <v>#NUM!</v>
      </c>
      <c r="AH103" s="75" t="e">
        <f t="shared" ca="1" si="63"/>
        <v>#NUM!</v>
      </c>
      <c r="AI103" s="75" t="e">
        <f t="shared" ca="1" si="63"/>
        <v>#NUM!</v>
      </c>
      <c r="AJ103" s="75" t="e">
        <f t="shared" ca="1" si="63"/>
        <v>#NUM!</v>
      </c>
      <c r="AK103" s="75" t="e">
        <f t="shared" ca="1" si="63"/>
        <v>#NUM!</v>
      </c>
      <c r="AL103" s="75" t="e">
        <f t="shared" ca="1" si="61"/>
        <v>#NUM!</v>
      </c>
    </row>
    <row r="104" spans="17:38" x14ac:dyDescent="0.35">
      <c r="R104" s="75" t="str">
        <f t="shared" ref="R104:AK104" si="64">IF(R68="","",MAX(MAX(_OptType*(R68-_K),0),(_p*S104+(1-_p)*S105)*_emrdt))</f>
        <v/>
      </c>
      <c r="S104" s="75" t="str">
        <f t="shared" si="64"/>
        <v/>
      </c>
      <c r="T104" s="75" t="str">
        <f t="shared" si="64"/>
        <v/>
      </c>
      <c r="U104" s="75" t="e">
        <f t="shared" ca="1" si="64"/>
        <v>#NUM!</v>
      </c>
      <c r="V104" s="75" t="e">
        <f t="shared" ca="1" si="64"/>
        <v>#NUM!</v>
      </c>
      <c r="W104" s="75" t="e">
        <f t="shared" ca="1" si="64"/>
        <v>#NUM!</v>
      </c>
      <c r="X104" s="75" t="e">
        <f t="shared" ca="1" si="64"/>
        <v>#NUM!</v>
      </c>
      <c r="Y104" s="75" t="e">
        <f t="shared" ca="1" si="64"/>
        <v>#NUM!</v>
      </c>
      <c r="Z104" s="75" t="e">
        <f t="shared" ca="1" si="64"/>
        <v>#NUM!</v>
      </c>
      <c r="AA104" s="75" t="e">
        <f t="shared" ca="1" si="64"/>
        <v>#NUM!</v>
      </c>
      <c r="AB104" s="75" t="e">
        <f t="shared" ca="1" si="64"/>
        <v>#NUM!</v>
      </c>
      <c r="AC104" s="75" t="e">
        <f t="shared" ca="1" si="64"/>
        <v>#NUM!</v>
      </c>
      <c r="AD104" s="75" t="e">
        <f t="shared" ca="1" si="64"/>
        <v>#NUM!</v>
      </c>
      <c r="AE104" s="75" t="e">
        <f t="shared" ca="1" si="64"/>
        <v>#NUM!</v>
      </c>
      <c r="AF104" s="75" t="e">
        <f t="shared" ca="1" si="64"/>
        <v>#NUM!</v>
      </c>
      <c r="AG104" s="75" t="e">
        <f t="shared" ca="1" si="64"/>
        <v>#NUM!</v>
      </c>
      <c r="AH104" s="75" t="e">
        <f t="shared" ca="1" si="64"/>
        <v>#NUM!</v>
      </c>
      <c r="AI104" s="75" t="e">
        <f t="shared" ca="1" si="64"/>
        <v>#NUM!</v>
      </c>
      <c r="AJ104" s="75" t="e">
        <f t="shared" ca="1" si="64"/>
        <v>#NUM!</v>
      </c>
      <c r="AK104" s="75" t="e">
        <f t="shared" ca="1" si="64"/>
        <v>#NUM!</v>
      </c>
      <c r="AL104" s="75" t="e">
        <f t="shared" ca="1" si="61"/>
        <v>#NUM!</v>
      </c>
    </row>
    <row r="105" spans="17:38" x14ac:dyDescent="0.35">
      <c r="R105" s="75" t="str">
        <f t="shared" ref="R105:AK105" si="65">IF(R69="","",MAX(MAX(_OptType*(R69-_K),0),(_p*S105+(1-_p)*S106)*_emrdt))</f>
        <v/>
      </c>
      <c r="S105" s="75" t="str">
        <f t="shared" si="65"/>
        <v/>
      </c>
      <c r="T105" s="75" t="str">
        <f t="shared" si="65"/>
        <v/>
      </c>
      <c r="U105" s="75" t="str">
        <f t="shared" si="65"/>
        <v/>
      </c>
      <c r="V105" s="75" t="e">
        <f t="shared" ca="1" si="65"/>
        <v>#NUM!</v>
      </c>
      <c r="W105" s="75" t="e">
        <f t="shared" ca="1" si="65"/>
        <v>#NUM!</v>
      </c>
      <c r="X105" s="75" t="e">
        <f t="shared" ca="1" si="65"/>
        <v>#NUM!</v>
      </c>
      <c r="Y105" s="75" t="e">
        <f t="shared" ca="1" si="65"/>
        <v>#NUM!</v>
      </c>
      <c r="Z105" s="75" t="e">
        <f t="shared" ca="1" si="65"/>
        <v>#NUM!</v>
      </c>
      <c r="AA105" s="75" t="e">
        <f t="shared" ca="1" si="65"/>
        <v>#NUM!</v>
      </c>
      <c r="AB105" s="75" t="e">
        <f t="shared" ca="1" si="65"/>
        <v>#NUM!</v>
      </c>
      <c r="AC105" s="75" t="e">
        <f t="shared" ca="1" si="65"/>
        <v>#NUM!</v>
      </c>
      <c r="AD105" s="75" t="e">
        <f t="shared" ca="1" si="65"/>
        <v>#NUM!</v>
      </c>
      <c r="AE105" s="75" t="e">
        <f t="shared" ca="1" si="65"/>
        <v>#NUM!</v>
      </c>
      <c r="AF105" s="75" t="e">
        <f t="shared" ca="1" si="65"/>
        <v>#NUM!</v>
      </c>
      <c r="AG105" s="75" t="e">
        <f t="shared" ca="1" si="65"/>
        <v>#NUM!</v>
      </c>
      <c r="AH105" s="75" t="e">
        <f t="shared" ca="1" si="65"/>
        <v>#NUM!</v>
      </c>
      <c r="AI105" s="75" t="e">
        <f t="shared" ca="1" si="65"/>
        <v>#NUM!</v>
      </c>
      <c r="AJ105" s="75" t="e">
        <f t="shared" ca="1" si="65"/>
        <v>#NUM!</v>
      </c>
      <c r="AK105" s="75" t="e">
        <f t="shared" ca="1" si="65"/>
        <v>#NUM!</v>
      </c>
      <c r="AL105" s="75" t="e">
        <f t="shared" ca="1" si="61"/>
        <v>#NUM!</v>
      </c>
    </row>
    <row r="106" spans="17:38" x14ac:dyDescent="0.35">
      <c r="R106" s="75" t="str">
        <f>IF(R70="","",MAX(MAX(_OptType*(R70-_K),0),(_p*S106+(1-_p)*#REF!)*_emrdt))</f>
        <v/>
      </c>
      <c r="S106" s="75" t="str">
        <f>IF(S70="","",MAX(MAX(_OptType*(S70-_K),0),(_p*T106+(1-_p)*#REF!)*_emrdt))</f>
        <v/>
      </c>
      <c r="T106" s="75" t="str">
        <f t="shared" ref="T106:AK106" si="66">IF(T70="","",MAX(MAX(_OptType*(T70-_K),0),(_p*U106+(1-_p)*U107)*_emrdt))</f>
        <v/>
      </c>
      <c r="U106" s="75" t="str">
        <f t="shared" si="66"/>
        <v/>
      </c>
      <c r="V106" s="75" t="str">
        <f t="shared" si="66"/>
        <v/>
      </c>
      <c r="W106" s="75" t="e">
        <f t="shared" ca="1" si="66"/>
        <v>#NUM!</v>
      </c>
      <c r="X106" s="75" t="e">
        <f t="shared" ca="1" si="66"/>
        <v>#NUM!</v>
      </c>
      <c r="Y106" s="75" t="e">
        <f t="shared" ca="1" si="66"/>
        <v>#NUM!</v>
      </c>
      <c r="Z106" s="75" t="e">
        <f t="shared" ca="1" si="66"/>
        <v>#NUM!</v>
      </c>
      <c r="AA106" s="75" t="e">
        <f t="shared" ca="1" si="66"/>
        <v>#NUM!</v>
      </c>
      <c r="AB106" s="75" t="e">
        <f t="shared" ca="1" si="66"/>
        <v>#NUM!</v>
      </c>
      <c r="AC106" s="75" t="e">
        <f t="shared" ca="1" si="66"/>
        <v>#NUM!</v>
      </c>
      <c r="AD106" s="75" t="e">
        <f t="shared" ca="1" si="66"/>
        <v>#NUM!</v>
      </c>
      <c r="AE106" s="75" t="e">
        <f t="shared" ca="1" si="66"/>
        <v>#NUM!</v>
      </c>
      <c r="AF106" s="75" t="e">
        <f t="shared" ca="1" si="66"/>
        <v>#NUM!</v>
      </c>
      <c r="AG106" s="75" t="e">
        <f t="shared" ca="1" si="66"/>
        <v>#NUM!</v>
      </c>
      <c r="AH106" s="75" t="e">
        <f t="shared" ca="1" si="66"/>
        <v>#NUM!</v>
      </c>
      <c r="AI106" s="75" t="e">
        <f t="shared" ca="1" si="66"/>
        <v>#NUM!</v>
      </c>
      <c r="AJ106" s="75" t="e">
        <f t="shared" ca="1" si="66"/>
        <v>#NUM!</v>
      </c>
      <c r="AK106" s="75" t="e">
        <f t="shared" ca="1" si="66"/>
        <v>#NUM!</v>
      </c>
      <c r="AL106" s="75" t="e">
        <f t="shared" ca="1" si="61"/>
        <v>#NUM!</v>
      </c>
    </row>
    <row r="107" spans="17:38" x14ac:dyDescent="0.35">
      <c r="R107" s="75"/>
      <c r="S107" s="75"/>
      <c r="T107" s="75"/>
      <c r="U107" s="75"/>
      <c r="V107" s="75"/>
      <c r="W107" s="75"/>
      <c r="X107" s="75" t="e">
        <f t="shared" ref="X107:AK107" ca="1" si="67">IF(X71="","",MAX(MAX(_OptType*(X71-_K),0),(_p*Y107+(1-_p)*Y108)*_emrdt))</f>
        <v>#NUM!</v>
      </c>
      <c r="Y107" s="75" t="e">
        <f t="shared" ca="1" si="67"/>
        <v>#NUM!</v>
      </c>
      <c r="Z107" s="75" t="e">
        <f t="shared" ca="1" si="67"/>
        <v>#NUM!</v>
      </c>
      <c r="AA107" s="75" t="e">
        <f t="shared" ca="1" si="67"/>
        <v>#NUM!</v>
      </c>
      <c r="AB107" s="75" t="e">
        <f t="shared" ca="1" si="67"/>
        <v>#NUM!</v>
      </c>
      <c r="AC107" s="75" t="e">
        <f t="shared" ca="1" si="67"/>
        <v>#NUM!</v>
      </c>
      <c r="AD107" s="75" t="e">
        <f t="shared" ca="1" si="67"/>
        <v>#NUM!</v>
      </c>
      <c r="AE107" s="75" t="e">
        <f t="shared" ca="1" si="67"/>
        <v>#NUM!</v>
      </c>
      <c r="AF107" s="75" t="e">
        <f t="shared" ca="1" si="67"/>
        <v>#NUM!</v>
      </c>
      <c r="AG107" s="75" t="e">
        <f t="shared" ca="1" si="67"/>
        <v>#NUM!</v>
      </c>
      <c r="AH107" s="75" t="e">
        <f t="shared" ca="1" si="67"/>
        <v>#NUM!</v>
      </c>
      <c r="AI107" s="75" t="e">
        <f t="shared" ca="1" si="67"/>
        <v>#NUM!</v>
      </c>
      <c r="AJ107" s="75" t="e">
        <f t="shared" ca="1" si="67"/>
        <v>#NUM!</v>
      </c>
      <c r="AK107" s="75" t="e">
        <f t="shared" ca="1" si="67"/>
        <v>#NUM!</v>
      </c>
      <c r="AL107" s="75" t="e">
        <f t="shared" ca="1" si="61"/>
        <v>#NUM!</v>
      </c>
    </row>
    <row r="108" spans="17:38" x14ac:dyDescent="0.35">
      <c r="R108" s="75"/>
      <c r="S108" s="75"/>
      <c r="T108" s="75"/>
      <c r="U108" s="75"/>
      <c r="V108" s="75"/>
      <c r="W108" s="75"/>
      <c r="Y108" s="75" t="e">
        <f t="shared" ref="Y108:AK108" ca="1" si="68">IF(Y72="","",MAX(MAX(_OptType*(Y72-_K),0),(_p*Z108+(1-_p)*Z109)*_emrdt))</f>
        <v>#NUM!</v>
      </c>
      <c r="Z108" s="75" t="e">
        <f t="shared" ca="1" si="68"/>
        <v>#NUM!</v>
      </c>
      <c r="AA108" s="75" t="e">
        <f t="shared" ca="1" si="68"/>
        <v>#NUM!</v>
      </c>
      <c r="AB108" s="75" t="e">
        <f t="shared" ca="1" si="68"/>
        <v>#NUM!</v>
      </c>
      <c r="AC108" s="75" t="e">
        <f t="shared" ca="1" si="68"/>
        <v>#NUM!</v>
      </c>
      <c r="AD108" s="75" t="e">
        <f t="shared" ca="1" si="68"/>
        <v>#NUM!</v>
      </c>
      <c r="AE108" s="75" t="e">
        <f t="shared" ca="1" si="68"/>
        <v>#NUM!</v>
      </c>
      <c r="AF108" s="75" t="e">
        <f t="shared" ca="1" si="68"/>
        <v>#NUM!</v>
      </c>
      <c r="AG108" s="75" t="e">
        <f t="shared" ca="1" si="68"/>
        <v>#NUM!</v>
      </c>
      <c r="AH108" s="75" t="e">
        <f t="shared" ca="1" si="68"/>
        <v>#NUM!</v>
      </c>
      <c r="AI108" s="75" t="e">
        <f t="shared" ca="1" si="68"/>
        <v>#NUM!</v>
      </c>
      <c r="AJ108" s="75" t="e">
        <f t="shared" ca="1" si="68"/>
        <v>#NUM!</v>
      </c>
      <c r="AK108" s="75" t="e">
        <f t="shared" ca="1" si="68"/>
        <v>#NUM!</v>
      </c>
      <c r="AL108" s="75" t="e">
        <f t="shared" ca="1" si="61"/>
        <v>#NUM!</v>
      </c>
    </row>
    <row r="109" spans="17:38" x14ac:dyDescent="0.35">
      <c r="R109" s="75"/>
      <c r="S109" s="75"/>
      <c r="T109" s="75"/>
      <c r="U109" s="75"/>
      <c r="V109" s="75"/>
      <c r="W109" s="75"/>
      <c r="Z109" s="75" t="e">
        <f t="shared" ref="Z109:AK109" ca="1" si="69">IF(Z73="","",MAX(MAX(_OptType*(Z73-_K),0),(_p*AA109+(1-_p)*AA110)*_emrdt))</f>
        <v>#NUM!</v>
      </c>
      <c r="AA109" s="75" t="e">
        <f t="shared" ca="1" si="69"/>
        <v>#NUM!</v>
      </c>
      <c r="AB109" s="75" t="e">
        <f t="shared" ca="1" si="69"/>
        <v>#NUM!</v>
      </c>
      <c r="AC109" s="75" t="e">
        <f t="shared" ca="1" si="69"/>
        <v>#NUM!</v>
      </c>
      <c r="AD109" s="75" t="e">
        <f t="shared" ca="1" si="69"/>
        <v>#NUM!</v>
      </c>
      <c r="AE109" s="75" t="e">
        <f t="shared" ca="1" si="69"/>
        <v>#NUM!</v>
      </c>
      <c r="AF109" s="75" t="e">
        <f t="shared" ca="1" si="69"/>
        <v>#NUM!</v>
      </c>
      <c r="AG109" s="75" t="e">
        <f t="shared" ca="1" si="69"/>
        <v>#NUM!</v>
      </c>
      <c r="AH109" s="75" t="e">
        <f t="shared" ca="1" si="69"/>
        <v>#NUM!</v>
      </c>
      <c r="AI109" s="75" t="e">
        <f t="shared" ca="1" si="69"/>
        <v>#NUM!</v>
      </c>
      <c r="AJ109" s="75" t="e">
        <f t="shared" ca="1" si="69"/>
        <v>#NUM!</v>
      </c>
      <c r="AK109" s="75" t="e">
        <f t="shared" ca="1" si="69"/>
        <v>#NUM!</v>
      </c>
      <c r="AL109" s="75" t="e">
        <f t="shared" ca="1" si="61"/>
        <v>#NUM!</v>
      </c>
    </row>
    <row r="110" spans="17:38" x14ac:dyDescent="0.35">
      <c r="R110" s="75"/>
      <c r="S110" s="75"/>
      <c r="T110" s="75"/>
      <c r="U110" s="75"/>
      <c r="V110" s="75"/>
      <c r="W110" s="75"/>
      <c r="AA110" s="75" t="e">
        <f t="shared" ref="AA110:AK110" ca="1" si="70">IF(AA74="","",MAX(MAX(_OptType*(AA74-_K),0),(_p*AB110+(1-_p)*AB111)*_emrdt))</f>
        <v>#NUM!</v>
      </c>
      <c r="AB110" s="75" t="e">
        <f t="shared" ca="1" si="70"/>
        <v>#NUM!</v>
      </c>
      <c r="AC110" s="75" t="e">
        <f t="shared" ca="1" si="70"/>
        <v>#NUM!</v>
      </c>
      <c r="AD110" s="75" t="e">
        <f t="shared" ca="1" si="70"/>
        <v>#NUM!</v>
      </c>
      <c r="AE110" s="75" t="e">
        <f t="shared" ca="1" si="70"/>
        <v>#NUM!</v>
      </c>
      <c r="AF110" s="75" t="e">
        <f t="shared" ca="1" si="70"/>
        <v>#NUM!</v>
      </c>
      <c r="AG110" s="75" t="e">
        <f t="shared" ca="1" si="70"/>
        <v>#NUM!</v>
      </c>
      <c r="AH110" s="75" t="e">
        <f t="shared" ca="1" si="70"/>
        <v>#NUM!</v>
      </c>
      <c r="AI110" s="75" t="e">
        <f t="shared" ca="1" si="70"/>
        <v>#NUM!</v>
      </c>
      <c r="AJ110" s="75" t="e">
        <f t="shared" ca="1" si="70"/>
        <v>#NUM!</v>
      </c>
      <c r="AK110" s="75" t="e">
        <f t="shared" ca="1" si="70"/>
        <v>#NUM!</v>
      </c>
      <c r="AL110" s="75" t="e">
        <f t="shared" ca="1" si="61"/>
        <v>#NUM!</v>
      </c>
    </row>
    <row r="111" spans="17:38" x14ac:dyDescent="0.35">
      <c r="R111" s="75"/>
      <c r="S111" s="75"/>
      <c r="T111" s="75"/>
      <c r="U111" s="75"/>
      <c r="V111" s="75"/>
      <c r="W111" s="75"/>
      <c r="AB111" s="75" t="e">
        <f t="shared" ref="AB111:AK111" ca="1" si="71">IF(AB75="","",MAX(MAX(_OptType*(AB75-_K),0),(_p*AC111+(1-_p)*AC112)*_emrdt))</f>
        <v>#NUM!</v>
      </c>
      <c r="AC111" s="75" t="e">
        <f t="shared" ca="1" si="71"/>
        <v>#NUM!</v>
      </c>
      <c r="AD111" s="75" t="e">
        <f t="shared" ca="1" si="71"/>
        <v>#NUM!</v>
      </c>
      <c r="AE111" s="75" t="e">
        <f t="shared" ca="1" si="71"/>
        <v>#NUM!</v>
      </c>
      <c r="AF111" s="75" t="e">
        <f t="shared" ca="1" si="71"/>
        <v>#NUM!</v>
      </c>
      <c r="AG111" s="75" t="e">
        <f t="shared" ca="1" si="71"/>
        <v>#NUM!</v>
      </c>
      <c r="AH111" s="75" t="e">
        <f t="shared" ca="1" si="71"/>
        <v>#NUM!</v>
      </c>
      <c r="AI111" s="75" t="e">
        <f t="shared" ca="1" si="71"/>
        <v>#NUM!</v>
      </c>
      <c r="AJ111" s="75" t="e">
        <f t="shared" ca="1" si="71"/>
        <v>#NUM!</v>
      </c>
      <c r="AK111" s="75" t="e">
        <f t="shared" ca="1" si="71"/>
        <v>#NUM!</v>
      </c>
      <c r="AL111" s="75" t="e">
        <f t="shared" ca="1" si="61"/>
        <v>#NUM!</v>
      </c>
    </row>
    <row r="112" spans="17:38" x14ac:dyDescent="0.35">
      <c r="R112" s="75"/>
      <c r="S112" s="75"/>
      <c r="T112" s="75"/>
      <c r="U112" s="75"/>
      <c r="V112" s="75"/>
      <c r="W112" s="75"/>
      <c r="AB112" s="75"/>
      <c r="AC112" s="75" t="e">
        <f t="shared" ref="AC112:AK112" ca="1" si="72">IF(AC76="","",MAX(MAX(_OptType*(AC76-_K),0),(_p*AD112+(1-_p)*AD113)*_emrdt))</f>
        <v>#NUM!</v>
      </c>
      <c r="AD112" s="75" t="e">
        <f t="shared" ca="1" si="72"/>
        <v>#NUM!</v>
      </c>
      <c r="AE112" s="75" t="e">
        <f t="shared" ca="1" si="72"/>
        <v>#NUM!</v>
      </c>
      <c r="AF112" s="75" t="e">
        <f t="shared" ca="1" si="72"/>
        <v>#NUM!</v>
      </c>
      <c r="AG112" s="75" t="e">
        <f t="shared" ca="1" si="72"/>
        <v>#NUM!</v>
      </c>
      <c r="AH112" s="75" t="e">
        <f t="shared" ca="1" si="72"/>
        <v>#NUM!</v>
      </c>
      <c r="AI112" s="75" t="e">
        <f t="shared" ca="1" si="72"/>
        <v>#NUM!</v>
      </c>
      <c r="AJ112" s="75" t="e">
        <f t="shared" ca="1" si="72"/>
        <v>#NUM!</v>
      </c>
      <c r="AK112" s="75" t="e">
        <f t="shared" ca="1" si="72"/>
        <v>#NUM!</v>
      </c>
      <c r="AL112" s="75" t="e">
        <f t="shared" ca="1" si="61"/>
        <v>#NUM!</v>
      </c>
    </row>
    <row r="113" spans="18:38" x14ac:dyDescent="0.35">
      <c r="R113" s="75"/>
      <c r="S113" s="75"/>
      <c r="T113" s="75"/>
      <c r="U113" s="75"/>
      <c r="V113" s="75"/>
      <c r="W113" s="75"/>
      <c r="AB113" s="75"/>
      <c r="AC113" s="75"/>
      <c r="AD113" s="75" t="e">
        <f t="shared" ref="AD113:AK113" ca="1" si="73">IF(AD77="","",MAX(MAX(_OptType*(AD77-_K),0),(_p*AE113+(1-_p)*AE114)*_emrdt))</f>
        <v>#NUM!</v>
      </c>
      <c r="AE113" s="75" t="e">
        <f t="shared" ca="1" si="73"/>
        <v>#NUM!</v>
      </c>
      <c r="AF113" s="75" t="e">
        <f t="shared" ca="1" si="73"/>
        <v>#NUM!</v>
      </c>
      <c r="AG113" s="75" t="e">
        <f t="shared" ca="1" si="73"/>
        <v>#NUM!</v>
      </c>
      <c r="AH113" s="75" t="e">
        <f t="shared" ca="1" si="73"/>
        <v>#NUM!</v>
      </c>
      <c r="AI113" s="75" t="e">
        <f t="shared" ca="1" si="73"/>
        <v>#NUM!</v>
      </c>
      <c r="AJ113" s="75" t="e">
        <f t="shared" ca="1" si="73"/>
        <v>#NUM!</v>
      </c>
      <c r="AK113" s="75" t="e">
        <f t="shared" ca="1" si="73"/>
        <v>#NUM!</v>
      </c>
      <c r="AL113" s="75" t="e">
        <f t="shared" ca="1" si="61"/>
        <v>#NUM!</v>
      </c>
    </row>
    <row r="114" spans="18:38" x14ac:dyDescent="0.35">
      <c r="R114" s="75"/>
      <c r="S114" s="75"/>
      <c r="T114" s="75"/>
      <c r="U114" s="75"/>
      <c r="V114" s="75"/>
      <c r="W114" s="75"/>
      <c r="AB114" s="75"/>
      <c r="AC114" s="75"/>
      <c r="AE114" s="75" t="e">
        <f t="shared" ref="AE114:AK114" ca="1" si="74">IF(AE78="","",MAX(MAX(_OptType*(AE78-_K),0),(_p*AF114+(1-_p)*AF115)*_emrdt))</f>
        <v>#NUM!</v>
      </c>
      <c r="AF114" s="75" t="e">
        <f t="shared" ca="1" si="74"/>
        <v>#NUM!</v>
      </c>
      <c r="AG114" s="75" t="e">
        <f t="shared" ca="1" si="74"/>
        <v>#NUM!</v>
      </c>
      <c r="AH114" s="75" t="e">
        <f t="shared" ca="1" si="74"/>
        <v>#NUM!</v>
      </c>
      <c r="AI114" s="75" t="e">
        <f t="shared" ca="1" si="74"/>
        <v>#NUM!</v>
      </c>
      <c r="AJ114" s="75" t="e">
        <f t="shared" ca="1" si="74"/>
        <v>#NUM!</v>
      </c>
      <c r="AK114" s="75" t="e">
        <f t="shared" ca="1" si="74"/>
        <v>#NUM!</v>
      </c>
      <c r="AL114" s="75" t="e">
        <f t="shared" ca="1" si="61"/>
        <v>#NUM!</v>
      </c>
    </row>
    <row r="115" spans="18:38" x14ac:dyDescent="0.35">
      <c r="R115" s="75"/>
      <c r="S115" s="75"/>
      <c r="T115" s="75"/>
      <c r="U115" s="75"/>
      <c r="V115" s="75"/>
      <c r="W115" s="75"/>
      <c r="AB115" s="75"/>
      <c r="AC115" s="75"/>
      <c r="AF115" s="75" t="e">
        <f t="shared" ref="AF115:AK115" ca="1" si="75">IF(AF79="","",MAX(MAX(_OptType*(AF79-_K),0),(_p*AG115+(1-_p)*AG116)*_emrdt))</f>
        <v>#NUM!</v>
      </c>
      <c r="AG115" s="75" t="e">
        <f t="shared" ca="1" si="75"/>
        <v>#NUM!</v>
      </c>
      <c r="AH115" s="75" t="e">
        <f t="shared" ca="1" si="75"/>
        <v>#NUM!</v>
      </c>
      <c r="AI115" s="75" t="e">
        <f t="shared" ca="1" si="75"/>
        <v>#NUM!</v>
      </c>
      <c r="AJ115" s="75" t="e">
        <f t="shared" ca="1" si="75"/>
        <v>#NUM!</v>
      </c>
      <c r="AK115" s="75" t="e">
        <f t="shared" ca="1" si="75"/>
        <v>#NUM!</v>
      </c>
      <c r="AL115" s="75" t="e">
        <f t="shared" ca="1" si="61"/>
        <v>#NUM!</v>
      </c>
    </row>
    <row r="116" spans="18:38" x14ac:dyDescent="0.35">
      <c r="R116" s="75"/>
      <c r="S116" s="75"/>
      <c r="T116" s="75"/>
      <c r="U116" s="75"/>
      <c r="V116" s="75"/>
      <c r="W116" s="75"/>
      <c r="AB116" s="75"/>
      <c r="AC116" s="75"/>
      <c r="AG116" s="75" t="e">
        <f ca="1">IF(AG80="","",MAX(MAX(_OptType*(AG80-_K),0),(_p*AH116+(1-_p)*AH117)*_emrdt))</f>
        <v>#NUM!</v>
      </c>
      <c r="AH116" s="75" t="e">
        <f ca="1">IF(AH80="","",MAX(MAX(_OptType*(AH80-_K),0),(_p*AI116+(1-_p)*AI117)*_emrdt))</f>
        <v>#NUM!</v>
      </c>
      <c r="AI116" s="75" t="e">
        <f ca="1">IF(AI80="","",MAX(MAX(_OptType*(AI80-_K),0),(_p*AJ116+(1-_p)*AJ117)*_emrdt))</f>
        <v>#NUM!</v>
      </c>
      <c r="AJ116" s="75" t="e">
        <f ca="1">IF(AJ80="","",MAX(MAX(_OptType*(AJ80-_K),0),(_p*AK116+(1-_p)*AK117)*_emrdt))</f>
        <v>#NUM!</v>
      </c>
      <c r="AK116" s="75" t="e">
        <f ca="1">IF(AK80="","",MAX(MAX(_OptType*(AK80-_K),0),(_p*AL116+(1-_p)*AL117)*_emrdt))</f>
        <v>#NUM!</v>
      </c>
      <c r="AL116" s="75" t="e">
        <f t="shared" ca="1" si="61"/>
        <v>#NUM!</v>
      </c>
    </row>
    <row r="117" spans="18:38" x14ac:dyDescent="0.35">
      <c r="R117" s="75"/>
      <c r="S117" s="75"/>
      <c r="T117" s="75"/>
      <c r="U117" s="75"/>
      <c r="V117" s="75"/>
      <c r="W117" s="75"/>
      <c r="AB117" s="75"/>
      <c r="AC117" s="75"/>
      <c r="AH117" s="75" t="e">
        <f ca="1">IF(AH81="","",MAX(MAX(_OptType*(AH81-_K),0),(_p*AI117+(1-_p)*AI118)*_emrdt))</f>
        <v>#NUM!</v>
      </c>
      <c r="AI117" s="75" t="e">
        <f ca="1">IF(AI81="","",MAX(MAX(_OptType*(AI81-_K),0),(_p*AJ117+(1-_p)*AJ118)*_emrdt))</f>
        <v>#NUM!</v>
      </c>
      <c r="AJ117" s="75" t="e">
        <f ca="1">IF(AJ81="","",MAX(MAX(_OptType*(AJ81-_K),0),(_p*AK117+(1-_p)*AK118)*_emrdt))</f>
        <v>#NUM!</v>
      </c>
      <c r="AK117" s="75" t="e">
        <f ca="1">IF(AK81="","",MAX(MAX(_OptType*(AK81-_K),0),(_p*AL117+(1-_p)*AL118)*_emrdt))</f>
        <v>#NUM!</v>
      </c>
      <c r="AL117" s="75" t="e">
        <f t="shared" ca="1" si="61"/>
        <v>#NUM!</v>
      </c>
    </row>
    <row r="118" spans="18:38" x14ac:dyDescent="0.35">
      <c r="R118" s="75"/>
      <c r="S118" s="75"/>
      <c r="T118" s="75"/>
      <c r="U118" s="75"/>
      <c r="V118" s="75"/>
      <c r="W118" s="75"/>
      <c r="AB118" s="75"/>
      <c r="AC118" s="75"/>
      <c r="AI118" s="75" t="e">
        <f ca="1">IF(AI82="","",MAX(MAX(_OptType*(AI82-_K),0),(_p*AJ118+(1-_p)*AJ119)*_emrdt))</f>
        <v>#NUM!</v>
      </c>
      <c r="AJ118" s="75" t="e">
        <f ca="1">IF(AJ82="","",MAX(MAX(_OptType*(AJ82-_K),0),(_p*AK118+(1-_p)*AK119)*_emrdt))</f>
        <v>#NUM!</v>
      </c>
      <c r="AK118" s="75" t="e">
        <f ca="1">IF(AK82="","",MAX(MAX(_OptType*(AK82-_K),0),(_p*AL118+(1-_p)*AL119)*_emrdt))</f>
        <v>#NUM!</v>
      </c>
      <c r="AL118" s="75" t="e">
        <f t="shared" ca="1" si="61"/>
        <v>#NUM!</v>
      </c>
    </row>
    <row r="119" spans="18:38" x14ac:dyDescent="0.35">
      <c r="R119" s="75"/>
      <c r="S119" s="75"/>
      <c r="T119" s="75"/>
      <c r="U119" s="75"/>
      <c r="V119" s="75"/>
      <c r="W119" s="75"/>
      <c r="AB119" s="75"/>
      <c r="AC119" s="75"/>
      <c r="AJ119" s="75" t="e">
        <f ca="1">IF(AJ83="","",MAX(MAX(_OptType*(AJ83-_K),0),(_p*AK119+(1-_p)*AK120)*_emrdt))</f>
        <v>#NUM!</v>
      </c>
      <c r="AK119" s="75" t="e">
        <f ca="1">IF(AK83="","",MAX(MAX(_OptType*(AK83-_K),0),(_p*AL119+(1-_p)*AL120)*_emrdt))</f>
        <v>#NUM!</v>
      </c>
      <c r="AL119" s="75" t="e">
        <f t="shared" ca="1" si="61"/>
        <v>#NUM!</v>
      </c>
    </row>
    <row r="120" spans="18:38" x14ac:dyDescent="0.35">
      <c r="R120" s="75"/>
      <c r="S120" s="75"/>
      <c r="T120" s="75"/>
      <c r="U120" s="75"/>
      <c r="V120" s="75"/>
      <c r="W120" s="75"/>
      <c r="AB120" s="75"/>
      <c r="AC120" s="75"/>
      <c r="AK120" s="75" t="e">
        <f ca="1">IF(AK84="","",MAX(MAX(_OptType*(AK84-_K),0),(_p*AL120+(1-_p)*AL121)*_emrdt))</f>
        <v>#NUM!</v>
      </c>
      <c r="AL120" s="75" t="e">
        <f t="shared" ca="1" si="61"/>
        <v>#NUM!</v>
      </c>
    </row>
    <row r="121" spans="18:38" x14ac:dyDescent="0.35">
      <c r="R121" s="75"/>
      <c r="S121" s="75"/>
      <c r="T121" s="75"/>
      <c r="U121" s="75"/>
      <c r="V121" s="75"/>
      <c r="W121" s="75"/>
      <c r="AB121" s="75"/>
      <c r="AC121" s="75"/>
      <c r="AL121" s="75" t="e">
        <f t="shared" ca="1" si="61"/>
        <v>#NUM!</v>
      </c>
    </row>
    <row r="122" spans="18:38" x14ac:dyDescent="0.35">
      <c r="R122" s="75"/>
      <c r="S122" s="75"/>
      <c r="T122" s="75"/>
      <c r="U122" s="75"/>
      <c r="V122" s="75"/>
      <c r="W122" s="75"/>
      <c r="AB122" s="75"/>
      <c r="AC122" s="75"/>
    </row>
    <row r="123" spans="18:38" x14ac:dyDescent="0.35">
      <c r="R123" s="75"/>
      <c r="S123" s="75"/>
      <c r="T123" s="75"/>
      <c r="U123" s="75"/>
      <c r="V123" s="75"/>
      <c r="W123" s="75"/>
      <c r="AB123" s="75"/>
      <c r="AC123" s="75"/>
    </row>
    <row r="124" spans="18:38" x14ac:dyDescent="0.35">
      <c r="R124" s="75"/>
      <c r="S124" s="75"/>
      <c r="T124" s="75"/>
      <c r="U124" s="75"/>
      <c r="V124" s="75"/>
      <c r="W124" s="75"/>
      <c r="AB124" s="75"/>
      <c r="AC124" s="75"/>
    </row>
    <row r="125" spans="18:38" x14ac:dyDescent="0.35">
      <c r="R125" s="75"/>
      <c r="S125" s="75"/>
      <c r="T125" s="75"/>
      <c r="U125" s="75"/>
      <c r="V125" s="75"/>
      <c r="W125" s="75"/>
      <c r="AB125" s="75"/>
      <c r="AC125" s="75"/>
    </row>
    <row r="126" spans="18:38" x14ac:dyDescent="0.35">
      <c r="R126" s="75"/>
      <c r="S126" s="75"/>
      <c r="T126" s="75"/>
      <c r="U126" s="75"/>
      <c r="V126" s="75"/>
      <c r="W126" s="75"/>
      <c r="AB126" s="75"/>
      <c r="AC126" s="75"/>
    </row>
    <row r="127" spans="18:38" x14ac:dyDescent="0.35">
      <c r="R127" s="75"/>
      <c r="S127" s="75"/>
      <c r="T127" s="75"/>
      <c r="U127" s="75"/>
      <c r="V127" s="75"/>
      <c r="W127" s="75"/>
      <c r="AB127" s="75"/>
      <c r="AC127" s="75"/>
    </row>
    <row r="128" spans="18:38" x14ac:dyDescent="0.35">
      <c r="R128" s="75"/>
      <c r="S128" s="75"/>
      <c r="T128" s="75"/>
      <c r="U128" s="75"/>
      <c r="V128" s="75"/>
      <c r="W128" s="75"/>
      <c r="AB128" s="75"/>
      <c r="AC128" s="75"/>
    </row>
    <row r="129" spans="17:38" x14ac:dyDescent="0.35">
      <c r="R129" s="75"/>
      <c r="S129" s="75"/>
      <c r="T129" s="75"/>
      <c r="U129" s="75"/>
      <c r="V129" s="75"/>
      <c r="W129" s="75"/>
      <c r="AB129" s="75"/>
      <c r="AC129" s="75"/>
    </row>
    <row r="130" spans="17:38" x14ac:dyDescent="0.35">
      <c r="R130" s="75"/>
      <c r="S130" s="75"/>
      <c r="T130" s="75"/>
      <c r="U130" s="75"/>
      <c r="V130" s="75"/>
      <c r="W130" s="75"/>
      <c r="AB130" s="75"/>
      <c r="AC130" s="75"/>
    </row>
    <row r="131" spans="17:38" x14ac:dyDescent="0.35">
      <c r="R131" s="75"/>
      <c r="S131" s="75"/>
      <c r="T131" s="75"/>
      <c r="U131" s="75"/>
      <c r="V131" s="75"/>
      <c r="W131" s="75"/>
      <c r="AB131" s="75"/>
      <c r="AC131" s="75"/>
    </row>
    <row r="132" spans="17:38" x14ac:dyDescent="0.35">
      <c r="R132" s="75"/>
      <c r="S132" s="75"/>
      <c r="T132" s="75"/>
      <c r="U132" s="75"/>
      <c r="V132" s="75"/>
      <c r="W132" s="75"/>
      <c r="AB132" s="75"/>
      <c r="AC132" s="75"/>
    </row>
    <row r="133" spans="17:38" x14ac:dyDescent="0.35">
      <c r="R133" s="75"/>
      <c r="S133" s="176"/>
      <c r="T133" s="75"/>
      <c r="U133" s="75"/>
      <c r="V133" s="75"/>
      <c r="W133" s="75"/>
      <c r="AC133" s="75"/>
    </row>
    <row r="134" spans="17:38" x14ac:dyDescent="0.35">
      <c r="AC134" s="75"/>
    </row>
    <row r="135" spans="17:38" ht="13.15" x14ac:dyDescent="0.4">
      <c r="Q135" s="77" t="str">
        <f>"European " &amp; IF(_OptType=1,"call", "put") &amp; " price"</f>
        <v>European put price</v>
      </c>
      <c r="R135" s="81" t="e">
        <f t="shared" ref="R135:AK135" ca="1" si="76">IF(R31="","",(_p*S135+(1-_p)*S136)*_emrdt)</f>
        <v>#NUM!</v>
      </c>
      <c r="S135" s="75" t="e">
        <f t="shared" ca="1" si="76"/>
        <v>#NUM!</v>
      </c>
      <c r="T135" s="75" t="e">
        <f t="shared" ca="1" si="76"/>
        <v>#NUM!</v>
      </c>
      <c r="U135" s="75" t="e">
        <f t="shared" ca="1" si="76"/>
        <v>#NUM!</v>
      </c>
      <c r="V135" s="75" t="e">
        <f t="shared" ca="1" si="76"/>
        <v>#NUM!</v>
      </c>
      <c r="W135" s="75" t="e">
        <f t="shared" ca="1" si="76"/>
        <v>#NUM!</v>
      </c>
      <c r="X135" s="75" t="e">
        <f t="shared" ca="1" si="76"/>
        <v>#NUM!</v>
      </c>
      <c r="Y135" s="75" t="e">
        <f t="shared" ca="1" si="76"/>
        <v>#NUM!</v>
      </c>
      <c r="Z135" s="75" t="e">
        <f t="shared" ca="1" si="76"/>
        <v>#NUM!</v>
      </c>
      <c r="AA135" s="75" t="e">
        <f t="shared" ca="1" si="76"/>
        <v>#NUM!</v>
      </c>
      <c r="AB135" s="75" t="e">
        <f t="shared" ca="1" si="76"/>
        <v>#NUM!</v>
      </c>
      <c r="AC135" s="75" t="e">
        <f t="shared" ca="1" si="76"/>
        <v>#NUM!</v>
      </c>
      <c r="AD135" s="75" t="e">
        <f t="shared" ca="1" si="76"/>
        <v>#NUM!</v>
      </c>
      <c r="AE135" s="75" t="e">
        <f t="shared" ca="1" si="76"/>
        <v>#NUM!</v>
      </c>
      <c r="AF135" s="75" t="e">
        <f t="shared" ca="1" si="76"/>
        <v>#NUM!</v>
      </c>
      <c r="AG135" s="75" t="e">
        <f t="shared" ca="1" si="76"/>
        <v>#NUM!</v>
      </c>
      <c r="AH135" s="75" t="e">
        <f t="shared" ca="1" si="76"/>
        <v>#NUM!</v>
      </c>
      <c r="AI135" s="75" t="e">
        <f t="shared" ca="1" si="76"/>
        <v>#NUM!</v>
      </c>
      <c r="AJ135" s="75" t="e">
        <f t="shared" ca="1" si="76"/>
        <v>#NUM!</v>
      </c>
      <c r="AK135" s="75" t="e">
        <f t="shared" ca="1" si="76"/>
        <v>#NUM!</v>
      </c>
      <c r="AL135" s="75" t="e">
        <f t="shared" ref="AL135:AL155" ca="1" si="77">MAX(0,_OptType*(AL65-_K))</f>
        <v>#NUM!</v>
      </c>
    </row>
    <row r="136" spans="17:38" x14ac:dyDescent="0.35">
      <c r="R136" s="75" t="str">
        <f t="shared" ref="R136:AK136" si="78">IF(R32="","",(_p*S136+(1-_p)*S137)*_emrdt)</f>
        <v/>
      </c>
      <c r="S136" s="75" t="e">
        <f t="shared" ca="1" si="78"/>
        <v>#NUM!</v>
      </c>
      <c r="T136" s="75" t="e">
        <f t="shared" ca="1" si="78"/>
        <v>#NUM!</v>
      </c>
      <c r="U136" s="75" t="e">
        <f t="shared" ca="1" si="78"/>
        <v>#NUM!</v>
      </c>
      <c r="V136" s="75" t="e">
        <f t="shared" ca="1" si="78"/>
        <v>#NUM!</v>
      </c>
      <c r="W136" s="75" t="e">
        <f t="shared" ca="1" si="78"/>
        <v>#NUM!</v>
      </c>
      <c r="X136" s="75" t="e">
        <f t="shared" ca="1" si="78"/>
        <v>#NUM!</v>
      </c>
      <c r="Y136" s="75" t="e">
        <f t="shared" ca="1" si="78"/>
        <v>#NUM!</v>
      </c>
      <c r="Z136" s="75" t="e">
        <f t="shared" ca="1" si="78"/>
        <v>#NUM!</v>
      </c>
      <c r="AA136" s="75" t="e">
        <f t="shared" ca="1" si="78"/>
        <v>#NUM!</v>
      </c>
      <c r="AB136" s="75" t="e">
        <f t="shared" ca="1" si="78"/>
        <v>#NUM!</v>
      </c>
      <c r="AC136" s="75" t="e">
        <f t="shared" ca="1" si="78"/>
        <v>#NUM!</v>
      </c>
      <c r="AD136" s="75" t="e">
        <f t="shared" ca="1" si="78"/>
        <v>#NUM!</v>
      </c>
      <c r="AE136" s="75" t="e">
        <f t="shared" ca="1" si="78"/>
        <v>#NUM!</v>
      </c>
      <c r="AF136" s="75" t="e">
        <f t="shared" ca="1" si="78"/>
        <v>#NUM!</v>
      </c>
      <c r="AG136" s="75" t="e">
        <f t="shared" ca="1" si="78"/>
        <v>#NUM!</v>
      </c>
      <c r="AH136" s="75" t="e">
        <f t="shared" ca="1" si="78"/>
        <v>#NUM!</v>
      </c>
      <c r="AI136" s="75" t="e">
        <f t="shared" ca="1" si="78"/>
        <v>#NUM!</v>
      </c>
      <c r="AJ136" s="75" t="e">
        <f t="shared" ca="1" si="78"/>
        <v>#NUM!</v>
      </c>
      <c r="AK136" s="75" t="e">
        <f t="shared" ca="1" si="78"/>
        <v>#NUM!</v>
      </c>
      <c r="AL136" s="75" t="e">
        <f t="shared" ca="1" si="77"/>
        <v>#NUM!</v>
      </c>
    </row>
    <row r="137" spans="17:38" x14ac:dyDescent="0.35">
      <c r="R137" s="75" t="str">
        <f t="shared" ref="R137:AK137" si="79">IF(R33="","",(_p*S137+(1-_p)*S138)*_emrdt)</f>
        <v/>
      </c>
      <c r="S137" s="75" t="str">
        <f t="shared" si="79"/>
        <v/>
      </c>
      <c r="T137" s="75" t="e">
        <f t="shared" ca="1" si="79"/>
        <v>#NUM!</v>
      </c>
      <c r="U137" s="75" t="e">
        <f t="shared" ca="1" si="79"/>
        <v>#NUM!</v>
      </c>
      <c r="V137" s="75" t="e">
        <f t="shared" ca="1" si="79"/>
        <v>#NUM!</v>
      </c>
      <c r="W137" s="75" t="e">
        <f t="shared" ca="1" si="79"/>
        <v>#NUM!</v>
      </c>
      <c r="X137" s="75" t="e">
        <f t="shared" ca="1" si="79"/>
        <v>#NUM!</v>
      </c>
      <c r="Y137" s="75" t="e">
        <f t="shared" ca="1" si="79"/>
        <v>#NUM!</v>
      </c>
      <c r="Z137" s="75" t="e">
        <f t="shared" ca="1" si="79"/>
        <v>#NUM!</v>
      </c>
      <c r="AA137" s="75" t="e">
        <f t="shared" ca="1" si="79"/>
        <v>#NUM!</v>
      </c>
      <c r="AB137" s="75" t="e">
        <f t="shared" ca="1" si="79"/>
        <v>#NUM!</v>
      </c>
      <c r="AC137" s="75" t="e">
        <f t="shared" ca="1" si="79"/>
        <v>#NUM!</v>
      </c>
      <c r="AD137" s="75" t="e">
        <f t="shared" ca="1" si="79"/>
        <v>#NUM!</v>
      </c>
      <c r="AE137" s="75" t="e">
        <f t="shared" ca="1" si="79"/>
        <v>#NUM!</v>
      </c>
      <c r="AF137" s="75" t="e">
        <f t="shared" ca="1" si="79"/>
        <v>#NUM!</v>
      </c>
      <c r="AG137" s="75" t="e">
        <f t="shared" ca="1" si="79"/>
        <v>#NUM!</v>
      </c>
      <c r="AH137" s="75" t="e">
        <f t="shared" ca="1" si="79"/>
        <v>#NUM!</v>
      </c>
      <c r="AI137" s="75" t="e">
        <f t="shared" ca="1" si="79"/>
        <v>#NUM!</v>
      </c>
      <c r="AJ137" s="75" t="e">
        <f t="shared" ca="1" si="79"/>
        <v>#NUM!</v>
      </c>
      <c r="AK137" s="75" t="e">
        <f t="shared" ca="1" si="79"/>
        <v>#NUM!</v>
      </c>
      <c r="AL137" s="75" t="e">
        <f t="shared" ca="1" si="77"/>
        <v>#NUM!</v>
      </c>
    </row>
    <row r="138" spans="17:38" x14ac:dyDescent="0.35">
      <c r="R138" s="75" t="str">
        <f t="shared" ref="R138:AK138" si="80">IF(R34="","",(_p*S138+(1-_p)*S139)*_emrdt)</f>
        <v/>
      </c>
      <c r="S138" s="75" t="str">
        <f t="shared" si="80"/>
        <v/>
      </c>
      <c r="T138" s="75" t="str">
        <f t="shared" si="80"/>
        <v/>
      </c>
      <c r="U138" s="75" t="e">
        <f t="shared" ca="1" si="80"/>
        <v>#NUM!</v>
      </c>
      <c r="V138" s="75" t="e">
        <f t="shared" ca="1" si="80"/>
        <v>#NUM!</v>
      </c>
      <c r="W138" s="75" t="e">
        <f t="shared" ca="1" si="80"/>
        <v>#NUM!</v>
      </c>
      <c r="X138" s="75" t="e">
        <f t="shared" ca="1" si="80"/>
        <v>#NUM!</v>
      </c>
      <c r="Y138" s="75" t="e">
        <f t="shared" ca="1" si="80"/>
        <v>#NUM!</v>
      </c>
      <c r="Z138" s="75" t="e">
        <f t="shared" ca="1" si="80"/>
        <v>#NUM!</v>
      </c>
      <c r="AA138" s="75" t="e">
        <f t="shared" ca="1" si="80"/>
        <v>#NUM!</v>
      </c>
      <c r="AB138" s="75" t="e">
        <f t="shared" ca="1" si="80"/>
        <v>#NUM!</v>
      </c>
      <c r="AC138" s="75" t="e">
        <f t="shared" ca="1" si="80"/>
        <v>#NUM!</v>
      </c>
      <c r="AD138" s="75" t="e">
        <f t="shared" ca="1" si="80"/>
        <v>#NUM!</v>
      </c>
      <c r="AE138" s="75" t="e">
        <f t="shared" ca="1" si="80"/>
        <v>#NUM!</v>
      </c>
      <c r="AF138" s="75" t="e">
        <f t="shared" ca="1" si="80"/>
        <v>#NUM!</v>
      </c>
      <c r="AG138" s="75" t="e">
        <f t="shared" ca="1" si="80"/>
        <v>#NUM!</v>
      </c>
      <c r="AH138" s="75" t="e">
        <f t="shared" ca="1" si="80"/>
        <v>#NUM!</v>
      </c>
      <c r="AI138" s="75" t="e">
        <f t="shared" ca="1" si="80"/>
        <v>#NUM!</v>
      </c>
      <c r="AJ138" s="75" t="e">
        <f t="shared" ca="1" si="80"/>
        <v>#NUM!</v>
      </c>
      <c r="AK138" s="75" t="e">
        <f t="shared" ca="1" si="80"/>
        <v>#NUM!</v>
      </c>
      <c r="AL138" s="75" t="e">
        <f t="shared" ca="1" si="77"/>
        <v>#NUM!</v>
      </c>
    </row>
    <row r="139" spans="17:38" x14ac:dyDescent="0.35">
      <c r="R139" s="75" t="str">
        <f t="shared" ref="R139:AK139" si="81">IF(R35="","",(_p*S139+(1-_p)*S140)*_emrdt)</f>
        <v/>
      </c>
      <c r="S139" s="75" t="str">
        <f t="shared" si="81"/>
        <v/>
      </c>
      <c r="T139" s="75" t="str">
        <f t="shared" si="81"/>
        <v/>
      </c>
      <c r="U139" s="75" t="str">
        <f t="shared" si="81"/>
        <v/>
      </c>
      <c r="V139" s="75" t="e">
        <f t="shared" ca="1" si="81"/>
        <v>#NUM!</v>
      </c>
      <c r="W139" s="75" t="e">
        <f t="shared" ca="1" si="81"/>
        <v>#NUM!</v>
      </c>
      <c r="X139" s="75" t="e">
        <f t="shared" ca="1" si="81"/>
        <v>#NUM!</v>
      </c>
      <c r="Y139" s="75" t="e">
        <f t="shared" ca="1" si="81"/>
        <v>#NUM!</v>
      </c>
      <c r="Z139" s="75" t="e">
        <f t="shared" ca="1" si="81"/>
        <v>#NUM!</v>
      </c>
      <c r="AA139" s="75" t="e">
        <f t="shared" ca="1" si="81"/>
        <v>#NUM!</v>
      </c>
      <c r="AB139" s="75" t="e">
        <f t="shared" ca="1" si="81"/>
        <v>#NUM!</v>
      </c>
      <c r="AC139" s="75" t="e">
        <f t="shared" ca="1" si="81"/>
        <v>#NUM!</v>
      </c>
      <c r="AD139" s="75" t="e">
        <f t="shared" ca="1" si="81"/>
        <v>#NUM!</v>
      </c>
      <c r="AE139" s="75" t="e">
        <f t="shared" ca="1" si="81"/>
        <v>#NUM!</v>
      </c>
      <c r="AF139" s="75" t="e">
        <f t="shared" ca="1" si="81"/>
        <v>#NUM!</v>
      </c>
      <c r="AG139" s="75" t="e">
        <f t="shared" ca="1" si="81"/>
        <v>#NUM!</v>
      </c>
      <c r="AH139" s="75" t="e">
        <f t="shared" ca="1" si="81"/>
        <v>#NUM!</v>
      </c>
      <c r="AI139" s="75" t="e">
        <f t="shared" ca="1" si="81"/>
        <v>#NUM!</v>
      </c>
      <c r="AJ139" s="75" t="e">
        <f t="shared" ca="1" si="81"/>
        <v>#NUM!</v>
      </c>
      <c r="AK139" s="75" t="e">
        <f t="shared" ca="1" si="81"/>
        <v>#NUM!</v>
      </c>
      <c r="AL139" s="75" t="e">
        <f t="shared" ca="1" si="77"/>
        <v>#NUM!</v>
      </c>
    </row>
    <row r="140" spans="17:38" x14ac:dyDescent="0.35">
      <c r="R140" s="75" t="str">
        <f>IF(R36="","",(_p*S140+(1-_p)*C76)*_emrdt)</f>
        <v/>
      </c>
      <c r="S140" s="75" t="str">
        <f>IF(S36="","",(_p*T140+(1-_p)*D76)*_emrdt)</f>
        <v/>
      </c>
      <c r="T140" s="75" t="str">
        <f>IF(T36="","",(_p*U140+(1-_p)*#REF!)*_emrdt)</f>
        <v/>
      </c>
      <c r="U140" s="75" t="str">
        <f>IF(U36="","",(_p*V140+(1-_p)*#REF!)*_emrdt)</f>
        <v/>
      </c>
      <c r="V140" s="75" t="str">
        <f>IF(V36="","",(_p*W140+(1-_p)*#REF!)*_emrdt)</f>
        <v/>
      </c>
      <c r="W140" s="75" t="e">
        <f t="shared" ref="W140:AK140" ca="1" si="82">IF(W36="","",(_p*X140+(1-_p)*X141)*_emrdt)</f>
        <v>#NUM!</v>
      </c>
      <c r="X140" s="75" t="e">
        <f t="shared" ca="1" si="82"/>
        <v>#NUM!</v>
      </c>
      <c r="Y140" s="75" t="e">
        <f t="shared" ca="1" si="82"/>
        <v>#NUM!</v>
      </c>
      <c r="Z140" s="75" t="e">
        <f t="shared" ca="1" si="82"/>
        <v>#NUM!</v>
      </c>
      <c r="AA140" s="75" t="e">
        <f t="shared" ca="1" si="82"/>
        <v>#NUM!</v>
      </c>
      <c r="AB140" s="75" t="e">
        <f t="shared" ca="1" si="82"/>
        <v>#NUM!</v>
      </c>
      <c r="AC140" s="75" t="e">
        <f t="shared" ca="1" si="82"/>
        <v>#NUM!</v>
      </c>
      <c r="AD140" s="75" t="e">
        <f t="shared" ca="1" si="82"/>
        <v>#NUM!</v>
      </c>
      <c r="AE140" s="75" t="e">
        <f t="shared" ca="1" si="82"/>
        <v>#NUM!</v>
      </c>
      <c r="AF140" s="75" t="e">
        <f t="shared" ca="1" si="82"/>
        <v>#NUM!</v>
      </c>
      <c r="AG140" s="75" t="e">
        <f t="shared" ca="1" si="82"/>
        <v>#NUM!</v>
      </c>
      <c r="AH140" s="75" t="e">
        <f t="shared" ca="1" si="82"/>
        <v>#NUM!</v>
      </c>
      <c r="AI140" s="75" t="e">
        <f t="shared" ca="1" si="82"/>
        <v>#NUM!</v>
      </c>
      <c r="AJ140" s="75" t="e">
        <f t="shared" ca="1" si="82"/>
        <v>#NUM!</v>
      </c>
      <c r="AK140" s="75" t="e">
        <f t="shared" ca="1" si="82"/>
        <v>#NUM!</v>
      </c>
      <c r="AL140" s="75" t="e">
        <f t="shared" ca="1" si="77"/>
        <v>#NUM!</v>
      </c>
    </row>
    <row r="141" spans="17:38" x14ac:dyDescent="0.35">
      <c r="X141" s="75" t="e">
        <f t="shared" ref="X141:AK141" ca="1" si="83">IF(X37="","",(_p*Y141+(1-_p)*Y142)*_emrdt)</f>
        <v>#NUM!</v>
      </c>
      <c r="Y141" s="75" t="e">
        <f t="shared" ca="1" si="83"/>
        <v>#NUM!</v>
      </c>
      <c r="Z141" s="75" t="e">
        <f t="shared" ca="1" si="83"/>
        <v>#NUM!</v>
      </c>
      <c r="AA141" s="75" t="e">
        <f t="shared" ca="1" si="83"/>
        <v>#NUM!</v>
      </c>
      <c r="AB141" s="75" t="e">
        <f t="shared" ca="1" si="83"/>
        <v>#NUM!</v>
      </c>
      <c r="AC141" s="75" t="e">
        <f t="shared" ca="1" si="83"/>
        <v>#NUM!</v>
      </c>
      <c r="AD141" s="75" t="e">
        <f t="shared" ca="1" si="83"/>
        <v>#NUM!</v>
      </c>
      <c r="AE141" s="75" t="e">
        <f t="shared" ca="1" si="83"/>
        <v>#NUM!</v>
      </c>
      <c r="AF141" s="75" t="e">
        <f t="shared" ca="1" si="83"/>
        <v>#NUM!</v>
      </c>
      <c r="AG141" s="75" t="e">
        <f t="shared" ca="1" si="83"/>
        <v>#NUM!</v>
      </c>
      <c r="AH141" s="75" t="e">
        <f t="shared" ca="1" si="83"/>
        <v>#NUM!</v>
      </c>
      <c r="AI141" s="75" t="e">
        <f t="shared" ca="1" si="83"/>
        <v>#NUM!</v>
      </c>
      <c r="AJ141" s="75" t="e">
        <f t="shared" ca="1" si="83"/>
        <v>#NUM!</v>
      </c>
      <c r="AK141" s="75" t="e">
        <f t="shared" ca="1" si="83"/>
        <v>#NUM!</v>
      </c>
      <c r="AL141" s="75" t="e">
        <f t="shared" ca="1" si="77"/>
        <v>#NUM!</v>
      </c>
    </row>
    <row r="142" spans="17:38" x14ac:dyDescent="0.35">
      <c r="Y142" s="75" t="e">
        <f t="shared" ref="Y142:AK142" ca="1" si="84">IF(Y38="","",(_p*Z142+(1-_p)*Z143)*_emrdt)</f>
        <v>#NUM!</v>
      </c>
      <c r="Z142" s="75" t="e">
        <f t="shared" ca="1" si="84"/>
        <v>#NUM!</v>
      </c>
      <c r="AA142" s="75" t="e">
        <f t="shared" ca="1" si="84"/>
        <v>#NUM!</v>
      </c>
      <c r="AB142" s="75" t="e">
        <f t="shared" ca="1" si="84"/>
        <v>#NUM!</v>
      </c>
      <c r="AC142" s="75" t="e">
        <f t="shared" ca="1" si="84"/>
        <v>#NUM!</v>
      </c>
      <c r="AD142" s="75" t="e">
        <f t="shared" ca="1" si="84"/>
        <v>#NUM!</v>
      </c>
      <c r="AE142" s="75" t="e">
        <f t="shared" ca="1" si="84"/>
        <v>#NUM!</v>
      </c>
      <c r="AF142" s="75" t="e">
        <f t="shared" ca="1" si="84"/>
        <v>#NUM!</v>
      </c>
      <c r="AG142" s="75" t="e">
        <f t="shared" ca="1" si="84"/>
        <v>#NUM!</v>
      </c>
      <c r="AH142" s="75" t="e">
        <f t="shared" ca="1" si="84"/>
        <v>#NUM!</v>
      </c>
      <c r="AI142" s="75" t="e">
        <f t="shared" ca="1" si="84"/>
        <v>#NUM!</v>
      </c>
      <c r="AJ142" s="75" t="e">
        <f t="shared" ca="1" si="84"/>
        <v>#NUM!</v>
      </c>
      <c r="AK142" s="75" t="e">
        <f t="shared" ca="1" si="84"/>
        <v>#NUM!</v>
      </c>
      <c r="AL142" s="75" t="e">
        <f t="shared" ca="1" si="77"/>
        <v>#NUM!</v>
      </c>
    </row>
    <row r="143" spans="17:38" x14ac:dyDescent="0.35">
      <c r="Z143" s="75" t="e">
        <f t="shared" ref="Z143:AK143" ca="1" si="85">IF(Z39="","",(_p*AA143+(1-_p)*AA144)*_emrdt)</f>
        <v>#NUM!</v>
      </c>
      <c r="AA143" s="75" t="e">
        <f t="shared" ca="1" si="85"/>
        <v>#NUM!</v>
      </c>
      <c r="AB143" s="75" t="e">
        <f t="shared" ca="1" si="85"/>
        <v>#NUM!</v>
      </c>
      <c r="AC143" s="75" t="e">
        <f t="shared" ca="1" si="85"/>
        <v>#NUM!</v>
      </c>
      <c r="AD143" s="75" t="e">
        <f t="shared" ca="1" si="85"/>
        <v>#NUM!</v>
      </c>
      <c r="AE143" s="75" t="e">
        <f t="shared" ca="1" si="85"/>
        <v>#NUM!</v>
      </c>
      <c r="AF143" s="75" t="e">
        <f t="shared" ca="1" si="85"/>
        <v>#NUM!</v>
      </c>
      <c r="AG143" s="75" t="e">
        <f t="shared" ca="1" si="85"/>
        <v>#NUM!</v>
      </c>
      <c r="AH143" s="75" t="e">
        <f t="shared" ca="1" si="85"/>
        <v>#NUM!</v>
      </c>
      <c r="AI143" s="75" t="e">
        <f t="shared" ca="1" si="85"/>
        <v>#NUM!</v>
      </c>
      <c r="AJ143" s="75" t="e">
        <f t="shared" ca="1" si="85"/>
        <v>#NUM!</v>
      </c>
      <c r="AK143" s="75" t="e">
        <f t="shared" ca="1" si="85"/>
        <v>#NUM!</v>
      </c>
      <c r="AL143" s="75" t="e">
        <f t="shared" ca="1" si="77"/>
        <v>#NUM!</v>
      </c>
    </row>
    <row r="144" spans="17:38" x14ac:dyDescent="0.35">
      <c r="AA144" s="75" t="e">
        <f t="shared" ref="AA144:AK144" ca="1" si="86">IF(AA40="","",(_p*AB144+(1-_p)*AB145)*_emrdt)</f>
        <v>#NUM!</v>
      </c>
      <c r="AB144" s="75" t="e">
        <f t="shared" ca="1" si="86"/>
        <v>#NUM!</v>
      </c>
      <c r="AC144" s="75" t="e">
        <f t="shared" ca="1" si="86"/>
        <v>#NUM!</v>
      </c>
      <c r="AD144" s="75" t="e">
        <f t="shared" ca="1" si="86"/>
        <v>#NUM!</v>
      </c>
      <c r="AE144" s="75" t="e">
        <f t="shared" ca="1" si="86"/>
        <v>#NUM!</v>
      </c>
      <c r="AF144" s="75" t="e">
        <f t="shared" ca="1" si="86"/>
        <v>#NUM!</v>
      </c>
      <c r="AG144" s="75" t="e">
        <f t="shared" ca="1" si="86"/>
        <v>#NUM!</v>
      </c>
      <c r="AH144" s="75" t="e">
        <f t="shared" ca="1" si="86"/>
        <v>#NUM!</v>
      </c>
      <c r="AI144" s="75" t="e">
        <f t="shared" ca="1" si="86"/>
        <v>#NUM!</v>
      </c>
      <c r="AJ144" s="75" t="e">
        <f t="shared" ca="1" si="86"/>
        <v>#NUM!</v>
      </c>
      <c r="AK144" s="75" t="e">
        <f t="shared" ca="1" si="86"/>
        <v>#NUM!</v>
      </c>
      <c r="AL144" s="75" t="e">
        <f t="shared" ca="1" si="77"/>
        <v>#NUM!</v>
      </c>
    </row>
    <row r="145" spans="28:38" x14ac:dyDescent="0.35">
      <c r="AB145" s="75" t="e">
        <f t="shared" ref="AB145:AK145" ca="1" si="87">IF(AB41="","",(_p*AC145+(1-_p)*AC146)*_emrdt)</f>
        <v>#NUM!</v>
      </c>
      <c r="AC145" s="75" t="e">
        <f t="shared" ca="1" si="87"/>
        <v>#NUM!</v>
      </c>
      <c r="AD145" s="75" t="e">
        <f t="shared" ca="1" si="87"/>
        <v>#NUM!</v>
      </c>
      <c r="AE145" s="75" t="e">
        <f t="shared" ca="1" si="87"/>
        <v>#NUM!</v>
      </c>
      <c r="AF145" s="75" t="e">
        <f t="shared" ca="1" si="87"/>
        <v>#NUM!</v>
      </c>
      <c r="AG145" s="75" t="e">
        <f t="shared" ca="1" si="87"/>
        <v>#NUM!</v>
      </c>
      <c r="AH145" s="75" t="e">
        <f t="shared" ca="1" si="87"/>
        <v>#NUM!</v>
      </c>
      <c r="AI145" s="75" t="e">
        <f t="shared" ca="1" si="87"/>
        <v>#NUM!</v>
      </c>
      <c r="AJ145" s="75" t="e">
        <f t="shared" ca="1" si="87"/>
        <v>#NUM!</v>
      </c>
      <c r="AK145" s="75" t="e">
        <f t="shared" ca="1" si="87"/>
        <v>#NUM!</v>
      </c>
      <c r="AL145" s="75" t="e">
        <f t="shared" ca="1" si="77"/>
        <v>#NUM!</v>
      </c>
    </row>
    <row r="146" spans="28:38" x14ac:dyDescent="0.35">
      <c r="AB146" s="75"/>
      <c r="AC146" s="75" t="e">
        <f t="shared" ref="AC146:AK146" ca="1" si="88">IF(AC42="","",(_p*AD146+(1-_p)*AD147)*_emrdt)</f>
        <v>#NUM!</v>
      </c>
      <c r="AD146" s="75" t="e">
        <f t="shared" ca="1" si="88"/>
        <v>#NUM!</v>
      </c>
      <c r="AE146" s="75" t="e">
        <f t="shared" ca="1" si="88"/>
        <v>#NUM!</v>
      </c>
      <c r="AF146" s="75" t="e">
        <f t="shared" ca="1" si="88"/>
        <v>#NUM!</v>
      </c>
      <c r="AG146" s="75" t="e">
        <f t="shared" ca="1" si="88"/>
        <v>#NUM!</v>
      </c>
      <c r="AH146" s="75" t="e">
        <f t="shared" ca="1" si="88"/>
        <v>#NUM!</v>
      </c>
      <c r="AI146" s="75" t="e">
        <f t="shared" ca="1" si="88"/>
        <v>#NUM!</v>
      </c>
      <c r="AJ146" s="75" t="e">
        <f t="shared" ca="1" si="88"/>
        <v>#NUM!</v>
      </c>
      <c r="AK146" s="75" t="e">
        <f t="shared" ca="1" si="88"/>
        <v>#NUM!</v>
      </c>
      <c r="AL146" s="75" t="e">
        <f t="shared" ca="1" si="77"/>
        <v>#NUM!</v>
      </c>
    </row>
    <row r="147" spans="28:38" x14ac:dyDescent="0.35">
      <c r="AB147" s="75"/>
      <c r="AD147" s="75" t="e">
        <f t="shared" ref="AD147:AK147" ca="1" si="89">IF(AD43="","",(_p*AE147+(1-_p)*AE148)*_emrdt)</f>
        <v>#NUM!</v>
      </c>
      <c r="AE147" s="75" t="e">
        <f t="shared" ca="1" si="89"/>
        <v>#NUM!</v>
      </c>
      <c r="AF147" s="75" t="e">
        <f t="shared" ca="1" si="89"/>
        <v>#NUM!</v>
      </c>
      <c r="AG147" s="75" t="e">
        <f t="shared" ca="1" si="89"/>
        <v>#NUM!</v>
      </c>
      <c r="AH147" s="75" t="e">
        <f t="shared" ca="1" si="89"/>
        <v>#NUM!</v>
      </c>
      <c r="AI147" s="75" t="e">
        <f t="shared" ca="1" si="89"/>
        <v>#NUM!</v>
      </c>
      <c r="AJ147" s="75" t="e">
        <f t="shared" ca="1" si="89"/>
        <v>#NUM!</v>
      </c>
      <c r="AK147" s="75" t="e">
        <f t="shared" ca="1" si="89"/>
        <v>#NUM!</v>
      </c>
      <c r="AL147" s="75" t="e">
        <f t="shared" ca="1" si="77"/>
        <v>#NUM!</v>
      </c>
    </row>
    <row r="148" spans="28:38" x14ac:dyDescent="0.35">
      <c r="AB148" s="75"/>
      <c r="AE148" s="75" t="e">
        <f t="shared" ref="AE148:AK148" ca="1" si="90">IF(AE44="","",(_p*AF148+(1-_p)*AF149)*_emrdt)</f>
        <v>#NUM!</v>
      </c>
      <c r="AF148" s="75" t="e">
        <f t="shared" ca="1" si="90"/>
        <v>#NUM!</v>
      </c>
      <c r="AG148" s="75" t="e">
        <f t="shared" ca="1" si="90"/>
        <v>#NUM!</v>
      </c>
      <c r="AH148" s="75" t="e">
        <f t="shared" ca="1" si="90"/>
        <v>#NUM!</v>
      </c>
      <c r="AI148" s="75" t="e">
        <f t="shared" ca="1" si="90"/>
        <v>#NUM!</v>
      </c>
      <c r="AJ148" s="75" t="e">
        <f t="shared" ca="1" si="90"/>
        <v>#NUM!</v>
      </c>
      <c r="AK148" s="75" t="e">
        <f t="shared" ca="1" si="90"/>
        <v>#NUM!</v>
      </c>
      <c r="AL148" s="75" t="e">
        <f t="shared" ca="1" si="77"/>
        <v>#NUM!</v>
      </c>
    </row>
    <row r="149" spans="28:38" x14ac:dyDescent="0.35">
      <c r="AB149" s="75"/>
      <c r="AF149" s="75" t="e">
        <f t="shared" ref="AF149:AK149" ca="1" si="91">IF(AF45="","",(_p*AG149+(1-_p)*AG150)*_emrdt)</f>
        <v>#NUM!</v>
      </c>
      <c r="AG149" s="75" t="e">
        <f t="shared" ca="1" si="91"/>
        <v>#NUM!</v>
      </c>
      <c r="AH149" s="75" t="e">
        <f t="shared" ca="1" si="91"/>
        <v>#NUM!</v>
      </c>
      <c r="AI149" s="75" t="e">
        <f t="shared" ca="1" si="91"/>
        <v>#NUM!</v>
      </c>
      <c r="AJ149" s="75" t="e">
        <f t="shared" ca="1" si="91"/>
        <v>#NUM!</v>
      </c>
      <c r="AK149" s="75" t="e">
        <f t="shared" ca="1" si="91"/>
        <v>#NUM!</v>
      </c>
      <c r="AL149" s="75" t="e">
        <f t="shared" ca="1" si="77"/>
        <v>#NUM!</v>
      </c>
    </row>
    <row r="150" spans="28:38" x14ac:dyDescent="0.35">
      <c r="AB150" s="75"/>
      <c r="AG150" s="75" t="e">
        <f ca="1">IF(AG46="","",(_p*AH150+(1-_p)*AH151)*_emrdt)</f>
        <v>#NUM!</v>
      </c>
      <c r="AH150" s="75" t="e">
        <f ca="1">IF(AH46="","",(_p*AI150+(1-_p)*AI151)*_emrdt)</f>
        <v>#NUM!</v>
      </c>
      <c r="AI150" s="75" t="e">
        <f ca="1">IF(AI46="","",(_p*AJ150+(1-_p)*AJ151)*_emrdt)</f>
        <v>#NUM!</v>
      </c>
      <c r="AJ150" s="75" t="e">
        <f ca="1">IF(AJ46="","",(_p*AK150+(1-_p)*AK151)*_emrdt)</f>
        <v>#NUM!</v>
      </c>
      <c r="AK150" s="75" t="e">
        <f ca="1">IF(AK46="","",(_p*AL150+(1-_p)*AL151)*_emrdt)</f>
        <v>#NUM!</v>
      </c>
      <c r="AL150" s="75" t="e">
        <f t="shared" ca="1" si="77"/>
        <v>#NUM!</v>
      </c>
    </row>
    <row r="151" spans="28:38" x14ac:dyDescent="0.35">
      <c r="AB151" s="75"/>
      <c r="AH151" s="75" t="e">
        <f ca="1">IF(AH47="","",(_p*AI151+(1-_p)*AI152)*_emrdt)</f>
        <v>#NUM!</v>
      </c>
      <c r="AI151" s="75" t="e">
        <f ca="1">IF(AI47="","",(_p*AJ151+(1-_p)*AJ152)*_emrdt)</f>
        <v>#NUM!</v>
      </c>
      <c r="AJ151" s="75" t="e">
        <f ca="1">IF(AJ47="","",(_p*AK151+(1-_p)*AK152)*_emrdt)</f>
        <v>#NUM!</v>
      </c>
      <c r="AK151" s="75" t="e">
        <f ca="1">IF(AK47="","",(_p*AL151+(1-_p)*AL152)*_emrdt)</f>
        <v>#NUM!</v>
      </c>
      <c r="AL151" s="75" t="e">
        <f t="shared" ca="1" si="77"/>
        <v>#NUM!</v>
      </c>
    </row>
    <row r="152" spans="28:38" x14ac:dyDescent="0.35">
      <c r="AB152" s="75"/>
      <c r="AI152" s="75" t="e">
        <f ca="1">IF(AI48="","",(_p*AJ152+(1-_p)*AJ153)*_emrdt)</f>
        <v>#NUM!</v>
      </c>
      <c r="AJ152" s="75" t="e">
        <f ca="1">IF(AJ48="","",(_p*AK152+(1-_p)*AK153)*_emrdt)</f>
        <v>#NUM!</v>
      </c>
      <c r="AK152" s="75" t="e">
        <f ca="1">IF(AK48="","",(_p*AL152+(1-_p)*AL153)*_emrdt)</f>
        <v>#NUM!</v>
      </c>
      <c r="AL152" s="75" t="e">
        <f t="shared" ca="1" si="77"/>
        <v>#NUM!</v>
      </c>
    </row>
    <row r="153" spans="28:38" x14ac:dyDescent="0.35">
      <c r="AB153" s="75"/>
      <c r="AJ153" s="75" t="e">
        <f ca="1">IF(AJ49="","",(_p*AK153+(1-_p)*AK154)*_emrdt)</f>
        <v>#NUM!</v>
      </c>
      <c r="AK153" s="75" t="e">
        <f ca="1">IF(AK49="","",(_p*AL153+(1-_p)*AL154)*_emrdt)</f>
        <v>#NUM!</v>
      </c>
      <c r="AL153" s="75" t="e">
        <f t="shared" ca="1" si="77"/>
        <v>#NUM!</v>
      </c>
    </row>
    <row r="154" spans="28:38" x14ac:dyDescent="0.35">
      <c r="AB154" s="75"/>
      <c r="AK154" s="75" t="e">
        <f ca="1">IF(AK50="","",(_p*AL154+(1-_p)*AL155)*_emrdt)</f>
        <v>#NUM!</v>
      </c>
      <c r="AL154" s="75" t="e">
        <f t="shared" ca="1" si="77"/>
        <v>#NUM!</v>
      </c>
    </row>
    <row r="155" spans="28:38" x14ac:dyDescent="0.35">
      <c r="AB155" s="75"/>
      <c r="AL155" s="75" t="e">
        <f t="shared" ca="1" si="77"/>
        <v>#NUM!</v>
      </c>
    </row>
    <row r="156" spans="28:38" x14ac:dyDescent="0.35">
      <c r="AB156" s="75"/>
    </row>
    <row r="157" spans="28:38" x14ac:dyDescent="0.35">
      <c r="AB157" s="75"/>
    </row>
    <row r="158" spans="28:38" x14ac:dyDescent="0.35">
      <c r="AB158" s="75"/>
    </row>
    <row r="159" spans="28:38" x14ac:dyDescent="0.35">
      <c r="AB159" s="75"/>
    </row>
    <row r="160" spans="28:38" x14ac:dyDescent="0.35">
      <c r="AB160" s="75"/>
    </row>
    <row r="161" spans="28:28" x14ac:dyDescent="0.35">
      <c r="AB161" s="75"/>
    </row>
    <row r="162" spans="28:28" x14ac:dyDescent="0.35">
      <c r="AB162" s="75"/>
    </row>
    <row r="163" spans="28:28" x14ac:dyDescent="0.35">
      <c r="AB163" s="75"/>
    </row>
    <row r="164" spans="28:28" x14ac:dyDescent="0.35">
      <c r="AB164" s="75"/>
    </row>
    <row r="165" spans="28:28" x14ac:dyDescent="0.35">
      <c r="AB165" s="75"/>
    </row>
    <row r="166" spans="28:28" x14ac:dyDescent="0.35">
      <c r="AB166" s="75"/>
    </row>
    <row r="167" spans="28:28" x14ac:dyDescent="0.35">
      <c r="AB167" s="75"/>
    </row>
    <row r="168" spans="28:28" x14ac:dyDescent="0.35">
      <c r="AB168" s="75"/>
    </row>
    <row r="169" spans="28:28" x14ac:dyDescent="0.35">
      <c r="AB169" s="75"/>
    </row>
    <row r="170" spans="28:28" x14ac:dyDescent="0.35">
      <c r="AB170" s="75"/>
    </row>
    <row r="171" spans="28:28" x14ac:dyDescent="0.35">
      <c r="AB171" s="75"/>
    </row>
    <row r="172" spans="28:28" x14ac:dyDescent="0.35">
      <c r="AB172" s="75"/>
    </row>
    <row r="173" spans="28:28" x14ac:dyDescent="0.35">
      <c r="AB173" s="75"/>
    </row>
    <row r="174" spans="28:28" x14ac:dyDescent="0.35">
      <c r="AB174" s="75"/>
    </row>
    <row r="175" spans="28:28" x14ac:dyDescent="0.35">
      <c r="AB175" s="75"/>
    </row>
    <row r="176" spans="28:28" x14ac:dyDescent="0.35">
      <c r="AB176" s="75"/>
    </row>
    <row r="177" spans="28:28" x14ac:dyDescent="0.35">
      <c r="AB177" s="75"/>
    </row>
    <row r="178" spans="28:28" x14ac:dyDescent="0.35">
      <c r="AB178" s="75"/>
    </row>
    <row r="179" spans="28:28" x14ac:dyDescent="0.35">
      <c r="AB179" s="75"/>
    </row>
    <row r="180" spans="28:28" x14ac:dyDescent="0.35">
      <c r="AB180" s="75"/>
    </row>
    <row r="181" spans="28:28" x14ac:dyDescent="0.35">
      <c r="AB181" s="75"/>
    </row>
    <row r="182" spans="28:28" x14ac:dyDescent="0.35">
      <c r="AB182" s="75"/>
    </row>
    <row r="183" spans="28:28" x14ac:dyDescent="0.35">
      <c r="AB183" s="75"/>
    </row>
    <row r="184" spans="28:28" x14ac:dyDescent="0.35">
      <c r="AB184" s="75"/>
    </row>
    <row r="185" spans="28:28" x14ac:dyDescent="0.35">
      <c r="AB185" s="75"/>
    </row>
    <row r="186" spans="28:28" x14ac:dyDescent="0.35">
      <c r="AB186" s="75"/>
    </row>
    <row r="187" spans="28:28" x14ac:dyDescent="0.35">
      <c r="AB187" s="75"/>
    </row>
    <row r="188" spans="28:28" x14ac:dyDescent="0.35">
      <c r="AB188" s="75"/>
    </row>
    <row r="189" spans="28:28" x14ac:dyDescent="0.35">
      <c r="AB189" s="75"/>
    </row>
    <row r="190" spans="28:28" x14ac:dyDescent="0.35">
      <c r="AB190" s="75"/>
    </row>
    <row r="191" spans="28:28" x14ac:dyDescent="0.35">
      <c r="AB191" s="75"/>
    </row>
    <row r="192" spans="28:28" x14ac:dyDescent="0.35">
      <c r="AB192" s="75"/>
    </row>
    <row r="193" spans="28:28" x14ac:dyDescent="0.35">
      <c r="AB193" s="75"/>
    </row>
    <row r="194" spans="28:28" x14ac:dyDescent="0.35">
      <c r="AB194" s="75"/>
    </row>
    <row r="195" spans="28:28" x14ac:dyDescent="0.35">
      <c r="AB195" s="75"/>
    </row>
    <row r="196" spans="28:28" x14ac:dyDescent="0.35">
      <c r="AB196" s="75"/>
    </row>
    <row r="197" spans="28:28" x14ac:dyDescent="0.35">
      <c r="AB197" s="75"/>
    </row>
    <row r="198" spans="28:28" x14ac:dyDescent="0.35">
      <c r="AB198" s="75"/>
    </row>
    <row r="199" spans="28:28" x14ac:dyDescent="0.35">
      <c r="AB199" s="75"/>
    </row>
    <row r="200" spans="28:28" x14ac:dyDescent="0.35">
      <c r="AB200" s="75"/>
    </row>
    <row r="201" spans="28:28" x14ac:dyDescent="0.35">
      <c r="AB201" s="75"/>
    </row>
    <row r="202" spans="28:28" x14ac:dyDescent="0.35">
      <c r="AB202" s="75"/>
    </row>
    <row r="203" spans="28:28" x14ac:dyDescent="0.35">
      <c r="AB203" s="75"/>
    </row>
    <row r="204" spans="28:28" x14ac:dyDescent="0.35">
      <c r="AB204" s="75"/>
    </row>
  </sheetData>
  <mergeCells count="10">
    <mergeCell ref="A1:G1"/>
    <mergeCell ref="A2:G2"/>
    <mergeCell ref="B4:C5"/>
    <mergeCell ref="E4:G5"/>
    <mergeCell ref="E7:G19"/>
    <mergeCell ref="BH6:BI6"/>
    <mergeCell ref="BJ6:BK6"/>
    <mergeCell ref="B27:K28"/>
    <mergeCell ref="B37:E38"/>
    <mergeCell ref="F37:J38"/>
  </mergeCells>
  <conditionalFormatting sqref="R101:AK102 R103:W106 X103:X107 Y103:Y108 Z103:Z109 AA103:AK110 AB111 AC111:AC112 AD111:AD113 AE111:AE114 AF111:AF115 AG111:AG116 AH111:AH117 AI111:AI118 AJ111:AJ119 AK111:AK120">
    <cfRule type="expression" dxfId="0" priority="1" stopIfTrue="1">
      <formula>ABS(R135-R101)&gt;0.001</formula>
    </cfRule>
  </conditionalFormatting>
  <dataValidations count="2">
    <dataValidation type="list" allowBlank="1" showInputMessage="1" showErrorMessage="1" error="Please enter &quot;1&quot; for a Call option or &quot;-1&quot; for a Put option" sqref="C7" xr:uid="{00000000-0002-0000-0200-000000000000}">
      <formula1>"1,-1"</formula1>
    </dataValidation>
    <dataValidation type="list" allowBlank="1" showInputMessage="1" showErrorMessage="1" error="Please choose a value from the drop-down list: American or European" sqref="C19" xr:uid="{00000000-0002-0000-0200-000001000000}">
      <formula1>"European, American"</formula1>
    </dataValidation>
  </dataValidations>
  <hyperlinks>
    <hyperlink ref="C31" r:id="rId1" xr:uid="{00000000-0004-0000-0200-000000000000}"/>
    <hyperlink ref="C32" r:id="rId2" xr:uid="{00000000-0004-0000-0200-000001000000}"/>
    <hyperlink ref="C33" r:id="rId3" xr:uid="{00000000-0004-0000-0200-000002000000}"/>
    <hyperlink ref="C34" r:id="rId4" xr:uid="{00000000-0004-0000-0200-000003000000}"/>
    <hyperlink ref="F31" r:id="rId5" xr:uid="{00000000-0004-0000-0200-000004000000}"/>
    <hyperlink ref="C41" r:id="rId6" xr:uid="{00000000-0004-0000-0200-000005000000}"/>
    <hyperlink ref="C42" r:id="rId7" xr:uid="{00000000-0004-0000-0200-000006000000}"/>
    <hyperlink ref="C43" r:id="rId8" xr:uid="{00000000-0004-0000-0200-000007000000}"/>
    <hyperlink ref="B37" r:id="rId9" xr:uid="{00000000-0004-0000-0200-000008000000}"/>
  </hyperlinks>
  <pageMargins left="0.75" right="0.75" top="1" bottom="1" header="0.5" footer="0.5"/>
  <pageSetup orientation="portrait" r:id="rId10"/>
  <headerFooter alignWithMargins="0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C8B6-744F-46FB-8338-BBE13062DAD7}">
  <sheetPr codeName="Sheet1">
    <tabColor rgb="FF92D050"/>
  </sheetPr>
  <dimension ref="C5:M11"/>
  <sheetViews>
    <sheetView workbookViewId="0"/>
  </sheetViews>
  <sheetFormatPr defaultRowHeight="12.75" x14ac:dyDescent="0.35"/>
  <cols>
    <col min="3" max="3" width="12.1328125" customWidth="1"/>
    <col min="4" max="4" width="16.59765625" customWidth="1"/>
    <col min="5" max="5" width="9.1328125" customWidth="1"/>
    <col min="10" max="13" width="10.1328125" customWidth="1"/>
  </cols>
  <sheetData>
    <row r="5" spans="3:13" ht="13.15" thickBot="1" x14ac:dyDescent="0.4"/>
    <row r="6" spans="3:13" ht="14.25" x14ac:dyDescent="0.45">
      <c r="C6" s="189" t="s">
        <v>122</v>
      </c>
      <c r="D6" s="190"/>
      <c r="E6" s="191"/>
      <c r="F6" s="182" t="s">
        <v>118</v>
      </c>
      <c r="G6" s="183"/>
      <c r="H6" s="183"/>
      <c r="I6" s="184"/>
      <c r="J6" s="204" t="s">
        <v>109</v>
      </c>
      <c r="K6" s="205"/>
      <c r="L6" s="205"/>
      <c r="M6" s="206"/>
    </row>
    <row r="7" spans="3:13" ht="14.65" thickBot="1" x14ac:dyDescent="0.5">
      <c r="C7" s="192" t="s">
        <v>123</v>
      </c>
      <c r="D7" s="193" t="s">
        <v>124</v>
      </c>
      <c r="E7" s="193" t="s">
        <v>41</v>
      </c>
      <c r="F7" s="185" t="s">
        <v>107</v>
      </c>
      <c r="G7" s="186" t="s">
        <v>106</v>
      </c>
      <c r="H7" s="186" t="s">
        <v>105</v>
      </c>
      <c r="I7" s="187" t="s">
        <v>117</v>
      </c>
      <c r="J7" s="207" t="s">
        <v>107</v>
      </c>
      <c r="K7" s="208" t="s">
        <v>106</v>
      </c>
      <c r="L7" s="208" t="s">
        <v>105</v>
      </c>
      <c r="M7" s="209" t="s">
        <v>117</v>
      </c>
    </row>
    <row r="8" spans="3:13" x14ac:dyDescent="0.35">
      <c r="C8" s="196" t="s">
        <v>119</v>
      </c>
      <c r="D8" s="197" t="s">
        <v>120</v>
      </c>
      <c r="E8" s="198" t="s">
        <v>125</v>
      </c>
      <c r="F8" s="210">
        <v>2.1524580377421443E-2</v>
      </c>
      <c r="G8" s="211">
        <v>4.4722422220879472E-2</v>
      </c>
      <c r="H8" s="211">
        <v>9.7274544018647602E-2</v>
      </c>
      <c r="I8" s="212">
        <v>0.16389387428038249</v>
      </c>
      <c r="J8" s="217">
        <v>1.4730437931511643E-2</v>
      </c>
      <c r="K8" s="218">
        <v>3.9026573196436078E-2</v>
      </c>
      <c r="L8" s="218">
        <v>8.1240290498697285E-2</v>
      </c>
      <c r="M8" s="219">
        <v>0.14071231076539883</v>
      </c>
    </row>
    <row r="9" spans="3:13" x14ac:dyDescent="0.35">
      <c r="C9" s="188" t="s">
        <v>121</v>
      </c>
      <c r="D9" s="199" t="s">
        <v>120</v>
      </c>
      <c r="E9" s="200" t="s">
        <v>125</v>
      </c>
      <c r="F9" s="194">
        <v>1.932250114265471E-2</v>
      </c>
      <c r="G9" s="213">
        <v>4.1910922653386543E-2</v>
      </c>
      <c r="H9" s="213">
        <v>8.9574875752008759E-2</v>
      </c>
      <c r="I9" s="195">
        <v>0.17249776440457862</v>
      </c>
      <c r="J9" s="220">
        <v>1.4353060480755572E-2</v>
      </c>
      <c r="K9" s="221">
        <v>3.8026755759025727E-2</v>
      </c>
      <c r="L9" s="221">
        <v>7.9159004533566793E-2</v>
      </c>
      <c r="M9" s="222">
        <v>0.13710741772871279</v>
      </c>
    </row>
    <row r="10" spans="3:13" x14ac:dyDescent="0.35">
      <c r="C10" s="188" t="s">
        <v>126</v>
      </c>
      <c r="D10" s="199" t="s">
        <v>127</v>
      </c>
      <c r="E10" s="200"/>
      <c r="F10" s="194">
        <v>3.4506499782468676E-2</v>
      </c>
      <c r="G10" s="213">
        <v>7.5528175989411417E-2</v>
      </c>
      <c r="H10" s="213">
        <v>0.14678241295148803</v>
      </c>
      <c r="I10" s="195">
        <v>0.25962416913131359</v>
      </c>
      <c r="J10" s="220">
        <v>2.2127818410189931E-2</v>
      </c>
      <c r="K10" s="221">
        <v>5.8625067963210445E-2</v>
      </c>
      <c r="L10" s="221">
        <v>0.12203781069540642</v>
      </c>
      <c r="M10" s="222">
        <v>0.21137568856891648</v>
      </c>
    </row>
    <row r="11" spans="3:13" ht="13.15" thickBot="1" x14ac:dyDescent="0.4">
      <c r="C11" s="201" t="s">
        <v>128</v>
      </c>
      <c r="D11" s="202" t="s">
        <v>127</v>
      </c>
      <c r="E11" s="203"/>
      <c r="F11" s="214">
        <v>2.6351560051075199E-2</v>
      </c>
      <c r="G11" s="215">
        <v>5.6591808107770022E-2</v>
      </c>
      <c r="H11" s="215">
        <v>0.12625782756159759</v>
      </c>
      <c r="I11" s="216">
        <v>0.23232385246060247</v>
      </c>
      <c r="J11" s="223">
        <v>2.8618452033207724E-2</v>
      </c>
      <c r="K11" s="224">
        <v>7.5821242941693151E-2</v>
      </c>
      <c r="L11" s="224">
        <v>0.15783450346898412</v>
      </c>
      <c r="M11" s="225">
        <v>0.27337737919568672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Implied Vol - Black-Scholes</vt:lpstr>
      <vt:lpstr>Implied Vol - Binomial (yield)</vt:lpstr>
      <vt:lpstr>Implied Vol-Binomial (discrete)</vt:lpstr>
      <vt:lpstr>Summary Worksheet</vt:lpstr>
      <vt:lpstr>'Implied Vol - Binomial (yield)'!_d</vt:lpstr>
      <vt:lpstr>_d</vt:lpstr>
      <vt:lpstr>_div</vt:lpstr>
      <vt:lpstr>'Implied Vol - Binomial (yield)'!_dt</vt:lpstr>
      <vt:lpstr>_dt</vt:lpstr>
      <vt:lpstr>'Implied Vol - Binomial (yield)'!_emrdt</vt:lpstr>
      <vt:lpstr>_emrdt</vt:lpstr>
      <vt:lpstr>_exdiv</vt:lpstr>
      <vt:lpstr>'Implied Vol - Binomial (yield)'!_K</vt:lpstr>
      <vt:lpstr>_K</vt:lpstr>
      <vt:lpstr>'Implied Vol - Binomial (yield)'!_n</vt:lpstr>
      <vt:lpstr>_n</vt:lpstr>
      <vt:lpstr>'Implied Vol - Binomial (yield)'!_OptType</vt:lpstr>
      <vt:lpstr>_OptType</vt:lpstr>
      <vt:lpstr>'Implied Vol - Binomial (yield)'!_p</vt:lpstr>
      <vt:lpstr>_p</vt:lpstr>
      <vt:lpstr>'Implied Vol - Binomial (yield)'!_rr</vt:lpstr>
      <vt:lpstr>_rr</vt:lpstr>
      <vt:lpstr>'Implied Vol - Binomial (yield)'!_S</vt:lpstr>
      <vt:lpstr>_S</vt:lpstr>
      <vt:lpstr>'Implied Vol - Binomial (yield)'!_T</vt:lpstr>
      <vt:lpstr>_T</vt:lpstr>
      <vt:lpstr>'Implied Vol - Binomial (yield)'!_u</vt:lpstr>
      <vt:lpstr>_u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Nikhil Khajuria, CFA, FRM, CIPM</cp:lastModifiedBy>
  <dcterms:created xsi:type="dcterms:W3CDTF">2016-07-27T19:10:11Z</dcterms:created>
  <dcterms:modified xsi:type="dcterms:W3CDTF">2023-10-12T12:33:41Z</dcterms:modified>
</cp:coreProperties>
</file>